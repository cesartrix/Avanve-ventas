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B38A1ECE-0E51-4269-8094-37DB251324A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<sst xmlns="http://schemas.openxmlformats.org/spreadsheetml/2006/main" count="902" uniqueCount="235">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</sst>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54563.0283089636</v>
      </c>
      <c r="D2" s="96">
        <v>260206.8107035108</v>
      </c>
      <c r="E2" s="96">
        <v>885063636.71088195</v>
      </c>
      <c r="F2" s="96">
        <v>0</v>
      </c>
      <c r="G2" s="96">
        <v>383781.55311044212</v>
      </c>
      <c r="H2" s="96">
        <v>383781.74</v>
      </c>
    </row>
    <row r="3" spans="1:8" x14ac:dyDescent="0.25">
      <c r="A3" s="96" t="s">
        <v>81</v>
      </c>
      <c r="B3" s="96">
        <v>1</v>
      </c>
      <c r="C3" s="96">
        <v>572.62823782090004</v>
      </c>
      <c r="D3" s="96">
        <v>935.33198825989996</v>
      </c>
      <c r="E3" s="96">
        <v>12792718.437014684</v>
      </c>
      <c r="F3" s="96">
        <v>0</v>
      </c>
      <c r="G3" s="96">
        <v>383781.55311044212</v>
      </c>
      <c r="H3" s="96">
        <v>383781.74</v>
      </c>
    </row>
    <row r="4" spans="1:8" x14ac:dyDescent="0.25">
      <c r="A4" s="96" t="s">
        <v>82</v>
      </c>
      <c r="B4" s="96">
        <v>1</v>
      </c>
      <c r="C4" s="96">
        <v>380.24508928329999</v>
      </c>
      <c r="D4" s="96">
        <v>750.88741071799996</v>
      </c>
      <c r="E4" s="96">
        <v>10621962.126144474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507.97551587089998</v>
      </c>
      <c r="D5" s="96">
        <v>1706.3107738065</v>
      </c>
      <c r="E5" s="96">
        <v>10967412.891714148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1010.0983928567</v>
      </c>
      <c r="D6" s="96">
        <v>2838.9477381194001</v>
      </c>
      <c r="E6" s="96">
        <v>21241812.405432917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1020.4847182516</v>
      </c>
      <c r="D7" s="96">
        <v>3984.8321785777998</v>
      </c>
      <c r="E7" s="96">
        <v>20343953.298605677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2504.6364074076</v>
      </c>
      <c r="D8" s="96">
        <v>4165.4464768565003</v>
      </c>
      <c r="E8" s="96">
        <v>35141605.525244027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634.52771825369996</v>
      </c>
      <c r="D9" s="96">
        <v>2715.0165416691002</v>
      </c>
      <c r="E9" s="96">
        <v>11583284.080894364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548.72655753940001</v>
      </c>
      <c r="D10" s="96">
        <v>1542.5938265057</v>
      </c>
      <c r="E10" s="96">
        <v>12850915.177441016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477.53224999819997</v>
      </c>
      <c r="D11" s="96">
        <v>1238.3370952383</v>
      </c>
      <c r="E11" s="96">
        <v>8419876.3054508269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828.06636110800002</v>
      </c>
      <c r="D12" s="96">
        <v>3857.8762023697</v>
      </c>
      <c r="E12" s="96">
        <v>13449925.580210861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1012.3775793632</v>
      </c>
      <c r="D13" s="96">
        <v>2392.5997261978</v>
      </c>
      <c r="E13" s="96">
        <v>17565663.927074969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3963.072619048</v>
      </c>
      <c r="D14" s="96">
        <v>36247.932499996903</v>
      </c>
      <c r="E14" s="96">
        <v>64304217.001077607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869.14722222030002</v>
      </c>
      <c r="D15" s="96">
        <v>3369.6016666586002</v>
      </c>
      <c r="E15" s="96">
        <v>15725839.167291585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464.79805555370001</v>
      </c>
      <c r="D16" s="96">
        <v>2338.1130357237998</v>
      </c>
      <c r="E16" s="96">
        <v>12119565.962394305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1029.9283055527001</v>
      </c>
      <c r="D17" s="96">
        <v>2861.6129523987001</v>
      </c>
      <c r="E17" s="96">
        <v>20167812.79109044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1412.5037777752</v>
      </c>
      <c r="D18" s="96">
        <v>6177.8516190375003</v>
      </c>
      <c r="E18" s="96">
        <v>25816464.992216989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1194.5462089912</v>
      </c>
      <c r="D19" s="96">
        <v>4286.9402262046997</v>
      </c>
      <c r="E19" s="96">
        <v>23966157.061793938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3508.6099166665999</v>
      </c>
      <c r="D20" s="96">
        <v>15461.246833323699</v>
      </c>
      <c r="E20" s="96">
        <v>55125480.325350739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579.55577380600005</v>
      </c>
      <c r="D21" s="96">
        <v>2214.4087381038999</v>
      </c>
      <c r="E21" s="96">
        <v>12810368.916756971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420.12088491920002</v>
      </c>
      <c r="D22" s="96">
        <v>1580.969023808</v>
      </c>
      <c r="E22" s="96">
        <v>7669142.5805392843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1994.7653571408</v>
      </c>
      <c r="D23" s="96">
        <v>11279.0875118984</v>
      </c>
      <c r="E23" s="96">
        <v>38129967.134491101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3181.5931547619998</v>
      </c>
      <c r="D24" s="96">
        <v>23090.136053568302</v>
      </c>
      <c r="E24" s="96">
        <v>53747040.528584458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628.11695634729995</v>
      </c>
      <c r="D25" s="96">
        <v>2590.2491666810001</v>
      </c>
      <c r="E25" s="96">
        <v>11588903.613097664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784.00873015690001</v>
      </c>
      <c r="D26" s="96">
        <v>1674.4697738176999</v>
      </c>
      <c r="E26" s="96">
        <v>10653241.374119855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7615.0857142857003</v>
      </c>
      <c r="D27" s="96">
        <v>17396.539999999801</v>
      </c>
      <c r="E27" s="96">
        <v>72314066.082918748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233</v>
      </c>
      <c r="B28" s="96">
        <v>1</v>
      </c>
      <c r="C28" s="96">
        <v>815.06844907130005</v>
      </c>
      <c r="D28" s="96">
        <v>3472.4468378094002</v>
      </c>
      <c r="E28" s="96">
        <v>15729400.126823407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3269.3926984126001</v>
      </c>
      <c r="D29" s="96">
        <v>8462.8200000057004</v>
      </c>
      <c r="E29" s="96">
        <v>43692487.08063937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327.40299603160003</v>
      </c>
      <c r="D30" s="96">
        <v>1464.9833333412</v>
      </c>
      <c r="E30" s="96">
        <v>7015916.0627130093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455.2816468231</v>
      </c>
      <c r="D31" s="96">
        <v>1129.6699999987</v>
      </c>
      <c r="E31" s="96">
        <v>7535974.4603506317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194.12043650780001</v>
      </c>
      <c r="D32" s="96">
        <v>747.53541666410001</v>
      </c>
      <c r="E32" s="96">
        <v>4297511.625002631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511.86003968160003</v>
      </c>
      <c r="D33" s="96">
        <v>2133.6025000029999</v>
      </c>
      <c r="E33" s="96">
        <v>9642556.4815232344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67.860218253900001</v>
      </c>
      <c r="D34" s="96">
        <v>852.25708333290004</v>
      </c>
      <c r="E34" s="96">
        <v>1880938.5392911113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920.18333333329997</v>
      </c>
      <c r="D35" s="96">
        <v>6152.3953333332001</v>
      </c>
      <c r="E35" s="96">
        <v>11751173.096258886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864.83347618870005</v>
      </c>
      <c r="D36" s="96">
        <v>2988.6367857250998</v>
      </c>
      <c r="E36" s="96">
        <v>15219121.752963766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1463.5992658733001</v>
      </c>
      <c r="D37" s="96">
        <v>6012.6120714331</v>
      </c>
      <c r="E37" s="96">
        <v>23371700.396195162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1030.3671717167999</v>
      </c>
      <c r="D38" s="96">
        <v>12545.709999995601</v>
      </c>
      <c r="E38" s="96">
        <v>24556777.325660907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1327.2499999997999</v>
      </c>
      <c r="D39" s="96">
        <v>15910.4699999969</v>
      </c>
      <c r="E39" s="96">
        <v>29449983.687544316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234</v>
      </c>
      <c r="B40" s="96">
        <v>1</v>
      </c>
      <c r="C40" s="96">
        <v>1518.3182208994999</v>
      </c>
      <c r="D40" s="96">
        <v>8342.6813439440994</v>
      </c>
      <c r="E40" s="96">
        <v>19950659.881944489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1856.6394047616</v>
      </c>
      <c r="D41" s="96">
        <v>11388.664523814299</v>
      </c>
      <c r="E41" s="96">
        <v>22089067.174868885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209.06111111109999</v>
      </c>
      <c r="D42" s="96">
        <v>2389.5499999999001</v>
      </c>
      <c r="E42" s="96">
        <v>4784668.386799518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328.44568452319999</v>
      </c>
      <c r="D43" s="96">
        <v>1627.1215919568999</v>
      </c>
      <c r="E43" s="96">
        <v>11698187.310080834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1299.0927579371</v>
      </c>
      <c r="D44" s="96">
        <v>13197.747773807199</v>
      </c>
      <c r="E44" s="96">
        <v>18973242.700626545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487.22089285819999</v>
      </c>
      <c r="D45" s="96">
        <v>4715.5670488094001</v>
      </c>
      <c r="E45" s="96">
        <v>10336849.130847456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473.87900000000002</v>
      </c>
      <c r="D46" s="96">
        <v>-24.9999999996</v>
      </c>
      <c r="E46" s="96">
        <v>3970024.203796092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25816464.992216989</v>
      </c>
      <c r="E2" s="59">
        <v>23833343.066456228</v>
      </c>
      <c r="F2" s="59">
        <f t="shared" ref="F2:F9" si="0">+D2-E2</f>
        <v>1983121.9257607609</v>
      </c>
      <c r="G2" s="60">
        <f t="shared" ref="G2:G41" si="1">+D2/C2</f>
        <v>0.79978945127644818</v>
      </c>
      <c r="H2" s="59">
        <f>+D2/$N$3*$N$4</f>
        <v>47661166.139477521</v>
      </c>
      <c r="I2" s="60">
        <f t="shared" ref="I2:I41" si="2">+H2/C2</f>
        <v>1.4765343715872892</v>
      </c>
      <c r="J2" s="59">
        <f>+D2/$N$3</f>
        <v>1985881.92247823</v>
      </c>
      <c r="K2" s="59">
        <f t="shared" ref="K2:K41" si="3">+(C2-D2)/$N$2</f>
        <v>587510.14963943313</v>
      </c>
      <c r="L2" s="61" cm="1">
        <f t="array" ref="L2">+_xlfn.IFS(I2&gt;114%,H2*0.02,I2&gt;109%,H2*0.015,I2&gt;104%,H2*0.0125,I2&gt;99%,H2*0.01,I2&lt;99%,H2*0)</f>
        <v>953223.32278955041</v>
      </c>
      <c r="M2" s="53" t="s">
        <v>36</v>
      </c>
      <c r="N2">
        <v>11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20167812.79109044</v>
      </c>
      <c r="E3" s="4">
        <v>18892134.412943024</v>
      </c>
      <c r="F3" s="4">
        <f t="shared" si="0"/>
        <v>1275678.3781474158</v>
      </c>
      <c r="G3" s="5">
        <f t="shared" si="1"/>
        <v>0.65093727946256574</v>
      </c>
      <c r="H3" s="4">
        <f t="shared" ref="H3:H41" si="4">+D3/$N$3*$N$4</f>
        <v>37232885.152782351</v>
      </c>
      <c r="I3" s="5">
        <f t="shared" si="2"/>
        <v>1.2017303620847368</v>
      </c>
      <c r="J3" s="4">
        <f t="shared" ref="J3:J41" si="5">+D3/$N$3</f>
        <v>1551370.2146992646</v>
      </c>
      <c r="K3" s="4">
        <f t="shared" si="3"/>
        <v>983174.12616298313</v>
      </c>
      <c r="L3" s="63" cm="1">
        <f t="array" ref="L3">+_xlfn.IFS(I3&gt;114%,H3*0.02,I3&gt;109%,H3*0.015,I3&gt;104%,H3*0.0125,I3&gt;99%,H3*0.01,I3&lt;99%,H3*0)</f>
        <v>744657.70305564709</v>
      </c>
      <c r="M3" s="53" t="s">
        <v>40</v>
      </c>
      <c r="N3">
        <f>N4-N2</f>
        <v>13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15725839.167291585</v>
      </c>
      <c r="E4" s="4">
        <v>14638836.948941169</v>
      </c>
      <c r="F4" s="4">
        <f t="shared" si="0"/>
        <v>1087002.218350416</v>
      </c>
      <c r="G4" s="5">
        <f t="shared" si="1"/>
        <v>0.5539211641998546</v>
      </c>
      <c r="H4" s="4">
        <f t="shared" si="4"/>
        <v>29032318.46269216</v>
      </c>
      <c r="I4" s="5">
        <f t="shared" si="2"/>
        <v>1.0226236877535777</v>
      </c>
      <c r="J4" s="4">
        <f t="shared" si="5"/>
        <v>1209679.9359455067</v>
      </c>
      <c r="K4" s="4">
        <f t="shared" si="3"/>
        <v>1151290.1902596971</v>
      </c>
      <c r="L4" s="63" cm="1">
        <f t="array" ref="L4">+_xlfn.IFS(I4&gt;114%,H4*0.02,I4&gt;109%,H4*0.015,I4&gt;104%,H4*0.0125,I4&gt;99%,H4*0.01,I4&lt;99%,H4*0)</f>
        <v>290323.1846269216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17565663.927074969</v>
      </c>
      <c r="E5" s="4">
        <v>16359393.288683873</v>
      </c>
      <c r="F5" s="4">
        <f t="shared" si="0"/>
        <v>1206270.6383910961</v>
      </c>
      <c r="G5" s="5">
        <f t="shared" si="1"/>
        <v>0.61872647360315869</v>
      </c>
      <c r="H5" s="4">
        <f t="shared" si="4"/>
        <v>32428918.019215323</v>
      </c>
      <c r="I5" s="5">
        <f t="shared" si="2"/>
        <v>1.1422642589596774</v>
      </c>
      <c r="J5" s="4">
        <f t="shared" si="5"/>
        <v>1351204.9174673052</v>
      </c>
      <c r="K5" s="4">
        <f t="shared" si="3"/>
        <v>984033.39391575311</v>
      </c>
      <c r="L5" s="63" cm="1">
        <f t="array" ref="L5">+_xlfn.IFS(I5&gt;114%,H5*0.02,I5&gt;109%,H5*0.015,I5&gt;104%,H5*0.0125,I5&gt;99%,H5*0.01,I5&lt;99%,H5*0)</f>
        <v>648578.36038430652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13449925.580210861</v>
      </c>
      <c r="E6" s="4">
        <v>12574415.55208604</v>
      </c>
      <c r="F6" s="4">
        <f t="shared" si="0"/>
        <v>875510.02812482044</v>
      </c>
      <c r="G6" s="5">
        <f t="shared" si="1"/>
        <v>0.57163853309442725</v>
      </c>
      <c r="H6" s="4">
        <f t="shared" si="4"/>
        <v>24830631.840389282</v>
      </c>
      <c r="I6" s="5">
        <f t="shared" si="2"/>
        <v>1.0553326764820194</v>
      </c>
      <c r="J6" s="4">
        <f t="shared" si="5"/>
        <v>1034609.6600162201</v>
      </c>
      <c r="K6" s="4">
        <f t="shared" si="3"/>
        <v>916254.45066447859</v>
      </c>
      <c r="L6" s="63" cm="1">
        <f t="array" ref="L6">+_xlfn.IFS(I6&gt;114%,H6*0.02,I6&gt;109%,H6*0.015,I6&gt;104%,H6*0.0125,I6&gt;99%,H6*0.01,I6&lt;99%,H6*0)</f>
        <v>310382.89800486603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11583284.080894364</v>
      </c>
      <c r="E7" s="4">
        <v>10717659.288687283</v>
      </c>
      <c r="F7" s="4">
        <f t="shared" ref="F7:F8" si="6">+D7-E7</f>
        <v>865624.79220708087</v>
      </c>
      <c r="G7" s="5">
        <f t="shared" si="1"/>
        <v>0.41753816509739311</v>
      </c>
      <c r="H7" s="4">
        <f t="shared" si="4"/>
        <v>21384524.45703575</v>
      </c>
      <c r="I7" s="5">
        <f t="shared" si="2"/>
        <v>0.7708396894105719</v>
      </c>
      <c r="J7" s="4">
        <f t="shared" si="5"/>
        <v>891021.85237648955</v>
      </c>
      <c r="K7" s="4">
        <f t="shared" si="3"/>
        <v>1468961.1772336492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20343953.298605677</v>
      </c>
      <c r="E8" s="4">
        <v>19406220.336191598</v>
      </c>
      <c r="F8" s="4">
        <f t="shared" si="6"/>
        <v>937732.96241407841</v>
      </c>
      <c r="G8" s="5">
        <f t="shared" si="1"/>
        <v>0.56777407133296731</v>
      </c>
      <c r="H8" s="4">
        <f t="shared" si="4"/>
        <v>37558067.6281951</v>
      </c>
      <c r="I8" s="5">
        <f t="shared" si="2"/>
        <v>1.0481982855377858</v>
      </c>
      <c r="J8" s="4">
        <f t="shared" si="5"/>
        <v>1564919.4845081291</v>
      </c>
      <c r="K8" s="4">
        <f t="shared" si="3"/>
        <v>1407919.8289374569</v>
      </c>
      <c r="L8" s="63" cm="1">
        <f t="array" ref="L8">+_xlfn.IFS(I8&gt;114%,H8*0.02,I8&gt;109%,H8*0.015,I8&gt;104%,H8*0.0125,I8&gt;99%,H8*0.01,I8&lt;99%,H8*0)</f>
        <v>469475.84535243874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21241812.405432917</v>
      </c>
      <c r="E9" s="4">
        <v>20167339.013423331</v>
      </c>
      <c r="F9" s="4">
        <f t="shared" si="0"/>
        <v>1074473.3920095861</v>
      </c>
      <c r="G9" s="5">
        <f t="shared" si="1"/>
        <v>0.59283218629637624</v>
      </c>
      <c r="H9" s="4">
        <f t="shared" si="4"/>
        <v>39215653.671568461</v>
      </c>
      <c r="I9" s="5">
        <f t="shared" si="2"/>
        <v>1.0944594208548484</v>
      </c>
      <c r="J9" s="4">
        <f t="shared" si="5"/>
        <v>1633985.5696486859</v>
      </c>
      <c r="K9" s="4">
        <f t="shared" si="3"/>
        <v>1326296.2737713442</v>
      </c>
      <c r="L9" s="63" cm="1">
        <f t="array" ref="L9">+_xlfn.IFS(I9&gt;114%,H9*0.02,I9&gt;109%,H9*0.015,I9&gt;104%,H9*0.0125,I9&gt;99%,H9*0.01,I9&lt;99%,H9*0)</f>
        <v>588234.80507352692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145894756.24281782</v>
      </c>
      <c r="E10" s="65">
        <v>136589341.90741256</v>
      </c>
      <c r="F10" s="64">
        <f>+SUM(F2:F9)</f>
        <v>9305414.3354052547</v>
      </c>
      <c r="G10" s="66">
        <f t="shared" si="1"/>
        <v>0.6004527271698662</v>
      </c>
      <c r="H10" s="64">
        <f t="shared" si="4"/>
        <v>269344165.37135601</v>
      </c>
      <c r="I10" s="66">
        <f t="shared" si="2"/>
        <v>1.1085281116982146</v>
      </c>
      <c r="J10" s="64">
        <f t="shared" si="5"/>
        <v>11222673.557139833</v>
      </c>
      <c r="K10" s="67">
        <f t="shared" si="3"/>
        <v>8825439.5905847903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55125480.325350739</v>
      </c>
      <c r="E11" s="59">
        <v>51657737.149835296</v>
      </c>
      <c r="F11" s="59">
        <f t="shared" ref="F11:F16" si="7">+D11-E11</f>
        <v>3467743.1755154431</v>
      </c>
      <c r="G11" s="60">
        <f t="shared" si="1"/>
        <v>0.56846831675906706</v>
      </c>
      <c r="H11" s="59">
        <f t="shared" si="4"/>
        <v>101770117.52372445</v>
      </c>
      <c r="I11" s="60">
        <f t="shared" si="2"/>
        <v>1.0494799694013546</v>
      </c>
      <c r="J11" s="59">
        <f t="shared" si="5"/>
        <v>4240421.5634885188</v>
      </c>
      <c r="K11" s="59">
        <f t="shared" si="3"/>
        <v>3804224.3777078884</v>
      </c>
      <c r="L11" s="61" cm="1">
        <f t="array" ref="L11">+_xlfn.IFS(I11&gt;114%,H11*0.0125,I11&gt;109%,H11*0.01,I11&gt;104%,H11*0.0075,I11&gt;99%,H11*0.005,I11&lt;99%,H11*0)</f>
        <v>763275.88142793335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23371700.396195162</v>
      </c>
      <c r="E12" s="4">
        <v>12726652.901956733</v>
      </c>
      <c r="F12" s="4">
        <f t="shared" si="7"/>
        <v>10645047.494238429</v>
      </c>
      <c r="G12" s="5">
        <f t="shared" si="1"/>
        <v>0.73888819529426719</v>
      </c>
      <c r="H12" s="4">
        <f t="shared" si="4"/>
        <v>43147754.577591069</v>
      </c>
      <c r="I12" s="5">
        <f t="shared" si="2"/>
        <v>1.3641012836201856</v>
      </c>
      <c r="J12" s="4">
        <f t="shared" si="5"/>
        <v>1797823.1073996278</v>
      </c>
      <c r="K12" s="4">
        <f t="shared" si="3"/>
        <v>750836.5465792584</v>
      </c>
      <c r="L12" s="63" cm="1">
        <f t="array" ref="L12">+_xlfn.IFS(I12&gt;114%,H12*0.02,I12&gt;109%,H12*0.015,I12&gt;104%,H12*0.0125,I12&gt;99%,H12*0.01,I12&lt;99%,H12*0)</f>
        <v>862955.09155182145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64304217.001077607</v>
      </c>
      <c r="E13" s="4">
        <v>62611489.816173963</v>
      </c>
      <c r="F13" s="4">
        <f t="shared" si="7"/>
        <v>1692727.184903644</v>
      </c>
      <c r="G13" s="5">
        <f t="shared" si="1"/>
        <v>0.50095244027686125</v>
      </c>
      <c r="H13" s="4">
        <f t="shared" si="4"/>
        <v>118715477.54045096</v>
      </c>
      <c r="I13" s="5">
        <f t="shared" si="2"/>
        <v>0.9248352743572823</v>
      </c>
      <c r="J13" s="4">
        <f t="shared" si="5"/>
        <v>4946478.2308521233</v>
      </c>
      <c r="K13" s="4">
        <f t="shared" si="3"/>
        <v>5823609.006686125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24556777.325660907</v>
      </c>
      <c r="E14" s="4">
        <v>20234990.306558445</v>
      </c>
      <c r="F14" s="4">
        <f t="shared" si="7"/>
        <v>4321787.0191024616</v>
      </c>
      <c r="G14" s="5">
        <f t="shared" si="1"/>
        <v>0.57849994399564386</v>
      </c>
      <c r="H14" s="4">
        <f t="shared" si="4"/>
        <v>45335588.908912443</v>
      </c>
      <c r="I14" s="5">
        <f t="shared" si="2"/>
        <v>1.0679998966073425</v>
      </c>
      <c r="J14" s="4">
        <f t="shared" si="5"/>
        <v>1888982.8712046852</v>
      </c>
      <c r="K14" s="4">
        <f t="shared" si="3"/>
        <v>1626570.9153921902</v>
      </c>
      <c r="L14" s="63" cm="1">
        <f t="array" ref="L14">+_xlfn.IFS(I14&gt;109%,H14*0.015,I14&gt;104%,H14*0.0125,I14&gt;99%,H14*0.01,I14&lt;99%,H14*0)</f>
        <v>566694.86136140558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29449983.687544316</v>
      </c>
      <c r="E15" s="4">
        <v>28060601.939276338</v>
      </c>
      <c r="F15" s="4">
        <f t="shared" si="7"/>
        <v>1389381.7482679784</v>
      </c>
      <c r="G15" s="5">
        <f t="shared" si="1"/>
        <v>0.69377238258841811</v>
      </c>
      <c r="H15" s="4">
        <f t="shared" si="4"/>
        <v>54369200.653927967</v>
      </c>
      <c r="I15" s="5">
        <f t="shared" si="2"/>
        <v>1.2808105524709259</v>
      </c>
      <c r="J15" s="4">
        <f t="shared" si="5"/>
        <v>2265383.3605803321</v>
      </c>
      <c r="K15" s="4">
        <f t="shared" si="3"/>
        <v>1181733.9734027893</v>
      </c>
      <c r="L15" s="63" cm="1">
        <f t="array" ref="L15">+_xlfn.IFS(I15&gt;109%,H15*0.015,I15&gt;104%,H15*0.0125,I15&gt;99%,H15*0.01,I15&lt;99%,H15*0)</f>
        <v>815538.00980891951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196808158.73582876</v>
      </c>
      <c r="E16" s="65">
        <v>175291472.11380076</v>
      </c>
      <c r="F16" s="64">
        <f t="shared" si="7"/>
        <v>21516686.622027993</v>
      </c>
      <c r="G16" s="66">
        <f t="shared" si="1"/>
        <v>0.57568989750126853</v>
      </c>
      <c r="H16" s="64">
        <f t="shared" si="4"/>
        <v>363338139.20460695</v>
      </c>
      <c r="I16" s="66">
        <f t="shared" si="2"/>
        <v>1.0628121184638804</v>
      </c>
      <c r="J16" s="64">
        <f t="shared" si="5"/>
        <v>15139089.13352529</v>
      </c>
      <c r="K16" s="67">
        <f t="shared" si="3"/>
        <v>13186974.81976825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10621962.126144474</v>
      </c>
      <c r="E17" s="59">
        <v>9577653.6863288712</v>
      </c>
      <c r="F17" s="59">
        <f t="shared" ref="F17:F40" si="8">+D17-E17</f>
        <v>1044308.4398156032</v>
      </c>
      <c r="G17" s="60">
        <f t="shared" si="1"/>
        <v>0.36205452182121672</v>
      </c>
      <c r="H17" s="59">
        <f t="shared" si="4"/>
        <v>19609776.232882109</v>
      </c>
      <c r="I17" s="60">
        <f t="shared" si="2"/>
        <v>0.66840834797763093</v>
      </c>
      <c r="J17" s="59">
        <f t="shared" si="5"/>
        <v>817074.00970342115</v>
      </c>
      <c r="K17" s="59">
        <f t="shared" si="3"/>
        <v>1701459.636941412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10967412.891714148</v>
      </c>
      <c r="E18" s="4">
        <v>10073320.978867745</v>
      </c>
      <c r="F18" s="4">
        <f t="shared" si="8"/>
        <v>894091.9128464032</v>
      </c>
      <c r="G18" s="5">
        <f t="shared" si="1"/>
        <v>0.43940825333862665</v>
      </c>
      <c r="H18" s="4">
        <f t="shared" si="4"/>
        <v>20247531.492395353</v>
      </c>
      <c r="I18" s="5">
        <f t="shared" si="2"/>
        <v>0.81121523693284936</v>
      </c>
      <c r="J18" s="4">
        <f t="shared" si="5"/>
        <v>843647.14551647299</v>
      </c>
      <c r="K18" s="4">
        <f t="shared" si="3"/>
        <v>1272008.4552987141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12119565.962394305</v>
      </c>
      <c r="E19" s="4">
        <v>11260002.931573136</v>
      </c>
      <c r="F19" s="4">
        <f t="shared" si="8"/>
        <v>859563.0308211688</v>
      </c>
      <c r="G19" s="5">
        <f t="shared" si="1"/>
        <v>0.46872142697607416</v>
      </c>
      <c r="H19" s="4">
        <f t="shared" si="4"/>
        <v>22374583.315189485</v>
      </c>
      <c r="I19" s="5">
        <f t="shared" si="2"/>
        <v>0.86533186518659844</v>
      </c>
      <c r="J19" s="4">
        <f t="shared" si="5"/>
        <v>932274.30479956185</v>
      </c>
      <c r="K19" s="4">
        <f t="shared" si="3"/>
        <v>1248825.8366459722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23966157.061793938</v>
      </c>
      <c r="E20" s="4">
        <v>22295266.235117078</v>
      </c>
      <c r="F20" s="4">
        <f t="shared" si="8"/>
        <v>1670890.8266768605</v>
      </c>
      <c r="G20" s="5">
        <f t="shared" si="1"/>
        <v>0.71438131012947481</v>
      </c>
      <c r="H20" s="4">
        <f t="shared" si="4"/>
        <v>44245213.037158042</v>
      </c>
      <c r="I20" s="5">
        <f t="shared" si="2"/>
        <v>1.3188578033159537</v>
      </c>
      <c r="J20" s="4">
        <f t="shared" si="5"/>
        <v>1843550.5432149183</v>
      </c>
      <c r="K20" s="4">
        <f t="shared" si="3"/>
        <v>871088.4489278238</v>
      </c>
      <c r="L20" s="63" cm="1">
        <f t="array" ref="L20">+_xlfn.IFS(I20&gt;114%,H20*0.02,I20&gt;109%,H20*0.015,I20&gt;104%,H20*0.0125,I20&gt;99%,H20*0.01,I20&lt;99%,H20*0)</f>
        <v>884904.26074316085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12810368.916756971</v>
      </c>
      <c r="E21" s="4">
        <v>11678597.247224085</v>
      </c>
      <c r="F21" s="4">
        <f t="shared" ref="F21:F23" si="9">+D21-E21</f>
        <v>1131771.6695328858</v>
      </c>
      <c r="G21" s="5">
        <f t="shared" si="1"/>
        <v>0.50318612191982059</v>
      </c>
      <c r="H21" s="4">
        <f t="shared" si="4"/>
        <v>23649911.846320562</v>
      </c>
      <c r="I21" s="5">
        <f t="shared" si="2"/>
        <v>0.92895899431351492</v>
      </c>
      <c r="J21" s="4">
        <f t="shared" si="5"/>
        <v>985412.99359669001</v>
      </c>
      <c r="K21" s="4">
        <f t="shared" si="3"/>
        <v>1149831.0075675482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233</v>
      </c>
      <c r="C22" s="71">
        <v>31742890.200000003</v>
      </c>
      <c r="D22" s="4">
        <f>IFERROR(+VLOOKUP(B22,COMISIONES!A:E,5,FALSE),"0")*1</f>
        <v>15729400.126823407</v>
      </c>
      <c r="E22" s="4">
        <v>15114947.7812881</v>
      </c>
      <c r="F22" s="4">
        <f t="shared" si="9"/>
        <v>614452.34553530626</v>
      </c>
      <c r="G22" s="5">
        <f t="shared" si="1"/>
        <v>0.49552514051866031</v>
      </c>
      <c r="H22" s="4">
        <f t="shared" si="4"/>
        <v>29038892.541827828</v>
      </c>
      <c r="I22" s="5">
        <f t="shared" si="2"/>
        <v>0.91481564403444982</v>
      </c>
      <c r="J22" s="4">
        <f t="shared" si="5"/>
        <v>1209953.8559094928</v>
      </c>
      <c r="K22" s="4">
        <f t="shared" si="3"/>
        <v>1455771.8248342359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15219121.752963766</v>
      </c>
      <c r="E23" s="4">
        <v>14549220.102775784</v>
      </c>
      <c r="F23" s="4">
        <f t="shared" si="9"/>
        <v>669901.65018798225</v>
      </c>
      <c r="G23" s="5">
        <f t="shared" si="1"/>
        <v>0.55471466613104536</v>
      </c>
      <c r="H23" s="4">
        <f t="shared" si="4"/>
        <v>28096840.159317724</v>
      </c>
      <c r="I23" s="5">
        <f t="shared" si="2"/>
        <v>1.0240886143957761</v>
      </c>
      <c r="J23" s="4">
        <f t="shared" si="5"/>
        <v>1170701.6733049052</v>
      </c>
      <c r="K23" s="4">
        <f t="shared" si="3"/>
        <v>1110620.4070032944</v>
      </c>
      <c r="L23" s="63" cm="1">
        <f t="array" ref="L23">+_xlfn.IFS(I23&gt;114%,H23*0.02,I23&gt;109%,H23*0.015,I23&gt;104%,H23*0.0125,I23&gt;99%,H23*0.01,I23&lt;99%,H23*0)</f>
        <v>280968.40159317723</v>
      </c>
    </row>
    <row r="24" spans="1:13" ht="15.75" x14ac:dyDescent="0.25">
      <c r="A24" s="91"/>
      <c r="B24" s="19" t="s">
        <v>234</v>
      </c>
      <c r="C24" s="71">
        <v>33494055</v>
      </c>
      <c r="D24" s="4">
        <f>IFERROR(+VLOOKUP(B24,COMISIONES!A:E,5,FALSE),"0")*1</f>
        <v>19950659.881944489</v>
      </c>
      <c r="E24" s="4">
        <v>17261217.954442594</v>
      </c>
      <c r="F24" s="4">
        <f t="shared" si="8"/>
        <v>2689441.9275018945</v>
      </c>
      <c r="G24" s="5">
        <f t="shared" si="1"/>
        <v>0.59564779128548306</v>
      </c>
      <c r="H24" s="4">
        <f t="shared" si="4"/>
        <v>36831987.474359058</v>
      </c>
      <c r="I24" s="5">
        <f t="shared" si="2"/>
        <v>1.099657460834738</v>
      </c>
      <c r="J24" s="4">
        <f t="shared" si="5"/>
        <v>1534666.1447649607</v>
      </c>
      <c r="K24" s="4">
        <f t="shared" si="3"/>
        <v>1231217.7380050465</v>
      </c>
      <c r="L24" s="63" cm="1">
        <f t="array" ref="L24">+_xlfn.IFS(I24&gt;114%,H24*0.02,I24&gt;109%,H24*0.015,I24&gt;104%,H24*0.0125,I24&gt;99%,H24*0.01,I24&lt;99%,H24*0)</f>
        <v>552479.8121153859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22089067.174868885</v>
      </c>
      <c r="E25" s="4">
        <v>22089067.174868885</v>
      </c>
      <c r="F25" s="4">
        <f t="shared" si="8"/>
        <v>0</v>
      </c>
      <c r="G25" s="5">
        <f t="shared" si="1"/>
        <v>0.40856536451673614</v>
      </c>
      <c r="H25" s="4">
        <f t="shared" si="4"/>
        <v>40779816.322834864</v>
      </c>
      <c r="I25" s="5">
        <f t="shared" si="2"/>
        <v>0.75427451910782051</v>
      </c>
      <c r="J25" s="4">
        <f t="shared" si="5"/>
        <v>1699159.0134514528</v>
      </c>
      <c r="K25" s="4">
        <f t="shared" si="3"/>
        <v>2906898.6991028297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143473715.8954044</v>
      </c>
      <c r="E26" s="65">
        <v>133899294.09248626</v>
      </c>
      <c r="F26" s="67">
        <f>+D26-E26</f>
        <v>9574421.8029181361</v>
      </c>
      <c r="G26" s="66">
        <f t="shared" si="1"/>
        <v>0.50183416967280814</v>
      </c>
      <c r="H26" s="64">
        <f t="shared" si="4"/>
        <v>264874552.42228505</v>
      </c>
      <c r="I26" s="66">
        <f t="shared" si="2"/>
        <v>0.92646308247287656</v>
      </c>
      <c r="J26" s="64">
        <f t="shared" si="5"/>
        <v>11036439.684261877</v>
      </c>
      <c r="K26" s="67">
        <f t="shared" si="3"/>
        <v>12947722.054326875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43692487.08063937</v>
      </c>
      <c r="E27" s="59">
        <v>37484101.183935247</v>
      </c>
      <c r="F27" s="59">
        <f t="shared" si="8"/>
        <v>6208385.8967041224</v>
      </c>
      <c r="G27" s="60">
        <f t="shared" si="1"/>
        <v>0.53298015290303791</v>
      </c>
      <c r="H27" s="59">
        <f t="shared" si="4"/>
        <v>80663053.071949601</v>
      </c>
      <c r="I27" s="60">
        <f t="shared" si="2"/>
        <v>0.9839633592056084</v>
      </c>
      <c r="J27" s="59">
        <f t="shared" si="5"/>
        <v>3360960.5446645669</v>
      </c>
      <c r="K27" s="59">
        <f t="shared" si="3"/>
        <v>3480473.9017600571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7535974.4603506317</v>
      </c>
      <c r="E28" s="4">
        <v>7043117.2210489651</v>
      </c>
      <c r="F28" s="4">
        <f t="shared" si="8"/>
        <v>492857.23930166662</v>
      </c>
      <c r="G28" s="5">
        <f t="shared" si="1"/>
        <v>0.35885592668336341</v>
      </c>
      <c r="H28" s="4">
        <f t="shared" si="4"/>
        <v>13912568.234493474</v>
      </c>
      <c r="I28" s="5">
        <f t="shared" si="2"/>
        <v>0.66250324926159398</v>
      </c>
      <c r="J28" s="4">
        <f t="shared" si="5"/>
        <v>579690.34310389473</v>
      </c>
      <c r="K28" s="4">
        <f t="shared" si="3"/>
        <v>1224002.3217863061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12850915.177441016</v>
      </c>
      <c r="E29" s="4">
        <v>11631494.832822802</v>
      </c>
      <c r="F29" s="4">
        <f t="shared" si="8"/>
        <v>1219420.3446182143</v>
      </c>
      <c r="G29" s="5">
        <f t="shared" si="1"/>
        <v>0.4992643728342217</v>
      </c>
      <c r="H29" s="4">
        <f t="shared" si="4"/>
        <v>23724766.481429566</v>
      </c>
      <c r="I29" s="5">
        <f t="shared" si="2"/>
        <v>0.92171884215548605</v>
      </c>
      <c r="J29" s="4">
        <f t="shared" si="5"/>
        <v>988531.93672623194</v>
      </c>
      <c r="K29" s="4">
        <f t="shared" si="3"/>
        <v>1171707.7111417258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9642556.4815232344</v>
      </c>
      <c r="E30" s="4">
        <v>9187869.5284201782</v>
      </c>
      <c r="F30" s="4">
        <f t="shared" si="8"/>
        <v>454686.95310305618</v>
      </c>
      <c r="G30" s="5">
        <f t="shared" si="1"/>
        <v>0.25220371803108643</v>
      </c>
      <c r="H30" s="4">
        <f t="shared" si="4"/>
        <v>17801642.73511982</v>
      </c>
      <c r="I30" s="5">
        <f t="shared" si="2"/>
        <v>0.46560686405739032</v>
      </c>
      <c r="J30" s="4">
        <f t="shared" si="5"/>
        <v>741735.11396332574</v>
      </c>
      <c r="K30" s="4">
        <f t="shared" si="3"/>
        <v>2599149.8755093124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11588903.613097664</v>
      </c>
      <c r="E31" s="4">
        <v>10794067.346588679</v>
      </c>
      <c r="F31" s="4">
        <f t="shared" si="8"/>
        <v>794836.26650898531</v>
      </c>
      <c r="G31" s="5">
        <f t="shared" si="1"/>
        <v>0.45598227887184523</v>
      </c>
      <c r="H31" s="4">
        <f t="shared" si="4"/>
        <v>21394898.978026457</v>
      </c>
      <c r="I31" s="5">
        <f t="shared" si="2"/>
        <v>0.84181343791725272</v>
      </c>
      <c r="J31" s="4">
        <f t="shared" si="5"/>
        <v>891454.12408443564</v>
      </c>
      <c r="K31" s="4">
        <f t="shared" si="3"/>
        <v>1256940.5806274852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8419876.3054508269</v>
      </c>
      <c r="E32" s="4">
        <v>7991786.3456236413</v>
      </c>
      <c r="F32" s="4">
        <f t="shared" si="8"/>
        <v>428089.95982718561</v>
      </c>
      <c r="G32" s="5">
        <f t="shared" si="1"/>
        <v>0.33412207561312807</v>
      </c>
      <c r="H32" s="4">
        <f t="shared" si="4"/>
        <v>15544387.025447682</v>
      </c>
      <c r="I32" s="5">
        <f t="shared" si="2"/>
        <v>0.61684075497808255</v>
      </c>
      <c r="J32" s="4">
        <f t="shared" si="5"/>
        <v>647682.79272698669</v>
      </c>
      <c r="K32" s="4">
        <f t="shared" si="3"/>
        <v>1525465.7904135613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10653241.374119855</v>
      </c>
      <c r="E33" s="4">
        <v>7538759.4369671568</v>
      </c>
      <c r="F33" s="4">
        <f t="shared" si="8"/>
        <v>3114481.9371526986</v>
      </c>
      <c r="G33" s="5">
        <f t="shared" si="1"/>
        <v>0.40205841750855692</v>
      </c>
      <c r="H33" s="4">
        <f t="shared" si="4"/>
        <v>19667522.536836654</v>
      </c>
      <c r="I33" s="5">
        <f t="shared" si="2"/>
        <v>0.74226169386195118</v>
      </c>
      <c r="J33" s="4">
        <f t="shared" si="5"/>
        <v>819480.10570152733</v>
      </c>
      <c r="K33" s="4">
        <f t="shared" si="3"/>
        <v>1440318.965989104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7015916.0627130093</v>
      </c>
      <c r="E34" s="4">
        <v>6541870.7729290416</v>
      </c>
      <c r="F34" s="4">
        <f t="shared" si="8"/>
        <v>474045.28978396766</v>
      </c>
      <c r="G34" s="5">
        <f t="shared" si="1"/>
        <v>0.3340912410815719</v>
      </c>
      <c r="H34" s="4">
        <f t="shared" si="4"/>
        <v>12952460.423470173</v>
      </c>
      <c r="I34" s="5">
        <f t="shared" si="2"/>
        <v>0.61678382968905587</v>
      </c>
      <c r="J34" s="4">
        <f t="shared" si="5"/>
        <v>539685.85097792384</v>
      </c>
      <c r="K34" s="4">
        <f t="shared" si="3"/>
        <v>1271280.3579351811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4297511.625002631</v>
      </c>
      <c r="E35" s="4">
        <v>4108217.6743740062</v>
      </c>
      <c r="F35" s="4">
        <f t="shared" si="8"/>
        <v>189293.95062862476</v>
      </c>
      <c r="G35" s="5">
        <f t="shared" si="1"/>
        <v>0.17428326581026315</v>
      </c>
      <c r="H35" s="4">
        <f t="shared" si="4"/>
        <v>7933867.6153894728</v>
      </c>
      <c r="I35" s="5">
        <f t="shared" si="2"/>
        <v>0.32175372149587045</v>
      </c>
      <c r="J35" s="4">
        <f t="shared" si="5"/>
        <v>330577.8173078947</v>
      </c>
      <c r="K35" s="4">
        <f t="shared" si="3"/>
        <v>1850971.6704543063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7669142.5805392843</v>
      </c>
      <c r="E36" s="4">
        <v>7127555.5584793668</v>
      </c>
      <c r="F36" s="4">
        <f t="shared" si="8"/>
        <v>541587.02205991745</v>
      </c>
      <c r="G36" s="5">
        <f t="shared" si="1"/>
        <v>0.30390895900690645</v>
      </c>
      <c r="H36" s="4">
        <f t="shared" si="4"/>
        <v>14158417.07176483</v>
      </c>
      <c r="I36" s="5">
        <f t="shared" si="2"/>
        <v>0.56106269355121186</v>
      </c>
      <c r="J36" s="4">
        <f t="shared" si="5"/>
        <v>589934.04465686798</v>
      </c>
      <c r="K36" s="4">
        <f t="shared" si="3"/>
        <v>1596896.1290418832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35141605.525244027</v>
      </c>
      <c r="E37" s="4">
        <v>34463405.027844027</v>
      </c>
      <c r="F37" s="4">
        <f t="shared" si="8"/>
        <v>678200.49740000069</v>
      </c>
      <c r="G37" s="5">
        <f t="shared" si="1"/>
        <v>0.28801820746972345</v>
      </c>
      <c r="H37" s="4">
        <f t="shared" si="4"/>
        <v>64876810.200450517</v>
      </c>
      <c r="I37" s="5">
        <f t="shared" si="2"/>
        <v>0.53172592148256637</v>
      </c>
      <c r="J37" s="4">
        <f t="shared" si="5"/>
        <v>2703200.4250187716</v>
      </c>
      <c r="K37" s="4">
        <f t="shared" si="3"/>
        <v>7897285.8613414522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4784668.386799518</v>
      </c>
      <c r="E38" s="4">
        <v>4941053.6803995185</v>
      </c>
      <c r="F38" s="4">
        <f t="shared" ref="F38" si="10">+D38-E38</f>
        <v>-156385.29360000044</v>
      </c>
      <c r="G38" s="5">
        <f t="shared" si="1"/>
        <v>0.1340243245602106</v>
      </c>
      <c r="H38" s="4">
        <f t="shared" si="4"/>
        <v>8833233.9448606484</v>
      </c>
      <c r="I38" s="5">
        <f t="shared" si="2"/>
        <v>0.24742952226500414</v>
      </c>
      <c r="J38" s="4">
        <f t="shared" si="5"/>
        <v>368051.41436919372</v>
      </c>
      <c r="K38" s="4">
        <f t="shared" si="3"/>
        <v>2810484.6921091345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12792718.437014684</v>
      </c>
      <c r="E39" s="4">
        <v>11258463.913889455</v>
      </c>
      <c r="F39" s="4">
        <f t="shared" si="8"/>
        <v>1534254.5231252294</v>
      </c>
      <c r="G39" s="5">
        <f t="shared" si="1"/>
        <v>0.35182112564006007</v>
      </c>
      <c r="H39" s="4">
        <f t="shared" si="4"/>
        <v>23617326.345257878</v>
      </c>
      <c r="I39" s="5">
        <f t="shared" si="2"/>
        <v>0.64951592425857241</v>
      </c>
      <c r="J39" s="4">
        <f t="shared" si="5"/>
        <v>984055.26438574493</v>
      </c>
      <c r="K39" s="4">
        <f t="shared" si="3"/>
        <v>2142609.9365441198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176085517.10993576</v>
      </c>
      <c r="E40" s="65">
        <v>160111762.52332208</v>
      </c>
      <c r="F40" s="67">
        <f t="shared" si="8"/>
        <v>15973754.586613685</v>
      </c>
      <c r="G40" s="66">
        <f t="shared" si="1"/>
        <v>0.345924344275373</v>
      </c>
      <c r="H40" s="64">
        <f t="shared" si="4"/>
        <v>325080954.66449678</v>
      </c>
      <c r="I40" s="66">
        <f t="shared" si="2"/>
        <v>0.63862955866222704</v>
      </c>
      <c r="J40" s="64">
        <f t="shared" si="5"/>
        <v>13545039.777687367</v>
      </c>
      <c r="K40" s="67">
        <f t="shared" si="3"/>
        <v>30267587.794653632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662262147.98398674</v>
      </c>
      <c r="E41" s="82">
        <v>605891870.63702166</v>
      </c>
      <c r="F41" s="81">
        <f>+D41-E41</f>
        <v>56370277.346965075</v>
      </c>
      <c r="G41" s="83">
        <f t="shared" si="1"/>
        <v>0.47998109636051739</v>
      </c>
      <c r="H41" s="81">
        <f t="shared" si="4"/>
        <v>1222637811.6627448</v>
      </c>
      <c r="I41" s="83">
        <f t="shared" si="2"/>
        <v>0.88611894712710904</v>
      </c>
      <c r="J41" s="81">
        <f t="shared" si="5"/>
        <v>50943242.152614363</v>
      </c>
      <c r="K41" s="81">
        <f t="shared" si="3"/>
        <v>65227727.191740848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11698187.310080834</v>
      </c>
      <c r="E43" s="4">
        <v>11698187.310080834</v>
      </c>
      <c r="F43" s="4">
        <f t="shared" ref="F43" si="11">+D43-E43</f>
        <v>0</v>
      </c>
      <c r="G43" s="5">
        <f>+D43/C43</f>
        <v>0.29245468275202086</v>
      </c>
      <c r="H43" s="4">
        <f t="shared" ref="H43" si="12">+D43/$N$3*$N$4</f>
        <v>21596653.495533846</v>
      </c>
      <c r="I43" s="5">
        <f>+H43/C43</f>
        <v>0.53991633738834621</v>
      </c>
      <c r="J43" s="4">
        <f t="shared" ref="J43" si="13">+D43/$N$3</f>
        <v>899860.56231391034</v>
      </c>
      <c r="K43" s="4">
        <f>+(C43-D43)/$N$2</f>
        <v>2572892.0627199244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18973242.700626545</v>
      </c>
      <c r="E44" s="4">
        <v>18973242.700626545</v>
      </c>
      <c r="F44" s="4">
        <f t="shared" ref="F44" si="14">+D44-E44</f>
        <v>0</v>
      </c>
      <c r="G44" s="5">
        <f>+D44/C44</f>
        <v>0.63244142335421816</v>
      </c>
      <c r="H44" s="4">
        <f t="shared" ref="H44" si="15">+D44/$N$3*$N$4</f>
        <v>35027524.985772081</v>
      </c>
      <c r="I44" s="5">
        <f>+H44/C44</f>
        <v>1.1675841661924027</v>
      </c>
      <c r="J44" s="4">
        <f t="shared" ref="J44" si="16">+D44/$N$3</f>
        <v>1459480.2077405034</v>
      </c>
      <c r="K44" s="4">
        <f>+(C44-D44)/$N$2</f>
        <v>1002432.4817612232</v>
      </c>
      <c r="L44" s="4" cm="1">
        <f t="array" ref="L44">+_xlfn.IFS(I44&gt;114%,H44*0.02,I44&gt;109%,H44*0.015,I44&gt;104%,H44*0.0125,I44&gt;99%,H44*0.01,I44&lt;99%,H44*0)</f>
        <v>700550.49971544161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0.72972972972972971</v>
      </c>
      <c r="E2" s="13">
        <v>33</v>
      </c>
      <c r="F2" s="12">
        <f>+H2-E2</f>
        <v>21</v>
      </c>
      <c r="G2" s="13">
        <f>VLOOKUP(B2,'Base Cobertura'!$A:$C,3,FALSE)</f>
        <v>74</v>
      </c>
      <c r="H2" s="13">
        <f>VLOOKUP(B2,'Base Cobertura'!$A:$C,2,FALSE)</f>
        <v>54</v>
      </c>
      <c r="I2" s="17">
        <f>(+G2*$M$2)-H2</f>
        <v>8.8999999999999986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0.34024896265560167</v>
      </c>
      <c r="E3" s="13">
        <v>1</v>
      </c>
      <c r="F3" s="12">
        <f t="shared" ref="F3:F38" si="1">+H3-E3</f>
        <v>81</v>
      </c>
      <c r="G3" s="13">
        <f>VLOOKUP(B3,'Base Cobertura'!$A:$C,3,FALSE)</f>
        <v>241</v>
      </c>
      <c r="H3" s="13">
        <f>VLOOKUP(B3,'Base Cobertura'!$A:$C,2,FALSE)</f>
        <v>82</v>
      </c>
      <c r="I3" s="17">
        <f t="shared" ref="I3:I38" si="2">(+G3*$M$2)-H3</f>
        <v>122.85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54</v>
      </c>
      <c r="T3" s="12">
        <v>214</v>
      </c>
      <c r="U3" s="41">
        <f>+S3/T3</f>
        <v>0.25233644859813081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0.80616740088105732</v>
      </c>
      <c r="E4" s="13">
        <v>126</v>
      </c>
      <c r="F4" s="12">
        <f t="shared" si="1"/>
        <v>57</v>
      </c>
      <c r="G4" s="13">
        <f>VLOOKUP(B4,'Base Cobertura'!$A:$C,3,FALSE)</f>
        <v>227</v>
      </c>
      <c r="H4" s="13">
        <f>VLOOKUP(B4,'Base Cobertura'!$A:$C,2,FALSE)</f>
        <v>183</v>
      </c>
      <c r="I4" s="17">
        <f t="shared" si="2"/>
        <v>9.9499999999999886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29</v>
      </c>
      <c r="T4" s="13">
        <v>214</v>
      </c>
      <c r="U4" s="5">
        <f t="shared" ref="U4:U11" si="3">+S4/T4</f>
        <v>0.13551401869158877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0.70769230769230773</v>
      </c>
      <c r="E5" s="13">
        <v>21</v>
      </c>
      <c r="F5" s="12">
        <f t="shared" si="1"/>
        <v>25</v>
      </c>
      <c r="G5" s="13">
        <f>VLOOKUP(B5,'Base Cobertura'!$A:$C,3,FALSE)</f>
        <v>65</v>
      </c>
      <c r="H5" s="13">
        <f>VLOOKUP(B5,'Base Cobertura'!$A:$C,2,FALSE)</f>
        <v>46</v>
      </c>
      <c r="I5" s="17">
        <f t="shared" si="2"/>
        <v>9.25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75</v>
      </c>
      <c r="T5" s="13">
        <v>214</v>
      </c>
      <c r="U5" s="5">
        <f t="shared" si="3"/>
        <v>0.35046728971962615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0.7874396135265701</v>
      </c>
      <c r="E6" s="13">
        <v>100</v>
      </c>
      <c r="F6" s="12">
        <f t="shared" si="1"/>
        <v>63</v>
      </c>
      <c r="G6" s="13">
        <f>VLOOKUP(B6,'Base Cobertura'!$A:$C,3,FALSE)</f>
        <v>207</v>
      </c>
      <c r="H6" s="13">
        <f>VLOOKUP(B6,'Base Cobertura'!$A:$C,2,FALSE)</f>
        <v>163</v>
      </c>
      <c r="I6" s="17">
        <f t="shared" si="2"/>
        <v>12.949999999999989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37</v>
      </c>
      <c r="T6" s="13">
        <v>214</v>
      </c>
      <c r="U6" s="5">
        <f t="shared" si="3"/>
        <v>0.17289719626168223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0.64141414141414144</v>
      </c>
      <c r="E7" s="13">
        <v>81</v>
      </c>
      <c r="F7" s="12">
        <f t="shared" si="1"/>
        <v>46</v>
      </c>
      <c r="G7" s="13">
        <f>VLOOKUP(B7,'Base Cobertura'!$A:$C,3,FALSE)</f>
        <v>198</v>
      </c>
      <c r="H7" s="13">
        <f>VLOOKUP(B7,'Base Cobertura'!$A:$C,2,FALSE)</f>
        <v>127</v>
      </c>
      <c r="I7" s="17">
        <f t="shared" si="2"/>
        <v>41.299999999999983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72</v>
      </c>
      <c r="T7" s="13">
        <v>214</v>
      </c>
      <c r="U7" s="5">
        <f t="shared" si="3"/>
        <v>0.3364485981308411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0.75233644859813087</v>
      </c>
      <c r="E8" s="13">
        <v>89</v>
      </c>
      <c r="F8" s="12">
        <f t="shared" si="1"/>
        <v>72</v>
      </c>
      <c r="G8" s="13">
        <f>VLOOKUP(B8,'Base Cobertura'!$A:$C,3,FALSE)</f>
        <v>214</v>
      </c>
      <c r="H8" s="13">
        <f>VLOOKUP(B8,'Base Cobertura'!$A:$C,2,FALSE)</f>
        <v>161</v>
      </c>
      <c r="I8" s="17">
        <f t="shared" si="2"/>
        <v>20.900000000000006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65</v>
      </c>
      <c r="T8" s="13">
        <v>214</v>
      </c>
      <c r="U8" s="5">
        <f t="shared" si="3"/>
        <v>0.30373831775700932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0.69277108433734935</v>
      </c>
      <c r="E9" s="13">
        <v>92</v>
      </c>
      <c r="F9" s="12">
        <f t="shared" si="1"/>
        <v>23</v>
      </c>
      <c r="G9" s="13">
        <f>VLOOKUP(B9,'Base Cobertura'!$A:$C,3,FALSE)</f>
        <v>166</v>
      </c>
      <c r="H9" s="13">
        <f>VLOOKUP(B9,'Base Cobertura'!$A:$C,2,FALSE)</f>
        <v>115</v>
      </c>
      <c r="I9" s="17">
        <f t="shared" si="2"/>
        <v>26.099999999999994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15</v>
      </c>
      <c r="T9" s="13">
        <v>214</v>
      </c>
      <c r="U9" s="5">
        <f t="shared" si="3"/>
        <v>7.0093457943925228E-2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0.64102564102564108</v>
      </c>
      <c r="E10" s="13">
        <v>64</v>
      </c>
      <c r="F10" s="12">
        <f t="shared" si="1"/>
        <v>61</v>
      </c>
      <c r="G10" s="13">
        <f>VLOOKUP(B10,'Base Cobertura'!$A:$C,3,FALSE)</f>
        <v>195</v>
      </c>
      <c r="H10" s="13">
        <f>VLOOKUP(B10,'Base Cobertura'!$A:$C,2,FALSE)</f>
        <v>125</v>
      </c>
      <c r="I10" s="17">
        <f t="shared" si="2"/>
        <v>40.75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18</v>
      </c>
      <c r="T10" s="13">
        <v>214</v>
      </c>
      <c r="U10" s="5">
        <f t="shared" si="3"/>
        <v>8.4112149532710276E-2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0.37623762376237624</v>
      </c>
      <c r="E11" s="31">
        <v>19</v>
      </c>
      <c r="F11" s="33">
        <f t="shared" si="1"/>
        <v>19</v>
      </c>
      <c r="G11" s="13">
        <f>VLOOKUP(B11,'Base Cobertura'!$A:$C,3,FALSE)</f>
        <v>101</v>
      </c>
      <c r="H11" s="13">
        <f>VLOOKUP(B11,'Base Cobertura'!$A:$C,2,FALSE)</f>
        <v>38</v>
      </c>
      <c r="I11" s="34">
        <f t="shared" si="2"/>
        <v>47.849999999999994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28</v>
      </c>
      <c r="T11" s="13">
        <v>214</v>
      </c>
      <c r="U11" s="5">
        <f t="shared" si="3"/>
        <v>0.13084112149532709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0.44761904761904764</v>
      </c>
      <c r="E12" s="31">
        <v>24</v>
      </c>
      <c r="F12" s="33">
        <f t="shared" si="1"/>
        <v>23</v>
      </c>
      <c r="G12" s="13">
        <f>VLOOKUP(B12,'Base Cobertura'!$A:$C,3,FALSE)</f>
        <v>105</v>
      </c>
      <c r="H12" s="13">
        <f>VLOOKUP(B12,'Base Cobertura'!$A:$C,2,FALSE)</f>
        <v>47</v>
      </c>
      <c r="I12" s="34">
        <f t="shared" si="2"/>
        <v>42.25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0.74712643678160917</v>
      </c>
      <c r="E13" s="13">
        <v>144</v>
      </c>
      <c r="F13" s="12">
        <f t="shared" si="1"/>
        <v>51</v>
      </c>
      <c r="G13" s="13">
        <f>VLOOKUP(B13,'Base Cobertura'!$A:$C,3,FALSE)</f>
        <v>261</v>
      </c>
      <c r="H13" s="13">
        <f>VLOOKUP(B13,'Base Cobertura'!$A:$C,2,FALSE)</f>
        <v>195</v>
      </c>
      <c r="I13" s="17">
        <f t="shared" si="2"/>
        <v>26.849999999999994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0.63736263736263732</v>
      </c>
      <c r="E14" s="13">
        <v>85</v>
      </c>
      <c r="F14" s="12">
        <f t="shared" si="1"/>
        <v>31</v>
      </c>
      <c r="G14" s="13">
        <f>VLOOKUP(B14,'Base Cobertura'!$A:$C,3,FALSE)</f>
        <v>182</v>
      </c>
      <c r="H14" s="13">
        <f>VLOOKUP(B14,'Base Cobertura'!$A:$C,2,FALSE)</f>
        <v>116</v>
      </c>
      <c r="I14" s="17">
        <f t="shared" si="2"/>
        <v>38.699999999999989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573</v>
      </c>
      <c r="G15" s="8">
        <f>+SUM(G2:G14)</f>
        <v>2236</v>
      </c>
      <c r="H15" s="8">
        <f>+SUM(H2:H14)</f>
        <v>1452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RENZO RAMOS</v>
      </c>
      <c r="D16" s="22">
        <f t="shared" si="0"/>
        <v>0.75776397515527949</v>
      </c>
      <c r="E16" s="13">
        <v>90</v>
      </c>
      <c r="F16" s="12">
        <f t="shared" si="1"/>
        <v>32</v>
      </c>
      <c r="G16" s="13">
        <f>VLOOKUP(B16,'Base Cobertura'!$A:$C,3,FALSE)</f>
        <v>161</v>
      </c>
      <c r="H16" s="13">
        <f>VLOOKUP(B16,'Base Cobertura'!$A:$C,2,FALSE)</f>
        <v>122</v>
      </c>
      <c r="I16" s="17">
        <f t="shared" si="2"/>
        <v>14.849999999999994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BARTSCHAT EMILIANO NAHUEL</v>
      </c>
      <c r="D17" s="22">
        <f t="shared" si="0"/>
        <v>0.51485148514851486</v>
      </c>
      <c r="E17" s="13">
        <v>92</v>
      </c>
      <c r="F17" s="12">
        <f t="shared" si="1"/>
        <v>12</v>
      </c>
      <c r="G17" s="13">
        <f>VLOOKUP(B17,'Base Cobertura'!$A:$C,3,FALSE)</f>
        <v>202</v>
      </c>
      <c r="H17" s="13">
        <f>VLOOKUP(B17,'Base Cobertura'!$A:$C,2,FALSE)</f>
        <v>104</v>
      </c>
      <c r="I17" s="17">
        <f t="shared" si="2"/>
        <v>67.699999999999989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0.82456140350877194</v>
      </c>
      <c r="E18" s="13">
        <v>88</v>
      </c>
      <c r="F18" s="12">
        <f t="shared" si="1"/>
        <v>53</v>
      </c>
      <c r="G18" s="13">
        <f>VLOOKUP(B18,'Base Cobertura'!$A:$C,3,FALSE)</f>
        <v>171</v>
      </c>
      <c r="H18" s="13">
        <f>VLOOKUP(B18,'Base Cobertura'!$A:$C,2,FALSE)</f>
        <v>141</v>
      </c>
      <c r="I18" s="17">
        <f t="shared" si="2"/>
        <v>4.3499999999999943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0.77272727272727271</v>
      </c>
      <c r="E19" s="13">
        <v>95</v>
      </c>
      <c r="F19" s="12">
        <f t="shared" si="1"/>
        <v>24</v>
      </c>
      <c r="G19" s="13">
        <f>VLOOKUP(B19,'Base Cobertura'!$A:$C,3,FALSE)</f>
        <v>154</v>
      </c>
      <c r="H19" s="13">
        <f>VLOOKUP(B19,'Base Cobertura'!$A:$C,2,FALSE)</f>
        <v>119</v>
      </c>
      <c r="I19" s="17">
        <f t="shared" si="2"/>
        <v>11.900000000000006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0.78531073446327682</v>
      </c>
      <c r="E20" s="13">
        <v>83</v>
      </c>
      <c r="F20" s="12">
        <f t="shared" si="1"/>
        <v>56</v>
      </c>
      <c r="G20" s="13">
        <f>VLOOKUP(B20,'Base Cobertura'!$A:$C,3,FALSE)</f>
        <v>177</v>
      </c>
      <c r="H20" s="13">
        <f>VLOOKUP(B20,'Base Cobertura'!$A:$C,2,FALSE)</f>
        <v>139</v>
      </c>
      <c r="I20" s="17">
        <f t="shared" si="2"/>
        <v>11.449999999999989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0.74556213017751483</v>
      </c>
      <c r="E21" s="13">
        <v>64</v>
      </c>
      <c r="F21" s="12">
        <f t="shared" si="1"/>
        <v>62</v>
      </c>
      <c r="G21" s="13">
        <f>VLOOKUP(B21,'Base Cobertura'!$A:$C,3,FALSE)</f>
        <v>169</v>
      </c>
      <c r="H21" s="13">
        <f>VLOOKUP(B21,'Base Cobertura'!$A:$C,2,FALSE)</f>
        <v>126</v>
      </c>
      <c r="I21" s="17">
        <f t="shared" si="2"/>
        <v>17.650000000000006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0.35858585858585856</v>
      </c>
      <c r="E22" s="13">
        <v>66</v>
      </c>
      <c r="F22" s="12">
        <f t="shared" si="1"/>
        <v>5</v>
      </c>
      <c r="G22" s="13">
        <f>VLOOKUP(B22,'Base Cobertura'!$A:$C,3,FALSE)</f>
        <v>198</v>
      </c>
      <c r="H22" s="13">
        <f>VLOOKUP(B22,'Base Cobertura'!$A:$C,2,FALSE)</f>
        <v>71</v>
      </c>
      <c r="I22" s="17">
        <f t="shared" si="2"/>
        <v>97.299999999999983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0.71014492753623193</v>
      </c>
      <c r="E23" s="13">
        <v>70</v>
      </c>
      <c r="F23" s="12">
        <f t="shared" si="1"/>
        <v>28</v>
      </c>
      <c r="G23" s="13">
        <f>VLOOKUP(B23,'Base Cobertura'!$A:$C,3,FALSE)</f>
        <v>138</v>
      </c>
      <c r="H23" s="13">
        <f>VLOOKUP(B23,'Base Cobertura'!$A:$C,2,FALSE)</f>
        <v>98</v>
      </c>
      <c r="I23" s="17">
        <f t="shared" si="2"/>
        <v>19.299999999999997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0.74117647058823533</v>
      </c>
      <c r="E24" s="13">
        <v>79</v>
      </c>
      <c r="F24" s="12">
        <f t="shared" si="1"/>
        <v>47</v>
      </c>
      <c r="G24" s="13">
        <f>VLOOKUP(B24,'Base Cobertura'!$A:$C,3,FALSE)</f>
        <v>170</v>
      </c>
      <c r="H24" s="13">
        <f>VLOOKUP(B24,'Base Cobertura'!$A:$C,2,FALSE)</f>
        <v>126</v>
      </c>
      <c r="I24" s="17">
        <f t="shared" si="2"/>
        <v>18.5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319</v>
      </c>
      <c r="G25" s="8">
        <f>+SUM(G16:G24)</f>
        <v>1540</v>
      </c>
      <c r="H25" s="8">
        <f>+SUM(H16:H24)</f>
        <v>1046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0.67241379310344829</v>
      </c>
      <c r="E26" s="13">
        <v>20</v>
      </c>
      <c r="F26" s="12">
        <f>+H26-E26</f>
        <v>19</v>
      </c>
      <c r="G26" s="13">
        <f>VLOOKUP(B26,'Base Cobertura'!$A:$C,3,FALSE)</f>
        <v>58</v>
      </c>
      <c r="H26" s="13">
        <f>VLOOKUP(B26,'Base Cobertura'!$A:$C,2,FALSE)</f>
        <v>39</v>
      </c>
      <c r="I26" s="17">
        <f t="shared" si="2"/>
        <v>10.299999999999997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0.65</v>
      </c>
      <c r="E27" s="13">
        <v>68</v>
      </c>
      <c r="F27" s="12">
        <f t="shared" si="1"/>
        <v>36</v>
      </c>
      <c r="G27" s="13">
        <f>VLOOKUP(B27,'Base Cobertura'!$A:$C,3,FALSE)</f>
        <v>160</v>
      </c>
      <c r="H27" s="13">
        <f>VLOOKUP(B27,'Base Cobertura'!$A:$C,2,FALSE)</f>
        <v>104</v>
      </c>
      <c r="I27" s="17">
        <f t="shared" si="2"/>
        <v>32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0.70186335403726707</v>
      </c>
      <c r="E28" s="13">
        <v>80</v>
      </c>
      <c r="F28" s="12">
        <f t="shared" si="1"/>
        <v>33</v>
      </c>
      <c r="G28" s="13">
        <f>VLOOKUP(B28,'Base Cobertura'!$A:$C,3,FALSE)</f>
        <v>161</v>
      </c>
      <c r="H28" s="13">
        <f>VLOOKUP(B28,'Base Cobertura'!$A:$C,2,FALSE)</f>
        <v>113</v>
      </c>
      <c r="I28" s="17">
        <f t="shared" si="2"/>
        <v>23.849999999999994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0.38</v>
      </c>
      <c r="E29" s="13">
        <v>68</v>
      </c>
      <c r="F29" s="12">
        <f t="shared" si="1"/>
        <v>27</v>
      </c>
      <c r="G29" s="13">
        <f>VLOOKUP(B29,'Base Cobertura'!$A:$C,3,FALSE)</f>
        <v>250</v>
      </c>
      <c r="H29" s="13">
        <f>VLOOKUP(B29,'Base Cobertura'!$A:$C,2,FALSE)</f>
        <v>95</v>
      </c>
      <c r="I29" s="17">
        <f t="shared" si="2"/>
        <v>117.5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0.87050359712230219</v>
      </c>
      <c r="E30" s="13">
        <v>73</v>
      </c>
      <c r="F30" s="12">
        <f t="shared" si="1"/>
        <v>48</v>
      </c>
      <c r="G30" s="13">
        <f>VLOOKUP(B30,'Base Cobertura'!$A:$C,3,FALSE)</f>
        <v>139</v>
      </c>
      <c r="H30" s="13">
        <f>VLOOKUP(B30,'Base Cobertura'!$A:$C,2,FALSE)</f>
        <v>121</v>
      </c>
      <c r="I30" s="17">
        <f t="shared" si="2"/>
        <v>-2.8500000000000085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0.60220994475138123</v>
      </c>
      <c r="E31" s="13">
        <v>40</v>
      </c>
      <c r="F31" s="12">
        <f t="shared" si="1"/>
        <v>69</v>
      </c>
      <c r="G31" s="13">
        <f>VLOOKUP(B31,'Base Cobertura'!$A:$C,3,FALSE)</f>
        <v>181</v>
      </c>
      <c r="H31" s="13">
        <f>VLOOKUP(B31,'Base Cobertura'!$A:$C,2,FALSE)</f>
        <v>109</v>
      </c>
      <c r="I31" s="17">
        <f t="shared" si="2"/>
        <v>44.849999999999994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0.72619047619047616</v>
      </c>
      <c r="E32" s="13">
        <v>67</v>
      </c>
      <c r="F32" s="12">
        <f t="shared" si="1"/>
        <v>55</v>
      </c>
      <c r="G32" s="13">
        <f>VLOOKUP(B32,'Base Cobertura'!$A:$C,3,FALSE)</f>
        <v>168</v>
      </c>
      <c r="H32" s="13">
        <f>VLOOKUP(B32,'Base Cobertura'!$A:$C,2,FALSE)</f>
        <v>122</v>
      </c>
      <c r="I32" s="17">
        <f t="shared" si="2"/>
        <v>20.799999999999983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0.70238095238095233</v>
      </c>
      <c r="E33" s="13">
        <v>66</v>
      </c>
      <c r="F33" s="12">
        <f t="shared" si="1"/>
        <v>52</v>
      </c>
      <c r="G33" s="13">
        <f>VLOOKUP(B33,'Base Cobertura'!$A:$C,3,FALSE)</f>
        <v>168</v>
      </c>
      <c r="H33" s="13">
        <f>VLOOKUP(B33,'Base Cobertura'!$A:$C,2,FALSE)</f>
        <v>118</v>
      </c>
      <c r="I33" s="17">
        <f t="shared" si="2"/>
        <v>24.799999999999983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0.4859154929577465</v>
      </c>
      <c r="E34" s="13">
        <v>82</v>
      </c>
      <c r="F34" s="12">
        <f t="shared" si="1"/>
        <v>-13</v>
      </c>
      <c r="G34" s="13">
        <f>VLOOKUP(B34,'Base Cobertura'!$A:$C,3,FALSE)</f>
        <v>142</v>
      </c>
      <c r="H34" s="13">
        <f>VLOOKUP(B34,'Base Cobertura'!$A:$C,2,FALSE)</f>
        <v>69</v>
      </c>
      <c r="I34" s="17">
        <f t="shared" si="2"/>
        <v>51.7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0.6179775280898876</v>
      </c>
      <c r="E35" s="13">
        <v>81</v>
      </c>
      <c r="F35" s="12">
        <f t="shared" si="1"/>
        <v>29</v>
      </c>
      <c r="G35" s="13">
        <f>VLOOKUP(B35,'Base Cobertura'!$A:$C,3,FALSE)</f>
        <v>178</v>
      </c>
      <c r="H35" s="13">
        <f>VLOOKUP(B35,'Base Cobertura'!$A:$C,2,FALSE)</f>
        <v>110</v>
      </c>
      <c r="I35" s="17">
        <f t="shared" si="2"/>
        <v>41.299999999999983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7.8947368421052627E-2</v>
      </c>
      <c r="E36" s="13">
        <v>0</v>
      </c>
      <c r="F36" s="12">
        <f t="shared" si="1"/>
        <v>9</v>
      </c>
      <c r="G36" s="13">
        <f>VLOOKUP(B36,'Base Cobertura'!$A:$C,3,FALSE)</f>
        <v>114</v>
      </c>
      <c r="H36" s="13">
        <f>VLOOKUP(B36,'Base Cobertura'!$A:$C,2,FALSE)</f>
        <v>9</v>
      </c>
      <c r="I36" s="17">
        <f t="shared" si="2"/>
        <v>87.899999999999991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0.25</v>
      </c>
      <c r="E37" s="13">
        <v>17</v>
      </c>
      <c r="F37" s="12">
        <f t="shared" si="1"/>
        <v>9</v>
      </c>
      <c r="G37" s="13">
        <f>VLOOKUP(B37,'Base Cobertura'!$A:$C,3,FALSE)</f>
        <v>104</v>
      </c>
      <c r="H37" s="13">
        <f>VLOOKUP(B37,'Base Cobertura'!$A:$C,2,FALSE)</f>
        <v>26</v>
      </c>
      <c r="I37" s="17">
        <f t="shared" si="2"/>
        <v>62.399999999999991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0.64566929133858264</v>
      </c>
      <c r="E38" s="13">
        <v>60</v>
      </c>
      <c r="F38" s="12">
        <f t="shared" si="1"/>
        <v>22</v>
      </c>
      <c r="G38" s="13">
        <f>VLOOKUP(B38,'Base Cobertura'!$A:$C,3,FALSE)</f>
        <v>127</v>
      </c>
      <c r="H38" s="13">
        <f>VLOOKUP(B38,'Base Cobertura'!$A:$C,2,FALSE)</f>
        <v>82</v>
      </c>
      <c r="I38" s="17">
        <f t="shared" si="2"/>
        <v>25.950000000000003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395</v>
      </c>
      <c r="G39" s="8">
        <f>+SUM(G26:G38)</f>
        <v>1950</v>
      </c>
      <c r="H39" s="8">
        <f>+SUM(H26:H38)</f>
        <v>1117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1287</v>
      </c>
      <c r="G40" s="8">
        <f>+G15+G25+G39</f>
        <v>5726</v>
      </c>
      <c r="H40" s="8">
        <f>+H15+H25+H39</f>
        <v>3615</v>
      </c>
      <c r="I40" s="8"/>
      <c r="L40" s="1">
        <f>+H40/G40</f>
        <v>0.63133077191756903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0.28099173553719009</v>
      </c>
      <c r="E41" s="13">
        <v>60</v>
      </c>
      <c r="F41" s="12">
        <f t="shared" ref="F41:F42" si="5">+H41-E41</f>
        <v>-26</v>
      </c>
      <c r="G41" s="13">
        <f>VLOOKUP(B41,'Base Cobertura'!$A:$C,3,FALSE)</f>
        <v>121</v>
      </c>
      <c r="H41" s="13">
        <f>VLOOKUP(B41,'Base Cobertura'!$A:$C,2,FALSE)</f>
        <v>34</v>
      </c>
      <c r="I41" s="17">
        <f t="shared" ref="I41:I42" si="6">(+G41*$M$2)-H41</f>
        <v>68.849999999999994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0.35245901639344263</v>
      </c>
      <c r="E42" s="13">
        <v>60</v>
      </c>
      <c r="F42" s="12">
        <f t="shared" si="5"/>
        <v>-17</v>
      </c>
      <c r="G42" s="13">
        <f>VLOOKUP(B42,'Base Cobertura'!$A:$C,3,FALSE)</f>
        <v>122</v>
      </c>
      <c r="H42" s="13">
        <f>VLOOKUP(B42,'Base Cobertura'!$A:$C,2,FALSE)</f>
        <v>43</v>
      </c>
      <c r="I42" s="17">
        <f t="shared" si="6"/>
        <v>60.7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4</v>
      </c>
      <c r="C3" s="51">
        <v>3431</v>
      </c>
      <c r="G3" t="s">
        <v>222</v>
      </c>
      <c r="H3" s="51">
        <v>1</v>
      </c>
      <c r="I3" s="51">
        <v>3431</v>
      </c>
    </row>
    <row r="4" spans="1:9" x14ac:dyDescent="0.25">
      <c r="A4">
        <v>1</v>
      </c>
      <c r="B4" s="51">
        <v>82</v>
      </c>
      <c r="C4" s="51">
        <v>127</v>
      </c>
      <c r="G4" t="s">
        <v>223</v>
      </c>
      <c r="H4">
        <v>2</v>
      </c>
      <c r="I4" s="51">
        <v>3431</v>
      </c>
    </row>
    <row r="5" spans="1:9" x14ac:dyDescent="0.25">
      <c r="A5">
        <v>10</v>
      </c>
      <c r="B5" s="51">
        <v>109</v>
      </c>
      <c r="C5" s="51">
        <v>181</v>
      </c>
      <c r="G5" t="s">
        <v>224</v>
      </c>
      <c r="H5" s="51"/>
      <c r="I5" s="51">
        <v>3431</v>
      </c>
    </row>
    <row r="6" spans="1:9" x14ac:dyDescent="0.25">
      <c r="A6">
        <v>100</v>
      </c>
      <c r="B6" s="51">
        <v>38</v>
      </c>
      <c r="C6" s="51">
        <v>2027</v>
      </c>
      <c r="G6" t="s">
        <v>225</v>
      </c>
      <c r="H6" s="51"/>
      <c r="I6" s="51">
        <v>3431</v>
      </c>
    </row>
    <row r="7" spans="1:9" x14ac:dyDescent="0.25">
      <c r="A7">
        <v>11</v>
      </c>
      <c r="B7" s="51">
        <v>115</v>
      </c>
      <c r="C7" s="51">
        <v>166</v>
      </c>
      <c r="G7" t="s">
        <v>226</v>
      </c>
      <c r="H7" s="51">
        <v>2</v>
      </c>
      <c r="I7" s="51">
        <v>3431</v>
      </c>
    </row>
    <row r="8" spans="1:9" x14ac:dyDescent="0.25">
      <c r="A8">
        <v>12</v>
      </c>
      <c r="B8" s="51">
        <v>161</v>
      </c>
      <c r="C8" s="51">
        <v>214</v>
      </c>
      <c r="G8" t="s">
        <v>227</v>
      </c>
      <c r="H8" s="51">
        <v>2</v>
      </c>
      <c r="I8" s="51">
        <v>3431</v>
      </c>
    </row>
    <row r="9" spans="1:9" x14ac:dyDescent="0.25">
      <c r="A9">
        <v>123</v>
      </c>
      <c r="B9" s="51">
        <v>29</v>
      </c>
      <c r="C9" s="51">
        <v>489</v>
      </c>
      <c r="G9" t="s">
        <v>228</v>
      </c>
      <c r="H9" s="51">
        <v>2</v>
      </c>
      <c r="I9" s="51">
        <v>3431</v>
      </c>
    </row>
    <row r="10" spans="1:9" x14ac:dyDescent="0.25">
      <c r="A10">
        <v>15</v>
      </c>
      <c r="B10" s="51">
        <v>46</v>
      </c>
      <c r="C10" s="51">
        <v>65</v>
      </c>
      <c r="G10" t="s">
        <v>229</v>
      </c>
      <c r="H10">
        <v>1</v>
      </c>
      <c r="I10" s="51">
        <v>3431</v>
      </c>
    </row>
    <row r="11" spans="1:9" x14ac:dyDescent="0.25">
      <c r="A11">
        <v>16</v>
      </c>
      <c r="B11" s="51">
        <v>127</v>
      </c>
      <c r="C11" s="51">
        <v>198</v>
      </c>
      <c r="G11" t="s">
        <v>230</v>
      </c>
      <c r="H11" s="51">
        <v>1</v>
      </c>
      <c r="I11" s="51">
        <v>3431</v>
      </c>
    </row>
    <row r="12" spans="1:9" x14ac:dyDescent="0.25">
      <c r="A12">
        <v>18</v>
      </c>
      <c r="B12" s="51">
        <v>139</v>
      </c>
      <c r="C12" s="51">
        <v>177</v>
      </c>
      <c r="E12">
        <f>+F12</f>
        <v>1</v>
      </c>
      <c r="F12">
        <v>1</v>
      </c>
      <c r="G12" t="s">
        <v>222</v>
      </c>
      <c r="H12">
        <v>33</v>
      </c>
      <c r="I12" s="51">
        <v>127</v>
      </c>
    </row>
    <row r="13" spans="1:9" x14ac:dyDescent="0.25">
      <c r="A13">
        <v>19</v>
      </c>
      <c r="B13" s="51">
        <v>163</v>
      </c>
      <c r="C13" s="51">
        <v>207</v>
      </c>
      <c r="E13">
        <f>+$E$12</f>
        <v>1</v>
      </c>
      <c r="G13" t="s">
        <v>223</v>
      </c>
      <c r="H13" s="51">
        <v>30</v>
      </c>
      <c r="I13" s="51">
        <v>127</v>
      </c>
    </row>
    <row r="14" spans="1:9" x14ac:dyDescent="0.25">
      <c r="A14">
        <v>2</v>
      </c>
      <c r="B14" s="51">
        <v>98</v>
      </c>
      <c r="C14" s="51">
        <v>138</v>
      </c>
      <c r="E14">
        <f t="shared" ref="E14:E20" si="0">+$E$12</f>
        <v>1</v>
      </c>
      <c r="G14" t="s">
        <v>224</v>
      </c>
      <c r="H14" s="51">
        <v>48</v>
      </c>
      <c r="I14" s="51">
        <v>127</v>
      </c>
    </row>
    <row r="15" spans="1:9" x14ac:dyDescent="0.25">
      <c r="A15">
        <v>20</v>
      </c>
      <c r="B15" s="51">
        <v>183</v>
      </c>
      <c r="C15" s="51">
        <v>227</v>
      </c>
      <c r="E15">
        <f t="shared" si="0"/>
        <v>1</v>
      </c>
      <c r="G15" t="s">
        <v>225</v>
      </c>
      <c r="H15" s="51">
        <v>30</v>
      </c>
      <c r="I15" s="51">
        <v>127</v>
      </c>
    </row>
    <row r="16" spans="1:9" x14ac:dyDescent="0.25">
      <c r="A16">
        <v>21</v>
      </c>
      <c r="B16" s="51">
        <v>141</v>
      </c>
      <c r="C16" s="51">
        <v>171</v>
      </c>
      <c r="E16">
        <f t="shared" si="0"/>
        <v>1</v>
      </c>
      <c r="G16" t="s">
        <v>226</v>
      </c>
      <c r="H16" s="51">
        <v>54</v>
      </c>
      <c r="I16" s="51">
        <v>127</v>
      </c>
    </row>
    <row r="17" spans="1:9" x14ac:dyDescent="0.25">
      <c r="A17">
        <v>22</v>
      </c>
      <c r="B17" s="51">
        <v>54</v>
      </c>
      <c r="C17" s="51">
        <v>74</v>
      </c>
      <c r="E17">
        <f t="shared" si="0"/>
        <v>1</v>
      </c>
      <c r="G17" t="s">
        <v>227</v>
      </c>
      <c r="H17" s="51">
        <v>48</v>
      </c>
      <c r="I17" s="51">
        <v>127</v>
      </c>
    </row>
    <row r="18" spans="1:9" x14ac:dyDescent="0.25">
      <c r="A18">
        <v>23</v>
      </c>
      <c r="B18" s="51">
        <v>119</v>
      </c>
      <c r="C18" s="51">
        <v>154</v>
      </c>
      <c r="E18">
        <f t="shared" si="0"/>
        <v>1</v>
      </c>
      <c r="G18" t="s">
        <v>228</v>
      </c>
      <c r="H18" s="51">
        <v>20</v>
      </c>
      <c r="I18" s="51">
        <v>127</v>
      </c>
    </row>
    <row r="19" spans="1:9" x14ac:dyDescent="0.25">
      <c r="A19">
        <v>24</v>
      </c>
      <c r="B19" s="51">
        <v>110</v>
      </c>
      <c r="C19" s="51">
        <v>178</v>
      </c>
      <c r="E19">
        <f t="shared" si="0"/>
        <v>1</v>
      </c>
      <c r="G19" t="s">
        <v>229</v>
      </c>
      <c r="H19" s="51">
        <v>24</v>
      </c>
      <c r="I19" s="51">
        <v>127</v>
      </c>
    </row>
    <row r="20" spans="1:9" x14ac:dyDescent="0.25">
      <c r="A20">
        <v>25</v>
      </c>
      <c r="B20" s="51">
        <v>70</v>
      </c>
      <c r="C20" s="51">
        <v>172</v>
      </c>
      <c r="E20">
        <f t="shared" si="0"/>
        <v>1</v>
      </c>
      <c r="G20" t="s">
        <v>230</v>
      </c>
      <c r="H20">
        <v>27</v>
      </c>
      <c r="I20" s="51">
        <v>127</v>
      </c>
    </row>
    <row r="21" spans="1:9" x14ac:dyDescent="0.25">
      <c r="A21">
        <v>26</v>
      </c>
      <c r="B21" s="51">
        <v>56</v>
      </c>
      <c r="C21" s="51">
        <v>166</v>
      </c>
      <c r="E21">
        <f>+$F$21</f>
        <v>10</v>
      </c>
      <c r="F21">
        <v>10</v>
      </c>
      <c r="G21" t="s">
        <v>222</v>
      </c>
      <c r="H21" s="51">
        <v>22</v>
      </c>
      <c r="I21" s="51">
        <v>181</v>
      </c>
    </row>
    <row r="22" spans="1:9" x14ac:dyDescent="0.25">
      <c r="A22">
        <v>27</v>
      </c>
      <c r="B22" s="51">
        <v>121</v>
      </c>
      <c r="C22" s="51">
        <v>139</v>
      </c>
      <c r="E22">
        <f t="shared" ref="E22:E29" si="1">+$F$21</f>
        <v>10</v>
      </c>
      <c r="G22" t="s">
        <v>223</v>
      </c>
      <c r="H22" s="51">
        <v>14</v>
      </c>
      <c r="I22" s="51">
        <v>181</v>
      </c>
    </row>
    <row r="23" spans="1:9" x14ac:dyDescent="0.25">
      <c r="A23">
        <v>28</v>
      </c>
      <c r="B23" s="51">
        <v>122</v>
      </c>
      <c r="C23" s="51">
        <v>168</v>
      </c>
      <c r="E23">
        <f t="shared" si="1"/>
        <v>10</v>
      </c>
      <c r="G23" t="s">
        <v>224</v>
      </c>
      <c r="H23" s="51">
        <v>46</v>
      </c>
      <c r="I23" s="51">
        <v>181</v>
      </c>
    </row>
    <row r="24" spans="1:9" x14ac:dyDescent="0.25">
      <c r="A24">
        <v>3</v>
      </c>
      <c r="B24" s="51">
        <v>126</v>
      </c>
      <c r="C24" s="51">
        <v>170</v>
      </c>
      <c r="E24">
        <f t="shared" si="1"/>
        <v>10</v>
      </c>
      <c r="G24" t="s">
        <v>225</v>
      </c>
      <c r="H24" s="51">
        <v>36</v>
      </c>
      <c r="I24" s="51">
        <v>181</v>
      </c>
    </row>
    <row r="25" spans="1:9" x14ac:dyDescent="0.25">
      <c r="A25">
        <v>30</v>
      </c>
      <c r="B25" s="51">
        <v>19</v>
      </c>
      <c r="C25" s="51">
        <v>139</v>
      </c>
      <c r="E25">
        <f t="shared" si="1"/>
        <v>10</v>
      </c>
      <c r="G25" t="s">
        <v>226</v>
      </c>
      <c r="H25" s="51">
        <v>57</v>
      </c>
      <c r="I25" s="51">
        <v>181</v>
      </c>
    </row>
    <row r="26" spans="1:9" x14ac:dyDescent="0.25">
      <c r="A26">
        <v>31</v>
      </c>
      <c r="B26" s="51">
        <v>122</v>
      </c>
      <c r="C26" s="51">
        <v>161</v>
      </c>
      <c r="E26">
        <f t="shared" si="1"/>
        <v>10</v>
      </c>
      <c r="G26" t="s">
        <v>227</v>
      </c>
      <c r="H26" s="51">
        <v>35</v>
      </c>
      <c r="I26" s="51">
        <v>181</v>
      </c>
    </row>
    <row r="27" spans="1:9" x14ac:dyDescent="0.25">
      <c r="A27">
        <v>32</v>
      </c>
      <c r="B27" s="51">
        <v>39</v>
      </c>
      <c r="C27" s="51">
        <v>58</v>
      </c>
      <c r="E27">
        <f t="shared" si="1"/>
        <v>10</v>
      </c>
      <c r="G27" t="s">
        <v>228</v>
      </c>
      <c r="H27" s="51">
        <v>13</v>
      </c>
      <c r="I27" s="51">
        <v>181</v>
      </c>
    </row>
    <row r="28" spans="1:9" x14ac:dyDescent="0.25">
      <c r="A28">
        <v>33</v>
      </c>
      <c r="B28" s="51">
        <v>118</v>
      </c>
      <c r="C28" s="51">
        <v>168</v>
      </c>
      <c r="E28">
        <f t="shared" si="1"/>
        <v>10</v>
      </c>
      <c r="G28" t="s">
        <v>229</v>
      </c>
      <c r="H28" s="51">
        <v>10</v>
      </c>
      <c r="I28" s="51">
        <v>181</v>
      </c>
    </row>
    <row r="29" spans="1:9" x14ac:dyDescent="0.25">
      <c r="A29">
        <v>36</v>
      </c>
      <c r="B29" s="51">
        <v>104</v>
      </c>
      <c r="C29" s="51">
        <v>160</v>
      </c>
      <c r="E29">
        <f t="shared" si="1"/>
        <v>10</v>
      </c>
      <c r="G29" t="s">
        <v>230</v>
      </c>
      <c r="H29" s="51">
        <v>15</v>
      </c>
      <c r="I29" s="51">
        <v>181</v>
      </c>
    </row>
    <row r="30" spans="1:9" x14ac:dyDescent="0.25">
      <c r="A30">
        <v>37</v>
      </c>
      <c r="B30" s="51">
        <v>69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22</v>
      </c>
      <c r="I30" s="51">
        <v>2027</v>
      </c>
    </row>
    <row r="31" spans="1:9" x14ac:dyDescent="0.25">
      <c r="A31">
        <v>4</v>
      </c>
      <c r="B31" s="51">
        <v>116</v>
      </c>
      <c r="C31" s="51">
        <v>182</v>
      </c>
      <c r="E31">
        <f t="shared" ref="E31:E38" si="2">+$F$30</f>
        <v>100</v>
      </c>
      <c r="G31" t="s">
        <v>223</v>
      </c>
      <c r="H31" s="51">
        <v>18</v>
      </c>
      <c r="I31" s="51">
        <v>2027</v>
      </c>
    </row>
    <row r="32" spans="1:9" x14ac:dyDescent="0.25">
      <c r="A32">
        <v>40</v>
      </c>
      <c r="B32" s="51">
        <v>95</v>
      </c>
      <c r="C32" s="51">
        <v>250</v>
      </c>
      <c r="E32">
        <f t="shared" si="2"/>
        <v>100</v>
      </c>
      <c r="G32" t="s">
        <v>224</v>
      </c>
      <c r="H32" s="51">
        <v>19</v>
      </c>
      <c r="I32" s="51">
        <v>2027</v>
      </c>
    </row>
    <row r="33" spans="1:9" x14ac:dyDescent="0.25">
      <c r="A33">
        <v>42</v>
      </c>
      <c r="B33" s="51">
        <v>9</v>
      </c>
      <c r="C33" s="51">
        <v>52</v>
      </c>
      <c r="E33">
        <f t="shared" si="2"/>
        <v>100</v>
      </c>
      <c r="G33" t="s">
        <v>225</v>
      </c>
      <c r="H33" s="51">
        <v>10</v>
      </c>
      <c r="I33" s="51">
        <v>2027</v>
      </c>
    </row>
    <row r="34" spans="1:9" x14ac:dyDescent="0.25">
      <c r="A34">
        <v>43</v>
      </c>
      <c r="B34" s="51">
        <v>12</v>
      </c>
      <c r="C34" s="51">
        <v>93</v>
      </c>
      <c r="E34">
        <f t="shared" si="2"/>
        <v>100</v>
      </c>
      <c r="G34" t="s">
        <v>226</v>
      </c>
      <c r="H34" s="51">
        <v>21</v>
      </c>
      <c r="I34" s="51">
        <v>2027</v>
      </c>
    </row>
    <row r="35" spans="1:9" x14ac:dyDescent="0.25">
      <c r="A35">
        <v>44</v>
      </c>
      <c r="B35" s="51">
        <v>126</v>
      </c>
      <c r="C35" s="51">
        <v>169</v>
      </c>
      <c r="E35">
        <f t="shared" si="2"/>
        <v>100</v>
      </c>
      <c r="G35" t="s">
        <v>227</v>
      </c>
      <c r="H35" s="51">
        <v>13</v>
      </c>
      <c r="I35" s="51">
        <v>2027</v>
      </c>
    </row>
    <row r="36" spans="1:9" x14ac:dyDescent="0.25">
      <c r="A36">
        <v>49</v>
      </c>
      <c r="B36" s="51">
        <v>82</v>
      </c>
      <c r="C36" s="51">
        <v>241</v>
      </c>
      <c r="E36">
        <f t="shared" si="2"/>
        <v>100</v>
      </c>
      <c r="G36" t="s">
        <v>228</v>
      </c>
      <c r="H36" s="51">
        <v>18</v>
      </c>
      <c r="I36" s="51">
        <v>2027</v>
      </c>
    </row>
    <row r="37" spans="1:9" x14ac:dyDescent="0.25">
      <c r="A37">
        <v>5</v>
      </c>
      <c r="B37" s="51">
        <v>195</v>
      </c>
      <c r="C37" s="51">
        <v>261</v>
      </c>
      <c r="E37">
        <f t="shared" si="2"/>
        <v>100</v>
      </c>
      <c r="G37" t="s">
        <v>229</v>
      </c>
      <c r="H37" s="51">
        <v>6</v>
      </c>
      <c r="I37" s="51">
        <v>2027</v>
      </c>
    </row>
    <row r="38" spans="1:9" x14ac:dyDescent="0.25">
      <c r="A38">
        <v>52</v>
      </c>
      <c r="B38" s="51">
        <v>38</v>
      </c>
      <c r="C38" s="51">
        <v>101</v>
      </c>
      <c r="E38">
        <f t="shared" si="2"/>
        <v>100</v>
      </c>
      <c r="G38" t="s">
        <v>230</v>
      </c>
      <c r="H38" s="51">
        <v>2</v>
      </c>
      <c r="I38" s="51">
        <v>2027</v>
      </c>
    </row>
    <row r="39" spans="1:9" x14ac:dyDescent="0.25">
      <c r="A39">
        <v>53</v>
      </c>
      <c r="B39" s="51">
        <v>47</v>
      </c>
      <c r="C39" s="51">
        <v>105</v>
      </c>
      <c r="E39">
        <f>+$F$39</f>
        <v>11</v>
      </c>
      <c r="F39">
        <v>11</v>
      </c>
      <c r="G39" t="s">
        <v>222</v>
      </c>
      <c r="H39" s="51">
        <v>36</v>
      </c>
      <c r="I39" s="51">
        <v>166</v>
      </c>
    </row>
    <row r="40" spans="1:9" x14ac:dyDescent="0.25">
      <c r="A40">
        <v>54</v>
      </c>
      <c r="B40" s="51">
        <v>104</v>
      </c>
      <c r="C40" s="51">
        <v>202</v>
      </c>
      <c r="E40">
        <f t="shared" ref="E40:E47" si="3">+$F$39</f>
        <v>11</v>
      </c>
      <c r="G40" t="s">
        <v>223</v>
      </c>
      <c r="H40" s="51">
        <v>20</v>
      </c>
      <c r="I40" s="51">
        <v>166</v>
      </c>
    </row>
    <row r="41" spans="1:9" x14ac:dyDescent="0.25">
      <c r="A41">
        <v>56</v>
      </c>
      <c r="B41">
        <v>71</v>
      </c>
      <c r="C41" s="51">
        <v>198</v>
      </c>
      <c r="E41">
        <f t="shared" si="3"/>
        <v>11</v>
      </c>
      <c r="G41" t="s">
        <v>224</v>
      </c>
      <c r="H41" s="51">
        <v>64</v>
      </c>
      <c r="I41" s="51">
        <v>166</v>
      </c>
    </row>
    <row r="42" spans="1:9" x14ac:dyDescent="0.25">
      <c r="A42">
        <v>57</v>
      </c>
      <c r="B42" s="51">
        <v>26</v>
      </c>
      <c r="C42" s="51">
        <v>104</v>
      </c>
      <c r="E42">
        <f t="shared" si="3"/>
        <v>11</v>
      </c>
      <c r="G42" t="s">
        <v>225</v>
      </c>
      <c r="H42" s="51">
        <v>35</v>
      </c>
      <c r="I42" s="51">
        <v>166</v>
      </c>
    </row>
    <row r="43" spans="1:9" x14ac:dyDescent="0.25">
      <c r="A43">
        <v>58</v>
      </c>
      <c r="B43" s="51">
        <v>34</v>
      </c>
      <c r="C43" s="51">
        <v>121</v>
      </c>
      <c r="E43">
        <f t="shared" si="3"/>
        <v>11</v>
      </c>
      <c r="G43" t="s">
        <v>226</v>
      </c>
      <c r="H43" s="51">
        <v>72</v>
      </c>
      <c r="I43" s="51">
        <v>166</v>
      </c>
    </row>
    <row r="44" spans="1:9" x14ac:dyDescent="0.25">
      <c r="A44">
        <v>59</v>
      </c>
      <c r="B44" s="51">
        <v>43</v>
      </c>
      <c r="C44" s="51">
        <v>122</v>
      </c>
      <c r="E44">
        <f t="shared" si="3"/>
        <v>11</v>
      </c>
      <c r="G44" t="s">
        <v>227</v>
      </c>
      <c r="H44" s="51">
        <v>49</v>
      </c>
      <c r="I44" s="51">
        <v>166</v>
      </c>
    </row>
    <row r="45" spans="1:9" x14ac:dyDescent="0.25">
      <c r="A45">
        <v>7</v>
      </c>
      <c r="B45" s="51">
        <v>9</v>
      </c>
      <c r="C45" s="51">
        <v>114</v>
      </c>
      <c r="E45">
        <f t="shared" si="3"/>
        <v>11</v>
      </c>
      <c r="G45" t="s">
        <v>228</v>
      </c>
      <c r="H45" s="51">
        <v>12</v>
      </c>
      <c r="I45" s="51">
        <v>166</v>
      </c>
    </row>
    <row r="46" spans="1:9" x14ac:dyDescent="0.25">
      <c r="A46">
        <v>8</v>
      </c>
      <c r="B46" s="51">
        <v>125</v>
      </c>
      <c r="C46" s="51">
        <v>195</v>
      </c>
      <c r="E46">
        <f t="shared" si="3"/>
        <v>11</v>
      </c>
      <c r="G46" t="s">
        <v>229</v>
      </c>
      <c r="H46" s="51">
        <v>20</v>
      </c>
      <c r="I46" s="51">
        <v>166</v>
      </c>
    </row>
    <row r="47" spans="1:9" x14ac:dyDescent="0.25">
      <c r="A47">
        <v>9</v>
      </c>
      <c r="B47" s="51">
        <v>113</v>
      </c>
      <c r="C47" s="51">
        <v>161</v>
      </c>
      <c r="E47">
        <f t="shared" si="3"/>
        <v>11</v>
      </c>
      <c r="G47" t="s">
        <v>230</v>
      </c>
      <c r="H47" s="51">
        <v>14</v>
      </c>
      <c r="I47" s="51">
        <v>166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54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29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75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37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72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65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15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18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28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19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11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20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19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6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12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3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>
        <v>1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29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12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23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16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31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13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19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11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37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14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72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29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69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54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9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30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18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45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36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49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40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101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65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18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27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34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47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28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75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44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115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76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13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27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29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17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45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39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31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57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40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12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19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28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69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55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90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54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105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89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17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29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30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55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52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80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42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106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85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23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30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30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35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22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31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26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44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24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40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21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25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52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38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73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36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96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67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12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23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20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36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11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63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26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63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40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18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8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28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22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24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35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51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40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45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17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31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7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22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21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23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27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13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17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44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23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47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31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80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72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19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26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16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32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12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33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28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69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62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12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19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11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43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29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59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35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81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60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13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27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24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6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8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5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48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25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60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37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91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67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26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28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14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24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12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14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17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32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21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23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10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15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37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27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42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34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62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55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11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21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15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28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12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45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37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69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39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18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11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13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14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22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18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38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22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13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17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14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30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25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51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42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77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49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16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32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28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21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4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25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31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62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48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27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15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11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4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3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5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3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2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8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29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29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67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37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96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79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16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21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22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25</v>
      </c>
      <c r="I300" s="51">
        <v>241</v>
      </c>
    </row>
    <row r="301" spans="5:9" x14ac:dyDescent="0.25">
      <c r="E301">
        <f t="shared" ref="E301:E308" si="32">+$F$300</f>
        <v>49</v>
      </c>
      <c r="G301" t="s">
        <v>223</v>
      </c>
      <c r="H301" s="51">
        <v>12</v>
      </c>
      <c r="I301" s="51">
        <v>241</v>
      </c>
    </row>
    <row r="302" spans="5:9" x14ac:dyDescent="0.25">
      <c r="E302">
        <f t="shared" si="32"/>
        <v>49</v>
      </c>
      <c r="G302" t="s">
        <v>224</v>
      </c>
      <c r="H302" s="51">
        <v>39</v>
      </c>
      <c r="I302" s="51">
        <v>241</v>
      </c>
    </row>
    <row r="303" spans="5:9" x14ac:dyDescent="0.25">
      <c r="E303">
        <f t="shared" si="32"/>
        <v>49</v>
      </c>
      <c r="G303" t="s">
        <v>225</v>
      </c>
      <c r="H303" s="51">
        <v>9</v>
      </c>
      <c r="I303" s="51">
        <v>241</v>
      </c>
    </row>
    <row r="304" spans="5:9" x14ac:dyDescent="0.25">
      <c r="E304">
        <f t="shared" si="32"/>
        <v>49</v>
      </c>
      <c r="G304" t="s">
        <v>226</v>
      </c>
      <c r="H304" s="51">
        <v>28</v>
      </c>
      <c r="I304" s="51">
        <v>241</v>
      </c>
    </row>
    <row r="305" spans="5:9" x14ac:dyDescent="0.25">
      <c r="E305">
        <f t="shared" si="32"/>
        <v>49</v>
      </c>
      <c r="G305" t="s">
        <v>227</v>
      </c>
      <c r="H305" s="51">
        <v>21</v>
      </c>
      <c r="I305" s="51">
        <v>241</v>
      </c>
    </row>
    <row r="306" spans="5:9" x14ac:dyDescent="0.25">
      <c r="E306">
        <f t="shared" si="32"/>
        <v>49</v>
      </c>
      <c r="G306" t="s">
        <v>228</v>
      </c>
      <c r="H306" s="51">
        <v>31</v>
      </c>
      <c r="I306" s="51">
        <v>241</v>
      </c>
    </row>
    <row r="307" spans="5:9" x14ac:dyDescent="0.25">
      <c r="E307">
        <f t="shared" si="32"/>
        <v>49</v>
      </c>
      <c r="G307" t="s">
        <v>229</v>
      </c>
      <c r="H307">
        <v>12</v>
      </c>
      <c r="I307" s="51">
        <v>241</v>
      </c>
    </row>
    <row r="308" spans="5:9" x14ac:dyDescent="0.25">
      <c r="E308">
        <f t="shared" si="32"/>
        <v>49</v>
      </c>
      <c r="G308" t="s">
        <v>230</v>
      </c>
      <c r="H308">
        <v>18</v>
      </c>
      <c r="I308" s="51">
        <v>241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74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63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95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42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127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86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33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34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29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8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38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10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46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30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20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57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41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65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49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17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18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24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20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10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43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20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31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20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30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7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26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3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12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9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21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25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24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6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7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12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17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14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19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25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19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9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4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3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3</v>
      </c>
      <c r="I381">
        <v>114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114</v>
      </c>
    </row>
    <row r="383" spans="5:9" x14ac:dyDescent="0.25">
      <c r="E383">
        <f t="shared" si="41"/>
        <v>7</v>
      </c>
      <c r="G383" t="s">
        <v>224</v>
      </c>
      <c r="H383">
        <v>5</v>
      </c>
      <c r="I383">
        <v>114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114</v>
      </c>
    </row>
    <row r="385" spans="5:9" x14ac:dyDescent="0.25">
      <c r="E385">
        <f t="shared" si="41"/>
        <v>7</v>
      </c>
      <c r="G385" t="s">
        <v>226</v>
      </c>
      <c r="H385">
        <v>4</v>
      </c>
      <c r="I385">
        <v>114</v>
      </c>
    </row>
    <row r="386" spans="5:9" x14ac:dyDescent="0.25">
      <c r="E386">
        <f t="shared" si="41"/>
        <v>7</v>
      </c>
      <c r="G386" t="s">
        <v>227</v>
      </c>
      <c r="H386">
        <v>4</v>
      </c>
      <c r="I386">
        <v>114</v>
      </c>
    </row>
    <row r="387" spans="5:9" x14ac:dyDescent="0.25">
      <c r="E387">
        <f t="shared" si="41"/>
        <v>7</v>
      </c>
      <c r="G387" t="s">
        <v>228</v>
      </c>
      <c r="H387">
        <v>4</v>
      </c>
      <c r="I387">
        <v>114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114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114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43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24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59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22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74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59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16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16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34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36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45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39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32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58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57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14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19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23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2026-06-16T18:33:55Z</dcterms:modified>
</cp:coreProperties>
</file>