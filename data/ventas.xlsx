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13_ncr:1_{0858F765-9AE9-41BD-83A1-7897950D2615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<sst xmlns="http://schemas.openxmlformats.org/spreadsheetml/2006/main" count="1520" uniqueCount="287">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</sst>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82986.780248487907</v>
      </c>
      <c r="D2" s="149">
        <v>376843.65367948043</v>
      </c>
      <c r="E2" s="149">
        <v>1388993763.3402033</v>
      </c>
      <c r="F2" s="149">
        <v>0</v>
      </c>
      <c r="G2" s="149">
        <v>658091.30887874123</v>
      </c>
      <c r="H2" s="149">
        <v>658091.78</v>
      </c>
    </row>
    <row r="3" spans="1:8" x14ac:dyDescent="0.25">
      <c r="A3" s="149" t="s">
        <v>81</v>
      </c>
      <c r="B3" s="149">
        <v>1</v>
      </c>
      <c r="C3" s="149">
        <v>888.33785289879995</v>
      </c>
      <c r="D3" s="149">
        <v>1802.4529703860001</v>
      </c>
      <c r="E3" s="149">
        <v>21936376.962624658</v>
      </c>
      <c r="F3" s="149">
        <v>0</v>
      </c>
      <c r="G3" s="149">
        <v>658091.30887874123</v>
      </c>
      <c r="H3" s="149">
        <v>658091.78</v>
      </c>
    </row>
    <row r="4" spans="1:8" x14ac:dyDescent="0.25">
      <c r="A4" s="149" t="s">
        <v>82</v>
      </c>
      <c r="B4" s="149">
        <v>1</v>
      </c>
      <c r="C4" s="149">
        <v>682.1504107106</v>
      </c>
      <c r="D4" s="149">
        <v>1322.3914821438</v>
      </c>
      <c r="E4" s="149">
        <v>17992639.174896277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886.36962301309995</v>
      </c>
      <c r="D5" s="149">
        <v>3243.1304523733002</v>
      </c>
      <c r="E5" s="149">
        <v>17744324.789419636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1607.2618849200001</v>
      </c>
      <c r="D6" s="149">
        <v>4114.3219047927996</v>
      </c>
      <c r="E6" s="149">
        <v>30862015.410904195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1595.1297103152999</v>
      </c>
      <c r="D7" s="149">
        <v>6133.7741904866998</v>
      </c>
      <c r="E7" s="149">
        <v>31484562.573658042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2885.4697407408999</v>
      </c>
      <c r="D8" s="149">
        <v>5181.3464768557997</v>
      </c>
      <c r="E8" s="149">
        <v>40168339.712393798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1045.8595595239999</v>
      </c>
      <c r="D9" s="149">
        <v>4168.6614821628</v>
      </c>
      <c r="E9" s="149">
        <v>18555976.482038796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706.36880357029997</v>
      </c>
      <c r="D10" s="149">
        <v>2056.6149574676001</v>
      </c>
      <c r="E10" s="149">
        <v>17074511.58596608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828.36091269619999</v>
      </c>
      <c r="D11" s="149">
        <v>1938.8235238072</v>
      </c>
      <c r="E11" s="149">
        <v>13731973.543757282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1250.9283174566999</v>
      </c>
      <c r="D12" s="149">
        <v>5830.3243690393001</v>
      </c>
      <c r="E12" s="149">
        <v>20886472.894277841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1893.3811349174</v>
      </c>
      <c r="D13" s="149">
        <v>4772.6485238120003</v>
      </c>
      <c r="E13" s="149">
        <v>30143246.92972973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5257.4446428581996</v>
      </c>
      <c r="D14" s="149">
        <v>41599.180416668198</v>
      </c>
      <c r="E14" s="149">
        <v>85098624.953750134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1382.7948412681001</v>
      </c>
      <c r="D15" s="149">
        <v>4860.6803333261996</v>
      </c>
      <c r="E15" s="149">
        <v>24281428.240391422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720.37662698149995</v>
      </c>
      <c r="D16" s="149">
        <v>3392.6430282935999</v>
      </c>
      <c r="E16" s="149">
        <v>18176113.741843328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1692.0518492029</v>
      </c>
      <c r="D17" s="149">
        <v>6202.1945297672</v>
      </c>
      <c r="E17" s="149">
        <v>33070724.134102892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2429.0906428530998</v>
      </c>
      <c r="D18" s="149">
        <v>9379.4769523734994</v>
      </c>
      <c r="E18" s="149">
        <v>40780025.312303543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1983.8431534337001</v>
      </c>
      <c r="D19" s="149">
        <v>6556.7061250176002</v>
      </c>
      <c r="E19" s="149">
        <v>37620435.662175797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5347.3942023807003</v>
      </c>
      <c r="D20" s="149">
        <v>26087.199779752798</v>
      </c>
      <c r="E20" s="149">
        <v>84121605.891938433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906.33511904349996</v>
      </c>
      <c r="D21" s="149">
        <v>3664.7108214516002</v>
      </c>
      <c r="E21" s="149">
        <v>20480766.871362634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802.99657936389997</v>
      </c>
      <c r="D22" s="149">
        <v>2217.6693809527001</v>
      </c>
      <c r="E22" s="149">
        <v>11681654.665937681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3145.4129920607002</v>
      </c>
      <c r="D23" s="149">
        <v>20165.276738087599</v>
      </c>
      <c r="E23" s="149">
        <v>61917244.297122724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4167.0604166664998</v>
      </c>
      <c r="D24" s="149">
        <v>31679.110827379998</v>
      </c>
      <c r="E24" s="149">
        <v>71395677.265248328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1171.8647301545</v>
      </c>
      <c r="D25" s="149">
        <v>4901.1308333487996</v>
      </c>
      <c r="E25" s="149">
        <v>21577165.004610274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1423.3322063467999</v>
      </c>
      <c r="D26" s="149">
        <v>2235.0314404796</v>
      </c>
      <c r="E26" s="149">
        <v>17506741.378829028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9075.4190476190997</v>
      </c>
      <c r="D27" s="149">
        <v>19079.449999999801</v>
      </c>
      <c r="E27" s="149">
        <v>92737394.572166532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1341.4775165302001</v>
      </c>
      <c r="D28" s="149">
        <v>4967.8946354331001</v>
      </c>
      <c r="E28" s="149">
        <v>24822206.215904217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4588.8827777776996</v>
      </c>
      <c r="D29" s="149">
        <v>12822.9568452436</v>
      </c>
      <c r="E29" s="149">
        <v>60311428.755171485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576.26037698360005</v>
      </c>
      <c r="D30" s="149">
        <v>2398.4479166717001</v>
      </c>
      <c r="E30" s="149">
        <v>11250282.72207953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654.99774999670001</v>
      </c>
      <c r="D31" s="149">
        <v>1849.7249999967</v>
      </c>
      <c r="E31" s="149">
        <v>11172011.307092821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369.65902777740001</v>
      </c>
      <c r="D32" s="149">
        <v>992.09624999749997</v>
      </c>
      <c r="E32" s="149">
        <v>6346329.1110065132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966.32624999860002</v>
      </c>
      <c r="D33" s="149">
        <v>3585.7190119183001</v>
      </c>
      <c r="E33" s="149">
        <v>16695904.189139783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111.6588760504</v>
      </c>
      <c r="D34" s="149">
        <v>1406.4741666653999</v>
      </c>
      <c r="E34" s="149">
        <v>3232111.9214435378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1689.1194444444</v>
      </c>
      <c r="D35" s="149">
        <v>10581.395333333199</v>
      </c>
      <c r="E35" s="149">
        <v>21379822.506904159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1155.2690436487001</v>
      </c>
      <c r="D36" s="149">
        <v>4011.6729762223999</v>
      </c>
      <c r="E36" s="149">
        <v>21887079.961145665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1860.8072817458999</v>
      </c>
      <c r="D37" s="149">
        <v>7608.3120714283004</v>
      </c>
      <c r="E37" s="149">
        <v>29444806.499426268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1391.2005050502</v>
      </c>
      <c r="D38" s="149">
        <v>16371.8999999968</v>
      </c>
      <c r="E38" s="149">
        <v>32541398.519335572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1739.9444444441999</v>
      </c>
      <c r="D39" s="149">
        <v>21010.089999995798</v>
      </c>
      <c r="E39" s="149">
        <v>39235044.125286259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2033.6227843909001</v>
      </c>
      <c r="D40" s="149">
        <v>11282.9112487249</v>
      </c>
      <c r="E40" s="149">
        <v>29857762.19078305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4281.6229365080999</v>
      </c>
      <c r="D41" s="149">
        <v>20632.977952383299</v>
      </c>
      <c r="E41" s="149">
        <v>48558364.440969415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475.35277777789997</v>
      </c>
      <c r="D42" s="149">
        <v>5665.7350000017004</v>
      </c>
      <c r="E42" s="149">
        <v>10008558.73525851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898.27981150719995</v>
      </c>
      <c r="D43" s="149">
        <v>6775.8078419561998</v>
      </c>
      <c r="E43" s="149">
        <v>26223021.650199708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1410.0798611115999</v>
      </c>
      <c r="D44" s="149">
        <v>13747.847773805201</v>
      </c>
      <c r="E44" s="149">
        <v>21190073.138939679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698.14922619209995</v>
      </c>
      <c r="D45" s="149">
        <v>6814.9181154793996</v>
      </c>
      <c r="E45" s="149">
        <v>15489500.179042285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2969.0345555556</v>
      </c>
      <c r="D46" s="149">
        <v>1731.8200000003999</v>
      </c>
      <c r="E46" s="149">
        <v>78322015.119625643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40780025.312303543</v>
      </c>
      <c r="E2" s="59">
        <v>39442457.412246145</v>
      </c>
      <c r="F2" s="59">
        <f t="shared" ref="F2:F9" si="0">+D2-E2</f>
        <v>1337567.9000573978</v>
      </c>
      <c r="G2" s="60">
        <f t="shared" ref="G2:G41" si="1">+D2/C2</f>
        <v>1.26335786396006</v>
      </c>
      <c r="H2" s="59">
        <f>+D2/$N$3*$N$4</f>
        <v>51511610.920804471</v>
      </c>
      <c r="I2" s="60">
        <f t="shared" ref="I2:I41" si="2">+H2/C2</f>
        <v>1.5958204597390229</v>
      </c>
      <c r="J2" s="59">
        <f>+D2/$N$3</f>
        <v>2146317.1217001863</v>
      </c>
      <c r="K2" s="59">
        <f t="shared" ref="K2:K41" si="3">+(C2-D2)/$N$2</f>
        <v>-1700189.7348105579</v>
      </c>
      <c r="L2" s="61" cm="1">
        <f t="array" ref="L2">+_xlfn.IFS(I2&gt;114%,H2*0.02,I2&gt;109%,H2*0.015,I2&gt;104%,H2*0.0125,I2&gt;99%,H2*0.01,I2&lt;99%,H2*0)</f>
        <v>1030232.2184160894</v>
      </c>
      <c r="M2" s="53" t="s">
        <v>36</v>
      </c>
      <c r="N2">
        <v>5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33070724.134102892</v>
      </c>
      <c r="E3" s="4">
        <v>30853610.205797408</v>
      </c>
      <c r="F3" s="4">
        <f t="shared" si="0"/>
        <v>2217113.9283054844</v>
      </c>
      <c r="G3" s="5">
        <f t="shared" si="1"/>
        <v>1.0673922562004319</v>
      </c>
      <c r="H3" s="4">
        <f t="shared" ref="H3:H41" si="4">+D3/$N$3*$N$4</f>
        <v>41773546.274656281</v>
      </c>
      <c r="I3" s="5">
        <f t="shared" si="2"/>
        <v>1.3482849552005454</v>
      </c>
      <c r="J3" s="4">
        <f t="shared" ref="J3:J41" si="5">+D3/$N$3</f>
        <v>1740564.4281106784</v>
      </c>
      <c r="K3" s="4">
        <f t="shared" si="3"/>
        <v>-417599.19104392751</v>
      </c>
      <c r="L3" s="63" cm="1">
        <f t="array" ref="L3">+_xlfn.IFS(I3&gt;114%,H3*0.02,I3&gt;109%,H3*0.015,I3&gt;104%,H3*0.0125,I3&gt;99%,H3*0.01,I3&lt;99%,H3*0)</f>
        <v>835470.92549312569</v>
      </c>
      <c r="M3" s="53" t="s">
        <v>40</v>
      </c>
      <c r="N3">
        <f>N4-N2</f>
        <v>19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24281428.240391422</v>
      </c>
      <c r="E4" s="4">
        <v>23147368.813229561</v>
      </c>
      <c r="F4" s="4">
        <f t="shared" si="0"/>
        <v>1134059.4271618612</v>
      </c>
      <c r="G4" s="5">
        <f t="shared" si="1"/>
        <v>0.85528008116270826</v>
      </c>
      <c r="H4" s="4">
        <f t="shared" si="4"/>
        <v>30671277.77733653</v>
      </c>
      <c r="I4" s="5">
        <f t="shared" si="2"/>
        <v>1.0803537867318418</v>
      </c>
      <c r="J4" s="4">
        <f t="shared" si="5"/>
        <v>1277969.9073890222</v>
      </c>
      <c r="K4" s="4">
        <f t="shared" si="3"/>
        <v>821720.60395136627</v>
      </c>
      <c r="L4" s="63" cm="1">
        <f t="array" ref="L4">+_xlfn.IFS(I4&gt;114%,H4*0.02,I4&gt;109%,H4*0.015,I4&gt;104%,H4*0.0125,I4&gt;99%,H4*0.01,I4&lt;99%,H4*0)</f>
        <v>383390.97221670666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30143246.92972973</v>
      </c>
      <c r="E5" s="4">
        <v>27781934.747848343</v>
      </c>
      <c r="F5" s="4">
        <f t="shared" si="0"/>
        <v>2361312.1818813868</v>
      </c>
      <c r="G5" s="5">
        <f t="shared" si="1"/>
        <v>1.0617546227235934</v>
      </c>
      <c r="H5" s="4">
        <f t="shared" si="4"/>
        <v>38075680.332290187</v>
      </c>
      <c r="I5" s="5">
        <f t="shared" si="2"/>
        <v>1.3411637339666442</v>
      </c>
      <c r="J5" s="4">
        <f t="shared" si="5"/>
        <v>1586486.6805120911</v>
      </c>
      <c r="K5" s="4">
        <f t="shared" si="3"/>
        <v>-350643.13391629531</v>
      </c>
      <c r="L5" s="63" cm="1">
        <f t="array" ref="L5">+_xlfn.IFS(I5&gt;114%,H5*0.02,I5&gt;109%,H5*0.015,I5&gt;104%,H5*0.0125,I5&gt;99%,H5*0.01,I5&lt;99%,H5*0)</f>
        <v>761513.60664580378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20886472.894277841</v>
      </c>
      <c r="E6" s="4">
        <v>19549881.458716974</v>
      </c>
      <c r="F6" s="4">
        <f t="shared" si="0"/>
        <v>1336591.4355608672</v>
      </c>
      <c r="G6" s="5">
        <f t="shared" si="1"/>
        <v>0.88770102522859606</v>
      </c>
      <c r="H6" s="4">
        <f t="shared" si="4"/>
        <v>26382913.129614115</v>
      </c>
      <c r="I6" s="5">
        <f t="shared" si="2"/>
        <v>1.1213065581834898</v>
      </c>
      <c r="J6" s="4">
        <f t="shared" si="5"/>
        <v>1099288.0470672548</v>
      </c>
      <c r="K6" s="4">
        <f t="shared" si="3"/>
        <v>528450.32864845695</v>
      </c>
      <c r="L6" s="63" cm="1">
        <f t="array" ref="L6">+_xlfn.IFS(I6&gt;114%,H6*0.02,I6&gt;109%,H6*0.015,I6&gt;104%,H6*0.0125,I6&gt;99%,H6*0.01,I6&lt;99%,H6*0)</f>
        <v>395743.69694421173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18555976.482038796</v>
      </c>
      <c r="E7" s="4">
        <v>17216779.28078286</v>
      </c>
      <c r="F7" s="4">
        <f t="shared" ref="F7:F8" si="6">+D7-E7</f>
        <v>1339197.2012559362</v>
      </c>
      <c r="G7" s="5">
        <f t="shared" si="1"/>
        <v>0.66888011360096389</v>
      </c>
      <c r="H7" s="4">
        <f t="shared" si="4"/>
        <v>23439128.18783848</v>
      </c>
      <c r="I7" s="5">
        <f t="shared" si="2"/>
        <v>0.84490119612753334</v>
      </c>
      <c r="J7" s="4">
        <f t="shared" si="5"/>
        <v>976630.34115993662</v>
      </c>
      <c r="K7" s="4">
        <f t="shared" si="3"/>
        <v>1837176.1096851416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31484562.573658042</v>
      </c>
      <c r="E8" s="4">
        <v>29458094.533872921</v>
      </c>
      <c r="F8" s="4">
        <f t="shared" si="6"/>
        <v>2026468.0397851206</v>
      </c>
      <c r="G8" s="5">
        <f t="shared" si="1"/>
        <v>0.87869442159054589</v>
      </c>
      <c r="H8" s="4">
        <f t="shared" si="4"/>
        <v>39769973.777252264</v>
      </c>
      <c r="I8" s="5">
        <f t="shared" si="2"/>
        <v>1.1099297956933212</v>
      </c>
      <c r="J8" s="4">
        <f t="shared" si="5"/>
        <v>1657082.2407188443</v>
      </c>
      <c r="K8" s="4">
        <f t="shared" si="3"/>
        <v>869301.76865193248</v>
      </c>
      <c r="L8" s="63" cm="1">
        <f t="array" ref="L8">+_xlfn.IFS(I8&gt;114%,H8*0.02,I8&gt;109%,H8*0.015,I8&gt;104%,H8*0.0125,I8&gt;99%,H8*0.01,I8&lt;99%,H8*0)</f>
        <v>596549.60665878397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30862015.410904195</v>
      </c>
      <c r="E9" s="4">
        <v>29702923.717855066</v>
      </c>
      <c r="F9" s="4">
        <f t="shared" si="0"/>
        <v>1159091.6930491291</v>
      </c>
      <c r="G9" s="5">
        <f t="shared" si="1"/>
        <v>0.8613199156621546</v>
      </c>
      <c r="H9" s="4">
        <f t="shared" si="4"/>
        <v>38983598.413773723</v>
      </c>
      <c r="I9" s="5">
        <f t="shared" si="2"/>
        <v>1.0879830513627218</v>
      </c>
      <c r="J9" s="4">
        <f t="shared" si="5"/>
        <v>1624316.600573905</v>
      </c>
      <c r="K9" s="4">
        <f t="shared" si="3"/>
        <v>993811.20120270178</v>
      </c>
      <c r="L9" s="63" cm="1">
        <f t="array" ref="L9">+_xlfn.IFS(I9&gt;114%,H9*0.02,I9&gt;109%,H9*0.015,I9&gt;104%,H9*0.0125,I9&gt;99%,H9*0.01,I9&lt;99%,H9*0)</f>
        <v>487294.98017217155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230064451.97740647</v>
      </c>
      <c r="E10" s="65">
        <v>217153050.17034927</v>
      </c>
      <c r="F10" s="64">
        <f>+SUM(F2:F9)</f>
        <v>12911401.807057183</v>
      </c>
      <c r="G10" s="66">
        <f t="shared" si="1"/>
        <v>0.94686629713242354</v>
      </c>
      <c r="H10" s="64">
        <f t="shared" si="4"/>
        <v>290607728.81356609</v>
      </c>
      <c r="I10" s="66">
        <f t="shared" si="2"/>
        <v>1.1960416384830614</v>
      </c>
      <c r="J10" s="64">
        <f t="shared" si="5"/>
        <v>12108655.36723192</v>
      </c>
      <c r="K10" s="67">
        <f t="shared" si="3"/>
        <v>2582027.952368808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84121605.891938433</v>
      </c>
      <c r="E11" s="59">
        <v>79945640.923369437</v>
      </c>
      <c r="F11" s="59">
        <f t="shared" ref="F11:F16" si="7">+D11-E11</f>
        <v>4175964.9685689956</v>
      </c>
      <c r="G11" s="60">
        <f t="shared" si="1"/>
        <v>0.8674839189105169</v>
      </c>
      <c r="H11" s="59">
        <f t="shared" si="4"/>
        <v>106258870.60034329</v>
      </c>
      <c r="I11" s="60">
        <f t="shared" si="2"/>
        <v>1.095769160729074</v>
      </c>
      <c r="J11" s="59">
        <f t="shared" si="5"/>
        <v>4427452.9416809706</v>
      </c>
      <c r="K11" s="59">
        <f t="shared" si="3"/>
        <v>2570068.5176398158</v>
      </c>
      <c r="L11" s="61" cm="1">
        <f t="array" ref="L11">+_xlfn.IFS(I11&gt;114%,H11*0.0125,I11&gt;109%,H11*0.01,I11&gt;104%,H11*0.0075,I11&gt;99%,H11*0.005,I11&lt;99%,H11*0)</f>
        <v>1062588.7060034329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29444806.499426268</v>
      </c>
      <c r="E12" s="4">
        <v>30024266.652704835</v>
      </c>
      <c r="F12" s="4">
        <f t="shared" si="7"/>
        <v>-579460.1532785669</v>
      </c>
      <c r="G12" s="5">
        <f t="shared" si="1"/>
        <v>0.93088733666515167</v>
      </c>
      <c r="H12" s="4">
        <f t="shared" si="4"/>
        <v>37193439.788748965</v>
      </c>
      <c r="I12" s="5">
        <f t="shared" si="2"/>
        <v>1.1758576884191387</v>
      </c>
      <c r="J12" s="4">
        <f t="shared" si="5"/>
        <v>1549726.6578645403</v>
      </c>
      <c r="K12" s="4">
        <f t="shared" si="3"/>
        <v>437219.18182814715</v>
      </c>
      <c r="L12" s="63" cm="1">
        <f t="array" ref="L12">+_xlfn.IFS(I12&gt;114%,H12*0.02,I12&gt;109%,H12*0.015,I12&gt;104%,H12*0.0125,I12&gt;99%,H12*0.01,I12&lt;99%,H12*0)</f>
        <v>743868.79577497928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85098624.953750134</v>
      </c>
      <c r="E13" s="4">
        <v>78071251.827299207</v>
      </c>
      <c r="F13" s="4">
        <f t="shared" si="7"/>
        <v>7027373.1264509261</v>
      </c>
      <c r="G13" s="5">
        <f t="shared" si="1"/>
        <v>0.66294818322835858</v>
      </c>
      <c r="H13" s="4">
        <f t="shared" si="4"/>
        <v>107492999.94157912</v>
      </c>
      <c r="I13" s="5">
        <f t="shared" si="2"/>
        <v>0.83740823144634779</v>
      </c>
      <c r="J13" s="4">
        <f t="shared" si="5"/>
        <v>4478874.9975657966</v>
      </c>
      <c r="K13" s="4">
        <f t="shared" si="3"/>
        <v>8653058.2241749708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32541398.519335572</v>
      </c>
      <c r="E14" s="4">
        <v>31888291.839335572</v>
      </c>
      <c r="F14" s="4">
        <f t="shared" si="7"/>
        <v>653106.6799999997</v>
      </c>
      <c r="G14" s="5">
        <f t="shared" si="1"/>
        <v>0.76659884851030247</v>
      </c>
      <c r="H14" s="4">
        <f t="shared" si="4"/>
        <v>41104924.445476517</v>
      </c>
      <c r="I14" s="5">
        <f t="shared" si="2"/>
        <v>0.96833538759196103</v>
      </c>
      <c r="J14" s="4">
        <f t="shared" si="5"/>
        <v>1712705.1852281881</v>
      </c>
      <c r="K14" s="4">
        <f t="shared" si="3"/>
        <v>1981531.7751278854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39235044.125286259</v>
      </c>
      <c r="E15" s="4">
        <v>38730140.606586255</v>
      </c>
      <c r="F15" s="4">
        <f t="shared" si="7"/>
        <v>504903.51870000362</v>
      </c>
      <c r="G15" s="5">
        <f t="shared" si="1"/>
        <v>0.92428540309426976</v>
      </c>
      <c r="H15" s="4">
        <f t="shared" si="4"/>
        <v>49560055.737203695</v>
      </c>
      <c r="I15" s="5">
        <f t="shared" si="2"/>
        <v>1.1675184039085513</v>
      </c>
      <c r="J15" s="4">
        <f t="shared" si="5"/>
        <v>2065002.3223834874</v>
      </c>
      <c r="K15" s="4">
        <f t="shared" si="3"/>
        <v>642802.65393774805</v>
      </c>
      <c r="L15" s="63" cm="1">
        <f t="array" ref="L15">+_xlfn.IFS(I15&gt;109%,H15*0.015,I15&gt;104%,H15*0.0125,I15&gt;99%,H15*0.01,I15&lt;99%,H15*0)</f>
        <v>743400.8360580554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270441479.98973668</v>
      </c>
      <c r="E16" s="65">
        <v>258659591.84929529</v>
      </c>
      <c r="F16" s="64">
        <f t="shared" si="7"/>
        <v>11781888.140441388</v>
      </c>
      <c r="G16" s="66">
        <f t="shared" si="1"/>
        <v>0.79107710216608795</v>
      </c>
      <c r="H16" s="64">
        <f t="shared" si="4"/>
        <v>341610290.51335156</v>
      </c>
      <c r="I16" s="66">
        <f t="shared" si="2"/>
        <v>0.99925528694663734</v>
      </c>
      <c r="J16" s="64">
        <f t="shared" si="5"/>
        <v>14233762.104722982</v>
      </c>
      <c r="K16" s="67">
        <f t="shared" si="3"/>
        <v>14284680.352708567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17992639.174896277</v>
      </c>
      <c r="E17" s="59">
        <v>16305247.991793433</v>
      </c>
      <c r="F17" s="59">
        <f t="shared" ref="F17:F40" si="8">+D17-E17</f>
        <v>1687391.1831028443</v>
      </c>
      <c r="G17" s="60">
        <f t="shared" si="1"/>
        <v>0.61328747884862855</v>
      </c>
      <c r="H17" s="59">
        <f t="shared" si="4"/>
        <v>22727544.220921613</v>
      </c>
      <c r="I17" s="60">
        <f t="shared" si="2"/>
        <v>0.77467892065089927</v>
      </c>
      <c r="J17" s="59">
        <f t="shared" si="5"/>
        <v>946981.00920506718</v>
      </c>
      <c r="K17" s="59">
        <f t="shared" si="3"/>
        <v>2269075.7915207455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17744324.789419636</v>
      </c>
      <c r="E18" s="4">
        <v>15370574.019045111</v>
      </c>
      <c r="F18" s="4">
        <f t="shared" si="8"/>
        <v>2373750.7703745253</v>
      </c>
      <c r="G18" s="5">
        <f t="shared" si="1"/>
        <v>0.7109245215234663</v>
      </c>
      <c r="H18" s="4">
        <f t="shared" si="4"/>
        <v>22413883.944530066</v>
      </c>
      <c r="I18" s="5">
        <f t="shared" si="2"/>
        <v>0.89800992192437845</v>
      </c>
      <c r="J18" s="4">
        <f t="shared" si="5"/>
        <v>933911.83102208609</v>
      </c>
      <c r="K18" s="4">
        <f t="shared" si="3"/>
        <v>1443036.2221160731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18176113.741843328</v>
      </c>
      <c r="E19" s="4">
        <v>17177821.502667878</v>
      </c>
      <c r="F19" s="4">
        <f t="shared" si="8"/>
        <v>998292.23917545006</v>
      </c>
      <c r="G19" s="5">
        <f t="shared" si="1"/>
        <v>0.70295701978036373</v>
      </c>
      <c r="H19" s="4">
        <f t="shared" si="4"/>
        <v>22959301.568644203</v>
      </c>
      <c r="I19" s="5">
        <f t="shared" si="2"/>
        <v>0.88794570919624882</v>
      </c>
      <c r="J19" s="4">
        <f t="shared" si="5"/>
        <v>956637.5653601751</v>
      </c>
      <c r="K19" s="4">
        <f t="shared" si="3"/>
        <v>1536107.2847313345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37620435.662175797</v>
      </c>
      <c r="E20" s="4">
        <v>34811589.303403422</v>
      </c>
      <c r="F20" s="4">
        <f t="shared" si="8"/>
        <v>2808846.3587723747</v>
      </c>
      <c r="G20" s="5">
        <f t="shared" si="1"/>
        <v>1.1213869644053422</v>
      </c>
      <c r="H20" s="4">
        <f t="shared" si="4"/>
        <v>47520550.310116798</v>
      </c>
      <c r="I20" s="5">
        <f t="shared" si="2"/>
        <v>1.4164887971435904</v>
      </c>
      <c r="J20" s="4">
        <f t="shared" si="5"/>
        <v>1980022.9295881998</v>
      </c>
      <c r="K20" s="4">
        <f t="shared" si="3"/>
        <v>-814461.13243515941</v>
      </c>
      <c r="L20" s="63" cm="1">
        <f t="array" ref="L20">+_xlfn.IFS(I20&gt;114%,H20*0.02,I20&gt;109%,H20*0.015,I20&gt;104%,H20*0.0125,I20&gt;99%,H20*0.01,I20&lt;99%,H20*0)</f>
        <v>950411.00620233594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20480766.871362634</v>
      </c>
      <c r="E21" s="4">
        <v>19536256.278035127</v>
      </c>
      <c r="F21" s="4">
        <f t="shared" ref="F21:F23" si="9">+D21-E21</f>
        <v>944510.59332750738</v>
      </c>
      <c r="G21" s="5">
        <f t="shared" si="1"/>
        <v>0.80447625848341608</v>
      </c>
      <c r="H21" s="4">
        <f t="shared" si="4"/>
        <v>25870442.363826483</v>
      </c>
      <c r="I21" s="5">
        <f t="shared" si="2"/>
        <v>1.0161805370316834</v>
      </c>
      <c r="J21" s="4">
        <f t="shared" si="5"/>
        <v>1077935.0984927702</v>
      </c>
      <c r="K21" s="4">
        <f t="shared" si="3"/>
        <v>995548.62572747318</v>
      </c>
      <c r="L21" s="63" cm="1">
        <f t="array" ref="L21">+_xlfn.IFS(I21&gt;114%,H21*0.02,I21&gt;109%,H21*0.015,I21&gt;104%,H21*0.0125,I21&gt;99%,H21*0.01,I21&lt;99%,H21*0)</f>
        <v>258704.42363826485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24822206.215904217</v>
      </c>
      <c r="E22" s="4">
        <v>23709322.376347769</v>
      </c>
      <c r="F22" s="4">
        <f t="shared" si="9"/>
        <v>1112883.8395564482</v>
      </c>
      <c r="G22" s="5">
        <f t="shared" si="1"/>
        <v>0.78197687921638004</v>
      </c>
      <c r="H22" s="4">
        <f t="shared" si="4"/>
        <v>31354365.746405326</v>
      </c>
      <c r="I22" s="5">
        <f t="shared" si="2"/>
        <v>0.98776026848384846</v>
      </c>
      <c r="J22" s="4">
        <f t="shared" si="5"/>
        <v>1306431.9061002219</v>
      </c>
      <c r="K22" s="4">
        <f t="shared" si="3"/>
        <v>1384136.7968191572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21887079.961145665</v>
      </c>
      <c r="E23" s="4">
        <v>20611302.587251738</v>
      </c>
      <c r="F23" s="4">
        <f t="shared" si="9"/>
        <v>1275777.3738939278</v>
      </c>
      <c r="G23" s="5">
        <f t="shared" si="1"/>
        <v>0.79775196297815687</v>
      </c>
      <c r="H23" s="4">
        <f t="shared" si="4"/>
        <v>27646837.845657684</v>
      </c>
      <c r="I23" s="5">
        <f t="shared" si="2"/>
        <v>1.0076866900776718</v>
      </c>
      <c r="J23" s="4">
        <f t="shared" si="5"/>
        <v>1151951.5769024035</v>
      </c>
      <c r="K23" s="4">
        <f t="shared" si="3"/>
        <v>1109773.2537708678</v>
      </c>
      <c r="L23" s="63" cm="1">
        <f t="array" ref="L23">+_xlfn.IFS(I23&gt;114%,H23*0.02,I23&gt;109%,H23*0.015,I23&gt;104%,H23*0.0125,I23&gt;99%,H23*0.01,I23&lt;99%,H23*0)</f>
        <v>276468.37845657684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29857762.19078305</v>
      </c>
      <c r="E24" s="4">
        <v>29127959.990246467</v>
      </c>
      <c r="F24" s="4">
        <f t="shared" si="8"/>
        <v>729802.20053658262</v>
      </c>
      <c r="G24" s="5">
        <f t="shared" si="1"/>
        <v>0.89143467970011547</v>
      </c>
      <c r="H24" s="4">
        <f t="shared" si="4"/>
        <v>37715068.030462801</v>
      </c>
      <c r="I24" s="5">
        <f t="shared" si="2"/>
        <v>1.126022753305409</v>
      </c>
      <c r="J24" s="4">
        <f t="shared" si="5"/>
        <v>1571461.16793595</v>
      </c>
      <c r="K24" s="4">
        <f t="shared" si="3"/>
        <v>727258.56184338999</v>
      </c>
      <c r="L24" s="63" cm="1">
        <f t="array" ref="L24">+_xlfn.IFS(I24&gt;114%,H24*0.02,I24&gt;109%,H24*0.015,I24&gt;104%,H24*0.0125,I24&gt;99%,H24*0.01,I24&lt;99%,H24*0)</f>
        <v>565726.02045694203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48558364.440969415</v>
      </c>
      <c r="E25" s="4">
        <v>39327902.03385032</v>
      </c>
      <c r="F25" s="4">
        <f t="shared" si="8"/>
        <v>9230462.4071190953</v>
      </c>
      <c r="G25" s="5">
        <f t="shared" si="1"/>
        <v>0.89814865023963808</v>
      </c>
      <c r="H25" s="4">
        <f t="shared" si="4"/>
        <v>61336881.399119258</v>
      </c>
      <c r="I25" s="5">
        <f t="shared" si="2"/>
        <v>1.1345035581974376</v>
      </c>
      <c r="J25" s="4">
        <f t="shared" si="5"/>
        <v>2555703.3916299692</v>
      </c>
      <c r="K25" s="4">
        <f t="shared" si="3"/>
        <v>1101317.684806119</v>
      </c>
      <c r="L25" s="63" cm="1">
        <f t="array" ref="L25">+_xlfn.IFS(I25&gt;109%,H25*0.015,I25&gt;104%,H25*0.0125,I25&gt;99%,H25*0.01,I25&lt;99%,H25*0)</f>
        <v>920053.22098678886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237139693.0485</v>
      </c>
      <c r="E26" s="65">
        <v>215977976.08264127</v>
      </c>
      <c r="F26" s="67">
        <f>+D26-E26</f>
        <v>21161716.965858728</v>
      </c>
      <c r="G26" s="66">
        <f t="shared" si="1"/>
        <v>0.82945367529349967</v>
      </c>
      <c r="H26" s="64">
        <f t="shared" si="4"/>
        <v>299544875.42968422</v>
      </c>
      <c r="I26" s="66">
        <f t="shared" si="2"/>
        <v>1.0477309582654732</v>
      </c>
      <c r="J26" s="64">
        <f t="shared" si="5"/>
        <v>12481036.476236843</v>
      </c>
      <c r="K26" s="67">
        <f t="shared" si="3"/>
        <v>9751793.0889000054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60311428.755171485</v>
      </c>
      <c r="E27" s="59">
        <v>54928077.646119483</v>
      </c>
      <c r="F27" s="59">
        <f t="shared" si="8"/>
        <v>5383351.1090520024</v>
      </c>
      <c r="G27" s="60">
        <f t="shared" si="1"/>
        <v>0.73570530467641182</v>
      </c>
      <c r="H27" s="59">
        <f t="shared" si="4"/>
        <v>76182857.374953449</v>
      </c>
      <c r="I27" s="60">
        <f t="shared" si="2"/>
        <v>0.92931196380178327</v>
      </c>
      <c r="J27" s="59">
        <f t="shared" si="5"/>
        <v>3174285.723956394</v>
      </c>
      <c r="K27" s="59">
        <f t="shared" si="3"/>
        <v>4333254.248965703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11172011.307092821</v>
      </c>
      <c r="E28" s="4">
        <v>10793754.353707753</v>
      </c>
      <c r="F28" s="4">
        <f t="shared" si="8"/>
        <v>378256.9533850681</v>
      </c>
      <c r="G28" s="5">
        <f t="shared" si="1"/>
        <v>0.53200053843299144</v>
      </c>
      <c r="H28" s="4">
        <f t="shared" si="4"/>
        <v>14112014.282643564</v>
      </c>
      <c r="I28" s="5">
        <f t="shared" si="2"/>
        <v>0.67200068012588399</v>
      </c>
      <c r="J28" s="4">
        <f t="shared" si="5"/>
        <v>588000.59511014854</v>
      </c>
      <c r="K28" s="4">
        <f t="shared" si="3"/>
        <v>1965597.7385814358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17074511.58596608</v>
      </c>
      <c r="E29" s="4">
        <v>16100590.373047655</v>
      </c>
      <c r="F29" s="4">
        <f t="shared" si="8"/>
        <v>973921.21291842498</v>
      </c>
      <c r="G29" s="5">
        <f t="shared" si="1"/>
        <v>0.66335316984914672</v>
      </c>
      <c r="H29" s="4">
        <f t="shared" si="4"/>
        <v>21567804.108588733</v>
      </c>
      <c r="I29" s="5">
        <f t="shared" si="2"/>
        <v>0.83791979349365897</v>
      </c>
      <c r="J29" s="4">
        <f t="shared" si="5"/>
        <v>898658.50452453049</v>
      </c>
      <c r="K29" s="4">
        <f t="shared" si="3"/>
        <v>1733037.6828067838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16695904.189139783</v>
      </c>
      <c r="E30" s="4">
        <v>15804120.212155512</v>
      </c>
      <c r="F30" s="4">
        <f t="shared" si="8"/>
        <v>891783.97698427178</v>
      </c>
      <c r="G30" s="5">
        <f t="shared" si="1"/>
        <v>0.43668596813100224</v>
      </c>
      <c r="H30" s="4">
        <f t="shared" si="4"/>
        <v>21089563.18628183</v>
      </c>
      <c r="I30" s="5">
        <f t="shared" si="2"/>
        <v>0.55160332816547653</v>
      </c>
      <c r="J30" s="4">
        <f t="shared" si="5"/>
        <v>878731.79942840966</v>
      </c>
      <c r="K30" s="4">
        <f t="shared" si="3"/>
        <v>4307460.1845971774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21577165.004610274</v>
      </c>
      <c r="E31" s="4">
        <v>19986206.379396059</v>
      </c>
      <c r="F31" s="4">
        <f t="shared" si="8"/>
        <v>1590958.6252142154</v>
      </c>
      <c r="G31" s="5">
        <f t="shared" si="1"/>
        <v>0.84898495999883039</v>
      </c>
      <c r="H31" s="4">
        <f t="shared" si="4"/>
        <v>27255366.321612976</v>
      </c>
      <c r="I31" s="5">
        <f t="shared" si="2"/>
        <v>1.0724020547353648</v>
      </c>
      <c r="J31" s="4">
        <f t="shared" si="5"/>
        <v>1135640.2634005407</v>
      </c>
      <c r="K31" s="4">
        <f t="shared" si="3"/>
        <v>767616.99907794525</v>
      </c>
      <c r="L31" s="63" cm="1">
        <f t="array" ref="L31">+_xlfn.IFS(I31&gt;114%,H31*0.02,I31&gt;109%,H31*0.015,I31&gt;104%,H31*0.0125,I31&gt;99%,H31*0.01,I31&lt;99%,H31*0)</f>
        <v>340692.07902016223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13731973.543757282</v>
      </c>
      <c r="E32" s="4">
        <v>12636423.188325718</v>
      </c>
      <c r="F32" s="4">
        <f t="shared" si="8"/>
        <v>1095550.3554315642</v>
      </c>
      <c r="G32" s="5">
        <f t="shared" si="1"/>
        <v>0.54491958506973337</v>
      </c>
      <c r="H32" s="4">
        <f t="shared" si="4"/>
        <v>17345650.792114459</v>
      </c>
      <c r="I32" s="5">
        <f t="shared" si="2"/>
        <v>0.68831947587755793</v>
      </c>
      <c r="J32" s="4">
        <f t="shared" si="5"/>
        <v>722735.44967143587</v>
      </c>
      <c r="K32" s="4">
        <f t="shared" si="3"/>
        <v>2293605.2912485437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17506741.378829028</v>
      </c>
      <c r="E33" s="4">
        <v>16473987.177289817</v>
      </c>
      <c r="F33" s="4">
        <f t="shared" si="8"/>
        <v>1032754.201539211</v>
      </c>
      <c r="G33" s="5">
        <f t="shared" si="1"/>
        <v>0.6607127809572505</v>
      </c>
      <c r="H33" s="4">
        <f t="shared" si="4"/>
        <v>22113778.583784036</v>
      </c>
      <c r="I33" s="5">
        <f t="shared" si="2"/>
        <v>0.83458456541968495</v>
      </c>
      <c r="J33" s="4">
        <f t="shared" si="5"/>
        <v>921407.44099100155</v>
      </c>
      <c r="K33" s="4">
        <f t="shared" si="3"/>
        <v>1798001.7242341943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11250282.72207953</v>
      </c>
      <c r="E34" s="4">
        <v>10450667.040721137</v>
      </c>
      <c r="F34" s="4">
        <f t="shared" si="8"/>
        <v>799615.68135839328</v>
      </c>
      <c r="G34" s="5">
        <f t="shared" si="1"/>
        <v>0.53572774867045381</v>
      </c>
      <c r="H34" s="4">
        <f t="shared" si="4"/>
        <v>14210883.43841625</v>
      </c>
      <c r="I34" s="5">
        <f t="shared" si="2"/>
        <v>0.6767087351626786</v>
      </c>
      <c r="J34" s="4">
        <f t="shared" si="5"/>
        <v>592120.14326734375</v>
      </c>
      <c r="K34" s="4">
        <f t="shared" si="3"/>
        <v>1949943.4555840939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6346329.1110065132</v>
      </c>
      <c r="E35" s="4">
        <v>5900128.3583673304</v>
      </c>
      <c r="F35" s="4">
        <f t="shared" si="8"/>
        <v>446200.75263918284</v>
      </c>
      <c r="G35" s="5">
        <f t="shared" si="1"/>
        <v>0.25737195379251177</v>
      </c>
      <c r="H35" s="4">
        <f t="shared" si="4"/>
        <v>8016415.7191661224</v>
      </c>
      <c r="I35" s="5">
        <f t="shared" si="2"/>
        <v>0.32510141531685699</v>
      </c>
      <c r="J35" s="4">
        <f t="shared" si="5"/>
        <v>334017.32163192175</v>
      </c>
      <c r="K35" s="4">
        <f t="shared" si="3"/>
        <v>3662374.1777986973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11681654.665937681</v>
      </c>
      <c r="E36" s="4">
        <v>11138355.416896759</v>
      </c>
      <c r="F36" s="4">
        <f t="shared" si="8"/>
        <v>543299.24904092215</v>
      </c>
      <c r="G36" s="5">
        <f t="shared" si="1"/>
        <v>0.46291478763374999</v>
      </c>
      <c r="H36" s="4">
        <f t="shared" si="4"/>
        <v>14755774.314868651</v>
      </c>
      <c r="I36" s="5">
        <f t="shared" si="2"/>
        <v>0.58473446859</v>
      </c>
      <c r="J36" s="4">
        <f t="shared" si="5"/>
        <v>614823.92978619377</v>
      </c>
      <c r="K36" s="4">
        <f t="shared" si="3"/>
        <v>2710669.066812464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40168339.712393798</v>
      </c>
      <c r="E37" s="4">
        <v>40168339.712393798</v>
      </c>
      <c r="F37" s="4">
        <f t="shared" si="8"/>
        <v>0</v>
      </c>
      <c r="G37" s="5">
        <f t="shared" si="1"/>
        <v>0.32921697879420464</v>
      </c>
      <c r="H37" s="4">
        <f t="shared" si="4"/>
        <v>50738955.426181644</v>
      </c>
      <c r="I37" s="5">
        <f t="shared" si="2"/>
        <v>0.41585302584531114</v>
      </c>
      <c r="J37" s="4">
        <f t="shared" si="5"/>
        <v>2114123.1427575685</v>
      </c>
      <c r="K37" s="4">
        <f t="shared" si="3"/>
        <v>16368682.057521243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10008558.73525851</v>
      </c>
      <c r="E38" s="4">
        <v>9510418.9883585088</v>
      </c>
      <c r="F38" s="4">
        <f t="shared" ref="F38" si="10">+D38-E38</f>
        <v>498139.74690000154</v>
      </c>
      <c r="G38" s="5">
        <f t="shared" si="1"/>
        <v>0.28035178530135885</v>
      </c>
      <c r="H38" s="4">
        <f t="shared" si="4"/>
        <v>12642389.981379172</v>
      </c>
      <c r="I38" s="5">
        <f t="shared" si="2"/>
        <v>0.35412857090697958</v>
      </c>
      <c r="J38" s="4">
        <f t="shared" si="5"/>
        <v>526766.24922413216</v>
      </c>
      <c r="K38" s="4">
        <f t="shared" si="3"/>
        <v>5138288.2529482972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21936376.962624658</v>
      </c>
      <c r="E39" s="4">
        <v>20353107.527345363</v>
      </c>
      <c r="F39" s="4">
        <f t="shared" si="8"/>
        <v>1583269.4352792948</v>
      </c>
      <c r="G39" s="5">
        <f t="shared" si="1"/>
        <v>0.6032870084222921</v>
      </c>
      <c r="H39" s="4">
        <f t="shared" si="4"/>
        <v>27709107.742262729</v>
      </c>
      <c r="I39" s="5">
        <f t="shared" si="2"/>
        <v>0.76204674748079004</v>
      </c>
      <c r="J39" s="4">
        <f t="shared" si="5"/>
        <v>1154546.1559276136</v>
      </c>
      <c r="K39" s="4">
        <f t="shared" si="3"/>
        <v>2885010.1552750682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259461277.67386746</v>
      </c>
      <c r="E40" s="65">
        <v>244244176.37412488</v>
      </c>
      <c r="F40" s="67">
        <f t="shared" si="8"/>
        <v>15217101.299742579</v>
      </c>
      <c r="G40" s="66">
        <f t="shared" si="1"/>
        <v>0.509718083674916</v>
      </c>
      <c r="H40" s="64">
        <f t="shared" si="4"/>
        <v>327740561.27225363</v>
      </c>
      <c r="I40" s="66">
        <f t="shared" si="2"/>
        <v>0.64385442148410432</v>
      </c>
      <c r="J40" s="64">
        <f t="shared" si="5"/>
        <v>13655856.719677234</v>
      </c>
      <c r="K40" s="67">
        <f t="shared" si="3"/>
        <v>49913541.035451651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997106902.68951058</v>
      </c>
      <c r="E41" s="82">
        <v>936034794.47641063</v>
      </c>
      <c r="F41" s="81">
        <f>+D41-E41</f>
        <v>61072108.213099957</v>
      </c>
      <c r="G41" s="83">
        <f t="shared" si="1"/>
        <v>0.72266317167370897</v>
      </c>
      <c r="H41" s="81">
        <f t="shared" si="4"/>
        <v>1259503456.0288556</v>
      </c>
      <c r="I41" s="139">
        <f t="shared" si="2"/>
        <v>0.91283769053521135</v>
      </c>
      <c r="J41" s="81">
        <f t="shared" si="5"/>
        <v>52479310.667868979</v>
      </c>
      <c r="K41" s="81">
        <f t="shared" si="3"/>
        <v>76532048.880725101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26223021.650199708</v>
      </c>
      <c r="E43" s="4">
        <v>26234005.111392636</v>
      </c>
      <c r="F43" s="4">
        <f t="shared" ref="F43" si="11">+D43-E43</f>
        <v>-10983.461192928255</v>
      </c>
      <c r="G43" s="5">
        <f>+D43/C43</f>
        <v>0.65557554125499273</v>
      </c>
      <c r="H43" s="4">
        <f t="shared" ref="H43" si="12">+D43/$N$3*$N$4</f>
        <v>33123816.821304895</v>
      </c>
      <c r="I43" s="5">
        <f>+H43/C43</f>
        <v>0.82809542053262242</v>
      </c>
      <c r="J43" s="4">
        <f t="shared" ref="J43" si="13">+D43/$N$3</f>
        <v>1380159.0342210373</v>
      </c>
      <c r="K43" s="4">
        <f>+(C43-D43)/$N$2</f>
        <v>2755395.6699600583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21190073.138939679</v>
      </c>
      <c r="E44" s="4">
        <v>21229662.770730246</v>
      </c>
      <c r="F44" s="4">
        <f t="shared" ref="F44" si="14">+D44-E44</f>
        <v>-39589.631790567189</v>
      </c>
      <c r="G44" s="5">
        <f>+D44/C44</f>
        <v>0.7063357712979893</v>
      </c>
      <c r="H44" s="4">
        <f t="shared" ref="H44" si="15">+D44/$N$3*$N$4</f>
        <v>26766408.175502755</v>
      </c>
      <c r="I44" s="5">
        <f>+H44/C44</f>
        <v>0.8922136058500918</v>
      </c>
      <c r="J44" s="4">
        <f t="shared" ref="J44" si="16">+D44/$N$3</f>
        <v>1115267.0073126147</v>
      </c>
      <c r="K44" s="4">
        <f>+(C44-D44)/$N$2</f>
        <v>1761985.3722120642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0.83783783783783783</v>
      </c>
      <c r="E2" s="13">
        <v>33</v>
      </c>
      <c r="F2" s="12">
        <f>+H2-E2</f>
        <v>29</v>
      </c>
      <c r="G2" s="13">
        <f>VLOOKUP(B2,'Base Cobertura'!$A:$C,3,FALSE)</f>
        <v>74</v>
      </c>
      <c r="H2" s="13">
        <f>VLOOKUP(B2,'Base Cobertura'!$A:$C,2,FALSE)</f>
        <v>62</v>
      </c>
      <c r="I2" s="17">
        <f>(+G2*$M$2)-H2</f>
        <v>0.89999999999999858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0.45867768595041325</v>
      </c>
      <c r="E3" s="13">
        <v>1</v>
      </c>
      <c r="F3" s="12">
        <f t="shared" ref="F3:F38" si="1">+H3-E3</f>
        <v>110</v>
      </c>
      <c r="G3" s="13">
        <f>VLOOKUP(B3,'Base Cobertura'!$A:$C,3,FALSE)</f>
        <v>242</v>
      </c>
      <c r="H3" s="13">
        <f>VLOOKUP(B3,'Base Cobertura'!$A:$C,2,FALSE)</f>
        <v>111</v>
      </c>
      <c r="I3" s="17">
        <f t="shared" ref="I3:I38" si="2">(+G3*$M$2)-H3</f>
        <v>94.699999999999989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72</v>
      </c>
      <c r="T3" s="12">
        <v>214</v>
      </c>
      <c r="U3" s="41">
        <f>+S3/T3</f>
        <v>0.3364485981308411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0.8722466960352423</v>
      </c>
      <c r="E4" s="13">
        <v>126</v>
      </c>
      <c r="F4" s="12">
        <f t="shared" si="1"/>
        <v>72</v>
      </c>
      <c r="G4" s="13">
        <f>VLOOKUP(B4,'Base Cobertura'!$A:$C,3,FALSE)</f>
        <v>227</v>
      </c>
      <c r="H4" s="13">
        <f>VLOOKUP(B4,'Base Cobertura'!$A:$C,2,FALSE)</f>
        <v>198</v>
      </c>
      <c r="I4" s="17">
        <f t="shared" si="2"/>
        <v>-5.0500000000000114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53</v>
      </c>
      <c r="T4" s="13">
        <v>214</v>
      </c>
      <c r="U4" s="5">
        <f t="shared" ref="U4:U11" si="3">+S4/T4</f>
        <v>0.24766355140186916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0.75384615384615383</v>
      </c>
      <c r="E5" s="13">
        <v>21</v>
      </c>
      <c r="F5" s="12">
        <f t="shared" si="1"/>
        <v>28</v>
      </c>
      <c r="G5" s="13">
        <f>VLOOKUP(B5,'Base Cobertura'!$A:$C,3,FALSE)</f>
        <v>65</v>
      </c>
      <c r="H5" s="13">
        <f>VLOOKUP(B5,'Base Cobertura'!$A:$C,2,FALSE)</f>
        <v>49</v>
      </c>
      <c r="I5" s="17">
        <f t="shared" si="2"/>
        <v>6.25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89</v>
      </c>
      <c r="T5" s="13">
        <v>214</v>
      </c>
      <c r="U5" s="5">
        <f t="shared" si="3"/>
        <v>0.41588785046728971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0.88405797101449279</v>
      </c>
      <c r="E6" s="13">
        <v>100</v>
      </c>
      <c r="F6" s="12">
        <f t="shared" si="1"/>
        <v>83</v>
      </c>
      <c r="G6" s="13">
        <f>VLOOKUP(B6,'Base Cobertura'!$A:$C,3,FALSE)</f>
        <v>207</v>
      </c>
      <c r="H6" s="13">
        <f>VLOOKUP(B6,'Base Cobertura'!$A:$C,2,FALSE)</f>
        <v>183</v>
      </c>
      <c r="I6" s="17">
        <f t="shared" si="2"/>
        <v>-7.0500000000000114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48</v>
      </c>
      <c r="T6" s="13">
        <v>214</v>
      </c>
      <c r="U6" s="5">
        <f t="shared" si="3"/>
        <v>0.22429906542056074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0.81313131313131315</v>
      </c>
      <c r="E7" s="13">
        <v>81</v>
      </c>
      <c r="F7" s="12">
        <f t="shared" si="1"/>
        <v>80</v>
      </c>
      <c r="G7" s="13">
        <f>VLOOKUP(B7,'Base Cobertura'!$A:$C,3,FALSE)</f>
        <v>198</v>
      </c>
      <c r="H7" s="13">
        <f>VLOOKUP(B7,'Base Cobertura'!$A:$C,2,FALSE)</f>
        <v>161</v>
      </c>
      <c r="I7" s="17">
        <f t="shared" si="2"/>
        <v>7.2999999999999829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91</v>
      </c>
      <c r="T7" s="13">
        <v>214</v>
      </c>
      <c r="U7" s="5">
        <f t="shared" si="3"/>
        <v>0.42523364485981308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0.86915887850467288</v>
      </c>
      <c r="E8" s="13">
        <v>89</v>
      </c>
      <c r="F8" s="12">
        <f t="shared" si="1"/>
        <v>97</v>
      </c>
      <c r="G8" s="13">
        <f>VLOOKUP(B8,'Base Cobertura'!$A:$C,3,FALSE)</f>
        <v>214</v>
      </c>
      <c r="H8" s="13">
        <f>VLOOKUP(B8,'Base Cobertura'!$A:$C,2,FALSE)</f>
        <v>186</v>
      </c>
      <c r="I8" s="17">
        <f t="shared" si="2"/>
        <v>-4.0999999999999943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84</v>
      </c>
      <c r="T8" s="13">
        <v>214</v>
      </c>
      <c r="U8" s="5">
        <f t="shared" si="3"/>
        <v>0.3925233644859813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0.78106508875739644</v>
      </c>
      <c r="E9" s="13">
        <v>92</v>
      </c>
      <c r="F9" s="12">
        <f t="shared" si="1"/>
        <v>40</v>
      </c>
      <c r="G9" s="13">
        <f>VLOOKUP(B9,'Base Cobertura'!$A:$C,3,FALSE)</f>
        <v>169</v>
      </c>
      <c r="H9" s="13">
        <f>VLOOKUP(B9,'Base Cobertura'!$A:$C,2,FALSE)</f>
        <v>132</v>
      </c>
      <c r="I9" s="17">
        <f t="shared" si="2"/>
        <v>11.650000000000006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0.75384615384615383</v>
      </c>
      <c r="E10" s="13">
        <v>64</v>
      </c>
      <c r="F10" s="12">
        <f t="shared" si="1"/>
        <v>83</v>
      </c>
      <c r="G10" s="13">
        <f>VLOOKUP(B10,'Base Cobertura'!$A:$C,3,FALSE)</f>
        <v>195</v>
      </c>
      <c r="H10" s="13">
        <f>VLOOKUP(B10,'Base Cobertura'!$A:$C,2,FALSE)</f>
        <v>147</v>
      </c>
      <c r="I10" s="17">
        <f t="shared" si="2"/>
        <v>18.75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23</v>
      </c>
      <c r="T10" s="13">
        <v>214</v>
      </c>
      <c r="U10" s="5">
        <f t="shared" si="3"/>
        <v>0.10747663551401869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0.49019607843137253</v>
      </c>
      <c r="E11" s="31">
        <v>19</v>
      </c>
      <c r="F11" s="33">
        <f t="shared" si="1"/>
        <v>31</v>
      </c>
      <c r="G11" s="13">
        <f>VLOOKUP(B11,'Base Cobertura'!$A:$C,3,FALSE)</f>
        <v>102</v>
      </c>
      <c r="H11" s="13">
        <f>VLOOKUP(B11,'Base Cobertura'!$A:$C,2,FALSE)</f>
        <v>50</v>
      </c>
      <c r="I11" s="34">
        <f t="shared" si="2"/>
        <v>36.700000000000003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42</v>
      </c>
      <c r="T11" s="13">
        <v>214</v>
      </c>
      <c r="U11" s="5">
        <f t="shared" si="3"/>
        <v>0.19626168224299065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0.56190476190476191</v>
      </c>
      <c r="E12" s="31">
        <v>24</v>
      </c>
      <c r="F12" s="33">
        <f t="shared" si="1"/>
        <v>35</v>
      </c>
      <c r="G12" s="13">
        <f>VLOOKUP(B12,'Base Cobertura'!$A:$C,3,FALSE)</f>
        <v>105</v>
      </c>
      <c r="H12" s="13">
        <f>VLOOKUP(B12,'Base Cobertura'!$A:$C,2,FALSE)</f>
        <v>59</v>
      </c>
      <c r="I12" s="34">
        <f t="shared" si="2"/>
        <v>30.25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0.84674329501915713</v>
      </c>
      <c r="E13" s="13">
        <v>144</v>
      </c>
      <c r="F13" s="12">
        <f t="shared" si="1"/>
        <v>77</v>
      </c>
      <c r="G13" s="13">
        <f>VLOOKUP(B13,'Base Cobertura'!$A:$C,3,FALSE)</f>
        <v>261</v>
      </c>
      <c r="H13" s="13">
        <f>VLOOKUP(B13,'Base Cobertura'!$A:$C,2,FALSE)</f>
        <v>221</v>
      </c>
      <c r="I13" s="17">
        <f t="shared" si="2"/>
        <v>0.84999999999999432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0.75824175824175821</v>
      </c>
      <c r="E14" s="13">
        <v>85</v>
      </c>
      <c r="F14" s="12">
        <f t="shared" si="1"/>
        <v>53</v>
      </c>
      <c r="G14" s="13">
        <f>VLOOKUP(B14,'Base Cobertura'!$A:$C,3,FALSE)</f>
        <v>182</v>
      </c>
      <c r="H14" s="13">
        <f>VLOOKUP(B14,'Base Cobertura'!$A:$C,2,FALSE)</f>
        <v>138</v>
      </c>
      <c r="I14" s="17">
        <f t="shared" si="2"/>
        <v>16.699999999999989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818</v>
      </c>
      <c r="G15" s="8">
        <f>+SUM(G2:G14)</f>
        <v>2241</v>
      </c>
      <c r="H15" s="8">
        <f>+SUM(H2:H14)</f>
        <v>1697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0.78881987577639756</v>
      </c>
      <c r="E16" s="13">
        <v>90</v>
      </c>
      <c r="F16" s="12">
        <f t="shared" si="1"/>
        <v>37</v>
      </c>
      <c r="G16" s="13">
        <f>VLOOKUP(B16,'Base Cobertura'!$A:$C,3,FALSE)</f>
        <v>161</v>
      </c>
      <c r="H16" s="13">
        <f>VLOOKUP(B16,'Base Cobertura'!$A:$C,2,FALSE)</f>
        <v>127</v>
      </c>
      <c r="I16" s="17">
        <f t="shared" si="2"/>
        <v>9.8499999999999943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0.63861386138613863</v>
      </c>
      <c r="E17" s="13">
        <v>92</v>
      </c>
      <c r="F17" s="12">
        <f t="shared" si="1"/>
        <v>37</v>
      </c>
      <c r="G17" s="13">
        <f>VLOOKUP(B17,'Base Cobertura'!$A:$C,3,FALSE)</f>
        <v>202</v>
      </c>
      <c r="H17" s="13">
        <f>VLOOKUP(B17,'Base Cobertura'!$A:$C,2,FALSE)</f>
        <v>129</v>
      </c>
      <c r="I17" s="17">
        <f t="shared" si="2"/>
        <v>42.699999999999989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0.85380116959064323</v>
      </c>
      <c r="E18" s="13">
        <v>88</v>
      </c>
      <c r="F18" s="12">
        <f t="shared" si="1"/>
        <v>58</v>
      </c>
      <c r="G18" s="13">
        <f>VLOOKUP(B18,'Base Cobertura'!$A:$C,3,FALSE)</f>
        <v>171</v>
      </c>
      <c r="H18" s="13">
        <f>VLOOKUP(B18,'Base Cobertura'!$A:$C,2,FALSE)</f>
        <v>146</v>
      </c>
      <c r="I18" s="17">
        <f t="shared" si="2"/>
        <v>-0.65000000000000568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0.87662337662337664</v>
      </c>
      <c r="E19" s="13">
        <v>95</v>
      </c>
      <c r="F19" s="12">
        <f t="shared" si="1"/>
        <v>40</v>
      </c>
      <c r="G19" s="13">
        <f>VLOOKUP(B19,'Base Cobertura'!$A:$C,3,FALSE)</f>
        <v>154</v>
      </c>
      <c r="H19" s="13">
        <f>VLOOKUP(B19,'Base Cobertura'!$A:$C,2,FALSE)</f>
        <v>135</v>
      </c>
      <c r="I19" s="17">
        <f t="shared" si="2"/>
        <v>-4.0999999999999943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0.86440677966101698</v>
      </c>
      <c r="E20" s="13">
        <v>83</v>
      </c>
      <c r="F20" s="12">
        <f t="shared" si="1"/>
        <v>70</v>
      </c>
      <c r="G20" s="13">
        <f>VLOOKUP(B20,'Base Cobertura'!$A:$C,3,FALSE)</f>
        <v>177</v>
      </c>
      <c r="H20" s="13">
        <f>VLOOKUP(B20,'Base Cobertura'!$A:$C,2,FALSE)</f>
        <v>153</v>
      </c>
      <c r="I20" s="17">
        <f t="shared" si="2"/>
        <v>-2.5500000000000114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0.81065088757396453</v>
      </c>
      <c r="E21" s="13">
        <v>64</v>
      </c>
      <c r="F21" s="12">
        <f t="shared" si="1"/>
        <v>73</v>
      </c>
      <c r="G21" s="13">
        <f>VLOOKUP(B21,'Base Cobertura'!$A:$C,3,FALSE)</f>
        <v>169</v>
      </c>
      <c r="H21" s="13">
        <f>VLOOKUP(B21,'Base Cobertura'!$A:$C,2,FALSE)</f>
        <v>137</v>
      </c>
      <c r="I21" s="17">
        <f t="shared" si="2"/>
        <v>6.6500000000000057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0.40909090909090912</v>
      </c>
      <c r="E22" s="13">
        <v>66</v>
      </c>
      <c r="F22" s="12">
        <f t="shared" si="1"/>
        <v>15</v>
      </c>
      <c r="G22" s="13">
        <f>VLOOKUP(B22,'Base Cobertura'!$A:$C,3,FALSE)</f>
        <v>198</v>
      </c>
      <c r="H22" s="13">
        <f>VLOOKUP(B22,'Base Cobertura'!$A:$C,2,FALSE)</f>
        <v>81</v>
      </c>
      <c r="I22" s="17">
        <f t="shared" si="2"/>
        <v>87.299999999999983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0.81159420289855078</v>
      </c>
      <c r="E23" s="13">
        <v>70</v>
      </c>
      <c r="F23" s="12">
        <f t="shared" si="1"/>
        <v>42</v>
      </c>
      <c r="G23" s="13">
        <f>VLOOKUP(B23,'Base Cobertura'!$A:$C,3,FALSE)</f>
        <v>138</v>
      </c>
      <c r="H23" s="13">
        <f>VLOOKUP(B23,'Base Cobertura'!$A:$C,2,FALSE)</f>
        <v>112</v>
      </c>
      <c r="I23" s="17">
        <f t="shared" si="2"/>
        <v>5.2999999999999972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0.87058823529411766</v>
      </c>
      <c r="E24" s="13">
        <v>79</v>
      </c>
      <c r="F24" s="12">
        <f t="shared" si="1"/>
        <v>69</v>
      </c>
      <c r="G24" s="13">
        <f>VLOOKUP(B24,'Base Cobertura'!$A:$C,3,FALSE)</f>
        <v>170</v>
      </c>
      <c r="H24" s="13">
        <f>VLOOKUP(B24,'Base Cobertura'!$A:$C,2,FALSE)</f>
        <v>148</v>
      </c>
      <c r="I24" s="17">
        <f t="shared" si="2"/>
        <v>-3.5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441</v>
      </c>
      <c r="G25" s="8">
        <f>+SUM(G16:G24)</f>
        <v>1540</v>
      </c>
      <c r="H25" s="8">
        <f>+SUM(H16:H24)</f>
        <v>1168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0.7931034482758621</v>
      </c>
      <c r="E26" s="13">
        <v>20</v>
      </c>
      <c r="F26" s="12">
        <f>+H26-E26</f>
        <v>26</v>
      </c>
      <c r="G26" s="13">
        <f>VLOOKUP(B26,'Base Cobertura'!$A:$C,3,FALSE)</f>
        <v>58</v>
      </c>
      <c r="H26" s="13">
        <f>VLOOKUP(B26,'Base Cobertura'!$A:$C,2,FALSE)</f>
        <v>46</v>
      </c>
      <c r="I26" s="17">
        <f t="shared" si="2"/>
        <v>3.2999999999999972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0.72499999999999998</v>
      </c>
      <c r="E27" s="13">
        <v>68</v>
      </c>
      <c r="F27" s="12">
        <f t="shared" si="1"/>
        <v>48</v>
      </c>
      <c r="G27" s="13">
        <f>VLOOKUP(B27,'Base Cobertura'!$A:$C,3,FALSE)</f>
        <v>160</v>
      </c>
      <c r="H27" s="13">
        <f>VLOOKUP(B27,'Base Cobertura'!$A:$C,2,FALSE)</f>
        <v>116</v>
      </c>
      <c r="I27" s="17">
        <f t="shared" si="2"/>
        <v>20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0.79503105590062106</v>
      </c>
      <c r="E28" s="13">
        <v>80</v>
      </c>
      <c r="F28" s="12">
        <f t="shared" si="1"/>
        <v>48</v>
      </c>
      <c r="G28" s="13">
        <f>VLOOKUP(B28,'Base Cobertura'!$A:$C,3,FALSE)</f>
        <v>161</v>
      </c>
      <c r="H28" s="13">
        <f>VLOOKUP(B28,'Base Cobertura'!$A:$C,2,FALSE)</f>
        <v>128</v>
      </c>
      <c r="I28" s="17">
        <f t="shared" si="2"/>
        <v>8.8499999999999943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0.45600000000000002</v>
      </c>
      <c r="E29" s="13">
        <v>68</v>
      </c>
      <c r="F29" s="12">
        <f t="shared" si="1"/>
        <v>46</v>
      </c>
      <c r="G29" s="13">
        <f>VLOOKUP(B29,'Base Cobertura'!$A:$C,3,FALSE)</f>
        <v>250</v>
      </c>
      <c r="H29" s="13">
        <f>VLOOKUP(B29,'Base Cobertura'!$A:$C,2,FALSE)</f>
        <v>114</v>
      </c>
      <c r="I29" s="17">
        <f t="shared" si="2"/>
        <v>98.5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0.93525179856115104</v>
      </c>
      <c r="E30" s="13">
        <v>73</v>
      </c>
      <c r="F30" s="12">
        <f t="shared" si="1"/>
        <v>57</v>
      </c>
      <c r="G30" s="13">
        <f>VLOOKUP(B30,'Base Cobertura'!$A:$C,3,FALSE)</f>
        <v>139</v>
      </c>
      <c r="H30" s="13">
        <f>VLOOKUP(B30,'Base Cobertura'!$A:$C,2,FALSE)</f>
        <v>130</v>
      </c>
      <c r="I30" s="17">
        <f t="shared" si="2"/>
        <v>-11.850000000000009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0.68852459016393441</v>
      </c>
      <c r="E31" s="13">
        <v>40</v>
      </c>
      <c r="F31" s="12">
        <f t="shared" si="1"/>
        <v>86</v>
      </c>
      <c r="G31" s="13">
        <f>VLOOKUP(B31,'Base Cobertura'!$A:$C,3,FALSE)</f>
        <v>183</v>
      </c>
      <c r="H31" s="13">
        <f>VLOOKUP(B31,'Base Cobertura'!$A:$C,2,FALSE)</f>
        <v>126</v>
      </c>
      <c r="I31" s="17">
        <f t="shared" si="2"/>
        <v>29.549999999999983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0.81547619047619047</v>
      </c>
      <c r="E32" s="13">
        <v>67</v>
      </c>
      <c r="F32" s="12">
        <f t="shared" si="1"/>
        <v>70</v>
      </c>
      <c r="G32" s="13">
        <f>VLOOKUP(B32,'Base Cobertura'!$A:$C,3,FALSE)</f>
        <v>168</v>
      </c>
      <c r="H32" s="13">
        <f>VLOOKUP(B32,'Base Cobertura'!$A:$C,2,FALSE)</f>
        <v>137</v>
      </c>
      <c r="I32" s="17">
        <f t="shared" si="2"/>
        <v>5.7999999999999829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0.79881656804733725</v>
      </c>
      <c r="E33" s="13">
        <v>66</v>
      </c>
      <c r="F33" s="12">
        <f t="shared" si="1"/>
        <v>69</v>
      </c>
      <c r="G33" s="13">
        <f>VLOOKUP(B33,'Base Cobertura'!$A:$C,3,FALSE)</f>
        <v>169</v>
      </c>
      <c r="H33" s="13">
        <f>VLOOKUP(B33,'Base Cobertura'!$A:$C,2,FALSE)</f>
        <v>135</v>
      </c>
      <c r="I33" s="17">
        <f t="shared" si="2"/>
        <v>8.6500000000000057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0.65730337078651691</v>
      </c>
      <c r="E35" s="13">
        <v>81</v>
      </c>
      <c r="F35" s="12">
        <f t="shared" si="1"/>
        <v>36</v>
      </c>
      <c r="G35" s="13">
        <f>VLOOKUP(B35,'Base Cobertura'!$A:$C,3,FALSE)</f>
        <v>178</v>
      </c>
      <c r="H35" s="13">
        <f>VLOOKUP(B35,'Base Cobertura'!$A:$C,2,FALSE)</f>
        <v>117</v>
      </c>
      <c r="I35" s="17">
        <f t="shared" si="2"/>
        <v>34.299999999999983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0.12173913043478261</v>
      </c>
      <c r="E36" s="13">
        <v>0</v>
      </c>
      <c r="F36" s="12">
        <f t="shared" si="1"/>
        <v>14</v>
      </c>
      <c r="G36" s="13">
        <f>VLOOKUP(B36,'Base Cobertura'!$A:$C,3,FALSE)</f>
        <v>115</v>
      </c>
      <c r="H36" s="13">
        <f>VLOOKUP(B36,'Base Cobertura'!$A:$C,2,FALSE)</f>
        <v>14</v>
      </c>
      <c r="I36" s="17">
        <f t="shared" si="2"/>
        <v>83.75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0.37142857142857144</v>
      </c>
      <c r="E37" s="13">
        <v>17</v>
      </c>
      <c r="F37" s="12">
        <f t="shared" si="1"/>
        <v>22</v>
      </c>
      <c r="G37" s="13">
        <f>VLOOKUP(B37,'Base Cobertura'!$A:$C,3,FALSE)</f>
        <v>105</v>
      </c>
      <c r="H37" s="13">
        <f>VLOOKUP(B37,'Base Cobertura'!$A:$C,2,FALSE)</f>
        <v>39</v>
      </c>
      <c r="I37" s="17">
        <f t="shared" si="2"/>
        <v>50.25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0.81889763779527558</v>
      </c>
      <c r="E38" s="13">
        <v>60</v>
      </c>
      <c r="F38" s="12">
        <f t="shared" si="1"/>
        <v>44</v>
      </c>
      <c r="G38" s="13">
        <f>VLOOKUP(B38,'Base Cobertura'!$A:$C,3,FALSE)</f>
        <v>127</v>
      </c>
      <c r="H38" s="13">
        <f>VLOOKUP(B38,'Base Cobertura'!$A:$C,2,FALSE)</f>
        <v>104</v>
      </c>
      <c r="I38" s="17">
        <f t="shared" si="2"/>
        <v>3.9500000000000028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554</v>
      </c>
      <c r="G39" s="8">
        <f>+SUM(G26:G38)</f>
        <v>1955</v>
      </c>
      <c r="H39" s="8">
        <f>+SUM(H26:H38)</f>
        <v>1276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1813</v>
      </c>
      <c r="G40" s="8">
        <f>+G15+G25+G39</f>
        <v>5736</v>
      </c>
      <c r="H40" s="8">
        <f>+H15+H25+H39</f>
        <v>4141</v>
      </c>
      <c r="I40" s="8"/>
      <c r="L40" s="1">
        <f>+H40/G40</f>
        <v>0.72193165969316597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0.31967213114754101</v>
      </c>
      <c r="E41" s="13">
        <v>60</v>
      </c>
      <c r="F41" s="12">
        <f t="shared" ref="F41:F42" si="5">+H41-E41</f>
        <v>-21</v>
      </c>
      <c r="G41" s="13">
        <f>VLOOKUP(B41,'Base Cobertura'!$A:$C,3,FALSE)</f>
        <v>122</v>
      </c>
      <c r="H41" s="13">
        <f>VLOOKUP(B41,'Base Cobertura'!$A:$C,2,FALSE)</f>
        <v>39</v>
      </c>
      <c r="I41" s="17">
        <f t="shared" ref="I41:I42" si="6">(+G41*$M$2)-H41</f>
        <v>64.7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0.41463414634146339</v>
      </c>
      <c r="E42" s="13">
        <v>60</v>
      </c>
      <c r="F42" s="12">
        <f t="shared" si="5"/>
        <v>-9</v>
      </c>
      <c r="G42" s="13">
        <f>VLOOKUP(B42,'Base Cobertura'!$A:$C,3,FALSE)</f>
        <v>123</v>
      </c>
      <c r="H42" s="13">
        <f>VLOOKUP(B42,'Base Cobertura'!$A:$C,2,FALSE)</f>
        <v>51</v>
      </c>
      <c r="I42" s="17">
        <f t="shared" si="6"/>
        <v>53.55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3432</v>
      </c>
      <c r="G3" t="s">
        <v>222</v>
      </c>
      <c r="H3" s="51">
        <v>1</v>
      </c>
      <c r="I3" s="51">
        <v>3432</v>
      </c>
    </row>
    <row r="4" spans="1:9" x14ac:dyDescent="0.25">
      <c r="A4">
        <v>1</v>
      </c>
      <c r="B4" s="51">
        <v>104</v>
      </c>
      <c r="C4" s="51">
        <v>127</v>
      </c>
      <c r="G4" t="s">
        <v>223</v>
      </c>
      <c r="H4">
        <v>2</v>
      </c>
      <c r="I4" s="51">
        <v>3432</v>
      </c>
    </row>
    <row r="5" spans="1:9" x14ac:dyDescent="0.25">
      <c r="A5">
        <v>10</v>
      </c>
      <c r="B5" s="51">
        <v>126</v>
      </c>
      <c r="C5" s="51">
        <v>183</v>
      </c>
      <c r="G5" t="s">
        <v>224</v>
      </c>
      <c r="H5" s="51">
        <v>1</v>
      </c>
      <c r="I5" s="51">
        <v>3432</v>
      </c>
    </row>
    <row r="6" spans="1:9" x14ac:dyDescent="0.25">
      <c r="A6">
        <v>100</v>
      </c>
      <c r="B6" s="51">
        <v>45</v>
      </c>
      <c r="C6" s="51">
        <v>2028</v>
      </c>
      <c r="G6" t="s">
        <v>225</v>
      </c>
      <c r="H6" s="51"/>
      <c r="I6" s="51">
        <v>3432</v>
      </c>
    </row>
    <row r="7" spans="1:9" x14ac:dyDescent="0.25">
      <c r="A7">
        <v>11</v>
      </c>
      <c r="B7" s="51">
        <v>132</v>
      </c>
      <c r="C7" s="51">
        <v>169</v>
      </c>
      <c r="G7" t="s">
        <v>226</v>
      </c>
      <c r="H7" s="51">
        <v>4</v>
      </c>
      <c r="I7" s="51">
        <v>3432</v>
      </c>
    </row>
    <row r="8" spans="1:9" x14ac:dyDescent="0.25">
      <c r="A8">
        <v>12</v>
      </c>
      <c r="B8" s="51">
        <v>186</v>
      </c>
      <c r="C8" s="51">
        <v>214</v>
      </c>
      <c r="G8" t="s">
        <v>227</v>
      </c>
      <c r="H8" s="51">
        <v>2</v>
      </c>
      <c r="I8" s="51">
        <v>3432</v>
      </c>
    </row>
    <row r="9" spans="1:9" x14ac:dyDescent="0.25">
      <c r="A9">
        <v>123</v>
      </c>
      <c r="B9" s="51">
        <v>37</v>
      </c>
      <c r="C9" s="51">
        <v>490</v>
      </c>
      <c r="G9" t="s">
        <v>228</v>
      </c>
      <c r="H9" s="51">
        <v>2</v>
      </c>
      <c r="I9" s="51">
        <v>3432</v>
      </c>
    </row>
    <row r="10" spans="1:9" x14ac:dyDescent="0.25">
      <c r="A10">
        <v>15</v>
      </c>
      <c r="B10" s="51">
        <v>49</v>
      </c>
      <c r="C10" s="51">
        <v>65</v>
      </c>
      <c r="G10" t="s">
        <v>229</v>
      </c>
      <c r="H10">
        <v>1</v>
      </c>
      <c r="I10" s="51">
        <v>3432</v>
      </c>
    </row>
    <row r="11" spans="1:9" x14ac:dyDescent="0.25">
      <c r="A11">
        <v>16</v>
      </c>
      <c r="B11" s="51">
        <v>161</v>
      </c>
      <c r="C11" s="51">
        <v>198</v>
      </c>
      <c r="G11" t="s">
        <v>230</v>
      </c>
      <c r="H11" s="51">
        <v>1</v>
      </c>
      <c r="I11" s="51">
        <v>3432</v>
      </c>
    </row>
    <row r="12" spans="1:9" x14ac:dyDescent="0.25">
      <c r="A12">
        <v>18</v>
      </c>
      <c r="B12" s="51">
        <v>153</v>
      </c>
      <c r="C12" s="51">
        <v>177</v>
      </c>
      <c r="E12">
        <f>+F12</f>
        <v>1</v>
      </c>
      <c r="F12">
        <v>1</v>
      </c>
      <c r="G12" t="s">
        <v>222</v>
      </c>
      <c r="H12">
        <v>47</v>
      </c>
      <c r="I12" s="51">
        <v>127</v>
      </c>
    </row>
    <row r="13" spans="1:9" x14ac:dyDescent="0.25">
      <c r="A13">
        <v>19</v>
      </c>
      <c r="B13" s="51">
        <v>183</v>
      </c>
      <c r="C13" s="51">
        <v>207</v>
      </c>
      <c r="E13">
        <f>+$E$12</f>
        <v>1</v>
      </c>
      <c r="G13" t="s">
        <v>223</v>
      </c>
      <c r="H13" s="51">
        <v>44</v>
      </c>
      <c r="I13" s="51">
        <v>127</v>
      </c>
    </row>
    <row r="14" spans="1:9" x14ac:dyDescent="0.25">
      <c r="A14">
        <v>2</v>
      </c>
      <c r="B14" s="51">
        <v>112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198</v>
      </c>
      <c r="C15" s="51">
        <v>227</v>
      </c>
      <c r="E15">
        <f t="shared" si="0"/>
        <v>1</v>
      </c>
      <c r="G15" t="s">
        <v>225</v>
      </c>
      <c r="H15" s="51">
        <v>43</v>
      </c>
      <c r="I15" s="51">
        <v>127</v>
      </c>
    </row>
    <row r="16" spans="1:9" x14ac:dyDescent="0.25">
      <c r="A16">
        <v>21</v>
      </c>
      <c r="B16" s="51">
        <v>146</v>
      </c>
      <c r="C16" s="51">
        <v>171</v>
      </c>
      <c r="E16">
        <f t="shared" si="0"/>
        <v>1</v>
      </c>
      <c r="G16" t="s">
        <v>226</v>
      </c>
      <c r="H16" s="51">
        <v>65</v>
      </c>
      <c r="I16" s="51">
        <v>127</v>
      </c>
    </row>
    <row r="17" spans="1:9" x14ac:dyDescent="0.25">
      <c r="A17">
        <v>22</v>
      </c>
      <c r="B17" s="51">
        <v>62</v>
      </c>
      <c r="C17" s="51">
        <v>74</v>
      </c>
      <c r="E17">
        <f t="shared" si="0"/>
        <v>1</v>
      </c>
      <c r="G17" t="s">
        <v>227</v>
      </c>
      <c r="H17" s="51">
        <v>61</v>
      </c>
      <c r="I17" s="51">
        <v>127</v>
      </c>
    </row>
    <row r="18" spans="1:9" x14ac:dyDescent="0.25">
      <c r="A18">
        <v>23</v>
      </c>
      <c r="B18" s="51">
        <v>135</v>
      </c>
      <c r="C18" s="51">
        <v>154</v>
      </c>
      <c r="E18">
        <f t="shared" si="0"/>
        <v>1</v>
      </c>
      <c r="G18" t="s">
        <v>228</v>
      </c>
      <c r="H18" s="51">
        <v>26</v>
      </c>
      <c r="I18" s="51">
        <v>127</v>
      </c>
    </row>
    <row r="19" spans="1:9" x14ac:dyDescent="0.25">
      <c r="A19">
        <v>24</v>
      </c>
      <c r="B19" s="51">
        <v>117</v>
      </c>
      <c r="C19" s="51">
        <v>178</v>
      </c>
      <c r="E19">
        <f t="shared" si="0"/>
        <v>1</v>
      </c>
      <c r="G19" t="s">
        <v>229</v>
      </c>
      <c r="H19" s="51">
        <v>34</v>
      </c>
      <c r="I19" s="51">
        <v>127</v>
      </c>
    </row>
    <row r="20" spans="1:9" x14ac:dyDescent="0.25">
      <c r="A20">
        <v>25</v>
      </c>
      <c r="B20" s="51">
        <v>78</v>
      </c>
      <c r="C20" s="51">
        <v>172</v>
      </c>
      <c r="E20">
        <f t="shared" si="0"/>
        <v>1</v>
      </c>
      <c r="G20" t="s">
        <v>230</v>
      </c>
      <c r="H20">
        <v>44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28</v>
      </c>
      <c r="I21" s="51">
        <v>183</v>
      </c>
    </row>
    <row r="22" spans="1:9" x14ac:dyDescent="0.25">
      <c r="A22">
        <v>27</v>
      </c>
      <c r="B22" s="51">
        <v>130</v>
      </c>
      <c r="C22" s="51">
        <v>139</v>
      </c>
      <c r="E22">
        <f t="shared" ref="E22:E29" si="1">+$F$21</f>
        <v>10</v>
      </c>
      <c r="G22" t="s">
        <v>223</v>
      </c>
      <c r="H22" s="51">
        <v>22</v>
      </c>
      <c r="I22" s="51">
        <v>183</v>
      </c>
    </row>
    <row r="23" spans="1:9" x14ac:dyDescent="0.25">
      <c r="A23">
        <v>28</v>
      </c>
      <c r="B23" s="51">
        <v>137</v>
      </c>
      <c r="C23" s="51">
        <v>168</v>
      </c>
      <c r="E23">
        <f t="shared" si="1"/>
        <v>10</v>
      </c>
      <c r="G23" t="s">
        <v>224</v>
      </c>
      <c r="H23" s="51">
        <v>63</v>
      </c>
      <c r="I23" s="51">
        <v>183</v>
      </c>
    </row>
    <row r="24" spans="1:9" x14ac:dyDescent="0.25">
      <c r="A24">
        <v>3</v>
      </c>
      <c r="B24" s="51">
        <v>148</v>
      </c>
      <c r="C24" s="51">
        <v>170</v>
      </c>
      <c r="E24">
        <f t="shared" si="1"/>
        <v>10</v>
      </c>
      <c r="G24" t="s">
        <v>225</v>
      </c>
      <c r="H24" s="51">
        <v>44</v>
      </c>
      <c r="I24" s="51">
        <v>183</v>
      </c>
    </row>
    <row r="25" spans="1:9" x14ac:dyDescent="0.25">
      <c r="A25">
        <v>30</v>
      </c>
      <c r="B25" s="51">
        <v>24</v>
      </c>
      <c r="C25" s="51">
        <v>139</v>
      </c>
      <c r="E25">
        <f t="shared" si="1"/>
        <v>10</v>
      </c>
      <c r="G25" t="s">
        <v>226</v>
      </c>
      <c r="H25" s="51">
        <v>72</v>
      </c>
      <c r="I25" s="51">
        <v>183</v>
      </c>
    </row>
    <row r="26" spans="1:9" x14ac:dyDescent="0.25">
      <c r="A26">
        <v>31</v>
      </c>
      <c r="B26" s="51">
        <v>127</v>
      </c>
      <c r="C26" s="51">
        <v>161</v>
      </c>
      <c r="E26">
        <f t="shared" si="1"/>
        <v>10</v>
      </c>
      <c r="G26" t="s">
        <v>227</v>
      </c>
      <c r="H26" s="51">
        <v>53</v>
      </c>
      <c r="I26" s="51">
        <v>183</v>
      </c>
    </row>
    <row r="27" spans="1:9" x14ac:dyDescent="0.25">
      <c r="A27">
        <v>32</v>
      </c>
      <c r="B27" s="51">
        <v>46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183</v>
      </c>
    </row>
    <row r="28" spans="1:9" x14ac:dyDescent="0.25">
      <c r="A28">
        <v>33</v>
      </c>
      <c r="B28" s="51">
        <v>135</v>
      </c>
      <c r="C28" s="51">
        <v>169</v>
      </c>
      <c r="E28">
        <f t="shared" si="1"/>
        <v>10</v>
      </c>
      <c r="G28" t="s">
        <v>229</v>
      </c>
      <c r="H28" s="51">
        <v>13</v>
      </c>
      <c r="I28" s="51">
        <v>183</v>
      </c>
    </row>
    <row r="29" spans="1:9" x14ac:dyDescent="0.25">
      <c r="A29">
        <v>36</v>
      </c>
      <c r="B29" s="51">
        <v>116</v>
      </c>
      <c r="C29" s="51">
        <v>160</v>
      </c>
      <c r="E29">
        <f t="shared" si="1"/>
        <v>10</v>
      </c>
      <c r="G29" t="s">
        <v>230</v>
      </c>
      <c r="H29" s="51">
        <v>24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28</v>
      </c>
      <c r="I30" s="51">
        <v>2028</v>
      </c>
    </row>
    <row r="31" spans="1:9" x14ac:dyDescent="0.25">
      <c r="A31">
        <v>4</v>
      </c>
      <c r="B31" s="51">
        <v>138</v>
      </c>
      <c r="C31" s="51">
        <v>182</v>
      </c>
      <c r="E31">
        <f t="shared" ref="E31:E38" si="2">+$F$30</f>
        <v>100</v>
      </c>
      <c r="G31" t="s">
        <v>223</v>
      </c>
      <c r="H31" s="51">
        <v>25</v>
      </c>
      <c r="I31" s="51">
        <v>2028</v>
      </c>
    </row>
    <row r="32" spans="1:9" x14ac:dyDescent="0.25">
      <c r="A32">
        <v>40</v>
      </c>
      <c r="B32" s="51">
        <v>114</v>
      </c>
      <c r="C32" s="51">
        <v>250</v>
      </c>
      <c r="E32">
        <f t="shared" si="2"/>
        <v>100</v>
      </c>
      <c r="G32" t="s">
        <v>224</v>
      </c>
      <c r="H32" s="51">
        <v>26</v>
      </c>
      <c r="I32" s="51">
        <v>2028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11</v>
      </c>
      <c r="I33" s="51">
        <v>2028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30</v>
      </c>
      <c r="I34" s="51">
        <v>2028</v>
      </c>
    </row>
    <row r="35" spans="1:9" x14ac:dyDescent="0.25">
      <c r="A35">
        <v>44</v>
      </c>
      <c r="B35" s="51">
        <v>137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2028</v>
      </c>
    </row>
    <row r="36" spans="1:9" x14ac:dyDescent="0.25">
      <c r="A36">
        <v>49</v>
      </c>
      <c r="B36" s="51">
        <v>111</v>
      </c>
      <c r="C36" s="51">
        <v>242</v>
      </c>
      <c r="E36">
        <f t="shared" si="2"/>
        <v>100</v>
      </c>
      <c r="G36" t="s">
        <v>228</v>
      </c>
      <c r="H36" s="51">
        <v>22</v>
      </c>
      <c r="I36" s="51">
        <v>2028</v>
      </c>
    </row>
    <row r="37" spans="1:9" x14ac:dyDescent="0.25">
      <c r="A37">
        <v>5</v>
      </c>
      <c r="B37" s="51">
        <v>221</v>
      </c>
      <c r="C37" s="51">
        <v>261</v>
      </c>
      <c r="E37">
        <f t="shared" si="2"/>
        <v>100</v>
      </c>
      <c r="G37" t="s">
        <v>229</v>
      </c>
      <c r="H37" s="51">
        <v>7</v>
      </c>
      <c r="I37" s="51">
        <v>2028</v>
      </c>
    </row>
    <row r="38" spans="1:9" x14ac:dyDescent="0.25">
      <c r="A38">
        <v>52</v>
      </c>
      <c r="B38" s="51">
        <v>50</v>
      </c>
      <c r="C38" s="51">
        <v>102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59</v>
      </c>
      <c r="C39" s="51">
        <v>105</v>
      </c>
      <c r="E39">
        <f>+$F$39</f>
        <v>11</v>
      </c>
      <c r="F39">
        <v>11</v>
      </c>
      <c r="G39" t="s">
        <v>222</v>
      </c>
      <c r="H39" s="51">
        <v>49</v>
      </c>
      <c r="I39" s="51">
        <v>169</v>
      </c>
    </row>
    <row r="40" spans="1:9" x14ac:dyDescent="0.25">
      <c r="A40">
        <v>54</v>
      </c>
      <c r="B40" s="51">
        <v>129</v>
      </c>
      <c r="C40" s="51">
        <v>202</v>
      </c>
      <c r="E40">
        <f t="shared" ref="E40:E47" si="3">+$F$39</f>
        <v>11</v>
      </c>
      <c r="G40" t="s">
        <v>223</v>
      </c>
      <c r="H40" s="51">
        <v>35</v>
      </c>
      <c r="I40" s="51">
        <v>169</v>
      </c>
    </row>
    <row r="41" spans="1:9" x14ac:dyDescent="0.25">
      <c r="A41">
        <v>56</v>
      </c>
      <c r="B41">
        <v>81</v>
      </c>
      <c r="C41" s="51">
        <v>198</v>
      </c>
      <c r="E41">
        <f t="shared" si="3"/>
        <v>11</v>
      </c>
      <c r="G41" t="s">
        <v>224</v>
      </c>
      <c r="H41" s="51">
        <v>86</v>
      </c>
      <c r="I41" s="51">
        <v>169</v>
      </c>
    </row>
    <row r="42" spans="1:9" x14ac:dyDescent="0.25">
      <c r="A42">
        <v>57</v>
      </c>
      <c r="B42" s="51">
        <v>39</v>
      </c>
      <c r="C42" s="51">
        <v>105</v>
      </c>
      <c r="E42">
        <f t="shared" si="3"/>
        <v>11</v>
      </c>
      <c r="G42" t="s">
        <v>225</v>
      </c>
      <c r="H42" s="51">
        <v>44</v>
      </c>
      <c r="I42" s="51">
        <v>169</v>
      </c>
    </row>
    <row r="43" spans="1:9" x14ac:dyDescent="0.25">
      <c r="A43">
        <v>58</v>
      </c>
      <c r="B43" s="51">
        <v>39</v>
      </c>
      <c r="C43" s="51">
        <v>122</v>
      </c>
      <c r="E43">
        <f t="shared" si="3"/>
        <v>11</v>
      </c>
      <c r="G43" t="s">
        <v>226</v>
      </c>
      <c r="H43" s="51">
        <v>90</v>
      </c>
      <c r="I43" s="51">
        <v>169</v>
      </c>
    </row>
    <row r="44" spans="1:9" x14ac:dyDescent="0.25">
      <c r="A44">
        <v>59</v>
      </c>
      <c r="B44" s="51">
        <v>51</v>
      </c>
      <c r="C44" s="51">
        <v>123</v>
      </c>
      <c r="E44">
        <f t="shared" si="3"/>
        <v>11</v>
      </c>
      <c r="G44" t="s">
        <v>227</v>
      </c>
      <c r="H44" s="51">
        <v>66</v>
      </c>
      <c r="I44" s="51">
        <v>169</v>
      </c>
    </row>
    <row r="45" spans="1:9" x14ac:dyDescent="0.25">
      <c r="A45">
        <v>7</v>
      </c>
      <c r="B45" s="51">
        <v>14</v>
      </c>
      <c r="C45" s="51">
        <v>115</v>
      </c>
      <c r="E45">
        <f t="shared" si="3"/>
        <v>11</v>
      </c>
      <c r="G45" t="s">
        <v>228</v>
      </c>
      <c r="H45" s="51">
        <v>14</v>
      </c>
      <c r="I45" s="51">
        <v>169</v>
      </c>
    </row>
    <row r="46" spans="1:9" x14ac:dyDescent="0.25">
      <c r="A46">
        <v>8</v>
      </c>
      <c r="B46" s="51">
        <v>147</v>
      </c>
      <c r="C46" s="51">
        <v>195</v>
      </c>
      <c r="E46">
        <f t="shared" si="3"/>
        <v>11</v>
      </c>
      <c r="G46" t="s">
        <v>229</v>
      </c>
      <c r="H46" s="51">
        <v>28</v>
      </c>
      <c r="I46" s="51">
        <v>169</v>
      </c>
    </row>
    <row r="47" spans="1:9" x14ac:dyDescent="0.25">
      <c r="A47">
        <v>9</v>
      </c>
      <c r="B47" s="51">
        <v>128</v>
      </c>
      <c r="C47" s="51">
        <v>161</v>
      </c>
      <c r="E47">
        <f t="shared" si="3"/>
        <v>11</v>
      </c>
      <c r="G47" t="s">
        <v>230</v>
      </c>
      <c r="H47" s="51">
        <v>21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72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53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89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48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91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84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23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19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15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5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3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13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26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31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98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42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88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75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11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39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30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61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46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63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54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117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86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36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44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68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41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94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57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126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96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36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44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29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51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50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72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59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15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26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35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84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110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66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125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107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41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35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69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67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100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57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123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99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26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38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37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43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31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34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33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51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37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31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31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62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50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92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52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109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92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35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31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42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13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78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69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52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38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31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33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26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18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58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31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62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48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96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83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31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22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25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51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88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80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17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53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37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75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45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95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78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33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30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11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3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7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55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30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70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43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99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85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31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30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18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19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19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23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26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15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19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49</v>
      </c>
      <c r="I228" s="51">
        <v>169</v>
      </c>
    </row>
    <row r="229" spans="5:9" x14ac:dyDescent="0.25">
      <c r="E229">
        <f t="shared" ref="E229:E236" si="24">+$F$228</f>
        <v>33</v>
      </c>
      <c r="G229" t="s">
        <v>223</v>
      </c>
      <c r="H229" s="51">
        <v>40</v>
      </c>
      <c r="I229" s="51">
        <v>169</v>
      </c>
    </row>
    <row r="230" spans="5:9" x14ac:dyDescent="0.25">
      <c r="E230">
        <f t="shared" si="24"/>
        <v>33</v>
      </c>
      <c r="G230" t="s">
        <v>224</v>
      </c>
      <c r="H230" s="51">
        <v>61</v>
      </c>
      <c r="I230" s="51">
        <v>169</v>
      </c>
    </row>
    <row r="231" spans="5:9" x14ac:dyDescent="0.25">
      <c r="E231">
        <f t="shared" si="24"/>
        <v>33</v>
      </c>
      <c r="G231" t="s">
        <v>225</v>
      </c>
      <c r="H231" s="51">
        <v>42</v>
      </c>
      <c r="I231" s="51">
        <v>169</v>
      </c>
    </row>
    <row r="232" spans="5:9" x14ac:dyDescent="0.25">
      <c r="E232">
        <f t="shared" si="24"/>
        <v>33</v>
      </c>
      <c r="G232" t="s">
        <v>226</v>
      </c>
      <c r="H232" s="51">
        <v>76</v>
      </c>
      <c r="I232" s="51">
        <v>169</v>
      </c>
    </row>
    <row r="233" spans="5:9" x14ac:dyDescent="0.25">
      <c r="E233">
        <f t="shared" si="24"/>
        <v>33</v>
      </c>
      <c r="G233" t="s">
        <v>227</v>
      </c>
      <c r="H233" s="51">
        <v>69</v>
      </c>
      <c r="I233" s="51">
        <v>169</v>
      </c>
    </row>
    <row r="234" spans="5:9" x14ac:dyDescent="0.25">
      <c r="E234">
        <f t="shared" si="24"/>
        <v>33</v>
      </c>
      <c r="G234" t="s">
        <v>228</v>
      </c>
      <c r="H234" s="51">
        <v>14</v>
      </c>
      <c r="I234" s="51">
        <v>169</v>
      </c>
    </row>
    <row r="235" spans="5:9" x14ac:dyDescent="0.25">
      <c r="E235">
        <f t="shared" si="24"/>
        <v>33</v>
      </c>
      <c r="G235" t="s">
        <v>229</v>
      </c>
      <c r="H235" s="51">
        <v>28</v>
      </c>
      <c r="I235" s="51">
        <v>169</v>
      </c>
    </row>
    <row r="236" spans="5:9" x14ac:dyDescent="0.25">
      <c r="E236">
        <f t="shared" si="24"/>
        <v>33</v>
      </c>
      <c r="G236" t="s">
        <v>230</v>
      </c>
      <c r="H236">
        <v>19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21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46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81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54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20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17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43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26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19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16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41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35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64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89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64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40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33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10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36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42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76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74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31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23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18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40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83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48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110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93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34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30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37</v>
      </c>
      <c r="I300" s="51">
        <v>242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242</v>
      </c>
    </row>
    <row r="302" spans="5:9" x14ac:dyDescent="0.25">
      <c r="E302">
        <f t="shared" si="32"/>
        <v>49</v>
      </c>
      <c r="G302" t="s">
        <v>224</v>
      </c>
      <c r="H302" s="51">
        <v>59</v>
      </c>
      <c r="I302" s="51">
        <v>242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242</v>
      </c>
    </row>
    <row r="304" spans="5:9" x14ac:dyDescent="0.25">
      <c r="E304">
        <f t="shared" si="32"/>
        <v>49</v>
      </c>
      <c r="G304" t="s">
        <v>226</v>
      </c>
      <c r="H304" s="51">
        <v>52</v>
      </c>
      <c r="I304" s="51">
        <v>242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242</v>
      </c>
    </row>
    <row r="306" spans="5:9" x14ac:dyDescent="0.25">
      <c r="E306">
        <f t="shared" si="32"/>
        <v>49</v>
      </c>
      <c r="G306" t="s">
        <v>228</v>
      </c>
      <c r="H306" s="51">
        <v>45</v>
      </c>
      <c r="I306" s="51">
        <v>242</v>
      </c>
    </row>
    <row r="307" spans="5:9" x14ac:dyDescent="0.25">
      <c r="E307">
        <f t="shared" si="32"/>
        <v>49</v>
      </c>
      <c r="G307" t="s">
        <v>229</v>
      </c>
      <c r="H307">
        <v>25</v>
      </c>
      <c r="I307" s="51">
        <v>242</v>
      </c>
    </row>
    <row r="308" spans="5:9" x14ac:dyDescent="0.25">
      <c r="E308">
        <f t="shared" si="32"/>
        <v>49</v>
      </c>
      <c r="G308" t="s">
        <v>230</v>
      </c>
      <c r="H308">
        <v>27</v>
      </c>
      <c r="I308" s="51">
        <v>242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95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72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114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59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153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111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46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51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102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102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102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102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102</v>
      </c>
    </row>
    <row r="323" spans="5:9" x14ac:dyDescent="0.25">
      <c r="E323">
        <f t="shared" si="34"/>
        <v>52</v>
      </c>
      <c r="G323" t="s">
        <v>227</v>
      </c>
      <c r="I323" s="51">
        <v>102</v>
      </c>
    </row>
    <row r="324" spans="5:9" x14ac:dyDescent="0.25">
      <c r="E324">
        <f t="shared" si="34"/>
        <v>52</v>
      </c>
      <c r="G324" t="s">
        <v>228</v>
      </c>
      <c r="H324" s="51">
        <v>50</v>
      </c>
      <c r="I324" s="51">
        <v>102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102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102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12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58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52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26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81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59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85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75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31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38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15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24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39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123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123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123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123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123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123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123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123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123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4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6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7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61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38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81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34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96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84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42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52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50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40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71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76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18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27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tabSelected="1"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0.24168851273148148</v>
      </c>
    </row>
    <row r="3" spans="1:4" x14ac:dyDescent="0.25">
      <c r="A3" s="138" t="s">
        <v>245</v>
      </c>
      <c r="B3" s="138" t="s">
        <v>4</v>
      </c>
      <c r="C3" s="136"/>
      <c r="D3" s="136">
        <v>0.27449464699074072</v>
      </c>
    </row>
    <row r="4" spans="1:4" x14ac:dyDescent="0.25">
      <c r="A4" s="138" t="s">
        <v>246</v>
      </c>
      <c r="B4" s="138" t="s">
        <v>11</v>
      </c>
      <c r="C4" s="136"/>
      <c r="D4" s="136">
        <v>0.26314048032407411</v>
      </c>
    </row>
    <row r="5" spans="1:4" x14ac:dyDescent="0.25">
      <c r="A5" s="138" t="s">
        <v>247</v>
      </c>
      <c r="B5" s="138" t="s">
        <v>17</v>
      </c>
      <c r="C5" s="136"/>
      <c r="D5" s="136">
        <v>0.25367303240740746</v>
      </c>
    </row>
    <row r="6" spans="1:4" x14ac:dyDescent="0.25">
      <c r="A6" s="138" t="s">
        <v>248</v>
      </c>
      <c r="B6" s="138" t="s">
        <v>22</v>
      </c>
      <c r="C6" s="136"/>
      <c r="D6" s="136">
        <v>0.23522164351851854</v>
      </c>
    </row>
    <row r="7" spans="1:4" x14ac:dyDescent="0.25">
      <c r="A7" s="138" t="s">
        <v>249</v>
      </c>
      <c r="B7" s="138" t="s">
        <v>279</v>
      </c>
      <c r="C7" s="136"/>
      <c r="D7" s="136">
        <v>0.2659452160493827</v>
      </c>
    </row>
    <row r="8" spans="1:4" x14ac:dyDescent="0.25">
      <c r="A8" s="138" t="s">
        <v>250</v>
      </c>
      <c r="B8" s="138" t="s">
        <v>72</v>
      </c>
      <c r="C8" s="136"/>
      <c r="D8" s="136">
        <v>0.24143315972222221</v>
      </c>
    </row>
    <row r="9" spans="1:4" x14ac:dyDescent="0.25">
      <c r="A9" s="138" t="s">
        <v>251</v>
      </c>
      <c r="B9" s="138" t="s">
        <v>3</v>
      </c>
      <c r="C9" s="136"/>
      <c r="D9" s="136">
        <v>0.25416782407407407</v>
      </c>
    </row>
    <row r="10" spans="1:4" x14ac:dyDescent="0.25">
      <c r="A10" s="138" t="s">
        <v>252</v>
      </c>
      <c r="B10" s="138" t="s">
        <v>187</v>
      </c>
      <c r="C10" s="136"/>
      <c r="D10" s="136">
        <v>0.13563247492283953</v>
      </c>
    </row>
    <row r="11" spans="1:4" x14ac:dyDescent="0.25">
      <c r="A11" s="138" t="s">
        <v>253</v>
      </c>
      <c r="B11" s="138" t="s">
        <v>19</v>
      </c>
      <c r="C11" s="136"/>
      <c r="D11" s="136">
        <v>0.25587065972222223</v>
      </c>
    </row>
    <row r="12" spans="1:4" x14ac:dyDescent="0.25">
      <c r="A12" s="138" t="s">
        <v>254</v>
      </c>
      <c r="B12" s="138" t="s">
        <v>71</v>
      </c>
      <c r="C12" s="136"/>
      <c r="D12" s="136">
        <v>0.28506886574074075</v>
      </c>
    </row>
    <row r="13" spans="1:4" x14ac:dyDescent="0.25">
      <c r="A13" s="138" t="s">
        <v>255</v>
      </c>
      <c r="B13" s="138" t="s">
        <v>6</v>
      </c>
      <c r="C13" s="136"/>
      <c r="D13" s="136">
        <v>0.24992028356481483</v>
      </c>
    </row>
    <row r="14" spans="1:4" x14ac:dyDescent="0.25">
      <c r="A14" s="138" t="s">
        <v>256</v>
      </c>
      <c r="B14" s="138" t="s">
        <v>280</v>
      </c>
      <c r="C14" s="136"/>
      <c r="D14" s="136">
        <v>0.27195254629629623</v>
      </c>
    </row>
    <row r="15" spans="1:4" x14ac:dyDescent="0.25">
      <c r="A15" s="138" t="s">
        <v>257</v>
      </c>
      <c r="B15" s="138" t="s">
        <v>12</v>
      </c>
      <c r="C15" s="136"/>
      <c r="D15" s="136">
        <v>0.23162890624999999</v>
      </c>
    </row>
    <row r="16" spans="1:4" x14ac:dyDescent="0.25">
      <c r="A16" s="138" t="s">
        <v>258</v>
      </c>
      <c r="B16" s="138" t="s">
        <v>21</v>
      </c>
      <c r="C16" s="136"/>
      <c r="D16" s="136">
        <v>0.23612181712962962</v>
      </c>
    </row>
    <row r="17" spans="1:4" x14ac:dyDescent="0.25">
      <c r="A17" s="138" t="s">
        <v>259</v>
      </c>
      <c r="B17" s="138" t="s">
        <v>73</v>
      </c>
      <c r="C17" s="136"/>
      <c r="D17" s="136">
        <v>0.24916203703703704</v>
      </c>
    </row>
    <row r="18" spans="1:4" x14ac:dyDescent="0.25">
      <c r="A18" s="138" t="s">
        <v>260</v>
      </c>
      <c r="B18" s="138" t="s">
        <v>20</v>
      </c>
      <c r="C18" s="136"/>
      <c r="D18" s="136">
        <v>0.25667129629629631</v>
      </c>
    </row>
    <row r="19" spans="1:4" x14ac:dyDescent="0.25">
      <c r="A19" s="138" t="s">
        <v>261</v>
      </c>
      <c r="B19" s="138" t="s">
        <v>15</v>
      </c>
      <c r="C19" s="136"/>
      <c r="D19" s="136">
        <v>0.25702372685185187</v>
      </c>
    </row>
    <row r="20" spans="1:4" x14ac:dyDescent="0.25">
      <c r="A20" s="138" t="s">
        <v>262</v>
      </c>
      <c r="B20" s="138" t="s">
        <v>14</v>
      </c>
      <c r="C20" s="136"/>
      <c r="D20" s="136">
        <v>0.27975795717592589</v>
      </c>
    </row>
    <row r="21" spans="1:4" x14ac:dyDescent="0.25">
      <c r="A21" s="138" t="s">
        <v>263</v>
      </c>
      <c r="B21" s="138" t="s">
        <v>8</v>
      </c>
      <c r="C21" s="136"/>
      <c r="D21" s="136">
        <v>0.23529152199074074</v>
      </c>
    </row>
    <row r="22" spans="1:4" x14ac:dyDescent="0.25">
      <c r="A22" s="138" t="s">
        <v>264</v>
      </c>
      <c r="B22" s="138" t="s">
        <v>1</v>
      </c>
      <c r="C22" s="136"/>
      <c r="D22" s="136">
        <v>0.23864771412037039</v>
      </c>
    </row>
    <row r="23" spans="1:4" x14ac:dyDescent="0.25">
      <c r="A23" s="138" t="s">
        <v>265</v>
      </c>
      <c r="B23" s="138" t="s">
        <v>281</v>
      </c>
      <c r="C23" s="136"/>
      <c r="D23" s="136">
        <v>0.1753744212962963</v>
      </c>
    </row>
    <row r="24" spans="1:4" x14ac:dyDescent="0.25">
      <c r="A24" s="138" t="s">
        <v>266</v>
      </c>
      <c r="B24" s="138" t="s">
        <v>26</v>
      </c>
      <c r="C24" s="136"/>
      <c r="D24" s="136">
        <v>0.24229239004629632</v>
      </c>
    </row>
    <row r="25" spans="1:4" x14ac:dyDescent="0.25">
      <c r="A25" s="138" t="s">
        <v>267</v>
      </c>
      <c r="B25" s="138" t="s">
        <v>282</v>
      </c>
      <c r="C25" s="136"/>
      <c r="D25" s="136">
        <v>0.21716174768518517</v>
      </c>
    </row>
    <row r="26" spans="1:4" x14ac:dyDescent="0.25">
      <c r="A26" s="138" t="s">
        <v>268</v>
      </c>
      <c r="B26" s="138" t="s">
        <v>176</v>
      </c>
      <c r="C26" s="136"/>
      <c r="D26" s="136">
        <v>0.24989785879629628</v>
      </c>
    </row>
    <row r="27" spans="1:4" x14ac:dyDescent="0.25">
      <c r="A27" s="138" t="s">
        <v>269</v>
      </c>
      <c r="B27" s="138" t="s">
        <v>283</v>
      </c>
      <c r="C27" s="136"/>
      <c r="D27" s="136">
        <v>0.21723292824074078</v>
      </c>
    </row>
    <row r="28" spans="1:4" x14ac:dyDescent="0.25">
      <c r="A28" s="138" t="s">
        <v>270</v>
      </c>
      <c r="B28" s="138" t="s">
        <v>25</v>
      </c>
      <c r="C28" s="136"/>
      <c r="D28" s="136">
        <v>0.17548249421296297</v>
      </c>
    </row>
    <row r="29" spans="1:4" x14ac:dyDescent="0.25">
      <c r="A29" s="138" t="s">
        <v>271</v>
      </c>
      <c r="B29" s="138" t="s">
        <v>284</v>
      </c>
      <c r="C29" s="136"/>
      <c r="D29" s="136">
        <v>0.21374840856481481</v>
      </c>
    </row>
    <row r="30" spans="1:4" x14ac:dyDescent="0.25">
      <c r="A30" s="138" t="s">
        <v>272</v>
      </c>
      <c r="B30" s="138" t="s">
        <v>192</v>
      </c>
      <c r="C30" s="136"/>
      <c r="D30" s="136">
        <v>0.17916218171296297</v>
      </c>
    </row>
    <row r="31" spans="1:4" x14ac:dyDescent="0.25">
      <c r="A31" s="138" t="s">
        <v>273</v>
      </c>
      <c r="B31" s="138" t="s">
        <v>9</v>
      </c>
      <c r="C31" s="136"/>
      <c r="D31" s="136">
        <v>0.16258984375000002</v>
      </c>
    </row>
    <row r="32" spans="1:4" x14ac:dyDescent="0.25">
      <c r="A32" s="138" t="s">
        <v>274</v>
      </c>
      <c r="B32" s="138" t="s">
        <v>13</v>
      </c>
      <c r="C32" s="136"/>
      <c r="D32" s="136">
        <v>0.17483391203703705</v>
      </c>
    </row>
    <row r="33" spans="1:4" x14ac:dyDescent="0.25">
      <c r="A33" s="138" t="s">
        <v>275</v>
      </c>
      <c r="B33" s="138" t="s">
        <v>23</v>
      </c>
      <c r="C33" s="136"/>
      <c r="D33" s="136">
        <v>0.15167216435185185</v>
      </c>
    </row>
    <row r="34" spans="1:4" x14ac:dyDescent="0.25">
      <c r="A34" s="138" t="s">
        <v>276</v>
      </c>
      <c r="B34" s="138" t="s">
        <v>10</v>
      </c>
      <c r="C34" s="136"/>
      <c r="D34" s="136">
        <v>0.13005516975308642</v>
      </c>
    </row>
    <row r="35" spans="1:4" x14ac:dyDescent="0.25">
      <c r="A35" s="138" t="s">
        <v>277</v>
      </c>
      <c r="B35" s="138" t="s">
        <v>285</v>
      </c>
      <c r="C35" s="136"/>
      <c r="D35" s="136">
        <v>0.17018923611111111</v>
      </c>
    </row>
    <row r="36" spans="1:4" x14ac:dyDescent="0.25">
      <c r="A36" s="138" t="s">
        <v>278</v>
      </c>
      <c r="B36" s="138" t="s">
        <v>286</v>
      </c>
      <c r="C36" s="136"/>
      <c r="D36" s="136">
        <v>0.13530859375000004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2026-06-24T17:50:43Z</dcterms:modified>
</cp:coreProperties>
</file>