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2F3499B8-EAAE-43EC-9705-99F0D356705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<sst xmlns="http://schemas.openxmlformats.org/spreadsheetml/2006/main" count="1520" uniqueCount="287">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</sst>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78409.287405237803</v>
      </c>
      <c r="D2" s="149">
        <v>359622.64085954952</v>
      </c>
      <c r="E2" s="149">
        <v>1316457934.7979226</v>
      </c>
      <c r="F2" s="149">
        <v>0</v>
      </c>
      <c r="G2" s="149">
        <v>610593.22582036245</v>
      </c>
      <c r="H2" s="149">
        <v>610593.65</v>
      </c>
    </row>
    <row r="3" spans="1:8" x14ac:dyDescent="0.25">
      <c r="A3" s="149" t="s">
        <v>81</v>
      </c>
      <c r="B3" s="149">
        <v>1</v>
      </c>
      <c r="C3" s="149">
        <v>835.98388464530001</v>
      </c>
      <c r="D3" s="149">
        <v>1645.3885953910999</v>
      </c>
      <c r="E3" s="149">
        <v>20353107.527345363</v>
      </c>
      <c r="F3" s="149">
        <v>0</v>
      </c>
      <c r="G3" s="149">
        <v>610593.22582036245</v>
      </c>
      <c r="H3" s="149">
        <v>610593.65</v>
      </c>
    </row>
    <row r="4" spans="1:8" x14ac:dyDescent="0.25">
      <c r="A4" s="149" t="s">
        <v>82</v>
      </c>
      <c r="B4" s="149">
        <v>1</v>
      </c>
      <c r="C4" s="149">
        <v>609.13870436230002</v>
      </c>
      <c r="D4" s="149">
        <v>1199.3691488116001</v>
      </c>
      <c r="E4" s="149">
        <v>16305247.991793433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728.83890872790005</v>
      </c>
      <c r="D5" s="149">
        <v>2770.4015238031998</v>
      </c>
      <c r="E5" s="149">
        <v>15370574.019045111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1543.1484920631999</v>
      </c>
      <c r="D6" s="149">
        <v>3895.5919047958</v>
      </c>
      <c r="E6" s="149">
        <v>29702923.717855066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1473.2395119027999</v>
      </c>
      <c r="D7" s="149">
        <v>5597.8196071563998</v>
      </c>
      <c r="E7" s="149">
        <v>29458094.533872921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2885.4697407408999</v>
      </c>
      <c r="D8" s="149">
        <v>5181.3464768557997</v>
      </c>
      <c r="E8" s="149">
        <v>40168339.712393798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946.36828968259999</v>
      </c>
      <c r="D9" s="149">
        <v>3826.156482162</v>
      </c>
      <c r="E9" s="149">
        <v>17216779.28078286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685.65674801479997</v>
      </c>
      <c r="D10" s="149">
        <v>2007.0940050842</v>
      </c>
      <c r="E10" s="149">
        <v>16100590.373047655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744.9591269819</v>
      </c>
      <c r="D11" s="149">
        <v>1848.8235238068</v>
      </c>
      <c r="E11" s="149">
        <v>12636423.188325718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1172.9873452346999</v>
      </c>
      <c r="D12" s="149">
        <v>5588.0718690409003</v>
      </c>
      <c r="E12" s="149">
        <v>19549881.458716974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1671.6723730128001</v>
      </c>
      <c r="D13" s="149">
        <v>4505.6770952413999</v>
      </c>
      <c r="E13" s="149">
        <v>27781934.747848343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4803.3434523819997</v>
      </c>
      <c r="D14" s="149">
        <v>39589.870416668004</v>
      </c>
      <c r="E14" s="149">
        <v>78071251.827299207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1336.2341269823</v>
      </c>
      <c r="D15" s="149">
        <v>4808.9663333263998</v>
      </c>
      <c r="E15" s="149">
        <v>23147368.813229561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683.52850198160002</v>
      </c>
      <c r="D16" s="149">
        <v>3285.3500595416999</v>
      </c>
      <c r="E16" s="149">
        <v>17177821.502667878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1599.5662063458001</v>
      </c>
      <c r="D17" s="149">
        <v>5937.1574761978</v>
      </c>
      <c r="E17" s="149">
        <v>30853610.205797408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2375.2837777742002</v>
      </c>
      <c r="D18" s="149">
        <v>9224.5869523745005</v>
      </c>
      <c r="E18" s="149">
        <v>39442457.412246145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1755.7690462917001</v>
      </c>
      <c r="D19" s="149">
        <v>6127.2101666888002</v>
      </c>
      <c r="E19" s="149">
        <v>34811589.303403422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5021.0314801584</v>
      </c>
      <c r="D20" s="149">
        <v>24145.0997797538</v>
      </c>
      <c r="E20" s="149">
        <v>79945640.923369437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861.08817459900001</v>
      </c>
      <c r="D21" s="149">
        <v>3534.0087381139001</v>
      </c>
      <c r="E21" s="149">
        <v>19536256.278035127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745.85491269720001</v>
      </c>
      <c r="D22" s="149">
        <v>2181.4554523806</v>
      </c>
      <c r="E22" s="149">
        <v>11138355.416896759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3153.6254920606998</v>
      </c>
      <c r="D23" s="149">
        <v>20182.6822380868</v>
      </c>
      <c r="E23" s="149">
        <v>62171132.504181929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4167.3937499998001</v>
      </c>
      <c r="D24" s="149">
        <v>31683.610827379602</v>
      </c>
      <c r="E24" s="149">
        <v>71407426.339247167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1124.4720476149</v>
      </c>
      <c r="D25" s="149">
        <v>4591.3258333499998</v>
      </c>
      <c r="E25" s="149">
        <v>19986206.379396059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1324.5116746010999</v>
      </c>
      <c r="D26" s="149">
        <v>2046.5264404814</v>
      </c>
      <c r="E26" s="149">
        <v>16473987.177289817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8560.4190476190997</v>
      </c>
      <c r="D27" s="149">
        <v>18513.5899999998</v>
      </c>
      <c r="E27" s="149">
        <v>84792422.473866537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1272.6315641494</v>
      </c>
      <c r="D28" s="149">
        <v>4692.8746354330997</v>
      </c>
      <c r="E28" s="149">
        <v>23709322.376347769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4276.1817857141004</v>
      </c>
      <c r="D29" s="149">
        <v>11236.903333337101</v>
      </c>
      <c r="E29" s="149">
        <v>54928077.646119483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530.5124603168</v>
      </c>
      <c r="D30" s="149">
        <v>2314.7458333343998</v>
      </c>
      <c r="E30" s="149">
        <v>10450667.040721137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637.53822618720005</v>
      </c>
      <c r="D31" s="149">
        <v>1672.9574999969</v>
      </c>
      <c r="E31" s="149">
        <v>10793754.353707753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349.00902777739998</v>
      </c>
      <c r="D32" s="149">
        <v>959.98499999700005</v>
      </c>
      <c r="E32" s="149">
        <v>5900128.3583673304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923.07228174500005</v>
      </c>
      <c r="D33" s="149">
        <v>3356.4000000158999</v>
      </c>
      <c r="E33" s="149">
        <v>15804120.212155512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111.6588760504</v>
      </c>
      <c r="D34" s="149">
        <v>1406.4741666653999</v>
      </c>
      <c r="E34" s="149">
        <v>3232111.9214435378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1689.1194444444</v>
      </c>
      <c r="D35" s="149">
        <v>10581.395333333199</v>
      </c>
      <c r="E35" s="149">
        <v>21379822.506904159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1108.3191428550999</v>
      </c>
      <c r="D36" s="149">
        <v>3904.8159524117</v>
      </c>
      <c r="E36" s="149">
        <v>20611302.587251738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1882.8222817458</v>
      </c>
      <c r="D37" s="149">
        <v>7788.3120714283004</v>
      </c>
      <c r="E37" s="149">
        <v>30024266.652704835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1369.9505050502</v>
      </c>
      <c r="D38" s="149">
        <v>15959.8999999968</v>
      </c>
      <c r="E38" s="149">
        <v>31888291.839335572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1716.9444444441999</v>
      </c>
      <c r="D39" s="149">
        <v>20790.9899999958</v>
      </c>
      <c r="E39" s="149">
        <v>38730140.606586255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2013.0713955018</v>
      </c>
      <c r="D40" s="149">
        <v>11186.6537487201</v>
      </c>
      <c r="E40" s="149">
        <v>29127959.990246467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3483.7005158728998</v>
      </c>
      <c r="D41" s="149">
        <v>16700.558607147701</v>
      </c>
      <c r="E41" s="149">
        <v>39327902.03385032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463.85277777789997</v>
      </c>
      <c r="D42" s="149">
        <v>5192.0000000016998</v>
      </c>
      <c r="E42" s="149">
        <v>9510418.9883585088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898.36314484050001</v>
      </c>
      <c r="D43" s="149">
        <v>6775.8078419561998</v>
      </c>
      <c r="E43" s="149">
        <v>26234005.111392636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1411.0798611114999</v>
      </c>
      <c r="D44" s="149">
        <v>13747.847773805201</v>
      </c>
      <c r="E44" s="149">
        <v>21229662.770730246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678.84029762060004</v>
      </c>
      <c r="D45" s="149">
        <v>6725.7181154803002</v>
      </c>
      <c r="E45" s="149">
        <v>15102286.086119911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2783.0345555556</v>
      </c>
      <c r="D46" s="149">
        <v>711.12000000039995</v>
      </c>
      <c r="E46" s="149">
        <v>74874270.607625648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39442457.412246145</v>
      </c>
      <c r="E2" s="59">
        <v>34821188.028384879</v>
      </c>
      <c r="F2" s="59">
        <f t="shared" ref="F2:F9" si="0">+D2-E2</f>
        <v>4621269.3838612661</v>
      </c>
      <c r="G2" s="60">
        <f t="shared" ref="G2:G41" si="1">+D2/C2</f>
        <v>1.221920250516298</v>
      </c>
      <c r="H2" s="59">
        <f>+D2/$N$3*$N$4</f>
        <v>52589943.216328189</v>
      </c>
      <c r="I2" s="60">
        <f t="shared" ref="I2:I41" si="2">+H2/C2</f>
        <v>1.6292270006883973</v>
      </c>
      <c r="J2" s="59">
        <f>+D2/$N$3</f>
        <v>2191247.6340136747</v>
      </c>
      <c r="K2" s="59">
        <f t="shared" ref="K2:K41" si="3">+(C2-D2)/$N$2</f>
        <v>-1193896.7956658986</v>
      </c>
      <c r="L2" s="61" cm="1">
        <f t="array" ref="L2">+_xlfn.IFS(I2&gt;114%,H2*0.02,I2&gt;109%,H2*0.015,I2&gt;104%,H2*0.0125,I2&gt;99%,H2*0.01,I2&lt;99%,H2*0)</f>
        <v>1051798.8643265639</v>
      </c>
      <c r="M2" s="53" t="s">
        <v>36</v>
      </c>
      <c r="N2">
        <v>6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30853610.205797408</v>
      </c>
      <c r="E3" s="4">
        <v>27567774.716282606</v>
      </c>
      <c r="F3" s="4">
        <f t="shared" si="0"/>
        <v>3285835.4895148017</v>
      </c>
      <c r="G3" s="5">
        <f t="shared" si="1"/>
        <v>0.9958325821941707</v>
      </c>
      <c r="H3" s="4">
        <f t="shared" ref="H3:H41" si="4">+D3/$N$3*$N$4</f>
        <v>41138146.94106321</v>
      </c>
      <c r="I3" s="5">
        <f t="shared" si="2"/>
        <v>1.3277767762588943</v>
      </c>
      <c r="J3" s="4">
        <f t="shared" ref="J3:J41" si="5">+D3/$N$3</f>
        <v>1714089.4558776338</v>
      </c>
      <c r="K3" s="4">
        <f t="shared" si="3"/>
        <v>21519.662180974457</v>
      </c>
      <c r="L3" s="63" cm="1">
        <f t="array" ref="L3">+_xlfn.IFS(I3&gt;114%,H3*0.02,I3&gt;109%,H3*0.015,I3&gt;104%,H3*0.0125,I3&gt;99%,H3*0.01,I3&lt;99%,H3*0)</f>
        <v>822762.93882126419</v>
      </c>
      <c r="M3" s="53" t="s">
        <v>40</v>
      </c>
      <c r="N3">
        <f>N4-N2</f>
        <v>18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23147368.813229561</v>
      </c>
      <c r="E4" s="4">
        <v>21408635.082281552</v>
      </c>
      <c r="F4" s="4">
        <f t="shared" si="0"/>
        <v>1738733.7309480086</v>
      </c>
      <c r="G4" s="5">
        <f t="shared" si="1"/>
        <v>0.81533438977652906</v>
      </c>
      <c r="H4" s="4">
        <f t="shared" si="4"/>
        <v>30863158.417639412</v>
      </c>
      <c r="I4" s="5">
        <f t="shared" si="2"/>
        <v>1.0871125197020386</v>
      </c>
      <c r="J4" s="4">
        <f t="shared" si="5"/>
        <v>1285964.9340683089</v>
      </c>
      <c r="K4" s="4">
        <f t="shared" si="3"/>
        <v>873777.07448644878</v>
      </c>
      <c r="L4" s="63" cm="1">
        <f t="array" ref="L4">+_xlfn.IFS(I4&gt;114%,H4*0.02,I4&gt;109%,H4*0.015,I4&gt;104%,H4*0.0125,I4&gt;99%,H4*0.01,I4&lt;99%,H4*0)</f>
        <v>385789.4802204927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27781934.747848343</v>
      </c>
      <c r="E5" s="4">
        <v>26662861.805003796</v>
      </c>
      <c r="F5" s="4">
        <f t="shared" si="0"/>
        <v>1119072.9428445473</v>
      </c>
      <c r="G5" s="5">
        <f t="shared" si="1"/>
        <v>0.97858063252105298</v>
      </c>
      <c r="H5" s="4">
        <f t="shared" si="4"/>
        <v>37042579.663797788</v>
      </c>
      <c r="I5" s="5">
        <f t="shared" si="2"/>
        <v>1.3047741766947372</v>
      </c>
      <c r="J5" s="4">
        <f t="shared" si="5"/>
        <v>1543440.8193249078</v>
      </c>
      <c r="K5" s="4">
        <f t="shared" si="3"/>
        <v>101349.41871665169</v>
      </c>
      <c r="L5" s="63" cm="1">
        <f t="array" ref="L5">+_xlfn.IFS(I5&gt;114%,H5*0.02,I5&gt;109%,H5*0.015,I5&gt;104%,H5*0.0125,I5&gt;99%,H5*0.01,I5&lt;99%,H5*0)</f>
        <v>740851.59327595576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19549881.458716974</v>
      </c>
      <c r="E6" s="4">
        <v>18588525.306868427</v>
      </c>
      <c r="F6" s="4">
        <f t="shared" si="0"/>
        <v>961356.15184854716</v>
      </c>
      <c r="G6" s="5">
        <f t="shared" si="1"/>
        <v>0.83089423005236507</v>
      </c>
      <c r="H6" s="4">
        <f t="shared" si="4"/>
        <v>26066508.611622632</v>
      </c>
      <c r="I6" s="5">
        <f t="shared" si="2"/>
        <v>1.1078589734031534</v>
      </c>
      <c r="J6" s="4">
        <f t="shared" si="5"/>
        <v>1086104.5254842762</v>
      </c>
      <c r="K6" s="4">
        <f t="shared" si="3"/>
        <v>663140.51313385868</v>
      </c>
      <c r="L6" s="63" cm="1">
        <f t="array" ref="L6">+_xlfn.IFS(I6&gt;114%,H6*0.02,I6&gt;109%,H6*0.015,I6&gt;104%,H6*0.0125,I6&gt;99%,H6*0.01,I6&lt;99%,H6*0)</f>
        <v>390997.62917433947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17216779.28078286</v>
      </c>
      <c r="E7" s="4">
        <v>16410648.477623299</v>
      </c>
      <c r="F7" s="4">
        <f t="shared" ref="F7:F8" si="6">+D7-E7</f>
        <v>806130.80315956101</v>
      </c>
      <c r="G7" s="5">
        <f t="shared" si="1"/>
        <v>0.62060658959767501</v>
      </c>
      <c r="H7" s="4">
        <f t="shared" si="4"/>
        <v>22955705.707710482</v>
      </c>
      <c r="I7" s="5">
        <f t="shared" si="2"/>
        <v>0.82747545279690016</v>
      </c>
      <c r="J7" s="4">
        <f t="shared" si="5"/>
        <v>956487.73782127001</v>
      </c>
      <c r="K7" s="4">
        <f t="shared" si="3"/>
        <v>1754179.6249469407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29458094.533872921</v>
      </c>
      <c r="E8" s="4">
        <v>27943877.977304827</v>
      </c>
      <c r="F8" s="4">
        <f t="shared" si="6"/>
        <v>1514216.5565680936</v>
      </c>
      <c r="G8" s="5">
        <f t="shared" si="1"/>
        <v>0.82213825512245864</v>
      </c>
      <c r="H8" s="4">
        <f t="shared" si="4"/>
        <v>39277459.378497228</v>
      </c>
      <c r="I8" s="5">
        <f t="shared" si="2"/>
        <v>1.096184340163278</v>
      </c>
      <c r="J8" s="4">
        <f t="shared" si="5"/>
        <v>1636560.8074373845</v>
      </c>
      <c r="K8" s="4">
        <f t="shared" si="3"/>
        <v>1062162.8138407972</v>
      </c>
      <c r="L8" s="63" cm="1">
        <f t="array" ref="L8">+_xlfn.IFS(I8&gt;114%,H8*0.02,I8&gt;109%,H8*0.015,I8&gt;104%,H8*0.0125,I8&gt;99%,H8*0.01,I8&lt;99%,H8*0)</f>
        <v>589161.89067745837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29702923.717855066</v>
      </c>
      <c r="E9" s="4">
        <v>27226807.953012794</v>
      </c>
      <c r="F9" s="4">
        <f t="shared" si="0"/>
        <v>2476115.7648422718</v>
      </c>
      <c r="G9" s="5">
        <f t="shared" si="1"/>
        <v>0.82897112877933032</v>
      </c>
      <c r="H9" s="4">
        <f t="shared" si="4"/>
        <v>39603898.290473416</v>
      </c>
      <c r="I9" s="5">
        <f t="shared" si="2"/>
        <v>1.1052948383724401</v>
      </c>
      <c r="J9" s="4">
        <f t="shared" si="5"/>
        <v>1650162.4287697258</v>
      </c>
      <c r="K9" s="4">
        <f t="shared" si="3"/>
        <v>1021357.949843773</v>
      </c>
      <c r="L9" s="63" cm="1">
        <f t="array" ref="L9">+_xlfn.IFS(I9&gt;114%,H9*0.02,I9&gt;109%,H9*0.015,I9&gt;104%,H9*0.0125,I9&gt;99%,H9*0.01,I9&lt;99%,H9*0)</f>
        <v>594058.47435710125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217153050.17034927</v>
      </c>
      <c r="E10" s="65">
        <v>200630319.34676215</v>
      </c>
      <c r="F10" s="64">
        <f>+SUM(F2:F9)</f>
        <v>16522730.823587097</v>
      </c>
      <c r="G10" s="66">
        <f t="shared" si="1"/>
        <v>0.89372740012004315</v>
      </c>
      <c r="H10" s="64">
        <f t="shared" si="4"/>
        <v>289537400.22713238</v>
      </c>
      <c r="I10" s="66">
        <f t="shared" si="2"/>
        <v>1.1916365334933909</v>
      </c>
      <c r="J10" s="64">
        <f t="shared" si="5"/>
        <v>12064058.342797183</v>
      </c>
      <c r="K10" s="67">
        <f t="shared" si="3"/>
        <v>4303590.2614835398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79945640.923369437</v>
      </c>
      <c r="E11" s="59">
        <v>74082211.855177656</v>
      </c>
      <c r="F11" s="59">
        <f t="shared" ref="F11:F16" si="7">+D11-E11</f>
        <v>5863429.0681917816</v>
      </c>
      <c r="G11" s="60">
        <f t="shared" si="1"/>
        <v>0.82442028005392176</v>
      </c>
      <c r="H11" s="59">
        <f t="shared" si="4"/>
        <v>106594187.89782593</v>
      </c>
      <c r="I11" s="60">
        <f t="shared" si="2"/>
        <v>1.0992270400718958</v>
      </c>
      <c r="J11" s="59">
        <f t="shared" si="5"/>
        <v>4441424.4957427466</v>
      </c>
      <c r="K11" s="59">
        <f t="shared" si="3"/>
        <v>2837717.9261280126</v>
      </c>
      <c r="L11" s="61" cm="1">
        <f t="array" ref="L11">+_xlfn.IFS(I11&gt;114%,H11*0.0125,I11&gt;109%,H11*0.01,I11&gt;104%,H11*0.0075,I11&gt;99%,H11*0.005,I11&lt;99%,H11*0)</f>
        <v>1065941.8789782594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30024266.652704835</v>
      </c>
      <c r="E12" s="4">
        <v>30027072.435104836</v>
      </c>
      <c r="F12" s="4">
        <f t="shared" si="7"/>
        <v>-2805.7824000008404</v>
      </c>
      <c r="G12" s="5">
        <f t="shared" si="1"/>
        <v>0.94920676827016404</v>
      </c>
      <c r="H12" s="4">
        <f t="shared" si="4"/>
        <v>40032355.536939777</v>
      </c>
      <c r="I12" s="5">
        <f t="shared" si="2"/>
        <v>1.2656090243602187</v>
      </c>
      <c r="J12" s="4">
        <f t="shared" si="5"/>
        <v>1668014.8140391575</v>
      </c>
      <c r="K12" s="4">
        <f t="shared" si="3"/>
        <v>267772.62597702816</v>
      </c>
      <c r="L12" s="63" cm="1">
        <f t="array" ref="L12">+_xlfn.IFS(I12&gt;114%,H12*0.02,I12&gt;109%,H12*0.015,I12&gt;104%,H12*0.0125,I12&gt;99%,H12*0.01,I12&lt;99%,H12*0)</f>
        <v>800647.1107387956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78071251.827299207</v>
      </c>
      <c r="E13" s="4">
        <v>76140619.230495334</v>
      </c>
      <c r="F13" s="4">
        <f t="shared" si="7"/>
        <v>1930632.5968038738</v>
      </c>
      <c r="G13" s="5">
        <f t="shared" si="1"/>
        <v>0.60820247788258586</v>
      </c>
      <c r="H13" s="4">
        <f t="shared" si="4"/>
        <v>104095002.43639894</v>
      </c>
      <c r="I13" s="5">
        <f t="shared" si="2"/>
        <v>0.81093663717678111</v>
      </c>
      <c r="J13" s="4">
        <f t="shared" si="5"/>
        <v>4337291.7681832891</v>
      </c>
      <c r="K13" s="4">
        <f t="shared" si="3"/>
        <v>8382110.70788763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31888291.839335572</v>
      </c>
      <c r="E14" s="4">
        <v>31014254.294333346</v>
      </c>
      <c r="F14" s="4">
        <f t="shared" si="7"/>
        <v>874037.54500222579</v>
      </c>
      <c r="G14" s="5">
        <f t="shared" si="1"/>
        <v>0.75121319049855795</v>
      </c>
      <c r="H14" s="4">
        <f t="shared" si="4"/>
        <v>42517722.452447429</v>
      </c>
      <c r="I14" s="5">
        <f t="shared" si="2"/>
        <v>1.0016175873314106</v>
      </c>
      <c r="J14" s="4">
        <f t="shared" si="5"/>
        <v>1771571.7688519761</v>
      </c>
      <c r="K14" s="4">
        <f t="shared" si="3"/>
        <v>1760127.5926065713</v>
      </c>
      <c r="L14" s="63" cm="1">
        <f t="array" ref="L14">+_xlfn.IFS(I14&gt;109%,H14*0.015,I14&gt;104%,H14*0.0125,I14&gt;99%,H14*0.01,I14&lt;99%,H14*0)</f>
        <v>425177.2245244743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38730140.606586255</v>
      </c>
      <c r="E15" s="4">
        <v>34560427.812981017</v>
      </c>
      <c r="F15" s="4">
        <f t="shared" si="7"/>
        <v>4169712.7936052382</v>
      </c>
      <c r="G15" s="5">
        <f t="shared" si="1"/>
        <v>0.91239106315635221</v>
      </c>
      <c r="H15" s="4">
        <f t="shared" si="4"/>
        <v>51640187.47544834</v>
      </c>
      <c r="I15" s="5">
        <f t="shared" si="2"/>
        <v>1.2165214175418029</v>
      </c>
      <c r="J15" s="4">
        <f t="shared" si="5"/>
        <v>2151674.4781436808</v>
      </c>
      <c r="K15" s="4">
        <f t="shared" si="3"/>
        <v>619819.46473145729</v>
      </c>
      <c r="L15" s="63" cm="1">
        <f t="array" ref="L15">+_xlfn.IFS(I15&gt;109%,H15*0.015,I15&gt;104%,H15*0.0125,I15&gt;99%,H15*0.01,I15&lt;99%,H15*0)</f>
        <v>774602.81213172502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258659591.84929529</v>
      </c>
      <c r="E16" s="65">
        <v>245824585.62809217</v>
      </c>
      <c r="F16" s="64">
        <f t="shared" si="7"/>
        <v>12835006.221203119</v>
      </c>
      <c r="G16" s="66">
        <f t="shared" si="1"/>
        <v>0.75661352088211087</v>
      </c>
      <c r="H16" s="64">
        <f t="shared" si="4"/>
        <v>344879455.7990604</v>
      </c>
      <c r="I16" s="66">
        <f t="shared" si="2"/>
        <v>1.0088180278428145</v>
      </c>
      <c r="J16" s="64">
        <f t="shared" si="5"/>
        <v>14369977.32496085</v>
      </c>
      <c r="K16" s="67">
        <f t="shared" si="3"/>
        <v>13867548.317330703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16305247.991793433</v>
      </c>
      <c r="E17" s="59">
        <v>14656169.833183007</v>
      </c>
      <c r="F17" s="59">
        <f t="shared" ref="F17:F40" si="8">+D17-E17</f>
        <v>1649078.1586104259</v>
      </c>
      <c r="G17" s="60">
        <f t="shared" si="1"/>
        <v>0.55577196517343619</v>
      </c>
      <c r="H17" s="59">
        <f t="shared" si="4"/>
        <v>21740330.655724578</v>
      </c>
      <c r="I17" s="60">
        <f t="shared" si="2"/>
        <v>0.74102928689791503</v>
      </c>
      <c r="J17" s="59">
        <f t="shared" si="5"/>
        <v>905847.11065519077</v>
      </c>
      <c r="K17" s="59">
        <f t="shared" si="3"/>
        <v>2172128.3567844285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15370574.019045111</v>
      </c>
      <c r="E18" s="4">
        <v>14595011.902884074</v>
      </c>
      <c r="F18" s="4">
        <f t="shared" si="8"/>
        <v>775562.11616103724</v>
      </c>
      <c r="G18" s="5">
        <f t="shared" si="1"/>
        <v>0.61582044454834783</v>
      </c>
      <c r="H18" s="4">
        <f t="shared" si="4"/>
        <v>20494098.692060146</v>
      </c>
      <c r="I18" s="5">
        <f t="shared" si="2"/>
        <v>0.82109392606446363</v>
      </c>
      <c r="J18" s="4">
        <f t="shared" si="5"/>
        <v>853920.77883583948</v>
      </c>
      <c r="K18" s="4">
        <f t="shared" si="3"/>
        <v>1598155.3134924818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17177821.502667878</v>
      </c>
      <c r="E19" s="4">
        <v>16255092.69370864</v>
      </c>
      <c r="F19" s="4">
        <f t="shared" si="8"/>
        <v>922728.80895923823</v>
      </c>
      <c r="G19" s="5">
        <f t="shared" si="1"/>
        <v>0.66434829696492914</v>
      </c>
      <c r="H19" s="4">
        <f t="shared" si="4"/>
        <v>22903762.003557168</v>
      </c>
      <c r="I19" s="5">
        <f t="shared" si="2"/>
        <v>0.88579772928657208</v>
      </c>
      <c r="J19" s="4">
        <f t="shared" si="5"/>
        <v>954323.41681488208</v>
      </c>
      <c r="K19" s="4">
        <f t="shared" si="3"/>
        <v>1446471.4438053537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34811589.303403422</v>
      </c>
      <c r="E20" s="4">
        <v>33119601.555834576</v>
      </c>
      <c r="F20" s="4">
        <f t="shared" si="8"/>
        <v>1691987.7475688457</v>
      </c>
      <c r="G20" s="5">
        <f t="shared" si="1"/>
        <v>1.0376610947734917</v>
      </c>
      <c r="H20" s="4">
        <f t="shared" si="4"/>
        <v>46415452.404537894</v>
      </c>
      <c r="I20" s="5">
        <f t="shared" si="2"/>
        <v>1.3835481263646556</v>
      </c>
      <c r="J20" s="4">
        <f t="shared" si="5"/>
        <v>1933977.1835224123</v>
      </c>
      <c r="K20" s="4">
        <f t="shared" si="3"/>
        <v>-210576.55056723705</v>
      </c>
      <c r="L20" s="63" cm="1">
        <f t="array" ref="L20">+_xlfn.IFS(I20&gt;114%,H20*0.02,I20&gt;109%,H20*0.015,I20&gt;104%,H20*0.0125,I20&gt;99%,H20*0.01,I20&lt;99%,H20*0)</f>
        <v>928309.04809075792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19536256.278035127</v>
      </c>
      <c r="E21" s="4">
        <v>18450827.076554872</v>
      </c>
      <c r="F21" s="4">
        <f t="shared" ref="F21:F23" si="9">+D21-E21</f>
        <v>1085429.2014802545</v>
      </c>
      <c r="G21" s="5">
        <f t="shared" si="1"/>
        <v>0.76737626349834009</v>
      </c>
      <c r="H21" s="4">
        <f t="shared" si="4"/>
        <v>26048341.704046838</v>
      </c>
      <c r="I21" s="5">
        <f t="shared" si="2"/>
        <v>1.0231683513311203</v>
      </c>
      <c r="J21" s="4">
        <f t="shared" si="5"/>
        <v>1085347.5710019516</v>
      </c>
      <c r="K21" s="4">
        <f t="shared" si="3"/>
        <v>987042.2869941456</v>
      </c>
      <c r="L21" s="63" cm="1">
        <f t="array" ref="L21">+_xlfn.IFS(I21&gt;114%,H21*0.02,I21&gt;109%,H21*0.015,I21&gt;104%,H21*0.0125,I21&gt;99%,H21*0.01,I21&lt;99%,H21*0)</f>
        <v>260483.4170404684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23709322.376347769</v>
      </c>
      <c r="E22" s="4">
        <v>22536981.7966014</v>
      </c>
      <c r="F22" s="4">
        <f t="shared" si="9"/>
        <v>1172340.5797463693</v>
      </c>
      <c r="G22" s="5">
        <f t="shared" si="1"/>
        <v>0.7469175688465749</v>
      </c>
      <c r="H22" s="4">
        <f t="shared" si="4"/>
        <v>31612429.83513036</v>
      </c>
      <c r="I22" s="5">
        <f t="shared" si="2"/>
        <v>0.9958900917954332</v>
      </c>
      <c r="J22" s="4">
        <f t="shared" si="5"/>
        <v>1317184.576463765</v>
      </c>
      <c r="K22" s="4">
        <f t="shared" si="3"/>
        <v>1338927.9706087057</v>
      </c>
      <c r="L22" s="63" cm="1">
        <f t="array" ref="L22">+_xlfn.IFS(I22&gt;114%,H22*0.02,I22&gt;109%,H22*0.015,I22&gt;104%,H22*0.0125,I22&gt;99%,H22*0.01,I22&lt;99%,H22*0)</f>
        <v>316124.29835130362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20611302.587251738</v>
      </c>
      <c r="E23" s="4">
        <v>19249056.412220988</v>
      </c>
      <c r="F23" s="4">
        <f t="shared" si="9"/>
        <v>1362246.1750307493</v>
      </c>
      <c r="G23" s="5">
        <f t="shared" si="1"/>
        <v>0.75125174887222157</v>
      </c>
      <c r="H23" s="4">
        <f t="shared" si="4"/>
        <v>27481736.783002317</v>
      </c>
      <c r="I23" s="5">
        <f t="shared" si="2"/>
        <v>1.0016689984962954</v>
      </c>
      <c r="J23" s="4">
        <f t="shared" si="5"/>
        <v>1145072.3659584299</v>
      </c>
      <c r="K23" s="4">
        <f t="shared" si="3"/>
        <v>1137440.6071247112</v>
      </c>
      <c r="L23" s="63" cm="1">
        <f t="array" ref="L23">+_xlfn.IFS(I23&gt;114%,H23*0.02,I23&gt;109%,H23*0.015,I23&gt;104%,H23*0.0125,I23&gt;99%,H23*0.01,I23&lt;99%,H23*0)</f>
        <v>274817.36783002317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29127959.990246467</v>
      </c>
      <c r="E24" s="4">
        <v>27551059.898165032</v>
      </c>
      <c r="F24" s="4">
        <f t="shared" si="8"/>
        <v>1576900.092081435</v>
      </c>
      <c r="G24" s="5">
        <f t="shared" si="1"/>
        <v>0.86964567264986181</v>
      </c>
      <c r="H24" s="4">
        <f t="shared" si="4"/>
        <v>38837279.986995287</v>
      </c>
      <c r="I24" s="5">
        <f t="shared" si="2"/>
        <v>1.159527563533149</v>
      </c>
      <c r="J24" s="4">
        <f t="shared" si="5"/>
        <v>1618219.999458137</v>
      </c>
      <c r="K24" s="4">
        <f t="shared" si="3"/>
        <v>727682.50162558875</v>
      </c>
      <c r="L24" s="63" cm="1">
        <f t="array" ref="L24">+_xlfn.IFS(I24&gt;114%,H24*0.02,I24&gt;109%,H24*0.015,I24&gt;104%,H24*0.0125,I24&gt;99%,H24*0.01,I24&lt;99%,H24*0)</f>
        <v>776745.5997399058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39327902.03385032</v>
      </c>
      <c r="E25" s="4">
        <v>39552297.641850315</v>
      </c>
      <c r="F25" s="4">
        <f t="shared" si="8"/>
        <v>-224395.60799999535</v>
      </c>
      <c r="G25" s="5">
        <f t="shared" si="1"/>
        <v>0.72741951948153827</v>
      </c>
      <c r="H25" s="4">
        <f t="shared" si="4"/>
        <v>52437202.711800426</v>
      </c>
      <c r="I25" s="5">
        <f t="shared" si="2"/>
        <v>0.96989269264205091</v>
      </c>
      <c r="J25" s="4">
        <f t="shared" si="5"/>
        <v>2184883.4463250176</v>
      </c>
      <c r="K25" s="4">
        <f t="shared" si="3"/>
        <v>2456175.1385249482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215977976.08264127</v>
      </c>
      <c r="E26" s="65">
        <v>205966098.81100294</v>
      </c>
      <c r="F26" s="67">
        <f>+D26-E26</f>
        <v>10011877.271638334</v>
      </c>
      <c r="G26" s="66">
        <f t="shared" si="1"/>
        <v>0.75543543023630277</v>
      </c>
      <c r="H26" s="64">
        <f t="shared" si="4"/>
        <v>287970634.77685499</v>
      </c>
      <c r="I26" s="66">
        <f t="shared" si="2"/>
        <v>1.0072472403150703</v>
      </c>
      <c r="J26" s="64">
        <f t="shared" si="5"/>
        <v>11998776.449035626</v>
      </c>
      <c r="K26" s="67">
        <f t="shared" si="3"/>
        <v>11653447.068393126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54928077.646119483</v>
      </c>
      <c r="E27" s="59">
        <v>51318678.003578387</v>
      </c>
      <c r="F27" s="59">
        <f t="shared" si="8"/>
        <v>3609399.6425410956</v>
      </c>
      <c r="G27" s="60">
        <f t="shared" si="1"/>
        <v>0.6700368227715523</v>
      </c>
      <c r="H27" s="59">
        <f t="shared" si="4"/>
        <v>73237436.861492649</v>
      </c>
      <c r="I27" s="60">
        <f t="shared" si="2"/>
        <v>0.89338243036206977</v>
      </c>
      <c r="J27" s="59">
        <f t="shared" si="5"/>
        <v>3051559.8692288604</v>
      </c>
      <c r="K27" s="59">
        <f t="shared" si="3"/>
        <v>4508270.3923134198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10793754.353707753</v>
      </c>
      <c r="E28" s="4">
        <v>9969847.1082350891</v>
      </c>
      <c r="F28" s="4">
        <f t="shared" si="8"/>
        <v>823907.24547266401</v>
      </c>
      <c r="G28" s="5">
        <f t="shared" si="1"/>
        <v>0.51398830255751204</v>
      </c>
      <c r="H28" s="4">
        <f t="shared" si="4"/>
        <v>14391672.471610337</v>
      </c>
      <c r="I28" s="5">
        <f t="shared" si="2"/>
        <v>0.68531773674334939</v>
      </c>
      <c r="J28" s="4">
        <f t="shared" si="5"/>
        <v>599653.01965043077</v>
      </c>
      <c r="K28" s="4">
        <f t="shared" si="3"/>
        <v>1701040.9410487078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16100590.373047655</v>
      </c>
      <c r="E29" s="4">
        <v>15253790.749603992</v>
      </c>
      <c r="F29" s="4">
        <f t="shared" si="8"/>
        <v>846799.62344366312</v>
      </c>
      <c r="G29" s="5">
        <f t="shared" si="1"/>
        <v>0.62551585189600711</v>
      </c>
      <c r="H29" s="4">
        <f t="shared" si="4"/>
        <v>21467453.830730207</v>
      </c>
      <c r="I29" s="5">
        <f t="shared" si="2"/>
        <v>0.83402113586134285</v>
      </c>
      <c r="J29" s="4">
        <f t="shared" si="5"/>
        <v>894477.24294709193</v>
      </c>
      <c r="K29" s="4">
        <f t="shared" si="3"/>
        <v>1606518.2711587241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15804120.212155512</v>
      </c>
      <c r="E30" s="4">
        <v>15225312.922678526</v>
      </c>
      <c r="F30" s="4">
        <f t="shared" si="8"/>
        <v>578807.28947698511</v>
      </c>
      <c r="G30" s="5">
        <f t="shared" si="1"/>
        <v>0.41336111282868176</v>
      </c>
      <c r="H30" s="4">
        <f t="shared" si="4"/>
        <v>21072160.282874014</v>
      </c>
      <c r="I30" s="5">
        <f t="shared" si="2"/>
        <v>0.55114815043824228</v>
      </c>
      <c r="J30" s="4">
        <f t="shared" si="5"/>
        <v>878006.67845308396</v>
      </c>
      <c r="K30" s="4">
        <f t="shared" si="3"/>
        <v>3738180.8166616932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19986206.379396059</v>
      </c>
      <c r="E31" s="4">
        <v>18692963.510811996</v>
      </c>
      <c r="F31" s="4">
        <f t="shared" si="8"/>
        <v>1293242.8685840629</v>
      </c>
      <c r="G31" s="5">
        <f t="shared" si="1"/>
        <v>0.78638637744645667</v>
      </c>
      <c r="H31" s="4">
        <f t="shared" si="4"/>
        <v>26648275.172528081</v>
      </c>
      <c r="I31" s="5">
        <f t="shared" si="2"/>
        <v>1.048515169928609</v>
      </c>
      <c r="J31" s="4">
        <f t="shared" si="5"/>
        <v>1110344.7988553366</v>
      </c>
      <c r="K31" s="4">
        <f t="shared" si="3"/>
        <v>904840.60343399027</v>
      </c>
      <c r="L31" s="63" cm="1">
        <f t="array" ref="L31">+_xlfn.IFS(I31&gt;114%,H31*0.02,I31&gt;109%,H31*0.015,I31&gt;104%,H31*0.0125,I31&gt;99%,H31*0.01,I31&lt;99%,H31*0)</f>
        <v>333103.43965660105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12636423.188325718</v>
      </c>
      <c r="E32" s="4">
        <v>12266673.990837373</v>
      </c>
      <c r="F32" s="4">
        <f t="shared" si="8"/>
        <v>369749.19748834521</v>
      </c>
      <c r="G32" s="5">
        <f t="shared" si="1"/>
        <v>0.5014453646160999</v>
      </c>
      <c r="H32" s="4">
        <f t="shared" si="4"/>
        <v>16848564.251100957</v>
      </c>
      <c r="I32" s="5">
        <f t="shared" si="2"/>
        <v>0.66859381948813323</v>
      </c>
      <c r="J32" s="4">
        <f t="shared" si="5"/>
        <v>702023.51046253985</v>
      </c>
      <c r="K32" s="4">
        <f t="shared" si="3"/>
        <v>2093929.4686123803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16473987.177289817</v>
      </c>
      <c r="E33" s="4">
        <v>15642003.201546233</v>
      </c>
      <c r="F33" s="4">
        <f t="shared" si="8"/>
        <v>831983.97574358433</v>
      </c>
      <c r="G33" s="5">
        <f t="shared" si="1"/>
        <v>0.62173614414182188</v>
      </c>
      <c r="H33" s="4">
        <f t="shared" si="4"/>
        <v>21965316.236386422</v>
      </c>
      <c r="I33" s="5">
        <f t="shared" si="2"/>
        <v>0.8289815255224291</v>
      </c>
      <c r="J33" s="4">
        <f t="shared" si="5"/>
        <v>915221.50984943425</v>
      </c>
      <c r="K33" s="4">
        <f t="shared" si="3"/>
        <v>1670460.470451697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10450667.040721137</v>
      </c>
      <c r="E34" s="4">
        <v>10020089.643575415</v>
      </c>
      <c r="F34" s="4">
        <f t="shared" si="8"/>
        <v>430577.39714572206</v>
      </c>
      <c r="G34" s="5">
        <f t="shared" si="1"/>
        <v>0.49765081146291129</v>
      </c>
      <c r="H34" s="4">
        <f t="shared" si="4"/>
        <v>13934222.720961515</v>
      </c>
      <c r="I34" s="5">
        <f t="shared" si="2"/>
        <v>0.66353441528388168</v>
      </c>
      <c r="J34" s="4">
        <f t="shared" si="5"/>
        <v>580592.61337339645</v>
      </c>
      <c r="K34" s="4">
        <f t="shared" si="3"/>
        <v>1758222.1598798104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5900128.3583673304</v>
      </c>
      <c r="E35" s="4">
        <v>5672922.8813768905</v>
      </c>
      <c r="F35" s="4">
        <f t="shared" si="8"/>
        <v>227205.47699043993</v>
      </c>
      <c r="G35" s="5">
        <f t="shared" si="1"/>
        <v>0.23927652295655524</v>
      </c>
      <c r="H35" s="4">
        <f t="shared" si="4"/>
        <v>7866837.8111564405</v>
      </c>
      <c r="I35" s="5">
        <f t="shared" si="2"/>
        <v>0.31903536394207366</v>
      </c>
      <c r="J35" s="4">
        <f t="shared" si="5"/>
        <v>327784.908798185</v>
      </c>
      <c r="K35" s="4">
        <f t="shared" si="3"/>
        <v>3126345.2736054449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11138355.416896759</v>
      </c>
      <c r="E36" s="4">
        <v>10783265.035760457</v>
      </c>
      <c r="F36" s="4">
        <f t="shared" si="8"/>
        <v>355090.3811363019</v>
      </c>
      <c r="G36" s="5">
        <f t="shared" si="1"/>
        <v>0.44138519583502117</v>
      </c>
      <c r="H36" s="4">
        <f t="shared" si="4"/>
        <v>14851140.555862345</v>
      </c>
      <c r="I36" s="5">
        <f t="shared" si="2"/>
        <v>0.58851359444669482</v>
      </c>
      <c r="J36" s="4">
        <f t="shared" si="5"/>
        <v>618797.52316093107</v>
      </c>
      <c r="K36" s="4">
        <f t="shared" si="3"/>
        <v>2349440.7638505404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40168339.712393798</v>
      </c>
      <c r="E37" s="4">
        <v>39883215.752393797</v>
      </c>
      <c r="F37" s="4">
        <f t="shared" si="8"/>
        <v>285123.96000000089</v>
      </c>
      <c r="G37" s="5">
        <f t="shared" si="1"/>
        <v>0.32921697879420464</v>
      </c>
      <c r="H37" s="4">
        <f t="shared" si="4"/>
        <v>53557786.283191726</v>
      </c>
      <c r="I37" s="5">
        <f t="shared" si="2"/>
        <v>0.43895597172560613</v>
      </c>
      <c r="J37" s="4">
        <f t="shared" si="5"/>
        <v>2231574.4284663219</v>
      </c>
      <c r="K37" s="4">
        <f t="shared" si="3"/>
        <v>13640568.381267702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9510418.9883585088</v>
      </c>
      <c r="E38" s="4">
        <v>9617956.635158509</v>
      </c>
      <c r="F38" s="4">
        <f t="shared" ref="F38" si="10">+D38-E38</f>
        <v>-107537.64680000022</v>
      </c>
      <c r="G38" s="5">
        <f t="shared" si="1"/>
        <v>0.26639829099043444</v>
      </c>
      <c r="H38" s="4">
        <f t="shared" si="4"/>
        <v>12680558.65114468</v>
      </c>
      <c r="I38" s="5">
        <f t="shared" si="2"/>
        <v>0.35519772132057925</v>
      </c>
      <c r="J38" s="4">
        <f t="shared" si="5"/>
        <v>528356.61046436161</v>
      </c>
      <c r="K38" s="4">
        <f t="shared" si="3"/>
        <v>4364930.1686069155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20353107.527345363</v>
      </c>
      <c r="E39" s="4">
        <v>18908273.459980056</v>
      </c>
      <c r="F39" s="4">
        <f t="shared" si="8"/>
        <v>1444834.0673653074</v>
      </c>
      <c r="G39" s="5">
        <f t="shared" si="1"/>
        <v>0.55974445430027298</v>
      </c>
      <c r="H39" s="4">
        <f t="shared" si="4"/>
        <v>27137476.703127153</v>
      </c>
      <c r="I39" s="5">
        <f t="shared" si="2"/>
        <v>0.74632593906703071</v>
      </c>
      <c r="J39" s="4">
        <f t="shared" si="5"/>
        <v>1130728.1959636314</v>
      </c>
      <c r="K39" s="4">
        <f t="shared" si="3"/>
        <v>2668053.3686091062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244244176.37412488</v>
      </c>
      <c r="E40" s="65">
        <v>233254992.89553672</v>
      </c>
      <c r="F40" s="67">
        <f t="shared" si="8"/>
        <v>10989183.478588164</v>
      </c>
      <c r="G40" s="66">
        <f t="shared" si="1"/>
        <v>0.47982371260293893</v>
      </c>
      <c r="H40" s="64">
        <f t="shared" si="4"/>
        <v>325658901.83216655</v>
      </c>
      <c r="I40" s="66">
        <f t="shared" si="2"/>
        <v>0.63976495013725199</v>
      </c>
      <c r="J40" s="64">
        <f t="shared" si="5"/>
        <v>13569120.909673605</v>
      </c>
      <c r="K40" s="67">
        <f t="shared" si="3"/>
        <v>44130801.079500139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936034794.47641063</v>
      </c>
      <c r="E41" s="82">
        <v>885675996.68139398</v>
      </c>
      <c r="F41" s="81">
        <f>+D41-E41</f>
        <v>50358797.795016646</v>
      </c>
      <c r="G41" s="83">
        <f t="shared" si="1"/>
        <v>0.67840055218623574</v>
      </c>
      <c r="H41" s="81">
        <f t="shared" si="4"/>
        <v>1248046392.6352141</v>
      </c>
      <c r="I41" s="139">
        <f t="shared" si="2"/>
        <v>0.90453406958164762</v>
      </c>
      <c r="J41" s="81">
        <f t="shared" si="5"/>
        <v>52001933.026467256</v>
      </c>
      <c r="K41" s="81">
        <f t="shared" si="3"/>
        <v>73955392.102787569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26234005.111392636</v>
      </c>
      <c r="E43" s="4">
        <v>26234005.111392636</v>
      </c>
      <c r="F43" s="4">
        <f t="shared" ref="F43" si="11">+D43-E43</f>
        <v>0</v>
      </c>
      <c r="G43" s="5">
        <f>+D43/C43</f>
        <v>0.65585012778481588</v>
      </c>
      <c r="H43" s="4">
        <f t="shared" ref="H43" si="12">+D43/$N$3*$N$4</f>
        <v>34978673.481856845</v>
      </c>
      <c r="I43" s="5">
        <f>+H43/C43</f>
        <v>0.87446683704642114</v>
      </c>
      <c r="J43" s="4">
        <f t="shared" ref="J43" si="13">+D43/$N$3</f>
        <v>1457444.728410702</v>
      </c>
      <c r="K43" s="4">
        <f>+(C43-D43)/$N$2</f>
        <v>2294332.4814345608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21229662.770730246</v>
      </c>
      <c r="E44" s="4">
        <v>21229662.770730246</v>
      </c>
      <c r="F44" s="4">
        <f t="shared" ref="F44" si="14">+D44-E44</f>
        <v>0</v>
      </c>
      <c r="G44" s="5">
        <f>+D44/C44</f>
        <v>0.70765542569100814</v>
      </c>
      <c r="H44" s="4">
        <f t="shared" ref="H44" si="15">+D44/$N$3*$N$4</f>
        <v>28306217.027640328</v>
      </c>
      <c r="I44" s="5">
        <f>+H44/C44</f>
        <v>0.94354056758801097</v>
      </c>
      <c r="J44" s="4">
        <f t="shared" ref="J44" si="16">+D44/$N$3</f>
        <v>1179425.7094850137</v>
      </c>
      <c r="K44" s="4">
        <f>+(C44-D44)/$N$2</f>
        <v>1461722.871544959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0.83783783783783783</v>
      </c>
      <c r="E2" s="13">
        <v>33</v>
      </c>
      <c r="F2" s="12">
        <f>+H2-E2</f>
        <v>29</v>
      </c>
      <c r="G2" s="13">
        <f>VLOOKUP(B2,'Base Cobertura'!$A:$C,3,FALSE)</f>
        <v>74</v>
      </c>
      <c r="H2" s="13">
        <f>VLOOKUP(B2,'Base Cobertura'!$A:$C,2,FALSE)</f>
        <v>62</v>
      </c>
      <c r="I2" s="17">
        <f>(+G2*$M$2)-H2</f>
        <v>0.89999999999999858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0.46694214876033058</v>
      </c>
      <c r="E3" s="13">
        <v>1</v>
      </c>
      <c r="F3" s="12">
        <f t="shared" ref="F3:F38" si="1">+H3-E3</f>
        <v>112</v>
      </c>
      <c r="G3" s="13">
        <f>VLOOKUP(B3,'Base Cobertura'!$A:$C,3,FALSE)</f>
        <v>242</v>
      </c>
      <c r="H3" s="13">
        <f>VLOOKUP(B3,'Base Cobertura'!$A:$C,2,FALSE)</f>
        <v>113</v>
      </c>
      <c r="I3" s="17">
        <f t="shared" ref="I3:I38" si="2">(+G3*$M$2)-H3</f>
        <v>92.699999999999989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71</v>
      </c>
      <c r="T3" s="12">
        <v>214</v>
      </c>
      <c r="U3" s="41">
        <f>+S3/T3</f>
        <v>0.33177570093457942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0.8590308370044053</v>
      </c>
      <c r="E4" s="13">
        <v>126</v>
      </c>
      <c r="F4" s="12">
        <f t="shared" si="1"/>
        <v>69</v>
      </c>
      <c r="G4" s="13">
        <f>VLOOKUP(B4,'Base Cobertura'!$A:$C,3,FALSE)</f>
        <v>227</v>
      </c>
      <c r="H4" s="13">
        <f>VLOOKUP(B4,'Base Cobertura'!$A:$C,2,FALSE)</f>
        <v>195</v>
      </c>
      <c r="I4" s="17">
        <f t="shared" si="2"/>
        <v>-2.0500000000000114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49</v>
      </c>
      <c r="T4" s="13">
        <v>214</v>
      </c>
      <c r="U4" s="5">
        <f t="shared" ref="U4:U11" si="3">+S4/T4</f>
        <v>0.22897196261682243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0.75384615384615383</v>
      </c>
      <c r="E5" s="13">
        <v>21</v>
      </c>
      <c r="F5" s="12">
        <f t="shared" si="1"/>
        <v>28</v>
      </c>
      <c r="G5" s="13">
        <f>VLOOKUP(B5,'Base Cobertura'!$A:$C,3,FALSE)</f>
        <v>65</v>
      </c>
      <c r="H5" s="13">
        <f>VLOOKUP(B5,'Base Cobertura'!$A:$C,2,FALSE)</f>
        <v>49</v>
      </c>
      <c r="I5" s="17">
        <f t="shared" si="2"/>
        <v>6.25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86</v>
      </c>
      <c r="T5" s="13">
        <v>214</v>
      </c>
      <c r="U5" s="5">
        <f t="shared" si="3"/>
        <v>0.40186915887850466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0.88405797101449279</v>
      </c>
      <c r="E6" s="13">
        <v>100</v>
      </c>
      <c r="F6" s="12">
        <f t="shared" si="1"/>
        <v>83</v>
      </c>
      <c r="G6" s="13">
        <f>VLOOKUP(B6,'Base Cobertura'!$A:$C,3,FALSE)</f>
        <v>207</v>
      </c>
      <c r="H6" s="13">
        <f>VLOOKUP(B6,'Base Cobertura'!$A:$C,2,FALSE)</f>
        <v>183</v>
      </c>
      <c r="I6" s="17">
        <f t="shared" si="2"/>
        <v>-7.0500000000000114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43</v>
      </c>
      <c r="T6" s="13">
        <v>214</v>
      </c>
      <c r="U6" s="5">
        <f t="shared" si="3"/>
        <v>0.20093457943925233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0.78282828282828287</v>
      </c>
      <c r="E7" s="13">
        <v>81</v>
      </c>
      <c r="F7" s="12">
        <f t="shared" si="1"/>
        <v>74</v>
      </c>
      <c r="G7" s="13">
        <f>VLOOKUP(B7,'Base Cobertura'!$A:$C,3,FALSE)</f>
        <v>198</v>
      </c>
      <c r="H7" s="13">
        <f>VLOOKUP(B7,'Base Cobertura'!$A:$C,2,FALSE)</f>
        <v>155</v>
      </c>
      <c r="I7" s="17">
        <f t="shared" si="2"/>
        <v>13.299999999999983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88</v>
      </c>
      <c r="T7" s="13">
        <v>214</v>
      </c>
      <c r="U7" s="5">
        <f t="shared" si="3"/>
        <v>0.41121495327102803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0.83644859813084116</v>
      </c>
      <c r="E8" s="13">
        <v>89</v>
      </c>
      <c r="F8" s="12">
        <f t="shared" si="1"/>
        <v>90</v>
      </c>
      <c r="G8" s="13">
        <f>VLOOKUP(B8,'Base Cobertura'!$A:$C,3,FALSE)</f>
        <v>214</v>
      </c>
      <c r="H8" s="13">
        <f>VLOOKUP(B8,'Base Cobertura'!$A:$C,2,FALSE)</f>
        <v>179</v>
      </c>
      <c r="I8" s="17">
        <f t="shared" si="2"/>
        <v>2.9000000000000057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80</v>
      </c>
      <c r="T8" s="13">
        <v>214</v>
      </c>
      <c r="U8" s="5">
        <f t="shared" si="3"/>
        <v>0.37383177570093457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0.74556213017751483</v>
      </c>
      <c r="E9" s="13">
        <v>92</v>
      </c>
      <c r="F9" s="12">
        <f t="shared" si="1"/>
        <v>34</v>
      </c>
      <c r="G9" s="13">
        <f>VLOOKUP(B9,'Base Cobertura'!$A:$C,3,FALSE)</f>
        <v>169</v>
      </c>
      <c r="H9" s="13">
        <f>VLOOKUP(B9,'Base Cobertura'!$A:$C,2,FALSE)</f>
        <v>126</v>
      </c>
      <c r="I9" s="17">
        <f t="shared" si="2"/>
        <v>17.650000000000006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21</v>
      </c>
      <c r="T9" s="13">
        <v>214</v>
      </c>
      <c r="U9" s="5">
        <f t="shared" si="3"/>
        <v>9.8130841121495324E-2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0.75384615384615383</v>
      </c>
      <c r="E10" s="13">
        <v>64</v>
      </c>
      <c r="F10" s="12">
        <f t="shared" si="1"/>
        <v>83</v>
      </c>
      <c r="G10" s="13">
        <f>VLOOKUP(B10,'Base Cobertura'!$A:$C,3,FALSE)</f>
        <v>195</v>
      </c>
      <c r="H10" s="13">
        <f>VLOOKUP(B10,'Base Cobertura'!$A:$C,2,FALSE)</f>
        <v>147</v>
      </c>
      <c r="I10" s="17">
        <f t="shared" si="2"/>
        <v>18.75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21</v>
      </c>
      <c r="T10" s="13">
        <v>214</v>
      </c>
      <c r="U10" s="5">
        <f t="shared" si="3"/>
        <v>9.8130841121495324E-2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0.45544554455445546</v>
      </c>
      <c r="E11" s="31">
        <v>19</v>
      </c>
      <c r="F11" s="33">
        <f t="shared" si="1"/>
        <v>27</v>
      </c>
      <c r="G11" s="13">
        <f>VLOOKUP(B11,'Base Cobertura'!$A:$C,3,FALSE)</f>
        <v>101</v>
      </c>
      <c r="H11" s="13">
        <f>VLOOKUP(B11,'Base Cobertura'!$A:$C,2,FALSE)</f>
        <v>46</v>
      </c>
      <c r="I11" s="34">
        <f t="shared" si="2"/>
        <v>39.849999999999994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39</v>
      </c>
      <c r="T11" s="13">
        <v>214</v>
      </c>
      <c r="U11" s="5">
        <f t="shared" si="3"/>
        <v>0.1822429906542056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0.53333333333333333</v>
      </c>
      <c r="E12" s="31">
        <v>24</v>
      </c>
      <c r="F12" s="33">
        <f t="shared" si="1"/>
        <v>32</v>
      </c>
      <c r="G12" s="13">
        <f>VLOOKUP(B12,'Base Cobertura'!$A:$C,3,FALSE)</f>
        <v>105</v>
      </c>
      <c r="H12" s="13">
        <f>VLOOKUP(B12,'Base Cobertura'!$A:$C,2,FALSE)</f>
        <v>56</v>
      </c>
      <c r="I12" s="34">
        <f t="shared" si="2"/>
        <v>33.25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0.84291187739463602</v>
      </c>
      <c r="E13" s="13">
        <v>144</v>
      </c>
      <c r="F13" s="12">
        <f t="shared" si="1"/>
        <v>76</v>
      </c>
      <c r="G13" s="13">
        <f>VLOOKUP(B13,'Base Cobertura'!$A:$C,3,FALSE)</f>
        <v>261</v>
      </c>
      <c r="H13" s="13">
        <f>VLOOKUP(B13,'Base Cobertura'!$A:$C,2,FALSE)</f>
        <v>220</v>
      </c>
      <c r="I13" s="17">
        <f t="shared" si="2"/>
        <v>1.8499999999999943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0.74725274725274726</v>
      </c>
      <c r="E14" s="13">
        <v>85</v>
      </c>
      <c r="F14" s="12">
        <f t="shared" si="1"/>
        <v>51</v>
      </c>
      <c r="G14" s="13">
        <f>VLOOKUP(B14,'Base Cobertura'!$A:$C,3,FALSE)</f>
        <v>182</v>
      </c>
      <c r="H14" s="13">
        <f>VLOOKUP(B14,'Base Cobertura'!$A:$C,2,FALSE)</f>
        <v>136</v>
      </c>
      <c r="I14" s="17">
        <f t="shared" si="2"/>
        <v>18.699999999999989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788</v>
      </c>
      <c r="G15" s="8">
        <f>+SUM(G2:G14)</f>
        <v>2240</v>
      </c>
      <c r="H15" s="8">
        <f>+SUM(H2:H14)</f>
        <v>1667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0.77639751552795033</v>
      </c>
      <c r="E16" s="13">
        <v>90</v>
      </c>
      <c r="F16" s="12">
        <f t="shared" si="1"/>
        <v>35</v>
      </c>
      <c r="G16" s="13">
        <f>VLOOKUP(B16,'Base Cobertura'!$A:$C,3,FALSE)</f>
        <v>161</v>
      </c>
      <c r="H16" s="13">
        <f>VLOOKUP(B16,'Base Cobertura'!$A:$C,2,FALSE)</f>
        <v>125</v>
      </c>
      <c r="I16" s="17">
        <f t="shared" si="2"/>
        <v>11.849999999999994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0.62376237623762376</v>
      </c>
      <c r="E17" s="13">
        <v>92</v>
      </c>
      <c r="F17" s="12">
        <f t="shared" si="1"/>
        <v>34</v>
      </c>
      <c r="G17" s="13">
        <f>VLOOKUP(B17,'Base Cobertura'!$A:$C,3,FALSE)</f>
        <v>202</v>
      </c>
      <c r="H17" s="13">
        <f>VLOOKUP(B17,'Base Cobertura'!$A:$C,2,FALSE)</f>
        <v>126</v>
      </c>
      <c r="I17" s="17">
        <f t="shared" si="2"/>
        <v>45.699999999999989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0.85380116959064323</v>
      </c>
      <c r="E18" s="13">
        <v>88</v>
      </c>
      <c r="F18" s="12">
        <f t="shared" si="1"/>
        <v>58</v>
      </c>
      <c r="G18" s="13">
        <f>VLOOKUP(B18,'Base Cobertura'!$A:$C,3,FALSE)</f>
        <v>171</v>
      </c>
      <c r="H18" s="13">
        <f>VLOOKUP(B18,'Base Cobertura'!$A:$C,2,FALSE)</f>
        <v>146</v>
      </c>
      <c r="I18" s="17">
        <f t="shared" si="2"/>
        <v>-0.65000000000000568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0.86363636363636365</v>
      </c>
      <c r="E19" s="13">
        <v>95</v>
      </c>
      <c r="F19" s="12">
        <f t="shared" si="1"/>
        <v>38</v>
      </c>
      <c r="G19" s="13">
        <f>VLOOKUP(B19,'Base Cobertura'!$A:$C,3,FALSE)</f>
        <v>154</v>
      </c>
      <c r="H19" s="13">
        <f>VLOOKUP(B19,'Base Cobertura'!$A:$C,2,FALSE)</f>
        <v>133</v>
      </c>
      <c r="I19" s="17">
        <f t="shared" si="2"/>
        <v>-2.0999999999999943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0.85875706214689262</v>
      </c>
      <c r="E20" s="13">
        <v>83</v>
      </c>
      <c r="F20" s="12">
        <f t="shared" si="1"/>
        <v>69</v>
      </c>
      <c r="G20" s="13">
        <f>VLOOKUP(B20,'Base Cobertura'!$A:$C,3,FALSE)</f>
        <v>177</v>
      </c>
      <c r="H20" s="13">
        <f>VLOOKUP(B20,'Base Cobertura'!$A:$C,2,FALSE)</f>
        <v>152</v>
      </c>
      <c r="I20" s="17">
        <f t="shared" si="2"/>
        <v>-1.5500000000000114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0.81065088757396453</v>
      </c>
      <c r="E21" s="13">
        <v>64</v>
      </c>
      <c r="F21" s="12">
        <f t="shared" si="1"/>
        <v>73</v>
      </c>
      <c r="G21" s="13">
        <f>VLOOKUP(B21,'Base Cobertura'!$A:$C,3,FALSE)</f>
        <v>169</v>
      </c>
      <c r="H21" s="13">
        <f>VLOOKUP(B21,'Base Cobertura'!$A:$C,2,FALSE)</f>
        <v>137</v>
      </c>
      <c r="I21" s="17">
        <f t="shared" si="2"/>
        <v>6.6500000000000057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0.40909090909090912</v>
      </c>
      <c r="E22" s="13">
        <v>66</v>
      </c>
      <c r="F22" s="12">
        <f t="shared" si="1"/>
        <v>15</v>
      </c>
      <c r="G22" s="13">
        <f>VLOOKUP(B22,'Base Cobertura'!$A:$C,3,FALSE)</f>
        <v>198</v>
      </c>
      <c r="H22" s="13">
        <f>VLOOKUP(B22,'Base Cobertura'!$A:$C,2,FALSE)</f>
        <v>81</v>
      </c>
      <c r="I22" s="17">
        <f t="shared" si="2"/>
        <v>87.299999999999983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0.77536231884057971</v>
      </c>
      <c r="E23" s="13">
        <v>70</v>
      </c>
      <c r="F23" s="12">
        <f t="shared" si="1"/>
        <v>37</v>
      </c>
      <c r="G23" s="13">
        <f>VLOOKUP(B23,'Base Cobertura'!$A:$C,3,FALSE)</f>
        <v>138</v>
      </c>
      <c r="H23" s="13">
        <f>VLOOKUP(B23,'Base Cobertura'!$A:$C,2,FALSE)</f>
        <v>107</v>
      </c>
      <c r="I23" s="17">
        <f t="shared" si="2"/>
        <v>10.299999999999997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0.8529411764705882</v>
      </c>
      <c r="E24" s="13">
        <v>79</v>
      </c>
      <c r="F24" s="12">
        <f t="shared" si="1"/>
        <v>66</v>
      </c>
      <c r="G24" s="13">
        <f>VLOOKUP(B24,'Base Cobertura'!$A:$C,3,FALSE)</f>
        <v>170</v>
      </c>
      <c r="H24" s="13">
        <f>VLOOKUP(B24,'Base Cobertura'!$A:$C,2,FALSE)</f>
        <v>145</v>
      </c>
      <c r="I24" s="17">
        <f t="shared" si="2"/>
        <v>-0.5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425</v>
      </c>
      <c r="G25" s="8">
        <f>+SUM(G16:G24)</f>
        <v>1540</v>
      </c>
      <c r="H25" s="8">
        <f>+SUM(H16:H24)</f>
        <v>1152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0.77586206896551724</v>
      </c>
      <c r="E26" s="13">
        <v>20</v>
      </c>
      <c r="F26" s="12">
        <f>+H26-E26</f>
        <v>25</v>
      </c>
      <c r="G26" s="13">
        <f>VLOOKUP(B26,'Base Cobertura'!$A:$C,3,FALSE)</f>
        <v>58</v>
      </c>
      <c r="H26" s="13">
        <f>VLOOKUP(B26,'Base Cobertura'!$A:$C,2,FALSE)</f>
        <v>45</v>
      </c>
      <c r="I26" s="17">
        <f t="shared" si="2"/>
        <v>4.2999999999999972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0.70625000000000004</v>
      </c>
      <c r="E27" s="13">
        <v>68</v>
      </c>
      <c r="F27" s="12">
        <f t="shared" si="1"/>
        <v>45</v>
      </c>
      <c r="G27" s="13">
        <f>VLOOKUP(B27,'Base Cobertura'!$A:$C,3,FALSE)</f>
        <v>160</v>
      </c>
      <c r="H27" s="13">
        <f>VLOOKUP(B27,'Base Cobertura'!$A:$C,2,FALSE)</f>
        <v>113</v>
      </c>
      <c r="I27" s="17">
        <f t="shared" si="2"/>
        <v>23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0.77018633540372672</v>
      </c>
      <c r="E28" s="13">
        <v>80</v>
      </c>
      <c r="F28" s="12">
        <f t="shared" si="1"/>
        <v>44</v>
      </c>
      <c r="G28" s="13">
        <f>VLOOKUP(B28,'Base Cobertura'!$A:$C,3,FALSE)</f>
        <v>161</v>
      </c>
      <c r="H28" s="13">
        <f>VLOOKUP(B28,'Base Cobertura'!$A:$C,2,FALSE)</f>
        <v>124</v>
      </c>
      <c r="I28" s="17">
        <f t="shared" si="2"/>
        <v>12.849999999999994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0.44</v>
      </c>
      <c r="E29" s="13">
        <v>68</v>
      </c>
      <c r="F29" s="12">
        <f t="shared" si="1"/>
        <v>42</v>
      </c>
      <c r="G29" s="13">
        <f>VLOOKUP(B29,'Base Cobertura'!$A:$C,3,FALSE)</f>
        <v>250</v>
      </c>
      <c r="H29" s="13">
        <f>VLOOKUP(B29,'Base Cobertura'!$A:$C,2,FALSE)</f>
        <v>110</v>
      </c>
      <c r="I29" s="17">
        <f t="shared" si="2"/>
        <v>102.5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0.93525179856115104</v>
      </c>
      <c r="E30" s="13">
        <v>73</v>
      </c>
      <c r="F30" s="12">
        <f t="shared" si="1"/>
        <v>57</v>
      </c>
      <c r="G30" s="13">
        <f>VLOOKUP(B30,'Base Cobertura'!$A:$C,3,FALSE)</f>
        <v>139</v>
      </c>
      <c r="H30" s="13">
        <f>VLOOKUP(B30,'Base Cobertura'!$A:$C,2,FALSE)</f>
        <v>130</v>
      </c>
      <c r="I30" s="17">
        <f t="shared" si="2"/>
        <v>-11.850000000000009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0.68306010928961747</v>
      </c>
      <c r="E31" s="13">
        <v>40</v>
      </c>
      <c r="F31" s="12">
        <f t="shared" si="1"/>
        <v>85</v>
      </c>
      <c r="G31" s="13">
        <f>VLOOKUP(B31,'Base Cobertura'!$A:$C,3,FALSE)</f>
        <v>183</v>
      </c>
      <c r="H31" s="13">
        <f>VLOOKUP(B31,'Base Cobertura'!$A:$C,2,FALSE)</f>
        <v>125</v>
      </c>
      <c r="I31" s="17">
        <f t="shared" si="2"/>
        <v>30.549999999999983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0.81547619047619047</v>
      </c>
      <c r="E32" s="13">
        <v>67</v>
      </c>
      <c r="F32" s="12">
        <f t="shared" si="1"/>
        <v>70</v>
      </c>
      <c r="G32" s="13">
        <f>VLOOKUP(B32,'Base Cobertura'!$A:$C,3,FALSE)</f>
        <v>168</v>
      </c>
      <c r="H32" s="13">
        <f>VLOOKUP(B32,'Base Cobertura'!$A:$C,2,FALSE)</f>
        <v>137</v>
      </c>
      <c r="I32" s="17">
        <f t="shared" si="2"/>
        <v>5.7999999999999829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0.79289940828402372</v>
      </c>
      <c r="E33" s="13">
        <v>66</v>
      </c>
      <c r="F33" s="12">
        <f t="shared" si="1"/>
        <v>68</v>
      </c>
      <c r="G33" s="13">
        <f>VLOOKUP(B33,'Base Cobertura'!$A:$C,3,FALSE)</f>
        <v>169</v>
      </c>
      <c r="H33" s="13">
        <f>VLOOKUP(B33,'Base Cobertura'!$A:$C,2,FALSE)</f>
        <v>134</v>
      </c>
      <c r="I33" s="17">
        <f t="shared" si="2"/>
        <v>9.6500000000000057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0.6460674157303371</v>
      </c>
      <c r="E35" s="13">
        <v>81</v>
      </c>
      <c r="F35" s="12">
        <f t="shared" si="1"/>
        <v>34</v>
      </c>
      <c r="G35" s="13">
        <f>VLOOKUP(B35,'Base Cobertura'!$A:$C,3,FALSE)</f>
        <v>178</v>
      </c>
      <c r="H35" s="13">
        <f>VLOOKUP(B35,'Base Cobertura'!$A:$C,2,FALSE)</f>
        <v>115</v>
      </c>
      <c r="I35" s="17">
        <f t="shared" si="2"/>
        <v>36.299999999999983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0.11304347826086956</v>
      </c>
      <c r="E36" s="13">
        <v>0</v>
      </c>
      <c r="F36" s="12">
        <f t="shared" si="1"/>
        <v>13</v>
      </c>
      <c r="G36" s="13">
        <f>VLOOKUP(B36,'Base Cobertura'!$A:$C,3,FALSE)</f>
        <v>115</v>
      </c>
      <c r="H36" s="13">
        <f>VLOOKUP(B36,'Base Cobertura'!$A:$C,2,FALSE)</f>
        <v>13</v>
      </c>
      <c r="I36" s="17">
        <f t="shared" si="2"/>
        <v>84.75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0.35238095238095241</v>
      </c>
      <c r="E37" s="13">
        <v>17</v>
      </c>
      <c r="F37" s="12">
        <f t="shared" si="1"/>
        <v>20</v>
      </c>
      <c r="G37" s="13">
        <f>VLOOKUP(B37,'Base Cobertura'!$A:$C,3,FALSE)</f>
        <v>105</v>
      </c>
      <c r="H37" s="13">
        <f>VLOOKUP(B37,'Base Cobertura'!$A:$C,2,FALSE)</f>
        <v>37</v>
      </c>
      <c r="I37" s="17">
        <f t="shared" si="2"/>
        <v>52.25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0.79527559055118113</v>
      </c>
      <c r="E38" s="13">
        <v>60</v>
      </c>
      <c r="F38" s="12">
        <f t="shared" si="1"/>
        <v>41</v>
      </c>
      <c r="G38" s="13">
        <f>VLOOKUP(B38,'Base Cobertura'!$A:$C,3,FALSE)</f>
        <v>127</v>
      </c>
      <c r="H38" s="13">
        <f>VLOOKUP(B38,'Base Cobertura'!$A:$C,2,FALSE)</f>
        <v>101</v>
      </c>
      <c r="I38" s="17">
        <f t="shared" si="2"/>
        <v>6.9500000000000028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532</v>
      </c>
      <c r="G39" s="8">
        <f>+SUM(G26:G38)</f>
        <v>1955</v>
      </c>
      <c r="H39" s="8">
        <f>+SUM(H26:H38)</f>
        <v>1254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1745</v>
      </c>
      <c r="G40" s="8">
        <f>+G15+G25+G39</f>
        <v>5735</v>
      </c>
      <c r="H40" s="8">
        <f>+H15+H25+H39</f>
        <v>4073</v>
      </c>
      <c r="I40" s="8"/>
      <c r="L40" s="1">
        <f>+H40/G40</f>
        <v>0.71020052310374893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0.32231404958677684</v>
      </c>
      <c r="E41" s="13">
        <v>60</v>
      </c>
      <c r="F41" s="12">
        <f t="shared" ref="F41:F42" si="5">+H41-E41</f>
        <v>-21</v>
      </c>
      <c r="G41" s="13">
        <f>VLOOKUP(B41,'Base Cobertura'!$A:$C,3,FALSE)</f>
        <v>121</v>
      </c>
      <c r="H41" s="13">
        <f>VLOOKUP(B41,'Base Cobertura'!$A:$C,2,FALSE)</f>
        <v>39</v>
      </c>
      <c r="I41" s="17">
        <f t="shared" ref="I41:I42" si="6">(+G41*$M$2)-H41</f>
        <v>63.849999999999994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0.41463414634146339</v>
      </c>
      <c r="E42" s="13">
        <v>60</v>
      </c>
      <c r="F42" s="12">
        <f t="shared" si="5"/>
        <v>-9</v>
      </c>
      <c r="G42" s="13">
        <f>VLOOKUP(B42,'Base Cobertura'!$A:$C,3,FALSE)</f>
        <v>123</v>
      </c>
      <c r="H42" s="13">
        <f>VLOOKUP(B42,'Base Cobertura'!$A:$C,2,FALSE)</f>
        <v>51</v>
      </c>
      <c r="I42" s="17">
        <f t="shared" si="6"/>
        <v>53.55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3432</v>
      </c>
      <c r="G3" t="s">
        <v>222</v>
      </c>
      <c r="H3" s="51">
        <v>1</v>
      </c>
      <c r="I3" s="51">
        <v>3432</v>
      </c>
    </row>
    <row r="4" spans="1:9" x14ac:dyDescent="0.25">
      <c r="A4">
        <v>1</v>
      </c>
      <c r="B4" s="51">
        <v>101</v>
      </c>
      <c r="C4" s="51">
        <v>127</v>
      </c>
      <c r="G4" t="s">
        <v>223</v>
      </c>
      <c r="H4">
        <v>2</v>
      </c>
      <c r="I4" s="51">
        <v>3432</v>
      </c>
    </row>
    <row r="5" spans="1:9" x14ac:dyDescent="0.25">
      <c r="A5">
        <v>10</v>
      </c>
      <c r="B5" s="51">
        <v>125</v>
      </c>
      <c r="C5" s="51">
        <v>183</v>
      </c>
      <c r="G5" t="s">
        <v>224</v>
      </c>
      <c r="H5" s="51">
        <v>1</v>
      </c>
      <c r="I5" s="51">
        <v>3432</v>
      </c>
    </row>
    <row r="6" spans="1:9" x14ac:dyDescent="0.25">
      <c r="A6">
        <v>100</v>
      </c>
      <c r="B6" s="51">
        <v>45</v>
      </c>
      <c r="C6" s="51">
        <v>2028</v>
      </c>
      <c r="G6" t="s">
        <v>225</v>
      </c>
      <c r="H6" s="51"/>
      <c r="I6" s="51">
        <v>3432</v>
      </c>
    </row>
    <row r="7" spans="1:9" x14ac:dyDescent="0.25">
      <c r="A7">
        <v>11</v>
      </c>
      <c r="B7" s="51">
        <v>126</v>
      </c>
      <c r="C7" s="51">
        <v>169</v>
      </c>
      <c r="G7" t="s">
        <v>226</v>
      </c>
      <c r="H7" s="51">
        <v>4</v>
      </c>
      <c r="I7" s="51">
        <v>3432</v>
      </c>
    </row>
    <row r="8" spans="1:9" x14ac:dyDescent="0.25">
      <c r="A8">
        <v>12</v>
      </c>
      <c r="B8" s="51">
        <v>179</v>
      </c>
      <c r="C8" s="51">
        <v>214</v>
      </c>
      <c r="G8" t="s">
        <v>227</v>
      </c>
      <c r="H8" s="51">
        <v>2</v>
      </c>
      <c r="I8" s="51">
        <v>3432</v>
      </c>
    </row>
    <row r="9" spans="1:9" x14ac:dyDescent="0.25">
      <c r="A9">
        <v>123</v>
      </c>
      <c r="B9" s="51">
        <v>37</v>
      </c>
      <c r="C9" s="51">
        <v>490</v>
      </c>
      <c r="G9" t="s">
        <v>228</v>
      </c>
      <c r="H9" s="51">
        <v>2</v>
      </c>
      <c r="I9" s="51">
        <v>3432</v>
      </c>
    </row>
    <row r="10" spans="1:9" x14ac:dyDescent="0.25">
      <c r="A10">
        <v>15</v>
      </c>
      <c r="B10" s="51">
        <v>49</v>
      </c>
      <c r="C10" s="51">
        <v>65</v>
      </c>
      <c r="G10" t="s">
        <v>229</v>
      </c>
      <c r="H10">
        <v>1</v>
      </c>
      <c r="I10" s="51">
        <v>3432</v>
      </c>
    </row>
    <row r="11" spans="1:9" x14ac:dyDescent="0.25">
      <c r="A11">
        <v>16</v>
      </c>
      <c r="B11" s="51">
        <v>155</v>
      </c>
      <c r="C11" s="51">
        <v>198</v>
      </c>
      <c r="G11" t="s">
        <v>230</v>
      </c>
      <c r="H11" s="51">
        <v>1</v>
      </c>
      <c r="I11" s="51">
        <v>3432</v>
      </c>
    </row>
    <row r="12" spans="1:9" x14ac:dyDescent="0.25">
      <c r="A12">
        <v>18</v>
      </c>
      <c r="B12" s="51">
        <v>152</v>
      </c>
      <c r="C12" s="51">
        <v>177</v>
      </c>
      <c r="E12">
        <f>+F12</f>
        <v>1</v>
      </c>
      <c r="F12">
        <v>1</v>
      </c>
      <c r="G12" t="s">
        <v>222</v>
      </c>
      <c r="H12">
        <v>46</v>
      </c>
      <c r="I12" s="51">
        <v>127</v>
      </c>
    </row>
    <row r="13" spans="1:9" x14ac:dyDescent="0.25">
      <c r="A13">
        <v>19</v>
      </c>
      <c r="B13" s="51">
        <v>183</v>
      </c>
      <c r="C13" s="51">
        <v>207</v>
      </c>
      <c r="E13">
        <f>+$E$12</f>
        <v>1</v>
      </c>
      <c r="G13" t="s">
        <v>223</v>
      </c>
      <c r="H13" s="51">
        <v>43</v>
      </c>
      <c r="I13" s="51">
        <v>127</v>
      </c>
    </row>
    <row r="14" spans="1:9" x14ac:dyDescent="0.25">
      <c r="A14">
        <v>2</v>
      </c>
      <c r="B14" s="51">
        <v>107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195</v>
      </c>
      <c r="C15" s="51">
        <v>227</v>
      </c>
      <c r="E15">
        <f t="shared" si="0"/>
        <v>1</v>
      </c>
      <c r="G15" t="s">
        <v>225</v>
      </c>
      <c r="H15" s="51">
        <v>42</v>
      </c>
      <c r="I15" s="51">
        <v>127</v>
      </c>
    </row>
    <row r="16" spans="1:9" x14ac:dyDescent="0.25">
      <c r="A16">
        <v>21</v>
      </c>
      <c r="B16" s="51">
        <v>146</v>
      </c>
      <c r="C16" s="51">
        <v>171</v>
      </c>
      <c r="E16">
        <f t="shared" si="0"/>
        <v>1</v>
      </c>
      <c r="G16" t="s">
        <v>226</v>
      </c>
      <c r="H16" s="51">
        <v>64</v>
      </c>
      <c r="I16" s="51">
        <v>127</v>
      </c>
    </row>
    <row r="17" spans="1:9" x14ac:dyDescent="0.25">
      <c r="A17">
        <v>22</v>
      </c>
      <c r="B17" s="51">
        <v>62</v>
      </c>
      <c r="C17" s="51">
        <v>74</v>
      </c>
      <c r="E17">
        <f t="shared" si="0"/>
        <v>1</v>
      </c>
      <c r="G17" t="s">
        <v>227</v>
      </c>
      <c r="H17" s="51">
        <v>60</v>
      </c>
      <c r="I17" s="51">
        <v>127</v>
      </c>
    </row>
    <row r="18" spans="1:9" x14ac:dyDescent="0.25">
      <c r="A18">
        <v>23</v>
      </c>
      <c r="B18" s="51">
        <v>133</v>
      </c>
      <c r="C18" s="51">
        <v>154</v>
      </c>
      <c r="E18">
        <f t="shared" si="0"/>
        <v>1</v>
      </c>
      <c r="G18" t="s">
        <v>228</v>
      </c>
      <c r="H18" s="51">
        <v>26</v>
      </c>
      <c r="I18" s="51">
        <v>127</v>
      </c>
    </row>
    <row r="19" spans="1:9" x14ac:dyDescent="0.25">
      <c r="A19">
        <v>24</v>
      </c>
      <c r="B19" s="51">
        <v>115</v>
      </c>
      <c r="C19" s="51">
        <v>178</v>
      </c>
      <c r="E19">
        <f t="shared" si="0"/>
        <v>1</v>
      </c>
      <c r="G19" t="s">
        <v>229</v>
      </c>
      <c r="H19" s="51">
        <v>32</v>
      </c>
      <c r="I19" s="51">
        <v>127</v>
      </c>
    </row>
    <row r="20" spans="1:9" x14ac:dyDescent="0.25">
      <c r="A20">
        <v>25</v>
      </c>
      <c r="B20" s="51">
        <v>78</v>
      </c>
      <c r="C20" s="51">
        <v>172</v>
      </c>
      <c r="E20">
        <f t="shared" si="0"/>
        <v>1</v>
      </c>
      <c r="G20" t="s">
        <v>230</v>
      </c>
      <c r="H20">
        <v>42</v>
      </c>
      <c r="I20" s="51">
        <v>127</v>
      </c>
    </row>
    <row r="21" spans="1:9" x14ac:dyDescent="0.25">
      <c r="A21">
        <v>26</v>
      </c>
      <c r="B21" s="51">
        <v>64</v>
      </c>
      <c r="C21" s="51">
        <v>166</v>
      </c>
      <c r="E21">
        <f>+$F$21</f>
        <v>10</v>
      </c>
      <c r="F21">
        <v>10</v>
      </c>
      <c r="G21" t="s">
        <v>222</v>
      </c>
      <c r="H21" s="51">
        <v>27</v>
      </c>
      <c r="I21" s="51">
        <v>183</v>
      </c>
    </row>
    <row r="22" spans="1:9" x14ac:dyDescent="0.25">
      <c r="A22">
        <v>27</v>
      </c>
      <c r="B22" s="51">
        <v>130</v>
      </c>
      <c r="C22" s="51">
        <v>139</v>
      </c>
      <c r="E22">
        <f t="shared" ref="E22:E29" si="1">+$F$21</f>
        <v>10</v>
      </c>
      <c r="G22" t="s">
        <v>223</v>
      </c>
      <c r="H22" s="51">
        <v>20</v>
      </c>
      <c r="I22" s="51">
        <v>183</v>
      </c>
    </row>
    <row r="23" spans="1:9" x14ac:dyDescent="0.25">
      <c r="A23">
        <v>28</v>
      </c>
      <c r="B23" s="51">
        <v>137</v>
      </c>
      <c r="C23" s="51">
        <v>168</v>
      </c>
      <c r="E23">
        <f t="shared" si="1"/>
        <v>10</v>
      </c>
      <c r="G23" t="s">
        <v>224</v>
      </c>
      <c r="H23" s="51">
        <v>59</v>
      </c>
      <c r="I23" s="51">
        <v>183</v>
      </c>
    </row>
    <row r="24" spans="1:9" x14ac:dyDescent="0.25">
      <c r="A24">
        <v>3</v>
      </c>
      <c r="B24" s="51">
        <v>145</v>
      </c>
      <c r="C24" s="51">
        <v>170</v>
      </c>
      <c r="E24">
        <f t="shared" si="1"/>
        <v>10</v>
      </c>
      <c r="G24" t="s">
        <v>225</v>
      </c>
      <c r="H24" s="51">
        <v>43</v>
      </c>
      <c r="I24" s="51">
        <v>183</v>
      </c>
    </row>
    <row r="25" spans="1:9" x14ac:dyDescent="0.25">
      <c r="A25">
        <v>30</v>
      </c>
      <c r="B25" s="51">
        <v>24</v>
      </c>
      <c r="C25" s="51">
        <v>139</v>
      </c>
      <c r="E25">
        <f t="shared" si="1"/>
        <v>10</v>
      </c>
      <c r="G25" t="s">
        <v>226</v>
      </c>
      <c r="H25" s="51">
        <v>69</v>
      </c>
      <c r="I25" s="51">
        <v>183</v>
      </c>
    </row>
    <row r="26" spans="1:9" x14ac:dyDescent="0.25">
      <c r="A26">
        <v>31</v>
      </c>
      <c r="B26" s="51">
        <v>125</v>
      </c>
      <c r="C26" s="51">
        <v>161</v>
      </c>
      <c r="E26">
        <f t="shared" si="1"/>
        <v>10</v>
      </c>
      <c r="G26" t="s">
        <v>227</v>
      </c>
      <c r="H26" s="51">
        <v>48</v>
      </c>
      <c r="I26" s="51">
        <v>183</v>
      </c>
    </row>
    <row r="27" spans="1:9" x14ac:dyDescent="0.25">
      <c r="A27">
        <v>32</v>
      </c>
      <c r="B27" s="51">
        <v>45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183</v>
      </c>
    </row>
    <row r="28" spans="1:9" x14ac:dyDescent="0.25">
      <c r="A28">
        <v>33</v>
      </c>
      <c r="B28" s="51">
        <v>134</v>
      </c>
      <c r="C28" s="51">
        <v>169</v>
      </c>
      <c r="E28">
        <f t="shared" si="1"/>
        <v>10</v>
      </c>
      <c r="G28" t="s">
        <v>229</v>
      </c>
      <c r="H28" s="51">
        <v>13</v>
      </c>
      <c r="I28" s="51">
        <v>183</v>
      </c>
    </row>
    <row r="29" spans="1:9" x14ac:dyDescent="0.25">
      <c r="A29">
        <v>36</v>
      </c>
      <c r="B29" s="51">
        <v>113</v>
      </c>
      <c r="C29" s="51">
        <v>160</v>
      </c>
      <c r="E29">
        <f t="shared" si="1"/>
        <v>10</v>
      </c>
      <c r="G29" t="s">
        <v>230</v>
      </c>
      <c r="H29" s="51">
        <v>23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28</v>
      </c>
      <c r="I30" s="51">
        <v>2028</v>
      </c>
    </row>
    <row r="31" spans="1:9" x14ac:dyDescent="0.25">
      <c r="A31">
        <v>4</v>
      </c>
      <c r="B31" s="51">
        <v>136</v>
      </c>
      <c r="C31" s="51">
        <v>182</v>
      </c>
      <c r="E31">
        <f t="shared" ref="E31:E38" si="2">+$F$30</f>
        <v>100</v>
      </c>
      <c r="G31" t="s">
        <v>223</v>
      </c>
      <c r="H31" s="51">
        <v>26</v>
      </c>
      <c r="I31" s="51">
        <v>2028</v>
      </c>
    </row>
    <row r="32" spans="1:9" x14ac:dyDescent="0.25">
      <c r="A32">
        <v>40</v>
      </c>
      <c r="B32" s="51">
        <v>110</v>
      </c>
      <c r="C32" s="51">
        <v>250</v>
      </c>
      <c r="E32">
        <f t="shared" si="2"/>
        <v>100</v>
      </c>
      <c r="G32" t="s">
        <v>224</v>
      </c>
      <c r="H32" s="51">
        <v>26</v>
      </c>
      <c r="I32" s="51">
        <v>2028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11</v>
      </c>
      <c r="I33" s="51">
        <v>2028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29</v>
      </c>
      <c r="I34" s="51">
        <v>2028</v>
      </c>
    </row>
    <row r="35" spans="1:9" x14ac:dyDescent="0.25">
      <c r="A35">
        <v>44</v>
      </c>
      <c r="B35" s="51">
        <v>137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2028</v>
      </c>
    </row>
    <row r="36" spans="1:9" x14ac:dyDescent="0.25">
      <c r="A36">
        <v>49</v>
      </c>
      <c r="B36" s="51">
        <v>113</v>
      </c>
      <c r="C36" s="51">
        <v>242</v>
      </c>
      <c r="E36">
        <f t="shared" si="2"/>
        <v>100</v>
      </c>
      <c r="G36" t="s">
        <v>228</v>
      </c>
      <c r="H36" s="51">
        <v>21</v>
      </c>
      <c r="I36" s="51">
        <v>2028</v>
      </c>
    </row>
    <row r="37" spans="1:9" x14ac:dyDescent="0.25">
      <c r="A37">
        <v>5</v>
      </c>
      <c r="B37" s="51">
        <v>220</v>
      </c>
      <c r="C37" s="51">
        <v>261</v>
      </c>
      <c r="E37">
        <f t="shared" si="2"/>
        <v>100</v>
      </c>
      <c r="G37" t="s">
        <v>229</v>
      </c>
      <c r="H37" s="51">
        <v>7</v>
      </c>
      <c r="I37" s="51">
        <v>2028</v>
      </c>
    </row>
    <row r="38" spans="1:9" x14ac:dyDescent="0.25">
      <c r="A38">
        <v>52</v>
      </c>
      <c r="B38" s="51">
        <v>46</v>
      </c>
      <c r="C38" s="51">
        <v>101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56</v>
      </c>
      <c r="C39" s="51">
        <v>105</v>
      </c>
      <c r="E39">
        <f>+$F$39</f>
        <v>11</v>
      </c>
      <c r="F39">
        <v>11</v>
      </c>
      <c r="G39" t="s">
        <v>222</v>
      </c>
      <c r="H39" s="51">
        <v>49</v>
      </c>
      <c r="I39" s="51">
        <v>169</v>
      </c>
    </row>
    <row r="40" spans="1:9" x14ac:dyDescent="0.25">
      <c r="A40">
        <v>54</v>
      </c>
      <c r="B40" s="51">
        <v>126</v>
      </c>
      <c r="C40" s="51">
        <v>202</v>
      </c>
      <c r="E40">
        <f t="shared" ref="E40:E47" si="3">+$F$39</f>
        <v>11</v>
      </c>
      <c r="G40" t="s">
        <v>223</v>
      </c>
      <c r="H40" s="51">
        <v>33</v>
      </c>
      <c r="I40" s="51">
        <v>169</v>
      </c>
    </row>
    <row r="41" spans="1:9" x14ac:dyDescent="0.25">
      <c r="A41">
        <v>56</v>
      </c>
      <c r="B41">
        <v>81</v>
      </c>
      <c r="C41" s="51">
        <v>198</v>
      </c>
      <c r="E41">
        <f t="shared" si="3"/>
        <v>11</v>
      </c>
      <c r="G41" t="s">
        <v>224</v>
      </c>
      <c r="H41" s="51">
        <v>83</v>
      </c>
      <c r="I41" s="51">
        <v>169</v>
      </c>
    </row>
    <row r="42" spans="1:9" x14ac:dyDescent="0.25">
      <c r="A42">
        <v>57</v>
      </c>
      <c r="B42" s="51">
        <v>37</v>
      </c>
      <c r="C42" s="51">
        <v>105</v>
      </c>
      <c r="E42">
        <f t="shared" si="3"/>
        <v>11</v>
      </c>
      <c r="G42" t="s">
        <v>225</v>
      </c>
      <c r="H42" s="51">
        <v>43</v>
      </c>
      <c r="I42" s="51">
        <v>169</v>
      </c>
    </row>
    <row r="43" spans="1:9" x14ac:dyDescent="0.25">
      <c r="A43">
        <v>58</v>
      </c>
      <c r="B43" s="51">
        <v>39</v>
      </c>
      <c r="C43" s="51">
        <v>121</v>
      </c>
      <c r="E43">
        <f t="shared" si="3"/>
        <v>11</v>
      </c>
      <c r="G43" t="s">
        <v>226</v>
      </c>
      <c r="H43" s="51">
        <v>86</v>
      </c>
      <c r="I43" s="51">
        <v>169</v>
      </c>
    </row>
    <row r="44" spans="1:9" x14ac:dyDescent="0.25">
      <c r="A44">
        <v>59</v>
      </c>
      <c r="B44" s="51">
        <v>51</v>
      </c>
      <c r="C44" s="51">
        <v>123</v>
      </c>
      <c r="E44">
        <f t="shared" si="3"/>
        <v>11</v>
      </c>
      <c r="G44" t="s">
        <v>227</v>
      </c>
      <c r="H44" s="51">
        <v>59</v>
      </c>
      <c r="I44" s="51">
        <v>169</v>
      </c>
    </row>
    <row r="45" spans="1:9" x14ac:dyDescent="0.25">
      <c r="A45">
        <v>7</v>
      </c>
      <c r="B45" s="51">
        <v>13</v>
      </c>
      <c r="C45" s="51">
        <v>115</v>
      </c>
      <c r="E45">
        <f t="shared" si="3"/>
        <v>11</v>
      </c>
      <c r="G45" t="s">
        <v>228</v>
      </c>
      <c r="H45" s="51">
        <v>13</v>
      </c>
      <c r="I45" s="51">
        <v>169</v>
      </c>
    </row>
    <row r="46" spans="1:9" x14ac:dyDescent="0.25">
      <c r="A46">
        <v>8</v>
      </c>
      <c r="B46" s="51">
        <v>147</v>
      </c>
      <c r="C46" s="51">
        <v>195</v>
      </c>
      <c r="E46">
        <f t="shared" si="3"/>
        <v>11</v>
      </c>
      <c r="G46" t="s">
        <v>229</v>
      </c>
      <c r="H46" s="51">
        <v>26</v>
      </c>
      <c r="I46" s="51">
        <v>169</v>
      </c>
    </row>
    <row r="47" spans="1:9" x14ac:dyDescent="0.25">
      <c r="A47">
        <v>9</v>
      </c>
      <c r="B47" s="51">
        <v>124</v>
      </c>
      <c r="C47" s="51">
        <v>161</v>
      </c>
      <c r="E47">
        <f t="shared" si="3"/>
        <v>11</v>
      </c>
      <c r="G47" t="s">
        <v>230</v>
      </c>
      <c r="H47" s="51">
        <v>20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49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86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43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88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80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21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39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19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15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4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3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32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26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18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15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48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28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97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38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87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71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10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38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25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58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45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62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53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115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82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36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41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68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41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92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54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125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93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36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43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27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49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50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42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68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55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15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24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33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81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62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107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63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123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108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38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35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68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65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98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56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121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97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26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38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37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42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29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34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31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51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33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31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31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60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48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89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50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108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87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33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30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41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13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75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30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67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49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10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38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31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33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26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18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38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14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24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31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34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18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23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57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30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61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46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93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83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31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21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35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23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50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42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87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78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15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23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15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52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35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73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44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93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75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32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29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11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3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7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54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27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68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41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98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81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31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17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28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18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18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35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14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47</v>
      </c>
      <c r="I228" s="51">
        <v>169</v>
      </c>
    </row>
    <row r="229" spans="5:9" x14ac:dyDescent="0.25">
      <c r="E229">
        <f t="shared" ref="E229:E236" si="24">+$F$228</f>
        <v>33</v>
      </c>
      <c r="G229" t="s">
        <v>223</v>
      </c>
      <c r="H229" s="51">
        <v>38</v>
      </c>
      <c r="I229" s="51">
        <v>169</v>
      </c>
    </row>
    <row r="230" spans="5:9" x14ac:dyDescent="0.25">
      <c r="E230">
        <f t="shared" si="24"/>
        <v>33</v>
      </c>
      <c r="G230" t="s">
        <v>224</v>
      </c>
      <c r="H230" s="51">
        <v>61</v>
      </c>
      <c r="I230" s="51">
        <v>169</v>
      </c>
    </row>
    <row r="231" spans="5:9" x14ac:dyDescent="0.25">
      <c r="E231">
        <f t="shared" si="24"/>
        <v>33</v>
      </c>
      <c r="G231" t="s">
        <v>225</v>
      </c>
      <c r="H231" s="51">
        <v>41</v>
      </c>
      <c r="I231" s="51">
        <v>169</v>
      </c>
    </row>
    <row r="232" spans="5:9" x14ac:dyDescent="0.25">
      <c r="E232">
        <f t="shared" si="24"/>
        <v>33</v>
      </c>
      <c r="G232" t="s">
        <v>226</v>
      </c>
      <c r="H232" s="51">
        <v>74</v>
      </c>
      <c r="I232" s="51">
        <v>169</v>
      </c>
    </row>
    <row r="233" spans="5:9" x14ac:dyDescent="0.25">
      <c r="E233">
        <f t="shared" si="24"/>
        <v>33</v>
      </c>
      <c r="G233" t="s">
        <v>227</v>
      </c>
      <c r="H233" s="51">
        <v>69</v>
      </c>
      <c r="I233" s="51">
        <v>169</v>
      </c>
    </row>
    <row r="234" spans="5:9" x14ac:dyDescent="0.25">
      <c r="E234">
        <f t="shared" si="24"/>
        <v>33</v>
      </c>
      <c r="G234" t="s">
        <v>228</v>
      </c>
      <c r="H234" s="51">
        <v>13</v>
      </c>
      <c r="I234" s="51">
        <v>169</v>
      </c>
    </row>
    <row r="235" spans="5:9" x14ac:dyDescent="0.25">
      <c r="E235">
        <f t="shared" si="24"/>
        <v>33</v>
      </c>
      <c r="G235" t="s">
        <v>229</v>
      </c>
      <c r="H235" s="51">
        <v>26</v>
      </c>
      <c r="I235" s="51">
        <v>169</v>
      </c>
    </row>
    <row r="236" spans="5:9" x14ac:dyDescent="0.25">
      <c r="E236">
        <f t="shared" si="24"/>
        <v>33</v>
      </c>
      <c r="G236" t="s">
        <v>230</v>
      </c>
      <c r="H236">
        <v>17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34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20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54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45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78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48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20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16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43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26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19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14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41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35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62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50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88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62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38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44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31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7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33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40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74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70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31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21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18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37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39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82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45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108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90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31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28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37</v>
      </c>
      <c r="I300" s="51">
        <v>242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242</v>
      </c>
    </row>
    <row r="302" spans="5:9" x14ac:dyDescent="0.25">
      <c r="E302">
        <f t="shared" si="32"/>
        <v>49</v>
      </c>
      <c r="G302" t="s">
        <v>224</v>
      </c>
      <c r="H302" s="51">
        <v>61</v>
      </c>
      <c r="I302" s="51">
        <v>242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242</v>
      </c>
    </row>
    <row r="304" spans="5:9" x14ac:dyDescent="0.25">
      <c r="E304">
        <f t="shared" si="32"/>
        <v>49</v>
      </c>
      <c r="G304" t="s">
        <v>226</v>
      </c>
      <c r="H304" s="51">
        <v>53</v>
      </c>
      <c r="I304" s="51">
        <v>242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242</v>
      </c>
    </row>
    <row r="306" spans="5:9" x14ac:dyDescent="0.25">
      <c r="E306">
        <f t="shared" si="32"/>
        <v>49</v>
      </c>
      <c r="G306" t="s">
        <v>228</v>
      </c>
      <c r="H306" s="51">
        <v>46</v>
      </c>
      <c r="I306" s="51">
        <v>242</v>
      </c>
    </row>
    <row r="307" spans="5:9" x14ac:dyDescent="0.25">
      <c r="E307">
        <f t="shared" si="32"/>
        <v>49</v>
      </c>
      <c r="G307" t="s">
        <v>229</v>
      </c>
      <c r="H307">
        <v>25</v>
      </c>
      <c r="I307" s="51">
        <v>242</v>
      </c>
    </row>
    <row r="308" spans="5:9" x14ac:dyDescent="0.25">
      <c r="E308">
        <f t="shared" si="32"/>
        <v>49</v>
      </c>
      <c r="G308" t="s">
        <v>230</v>
      </c>
      <c r="H308">
        <v>27</v>
      </c>
      <c r="I308" s="51">
        <v>242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89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70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108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55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149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107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46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48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37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9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46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55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46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25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76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53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85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67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21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29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35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15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24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37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123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123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123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123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123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123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123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123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123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4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7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58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37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79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31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94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81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27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51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48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39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66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69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17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25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27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0.19329861111111107</v>
      </c>
    </row>
    <row r="3" spans="1:4" x14ac:dyDescent="0.25">
      <c r="A3" s="138" t="s">
        <v>245</v>
      </c>
      <c r="B3" s="138" t="s">
        <v>4</v>
      </c>
      <c r="C3" s="136"/>
      <c r="D3" s="136">
        <v>0.22066811342592593</v>
      </c>
    </row>
    <row r="4" spans="1:4" x14ac:dyDescent="0.25">
      <c r="A4" s="138" t="s">
        <v>246</v>
      </c>
      <c r="B4" s="138" t="s">
        <v>11</v>
      </c>
      <c r="C4" s="136"/>
      <c r="D4" s="136">
        <v>0.23518822337962964</v>
      </c>
    </row>
    <row r="5" spans="1:4" x14ac:dyDescent="0.25">
      <c r="A5" s="138" t="s">
        <v>247</v>
      </c>
      <c r="B5" s="138" t="s">
        <v>17</v>
      </c>
      <c r="C5" s="136"/>
      <c r="D5" s="136">
        <v>0.21877879050925927</v>
      </c>
    </row>
    <row r="6" spans="1:4" x14ac:dyDescent="0.25">
      <c r="A6" s="138" t="s">
        <v>248</v>
      </c>
      <c r="B6" s="138" t="s">
        <v>22</v>
      </c>
      <c r="C6" s="136"/>
      <c r="D6" s="136">
        <v>0.22495818865740741</v>
      </c>
    </row>
    <row r="7" spans="1:4" x14ac:dyDescent="0.25">
      <c r="A7" s="138" t="s">
        <v>249</v>
      </c>
      <c r="B7" s="138" t="s">
        <v>279</v>
      </c>
      <c r="C7" s="136"/>
      <c r="D7" s="136">
        <v>0.25605806327160502</v>
      </c>
    </row>
    <row r="8" spans="1:4" x14ac:dyDescent="0.25">
      <c r="A8" s="138" t="s">
        <v>250</v>
      </c>
      <c r="B8" s="138" t="s">
        <v>72</v>
      </c>
      <c r="C8" s="136"/>
      <c r="D8" s="136">
        <v>0.20563208912037037</v>
      </c>
    </row>
    <row r="9" spans="1:4" x14ac:dyDescent="0.25">
      <c r="A9" s="138" t="s">
        <v>251</v>
      </c>
      <c r="B9" s="138" t="s">
        <v>3</v>
      </c>
      <c r="C9" s="136"/>
      <c r="D9" s="136">
        <v>0.2378624131944444</v>
      </c>
    </row>
    <row r="10" spans="1:4" x14ac:dyDescent="0.25">
      <c r="A10" s="138" t="s">
        <v>252</v>
      </c>
      <c r="B10" s="138" t="s">
        <v>187</v>
      </c>
      <c r="C10" s="136"/>
      <c r="D10" s="136">
        <v>0.1516517168209876</v>
      </c>
    </row>
    <row r="11" spans="1:4" x14ac:dyDescent="0.25">
      <c r="A11" s="138" t="s">
        <v>253</v>
      </c>
      <c r="B11" s="138" t="s">
        <v>19</v>
      </c>
      <c r="C11" s="136"/>
      <c r="D11" s="136">
        <v>0.2196498842592593</v>
      </c>
    </row>
    <row r="12" spans="1:4" x14ac:dyDescent="0.25">
      <c r="A12" s="138" t="s">
        <v>254</v>
      </c>
      <c r="B12" s="138" t="s">
        <v>71</v>
      </c>
      <c r="C12" s="136"/>
      <c r="D12" s="136">
        <v>0.27167013888888891</v>
      </c>
    </row>
    <row r="13" spans="1:4" x14ac:dyDescent="0.25">
      <c r="A13" s="138" t="s">
        <v>255</v>
      </c>
      <c r="B13" s="138" t="s">
        <v>6</v>
      </c>
      <c r="C13" s="136"/>
      <c r="D13" s="136">
        <v>0.23201244212962963</v>
      </c>
    </row>
    <row r="14" spans="1:4" x14ac:dyDescent="0.25">
      <c r="A14" s="138" t="s">
        <v>256</v>
      </c>
      <c r="B14" s="138" t="s">
        <v>280</v>
      </c>
      <c r="C14" s="136"/>
      <c r="D14" s="136">
        <v>0.25393648726851853</v>
      </c>
    </row>
    <row r="15" spans="1:4" x14ac:dyDescent="0.25">
      <c r="A15" s="138" t="s">
        <v>257</v>
      </c>
      <c r="B15" s="138" t="s">
        <v>12</v>
      </c>
      <c r="C15" s="136"/>
      <c r="D15" s="136">
        <v>0.21757986111111111</v>
      </c>
    </row>
    <row r="16" spans="1:4" x14ac:dyDescent="0.25">
      <c r="A16" s="138" t="s">
        <v>258</v>
      </c>
      <c r="B16" s="138" t="s">
        <v>21</v>
      </c>
      <c r="C16" s="136"/>
      <c r="D16" s="136">
        <v>0.20479513888888889</v>
      </c>
    </row>
    <row r="17" spans="1:4" x14ac:dyDescent="0.25">
      <c r="A17" s="138" t="s">
        <v>259</v>
      </c>
      <c r="B17" s="138" t="s">
        <v>73</v>
      </c>
      <c r="C17" s="136"/>
      <c r="D17" s="136">
        <v>0.22951895254629628</v>
      </c>
    </row>
    <row r="18" spans="1:4" x14ac:dyDescent="0.25">
      <c r="A18" s="138" t="s">
        <v>260</v>
      </c>
      <c r="B18" s="138" t="s">
        <v>20</v>
      </c>
      <c r="C18" s="136"/>
      <c r="D18" s="136">
        <v>0.24957031249999997</v>
      </c>
    </row>
    <row r="19" spans="1:4" x14ac:dyDescent="0.25">
      <c r="A19" s="138" t="s">
        <v>261</v>
      </c>
      <c r="B19" s="138" t="s">
        <v>15</v>
      </c>
      <c r="C19" s="136"/>
      <c r="D19" s="136">
        <v>0.24840118634259259</v>
      </c>
    </row>
    <row r="20" spans="1:4" x14ac:dyDescent="0.25">
      <c r="A20" s="138" t="s">
        <v>262</v>
      </c>
      <c r="B20" s="138" t="s">
        <v>14</v>
      </c>
      <c r="C20" s="136"/>
      <c r="D20" s="136">
        <v>0.23460489004629625</v>
      </c>
    </row>
    <row r="21" spans="1:4" x14ac:dyDescent="0.25">
      <c r="A21" s="138" t="s">
        <v>263</v>
      </c>
      <c r="B21" s="138" t="s">
        <v>8</v>
      </c>
      <c r="C21" s="136"/>
      <c r="D21" s="136">
        <v>0.20954383680555555</v>
      </c>
    </row>
    <row r="22" spans="1:4" x14ac:dyDescent="0.25">
      <c r="A22" s="138" t="s">
        <v>264</v>
      </c>
      <c r="B22" s="138" t="s">
        <v>1</v>
      </c>
      <c r="C22" s="136"/>
      <c r="D22" s="136">
        <v>0.23412167245370369</v>
      </c>
    </row>
    <row r="23" spans="1:4" x14ac:dyDescent="0.25">
      <c r="A23" s="138" t="s">
        <v>265</v>
      </c>
      <c r="B23" s="138" t="s">
        <v>281</v>
      </c>
      <c r="C23" s="136"/>
      <c r="D23" s="136">
        <v>0.18501128472222222</v>
      </c>
    </row>
    <row r="24" spans="1:4" x14ac:dyDescent="0.25">
      <c r="A24" s="138" t="s">
        <v>266</v>
      </c>
      <c r="B24" s="138" t="s">
        <v>26</v>
      </c>
      <c r="C24" s="136"/>
      <c r="D24" s="136">
        <v>0.2323800636574074</v>
      </c>
    </row>
    <row r="25" spans="1:4" x14ac:dyDescent="0.25">
      <c r="A25" s="138" t="s">
        <v>267</v>
      </c>
      <c r="B25" s="138" t="s">
        <v>282</v>
      </c>
      <c r="C25" s="136"/>
      <c r="D25" s="136">
        <v>0.1950837673611111</v>
      </c>
    </row>
    <row r="26" spans="1:4" x14ac:dyDescent="0.25">
      <c r="A26" s="138" t="s">
        <v>268</v>
      </c>
      <c r="B26" s="138" t="s">
        <v>176</v>
      </c>
      <c r="C26" s="136"/>
      <c r="D26" s="136">
        <v>0.22295240162037039</v>
      </c>
    </row>
    <row r="27" spans="1:4" x14ac:dyDescent="0.25">
      <c r="A27" s="138" t="s">
        <v>269</v>
      </c>
      <c r="B27" s="138" t="s">
        <v>283</v>
      </c>
      <c r="C27" s="136"/>
      <c r="D27" s="136">
        <v>0.22429701967592594</v>
      </c>
    </row>
    <row r="28" spans="1:4" x14ac:dyDescent="0.25">
      <c r="A28" s="138" t="s">
        <v>270</v>
      </c>
      <c r="B28" s="138" t="s">
        <v>25</v>
      </c>
      <c r="C28" s="136"/>
      <c r="D28" s="136">
        <v>0.15371831597222221</v>
      </c>
    </row>
    <row r="29" spans="1:4" x14ac:dyDescent="0.25">
      <c r="A29" s="138" t="s">
        <v>271</v>
      </c>
      <c r="B29" s="138" t="s">
        <v>284</v>
      </c>
      <c r="C29" s="136"/>
      <c r="D29" s="136">
        <v>0.19508593750000003</v>
      </c>
    </row>
    <row r="30" spans="1:4" x14ac:dyDescent="0.25">
      <c r="A30" s="138" t="s">
        <v>272</v>
      </c>
      <c r="B30" s="138" t="s">
        <v>192</v>
      </c>
      <c r="C30" s="136"/>
      <c r="D30" s="136">
        <v>0.15206452546296298</v>
      </c>
    </row>
    <row r="31" spans="1:4" x14ac:dyDescent="0.25">
      <c r="A31" s="138" t="s">
        <v>273</v>
      </c>
      <c r="B31" s="138" t="s">
        <v>9</v>
      </c>
      <c r="C31" s="136"/>
      <c r="D31" s="136">
        <v>0.14206032986111111</v>
      </c>
    </row>
    <row r="32" spans="1:4" x14ac:dyDescent="0.25">
      <c r="A32" s="138" t="s">
        <v>274</v>
      </c>
      <c r="B32" s="138" t="s">
        <v>13</v>
      </c>
      <c r="C32" s="136"/>
      <c r="D32" s="136">
        <v>0.16506467013888892</v>
      </c>
    </row>
    <row r="33" spans="1:4" x14ac:dyDescent="0.25">
      <c r="A33" s="138" t="s">
        <v>275</v>
      </c>
      <c r="B33" s="138" t="s">
        <v>23</v>
      </c>
      <c r="C33" s="136"/>
      <c r="D33" s="136">
        <v>0.18291319444444443</v>
      </c>
    </row>
    <row r="34" spans="1:4" x14ac:dyDescent="0.25">
      <c r="A34" s="138" t="s">
        <v>276</v>
      </c>
      <c r="B34" s="138" t="s">
        <v>10</v>
      </c>
      <c r="C34" s="136"/>
      <c r="D34" s="136">
        <v>0.12447135416666665</v>
      </c>
    </row>
    <row r="35" spans="1:4" x14ac:dyDescent="0.25">
      <c r="A35" s="138" t="s">
        <v>277</v>
      </c>
      <c r="B35" s="138" t="s">
        <v>285</v>
      </c>
      <c r="C35" s="136"/>
      <c r="D35" s="136">
        <v>0.16643402777777777</v>
      </c>
    </row>
    <row r="36" spans="1:4" x14ac:dyDescent="0.25">
      <c r="A36" s="138" t="s">
        <v>278</v>
      </c>
      <c r="B36" s="138" t="s">
        <v>286</v>
      </c>
      <c r="C36" s="136"/>
      <c r="D36" s="136">
        <v>0.13463411458333333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2026-06-23T17:46:10Z</dcterms:modified>
</cp:coreProperties>
</file>