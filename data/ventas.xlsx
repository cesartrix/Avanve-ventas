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7CA9088C-DB13-4089-81E8-81DF9302292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<sst xmlns="http://schemas.openxmlformats.org/spreadsheetml/2006/main" count="902" uniqueCount="233">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</sst>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97" t="s">
        <v>76</v>
      </c>
      <c r="B1" s="97" t="s">
        <v>147</v>
      </c>
      <c r="C1" s="97" t="s">
        <v>148</v>
      </c>
      <c r="D1" s="97" t="s">
        <v>149</v>
      </c>
      <c r="E1" s="97" t="s">
        <v>150</v>
      </c>
      <c r="F1" s="97" t="s">
        <v>151</v>
      </c>
      <c r="G1" s="97" t="s">
        <v>152</v>
      </c>
      <c r="H1" s="97" t="s">
        <v>153</v>
      </c>
    </row>
    <row r="2" spans="1:8" x14ac:dyDescent="0.25">
      <c r="A2" s="96" t="s">
        <v>154</v>
      </c>
      <c r="B2" s="96">
        <v>0</v>
      </c>
      <c r="C2" s="96">
        <v>23536.120041674199</v>
      </c>
      <c r="D2" s="96">
        <v>118844.0518090774</v>
      </c>
      <c r="E2" s="96">
        <v>404778139.42970479</v>
      </c>
      <c r="F2" s="96">
        <v>0</v>
      </c>
      <c r="G2" s="96">
        <v>219962.89139595471</v>
      </c>
      <c r="H2" s="96">
        <v>219963</v>
      </c>
    </row>
    <row r="3" spans="1:8" x14ac:dyDescent="0.25">
      <c r="A3" s="96" t="s">
        <v>81</v>
      </c>
      <c r="B3" s="96">
        <v>1</v>
      </c>
      <c r="C3" s="96">
        <v>304.92164059919997</v>
      </c>
      <c r="D3" s="96">
        <v>609.84716534890003</v>
      </c>
      <c r="E3" s="96">
        <v>7332096.3798651379</v>
      </c>
      <c r="F3" s="96">
        <v>0</v>
      </c>
      <c r="G3" s="96">
        <v>219962.89139595471</v>
      </c>
      <c r="H3" s="96">
        <v>219963</v>
      </c>
    </row>
    <row r="4" spans="1:8" x14ac:dyDescent="0.25">
      <c r="A4" s="96" t="s">
        <v>82</v>
      </c>
      <c r="B4" s="96">
        <v>1</v>
      </c>
      <c r="C4" s="96">
        <v>176.8288769829</v>
      </c>
      <c r="D4" s="96">
        <v>368.48999999900002</v>
      </c>
      <c r="E4" s="96">
        <v>5569721.4797102707</v>
      </c>
      <c r="F4" s="96">
        <v>0</v>
      </c>
      <c r="G4" s="96">
        <v>0</v>
      </c>
      <c r="H4" s="96">
        <v>0</v>
      </c>
    </row>
    <row r="5" spans="1:8" x14ac:dyDescent="0.25">
      <c r="A5" s="96" t="s">
        <v>83</v>
      </c>
      <c r="B5" s="96">
        <v>1</v>
      </c>
      <c r="C5" s="96">
        <v>242.08867063389999</v>
      </c>
      <c r="D5" s="96">
        <v>958.47710713790002</v>
      </c>
      <c r="E5" s="96">
        <v>5463522.8209966822</v>
      </c>
      <c r="F5" s="96">
        <v>0</v>
      </c>
      <c r="G5" s="96">
        <v>0</v>
      </c>
      <c r="H5" s="96">
        <v>0</v>
      </c>
    </row>
    <row r="6" spans="1:8" x14ac:dyDescent="0.25">
      <c r="A6" s="96" t="s">
        <v>84</v>
      </c>
      <c r="B6" s="96">
        <v>1</v>
      </c>
      <c r="C6" s="96">
        <v>422.23492063399999</v>
      </c>
      <c r="D6" s="96">
        <v>1210.8927142914999</v>
      </c>
      <c r="E6" s="96">
        <v>8696250.9292322323</v>
      </c>
      <c r="F6" s="96">
        <v>0</v>
      </c>
      <c r="G6" s="96">
        <v>0</v>
      </c>
      <c r="H6" s="96">
        <v>0</v>
      </c>
    </row>
    <row r="7" spans="1:8" x14ac:dyDescent="0.25">
      <c r="A7" s="96" t="s">
        <v>85</v>
      </c>
      <c r="B7" s="96">
        <v>1</v>
      </c>
      <c r="C7" s="96">
        <v>470.69109126870001</v>
      </c>
      <c r="D7" s="96">
        <v>1524.0909999988</v>
      </c>
      <c r="E7" s="96">
        <v>9117515.4833692927</v>
      </c>
      <c r="F7" s="96">
        <v>0</v>
      </c>
      <c r="G7" s="96">
        <v>0</v>
      </c>
      <c r="H7" s="96">
        <v>0</v>
      </c>
    </row>
    <row r="8" spans="1:8" x14ac:dyDescent="0.25">
      <c r="A8" s="96" t="s">
        <v>111</v>
      </c>
      <c r="B8" s="96">
        <v>1</v>
      </c>
      <c r="C8" s="96">
        <v>2244.1115740741998</v>
      </c>
      <c r="D8" s="96">
        <v>2660.9464768541998</v>
      </c>
      <c r="E8" s="96">
        <v>26940309.263082385</v>
      </c>
      <c r="F8" s="96">
        <v>0</v>
      </c>
      <c r="G8" s="96">
        <v>0</v>
      </c>
      <c r="H8" s="96">
        <v>0</v>
      </c>
    </row>
    <row r="9" spans="1:8" x14ac:dyDescent="0.25">
      <c r="A9" s="96" t="s">
        <v>86</v>
      </c>
      <c r="B9" s="96">
        <v>1</v>
      </c>
      <c r="C9" s="96">
        <v>232.0398412696</v>
      </c>
      <c r="D9" s="96">
        <v>1086.5675000014</v>
      </c>
      <c r="E9" s="96">
        <v>4065628.6784671973</v>
      </c>
      <c r="F9" s="96">
        <v>0</v>
      </c>
      <c r="G9" s="96">
        <v>0</v>
      </c>
      <c r="H9" s="96">
        <v>0</v>
      </c>
    </row>
    <row r="10" spans="1:8" x14ac:dyDescent="0.25">
      <c r="A10" s="96" t="s">
        <v>87</v>
      </c>
      <c r="B10" s="96">
        <v>1</v>
      </c>
      <c r="C10" s="96">
        <v>185.462529762</v>
      </c>
      <c r="D10" s="96">
        <v>863.00411458940005</v>
      </c>
      <c r="E10" s="96">
        <v>6335712.8592704926</v>
      </c>
      <c r="F10" s="96">
        <v>0</v>
      </c>
      <c r="G10" s="96">
        <v>0</v>
      </c>
      <c r="H10" s="96">
        <v>0</v>
      </c>
    </row>
    <row r="11" spans="1:8" x14ac:dyDescent="0.25">
      <c r="A11" s="96" t="s">
        <v>213</v>
      </c>
      <c r="B11" s="96">
        <v>1</v>
      </c>
      <c r="C11" s="96">
        <v>188.60525793549999</v>
      </c>
      <c r="D11" s="96">
        <v>684.56459523729995</v>
      </c>
      <c r="E11" s="96">
        <v>3800655.2343727285</v>
      </c>
      <c r="F11" s="96">
        <v>0</v>
      </c>
      <c r="G11" s="96">
        <v>0</v>
      </c>
      <c r="H11" s="96">
        <v>0</v>
      </c>
    </row>
    <row r="12" spans="1:8" x14ac:dyDescent="0.25">
      <c r="A12" s="96" t="s">
        <v>212</v>
      </c>
      <c r="B12" s="96">
        <v>1</v>
      </c>
      <c r="C12" s="96">
        <v>392.8326984112</v>
      </c>
      <c r="D12" s="96">
        <v>2464.8501190417001</v>
      </c>
      <c r="E12" s="96">
        <v>6728186.3048162535</v>
      </c>
      <c r="F12" s="96">
        <v>0</v>
      </c>
      <c r="G12" s="96">
        <v>0</v>
      </c>
      <c r="H12" s="96">
        <v>0</v>
      </c>
    </row>
    <row r="13" spans="1:8" x14ac:dyDescent="0.25">
      <c r="A13" s="96" t="s">
        <v>90</v>
      </c>
      <c r="B13" s="96">
        <v>1</v>
      </c>
      <c r="C13" s="96">
        <v>382.97797618999999</v>
      </c>
      <c r="D13" s="96">
        <v>1212.3465119081</v>
      </c>
      <c r="E13" s="96">
        <v>7646569.2805425785</v>
      </c>
      <c r="F13" s="96">
        <v>0</v>
      </c>
      <c r="G13" s="96">
        <v>0</v>
      </c>
      <c r="H13" s="96">
        <v>0</v>
      </c>
    </row>
    <row r="14" spans="1:8" x14ac:dyDescent="0.25">
      <c r="A14" s="96" t="s">
        <v>91</v>
      </c>
      <c r="B14" s="96">
        <v>1</v>
      </c>
      <c r="C14" s="96">
        <v>1784.0438492065</v>
      </c>
      <c r="D14" s="96">
        <v>15478.012499999801</v>
      </c>
      <c r="E14" s="96">
        <v>41231894.308746725</v>
      </c>
      <c r="F14" s="96">
        <v>0</v>
      </c>
      <c r="G14" s="96">
        <v>0</v>
      </c>
      <c r="H14" s="96">
        <v>0</v>
      </c>
    </row>
    <row r="15" spans="1:8" x14ac:dyDescent="0.25">
      <c r="A15" s="96" t="s">
        <v>92</v>
      </c>
      <c r="B15" s="96">
        <v>1</v>
      </c>
      <c r="C15" s="96">
        <v>359.23888888840003</v>
      </c>
      <c r="D15" s="96">
        <v>1179.3074999966</v>
      </c>
      <c r="E15" s="96">
        <v>6977673.3087740811</v>
      </c>
      <c r="F15" s="96">
        <v>0</v>
      </c>
      <c r="G15" s="96">
        <v>0</v>
      </c>
      <c r="H15" s="96">
        <v>0</v>
      </c>
    </row>
    <row r="16" spans="1:8" x14ac:dyDescent="0.25">
      <c r="A16" s="96" t="s">
        <v>93</v>
      </c>
      <c r="B16" s="96">
        <v>1</v>
      </c>
      <c r="C16" s="96">
        <v>241.7752579353</v>
      </c>
      <c r="D16" s="96">
        <v>1283.1735119088</v>
      </c>
      <c r="E16" s="96">
        <v>5986642.3849513531</v>
      </c>
      <c r="F16" s="96">
        <v>0</v>
      </c>
      <c r="G16" s="96">
        <v>0</v>
      </c>
      <c r="H16" s="96">
        <v>0</v>
      </c>
    </row>
    <row r="17" spans="1:8" x14ac:dyDescent="0.25">
      <c r="A17" s="96" t="s">
        <v>94</v>
      </c>
      <c r="B17" s="96">
        <v>1</v>
      </c>
      <c r="C17" s="96">
        <v>514.63587301380005</v>
      </c>
      <c r="D17" s="96">
        <v>1512.2785238153001</v>
      </c>
      <c r="E17" s="96">
        <v>10212334.874835599</v>
      </c>
      <c r="F17" s="96">
        <v>0</v>
      </c>
      <c r="G17" s="96">
        <v>0</v>
      </c>
      <c r="H17" s="96">
        <v>0</v>
      </c>
    </row>
    <row r="18" spans="1:8" x14ac:dyDescent="0.25">
      <c r="A18" s="96" t="s">
        <v>95</v>
      </c>
      <c r="B18" s="96">
        <v>1</v>
      </c>
      <c r="C18" s="96">
        <v>653.25121031690003</v>
      </c>
      <c r="D18" s="96">
        <v>3068.6327738059999</v>
      </c>
      <c r="E18" s="96">
        <v>12888810.036315698</v>
      </c>
      <c r="F18" s="96">
        <v>0</v>
      </c>
      <c r="G18" s="96">
        <v>0</v>
      </c>
      <c r="H18" s="96">
        <v>0</v>
      </c>
    </row>
    <row r="19" spans="1:8" x14ac:dyDescent="0.25">
      <c r="A19" s="96" t="s">
        <v>96</v>
      </c>
      <c r="B19" s="96">
        <v>1</v>
      </c>
      <c r="C19" s="96">
        <v>519.40931216779995</v>
      </c>
      <c r="D19" s="96">
        <v>1972.9242142894</v>
      </c>
      <c r="E19" s="96">
        <v>10086924.880174421</v>
      </c>
      <c r="F19" s="96">
        <v>0</v>
      </c>
      <c r="G19" s="96">
        <v>0</v>
      </c>
      <c r="H19" s="96">
        <v>0</v>
      </c>
    </row>
    <row r="20" spans="1:8" x14ac:dyDescent="0.25">
      <c r="A20" s="96" t="s">
        <v>97</v>
      </c>
      <c r="B20" s="96">
        <v>1</v>
      </c>
      <c r="C20" s="96">
        <v>1834.8007341268999</v>
      </c>
      <c r="D20" s="96">
        <v>9290.8964999950003</v>
      </c>
      <c r="E20" s="96">
        <v>27236244.29200922</v>
      </c>
      <c r="F20" s="96">
        <v>0</v>
      </c>
      <c r="G20" s="96">
        <v>0</v>
      </c>
      <c r="H20" s="96">
        <v>0</v>
      </c>
    </row>
    <row r="21" spans="1:8" x14ac:dyDescent="0.25">
      <c r="A21" s="96" t="s">
        <v>98</v>
      </c>
      <c r="B21" s="96">
        <v>1</v>
      </c>
      <c r="C21" s="96">
        <v>290.11200396679999</v>
      </c>
      <c r="D21" s="96">
        <v>1023.2292142913</v>
      </c>
      <c r="E21" s="96">
        <v>6172988.7852142667</v>
      </c>
      <c r="F21" s="96">
        <v>0</v>
      </c>
      <c r="G21" s="96">
        <v>0</v>
      </c>
      <c r="H21" s="96">
        <v>0</v>
      </c>
    </row>
    <row r="22" spans="1:8" x14ac:dyDescent="0.25">
      <c r="A22" s="96" t="s">
        <v>207</v>
      </c>
      <c r="B22" s="96">
        <v>1</v>
      </c>
      <c r="C22" s="96">
        <v>214.7938492056</v>
      </c>
      <c r="D22" s="96">
        <v>568.13101190359998</v>
      </c>
      <c r="E22" s="96">
        <v>3355300.6510111671</v>
      </c>
      <c r="F22" s="96">
        <v>0</v>
      </c>
      <c r="G22" s="96">
        <v>0</v>
      </c>
      <c r="H22" s="96">
        <v>0</v>
      </c>
    </row>
    <row r="23" spans="1:8" x14ac:dyDescent="0.25">
      <c r="A23" s="96" t="s">
        <v>155</v>
      </c>
      <c r="B23" s="96">
        <v>1</v>
      </c>
      <c r="C23" s="96">
        <v>786.37513888820001</v>
      </c>
      <c r="D23" s="96">
        <v>4836.2267976160001</v>
      </c>
      <c r="E23" s="96">
        <v>17058609.68881448</v>
      </c>
      <c r="F23" s="96">
        <v>0</v>
      </c>
      <c r="G23" s="96">
        <v>0</v>
      </c>
      <c r="H23" s="96">
        <v>0</v>
      </c>
    </row>
    <row r="24" spans="1:8" x14ac:dyDescent="0.25">
      <c r="A24" s="96" t="s">
        <v>220</v>
      </c>
      <c r="B24" s="96">
        <v>1</v>
      </c>
      <c r="C24" s="96">
        <v>731.66458333349999</v>
      </c>
      <c r="D24" s="96">
        <v>4795.7219583328997</v>
      </c>
      <c r="E24" s="96">
        <v>13810777.689331688</v>
      </c>
      <c r="F24" s="96">
        <v>0</v>
      </c>
      <c r="G24" s="96">
        <v>0</v>
      </c>
      <c r="H24" s="96">
        <v>0</v>
      </c>
    </row>
    <row r="25" spans="1:8" x14ac:dyDescent="0.25">
      <c r="A25" s="96" t="s">
        <v>99</v>
      </c>
      <c r="B25" s="96">
        <v>1</v>
      </c>
      <c r="C25" s="96">
        <v>315.21142857130002</v>
      </c>
      <c r="D25" s="96">
        <v>945.48208333850005</v>
      </c>
      <c r="E25" s="96">
        <v>5326745.1355416654</v>
      </c>
      <c r="F25" s="96">
        <v>0</v>
      </c>
      <c r="G25" s="96">
        <v>0</v>
      </c>
      <c r="H25" s="96">
        <v>0</v>
      </c>
    </row>
    <row r="26" spans="1:8" x14ac:dyDescent="0.25">
      <c r="A26" s="96" t="s">
        <v>100</v>
      </c>
      <c r="B26" s="96">
        <v>1</v>
      </c>
      <c r="C26" s="96">
        <v>212.21638888800001</v>
      </c>
      <c r="D26" s="96">
        <v>513.23708333510001</v>
      </c>
      <c r="E26" s="96">
        <v>3355234.3973482912</v>
      </c>
      <c r="F26" s="96">
        <v>0</v>
      </c>
      <c r="G26" s="96">
        <v>0</v>
      </c>
      <c r="H26" s="96">
        <v>0</v>
      </c>
    </row>
    <row r="27" spans="1:8" x14ac:dyDescent="0.25">
      <c r="A27" s="96" t="s">
        <v>221</v>
      </c>
      <c r="B27" s="96">
        <v>1</v>
      </c>
      <c r="C27" s="96">
        <v>1886.5</v>
      </c>
      <c r="D27" s="96">
        <v>9716.84</v>
      </c>
      <c r="E27" s="96">
        <v>23429640.094719999</v>
      </c>
      <c r="F27" s="96">
        <v>0</v>
      </c>
      <c r="G27" s="96">
        <v>0</v>
      </c>
      <c r="H27" s="96">
        <v>0</v>
      </c>
    </row>
    <row r="28" spans="1:8" x14ac:dyDescent="0.25">
      <c r="A28" s="96" t="s">
        <v>101</v>
      </c>
      <c r="B28" s="96">
        <v>1</v>
      </c>
      <c r="C28" s="96">
        <v>493.60180224750002</v>
      </c>
      <c r="D28" s="96">
        <v>2090.0317187555002</v>
      </c>
      <c r="E28" s="96">
        <v>9510778.0994110405</v>
      </c>
      <c r="F28" s="96">
        <v>0</v>
      </c>
      <c r="G28" s="96">
        <v>0</v>
      </c>
      <c r="H28" s="96">
        <v>0</v>
      </c>
    </row>
    <row r="29" spans="1:8" x14ac:dyDescent="0.25">
      <c r="A29" s="96" t="s">
        <v>214</v>
      </c>
      <c r="B29" s="96">
        <v>1</v>
      </c>
      <c r="C29" s="96">
        <v>1460.9161111113001</v>
      </c>
      <c r="D29" s="96">
        <v>2536.7420833368001</v>
      </c>
      <c r="E29" s="96">
        <v>18937147.75616448</v>
      </c>
      <c r="F29" s="96">
        <v>0</v>
      </c>
      <c r="G29" s="96">
        <v>0</v>
      </c>
      <c r="H29" s="96">
        <v>0</v>
      </c>
    </row>
    <row r="30" spans="1:8" x14ac:dyDescent="0.25">
      <c r="A30" s="96" t="s">
        <v>139</v>
      </c>
      <c r="B30" s="96">
        <v>1</v>
      </c>
      <c r="C30" s="96">
        <v>133.1834325399</v>
      </c>
      <c r="D30" s="96">
        <v>450.17666667719999</v>
      </c>
      <c r="E30" s="96">
        <v>2447356.6153951334</v>
      </c>
      <c r="F30" s="96">
        <v>0</v>
      </c>
      <c r="G30" s="96">
        <v>0</v>
      </c>
      <c r="H30" s="96">
        <v>0</v>
      </c>
    </row>
    <row r="31" spans="1:8" x14ac:dyDescent="0.25">
      <c r="A31" s="96" t="s">
        <v>216</v>
      </c>
      <c r="B31" s="96">
        <v>1</v>
      </c>
      <c r="C31" s="96">
        <v>210.9894841258</v>
      </c>
      <c r="D31" s="96">
        <v>446.56999999829998</v>
      </c>
      <c r="E31" s="96">
        <v>3339149.8528803443</v>
      </c>
      <c r="F31" s="96">
        <v>0</v>
      </c>
      <c r="G31" s="96">
        <v>0</v>
      </c>
      <c r="H31" s="96">
        <v>0</v>
      </c>
    </row>
    <row r="32" spans="1:8" x14ac:dyDescent="0.25">
      <c r="A32" s="96" t="s">
        <v>104</v>
      </c>
      <c r="B32" s="96">
        <v>1</v>
      </c>
      <c r="C32" s="96">
        <v>67.658134920600006</v>
      </c>
      <c r="D32" s="96">
        <v>439.60125000070002</v>
      </c>
      <c r="E32" s="96">
        <v>1956633.4710906136</v>
      </c>
      <c r="F32" s="96">
        <v>0</v>
      </c>
      <c r="G32" s="96">
        <v>0</v>
      </c>
      <c r="H32" s="96">
        <v>0</v>
      </c>
    </row>
    <row r="33" spans="1:8" x14ac:dyDescent="0.25">
      <c r="A33" s="96" t="s">
        <v>215</v>
      </c>
      <c r="B33" s="96">
        <v>1</v>
      </c>
      <c r="C33" s="96">
        <v>315.11827380919999</v>
      </c>
      <c r="D33" s="96">
        <v>755.99600000379996</v>
      </c>
      <c r="E33" s="96">
        <v>5102416.1731653139</v>
      </c>
      <c r="F33" s="96">
        <v>0</v>
      </c>
      <c r="G33" s="96">
        <v>0</v>
      </c>
      <c r="H33" s="96">
        <v>0</v>
      </c>
    </row>
    <row r="34" spans="1:8" x14ac:dyDescent="0.25">
      <c r="A34" s="96" t="s">
        <v>231</v>
      </c>
      <c r="B34" s="96">
        <v>1</v>
      </c>
      <c r="C34" s="96">
        <v>25.288194444399998</v>
      </c>
      <c r="D34" s="96">
        <v>354.02</v>
      </c>
      <c r="E34" s="96">
        <v>715253.15687714703</v>
      </c>
      <c r="F34" s="96">
        <v>0</v>
      </c>
      <c r="G34" s="96">
        <v>0</v>
      </c>
      <c r="H34" s="96">
        <v>0</v>
      </c>
    </row>
    <row r="35" spans="1:8" x14ac:dyDescent="0.25">
      <c r="A35" s="96" t="s">
        <v>206</v>
      </c>
      <c r="B35" s="96">
        <v>1</v>
      </c>
      <c r="C35" s="96">
        <v>233</v>
      </c>
      <c r="D35" s="96">
        <v>292.8</v>
      </c>
      <c r="E35" s="96">
        <v>3102340.9134</v>
      </c>
      <c r="F35" s="96">
        <v>0</v>
      </c>
      <c r="G35" s="96">
        <v>0</v>
      </c>
      <c r="H35" s="96">
        <v>0</v>
      </c>
    </row>
    <row r="36" spans="1:8" x14ac:dyDescent="0.25">
      <c r="A36" s="96" t="s">
        <v>162</v>
      </c>
      <c r="B36" s="96">
        <v>1</v>
      </c>
      <c r="C36" s="96">
        <v>299.38214285610002</v>
      </c>
      <c r="D36" s="96">
        <v>1317.7466071432</v>
      </c>
      <c r="E36" s="96">
        <v>6142976.0828060079</v>
      </c>
      <c r="F36" s="96">
        <v>0</v>
      </c>
      <c r="G36" s="96">
        <v>0</v>
      </c>
      <c r="H36" s="96">
        <v>0</v>
      </c>
    </row>
    <row r="37" spans="1:8" x14ac:dyDescent="0.25">
      <c r="A37" s="96" t="s">
        <v>107</v>
      </c>
      <c r="B37" s="96">
        <v>1</v>
      </c>
      <c r="C37" s="96">
        <v>414.39123015899997</v>
      </c>
      <c r="D37" s="96">
        <v>2342.8888214259</v>
      </c>
      <c r="E37" s="96">
        <v>7342359.2744361712</v>
      </c>
      <c r="F37" s="96">
        <v>0</v>
      </c>
      <c r="G37" s="96">
        <v>0</v>
      </c>
      <c r="H37" s="96">
        <v>0</v>
      </c>
    </row>
    <row r="38" spans="1:8" x14ac:dyDescent="0.25">
      <c r="A38" s="96" t="s">
        <v>112</v>
      </c>
      <c r="B38" s="96">
        <v>1</v>
      </c>
      <c r="C38" s="96">
        <v>313.39242424230002</v>
      </c>
      <c r="D38" s="96">
        <v>3329.8899999988998</v>
      </c>
      <c r="E38" s="96">
        <v>6878414.3543294193</v>
      </c>
      <c r="F38" s="96">
        <v>0</v>
      </c>
      <c r="G38" s="96">
        <v>0</v>
      </c>
      <c r="H38" s="96">
        <v>0</v>
      </c>
    </row>
    <row r="39" spans="1:8" x14ac:dyDescent="0.25">
      <c r="A39" s="96" t="s">
        <v>108</v>
      </c>
      <c r="B39" s="96">
        <v>1</v>
      </c>
      <c r="C39" s="96">
        <v>582.91666666670005</v>
      </c>
      <c r="D39" s="96">
        <v>7056.58</v>
      </c>
      <c r="E39" s="96">
        <v>12288523.154902149</v>
      </c>
      <c r="F39" s="96">
        <v>0</v>
      </c>
      <c r="G39" s="96">
        <v>0</v>
      </c>
      <c r="H39" s="96">
        <v>0</v>
      </c>
    </row>
    <row r="40" spans="1:8" x14ac:dyDescent="0.25">
      <c r="A40" s="96" t="s">
        <v>109</v>
      </c>
      <c r="B40" s="96">
        <v>1</v>
      </c>
      <c r="C40" s="96">
        <v>783.70252645510004</v>
      </c>
      <c r="D40" s="96">
        <v>4461.5912844021996</v>
      </c>
      <c r="E40" s="96">
        <v>7360714.5095196133</v>
      </c>
      <c r="F40" s="96">
        <v>0</v>
      </c>
      <c r="G40" s="96">
        <v>0</v>
      </c>
      <c r="H40" s="96">
        <v>0</v>
      </c>
    </row>
    <row r="41" spans="1:8" x14ac:dyDescent="0.25">
      <c r="A41" s="96" t="s">
        <v>140</v>
      </c>
      <c r="B41" s="96">
        <v>1</v>
      </c>
      <c r="C41" s="96">
        <v>911.18134920600005</v>
      </c>
      <c r="D41" s="96">
        <v>6551.529166667</v>
      </c>
      <c r="E41" s="96">
        <v>12160822.067982538</v>
      </c>
      <c r="F41" s="96">
        <v>0</v>
      </c>
      <c r="G41" s="96">
        <v>0</v>
      </c>
      <c r="H41" s="96">
        <v>0</v>
      </c>
    </row>
    <row r="42" spans="1:8" x14ac:dyDescent="0.25">
      <c r="A42" s="96" t="s">
        <v>217</v>
      </c>
      <c r="B42" s="96">
        <v>1</v>
      </c>
      <c r="C42" s="96">
        <v>46</v>
      </c>
      <c r="D42" s="96">
        <v>648.04</v>
      </c>
      <c r="E42" s="96">
        <v>1084549.0049000001</v>
      </c>
      <c r="F42" s="96">
        <v>0</v>
      </c>
      <c r="G42" s="96">
        <v>0</v>
      </c>
      <c r="H42" s="96">
        <v>0</v>
      </c>
    </row>
    <row r="43" spans="1:8" x14ac:dyDescent="0.25">
      <c r="A43" s="96" t="s">
        <v>145</v>
      </c>
      <c r="B43" s="96">
        <v>1</v>
      </c>
      <c r="C43" s="96">
        <v>249.55500992079999</v>
      </c>
      <c r="D43" s="96">
        <v>1124.5225014852999</v>
      </c>
      <c r="E43" s="96">
        <v>8104352.0621971888</v>
      </c>
      <c r="F43" s="96">
        <v>0</v>
      </c>
      <c r="G43" s="96">
        <v>0</v>
      </c>
      <c r="H43" s="96">
        <v>0</v>
      </c>
    </row>
    <row r="44" spans="1:8" x14ac:dyDescent="0.25">
      <c r="A44" s="96" t="s">
        <v>146</v>
      </c>
      <c r="B44" s="96">
        <v>1</v>
      </c>
      <c r="C44" s="96">
        <v>1041.2170634924</v>
      </c>
      <c r="D44" s="96">
        <v>12428.4199404746</v>
      </c>
      <c r="E44" s="96">
        <v>14041795.823822808</v>
      </c>
      <c r="F44" s="96">
        <v>0</v>
      </c>
      <c r="G44" s="96">
        <v>0</v>
      </c>
      <c r="H44" s="96">
        <v>0</v>
      </c>
    </row>
    <row r="45" spans="1:8" x14ac:dyDescent="0.25">
      <c r="A45" s="96" t="s">
        <v>156</v>
      </c>
      <c r="B45" s="96">
        <v>1</v>
      </c>
      <c r="C45" s="96">
        <v>265.92759920690003</v>
      </c>
      <c r="D45" s="96">
        <v>2413.7347916711001</v>
      </c>
      <c r="E45" s="96">
        <v>5323073.1675148038</v>
      </c>
      <c r="F45" s="96">
        <v>0</v>
      </c>
      <c r="G45" s="96">
        <v>0</v>
      </c>
      <c r="H45" s="96">
        <v>0</v>
      </c>
    </row>
    <row r="46" spans="1:8" x14ac:dyDescent="0.25">
      <c r="A46" s="96" t="s">
        <v>232</v>
      </c>
      <c r="B46" s="96">
        <v>1</v>
      </c>
      <c r="C46" s="96">
        <v>101.875</v>
      </c>
      <c r="D46" s="96">
        <v>-24.9999999996</v>
      </c>
      <c r="E46" s="96">
        <v>113494.647396092</v>
      </c>
      <c r="F46" s="96">
        <v>0</v>
      </c>
      <c r="G46" s="96">
        <v>0</v>
      </c>
      <c r="H46" s="9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N37" sqref="N37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12888810.036315698</v>
      </c>
      <c r="E2" s="59">
        <v>12202147.531287048</v>
      </c>
      <c r="F2" s="59">
        <f t="shared" ref="F2:F9" si="0">+D2-E2</f>
        <v>686662.50502865016</v>
      </c>
      <c r="G2" s="60">
        <f t="shared" ref="G2:G41" si="1">+D2/C2</f>
        <v>0.39929302132027034</v>
      </c>
      <c r="H2" s="59">
        <f>+D2/$N$3*$N$4</f>
        <v>51555240.145262793</v>
      </c>
      <c r="I2" s="60">
        <f t="shared" ref="I2:I41" si="2">+H2/C2</f>
        <v>1.5971720852810813</v>
      </c>
      <c r="J2" s="59">
        <f>+D2/$N$3</f>
        <v>2148135.0060526165</v>
      </c>
      <c r="K2" s="59">
        <f t="shared" ref="K2:K41" si="3">+(C2-D2)/$N$2</f>
        <v>1077237.0334408365</v>
      </c>
      <c r="L2" s="61" cm="1">
        <f t="array" ref="L2">+_xlfn.IFS(I2&gt;114%,H2*0.02,I2&gt;109%,H2*0.015,I2&gt;104%,H2*0.0125,I2&gt;99%,H2*0.01,I2&lt;99%,H2*0)</f>
        <v>1031104.8029052559</v>
      </c>
      <c r="M2" s="53" t="s">
        <v>36</v>
      </c>
      <c r="N2">
        <v>18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10212334.874835599</v>
      </c>
      <c r="E3" s="4">
        <v>9288875.7683896385</v>
      </c>
      <c r="F3" s="4">
        <f t="shared" si="0"/>
        <v>923459.1064459607</v>
      </c>
      <c r="G3" s="5">
        <f t="shared" si="1"/>
        <v>0.3296138034027607</v>
      </c>
      <c r="H3" s="4">
        <f t="shared" ref="H3:H41" si="4">+D3/$N$3*$N$4</f>
        <v>40849339.499342397</v>
      </c>
      <c r="I3" s="5">
        <f t="shared" si="2"/>
        <v>1.3184552136110428</v>
      </c>
      <c r="J3" s="4">
        <f t="shared" ref="J3:J41" si="5">+D3/$N$3</f>
        <v>1702055.8124725998</v>
      </c>
      <c r="K3" s="4">
        <f t="shared" si="3"/>
        <v>1153910.7391137586</v>
      </c>
      <c r="L3" s="63" cm="1">
        <f t="array" ref="L3">+_xlfn.IFS(I3&gt;114%,H3*0.02,I3&gt;109%,H3*0.015,I3&gt;104%,H3*0.0125,I3&gt;99%,H3*0.01,I3&lt;99%,H3*0)</f>
        <v>816986.7899868479</v>
      </c>
      <c r="M3" s="53" t="s">
        <v>40</v>
      </c>
      <c r="N3">
        <f>N4-N2</f>
        <v>6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6977673.3087740811</v>
      </c>
      <c r="E4" s="4">
        <v>6197917.8190731332</v>
      </c>
      <c r="F4" s="4">
        <f t="shared" si="0"/>
        <v>779755.48970094789</v>
      </c>
      <c r="G4" s="5">
        <f t="shared" si="1"/>
        <v>0.24577899350779522</v>
      </c>
      <c r="H4" s="4">
        <f t="shared" si="4"/>
        <v>27910693.235096328</v>
      </c>
      <c r="I4" s="5">
        <f t="shared" si="2"/>
        <v>0.98311597403118101</v>
      </c>
      <c r="J4" s="4">
        <f t="shared" si="5"/>
        <v>1162945.5514623469</v>
      </c>
      <c r="K4" s="4">
        <f t="shared" si="3"/>
        <v>1189575.4417430097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7646569.2805425785</v>
      </c>
      <c r="E5" s="4">
        <v>6622431.8650625329</v>
      </c>
      <c r="F5" s="4">
        <f t="shared" si="0"/>
        <v>1024137.4154800456</v>
      </c>
      <c r="G5" s="5">
        <f t="shared" si="1"/>
        <v>0.26933993874378875</v>
      </c>
      <c r="H5" s="4">
        <f t="shared" si="4"/>
        <v>30586277.122170314</v>
      </c>
      <c r="I5" s="5">
        <f t="shared" si="2"/>
        <v>1.077359754975155</v>
      </c>
      <c r="J5" s="4">
        <f t="shared" si="5"/>
        <v>1274428.2134237632</v>
      </c>
      <c r="K5" s="4">
        <f t="shared" si="3"/>
        <v>1152414.5544225376</v>
      </c>
      <c r="L5" s="63" cm="1">
        <f t="array" ref="L5">+_xlfn.IFS(I5&gt;114%,H5*0.02,I5&gt;109%,H5*0.015,I5&gt;104%,H5*0.0125,I5&gt;99%,H5*0.01,I5&lt;99%,H5*0)</f>
        <v>382328.46402712894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6728186.3048162535</v>
      </c>
      <c r="E6" s="4">
        <v>6404448.8053096188</v>
      </c>
      <c r="F6" s="4">
        <f t="shared" si="0"/>
        <v>323737.49950663466</v>
      </c>
      <c r="G6" s="5">
        <f t="shared" si="1"/>
        <v>0.2859562699239025</v>
      </c>
      <c r="H6" s="4">
        <f t="shared" si="4"/>
        <v>26912745.219265014</v>
      </c>
      <c r="I6" s="5">
        <f t="shared" si="2"/>
        <v>1.14382507969561</v>
      </c>
      <c r="J6" s="4">
        <f t="shared" si="5"/>
        <v>1121364.3841360423</v>
      </c>
      <c r="K6" s="4">
        <f t="shared" si="3"/>
        <v>933363.2351502151</v>
      </c>
      <c r="L6" s="63" cm="1">
        <f t="array" ref="L6">+_xlfn.IFS(I6&gt;114%,H6*0.02,I6&gt;109%,H6*0.015,I6&gt;104%,H6*0.0125,I6&gt;99%,H6*0.01,I6&lt;99%,H6*0)</f>
        <v>538254.90438530024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4065628.6784671973</v>
      </c>
      <c r="E7" s="4">
        <v>3586477.5079781078</v>
      </c>
      <c r="F7" s="4">
        <f t="shared" ref="F7:F8" si="6">+D7-E7</f>
        <v>479151.17048908956</v>
      </c>
      <c r="G7" s="5">
        <f t="shared" si="1"/>
        <v>0.14655214587843052</v>
      </c>
      <c r="H7" s="4">
        <f t="shared" si="4"/>
        <v>16262514.713868789</v>
      </c>
      <c r="I7" s="5">
        <f t="shared" si="2"/>
        <v>0.58620858351372207</v>
      </c>
      <c r="J7" s="4">
        <f t="shared" si="5"/>
        <v>677604.77974453289</v>
      </c>
      <c r="K7" s="4">
        <f t="shared" si="3"/>
        <v>1315346.0195554059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9117515.4833692927</v>
      </c>
      <c r="E8" s="4">
        <v>8068882.1386908181</v>
      </c>
      <c r="F8" s="4">
        <f t="shared" si="6"/>
        <v>1048633.3446784746</v>
      </c>
      <c r="G8" s="5">
        <f t="shared" si="1"/>
        <v>0.25445835479718426</v>
      </c>
      <c r="H8" s="4">
        <f t="shared" si="4"/>
        <v>36470061.933477171</v>
      </c>
      <c r="I8" s="5">
        <f t="shared" si="2"/>
        <v>1.017833419188737</v>
      </c>
      <c r="J8" s="4">
        <f t="shared" si="5"/>
        <v>1519585.9138948822</v>
      </c>
      <c r="K8" s="4">
        <f t="shared" si="3"/>
        <v>1484086.4407526897</v>
      </c>
      <c r="L8" s="63" cm="1">
        <f t="array" ref="L8">+_xlfn.IFS(I8&gt;114%,H8*0.02,I8&gt;109%,H8*0.015,I8&gt;104%,H8*0.0125,I8&gt;99%,H8*0.01,I8&lt;99%,H8*0)</f>
        <v>364700.61933477171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8696250.9292322323</v>
      </c>
      <c r="E9" s="4">
        <v>7971555.33420307</v>
      </c>
      <c r="F9" s="4">
        <f t="shared" si="0"/>
        <v>724695.59502916224</v>
      </c>
      <c r="G9" s="5">
        <f t="shared" si="1"/>
        <v>0.24270139254407788</v>
      </c>
      <c r="H9" s="4">
        <f t="shared" si="4"/>
        <v>34785003.716928929</v>
      </c>
      <c r="I9" s="5">
        <f t="shared" si="2"/>
        <v>0.97080557017631153</v>
      </c>
      <c r="J9" s="4">
        <f t="shared" si="5"/>
        <v>1449375.1548720386</v>
      </c>
      <c r="K9" s="4">
        <f t="shared" si="3"/>
        <v>1507490.0270936373</v>
      </c>
      <c r="L9" s="63" cm="1">
        <f t="array" ref="L9">+_xlfn.IFS(I9&gt;114%,H9*0.02,I9&gt;109%,H9*0.015,I9&gt;104%,H9*0.0125,I9&gt;99%,H9*0.01,I9&lt;99%,H9*0)</f>
        <v>0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66332968.896352932</v>
      </c>
      <c r="E10" s="65">
        <v>60342736.769993968</v>
      </c>
      <c r="F10" s="64">
        <f>+SUM(F2:F9)</f>
        <v>5990232.1263589654</v>
      </c>
      <c r="G10" s="66">
        <f t="shared" si="1"/>
        <v>0.27300372611609741</v>
      </c>
      <c r="H10" s="64">
        <f t="shared" si="4"/>
        <v>265331875.58541173</v>
      </c>
      <c r="I10" s="66">
        <f t="shared" si="2"/>
        <v>1.0920149044643896</v>
      </c>
      <c r="J10" s="64">
        <f t="shared" si="5"/>
        <v>11055494.816058822</v>
      </c>
      <c r="K10" s="67">
        <f t="shared" si="3"/>
        <v>9813423.4912720881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27236244.29200922</v>
      </c>
      <c r="E11" s="59">
        <v>25307057.946538661</v>
      </c>
      <c r="F11" s="59">
        <f t="shared" ref="F11:F16" si="7">+D11-E11</f>
        <v>1929186.3454705589</v>
      </c>
      <c r="G11" s="60">
        <f t="shared" si="1"/>
        <v>0.28086724788857825</v>
      </c>
      <c r="H11" s="59">
        <f t="shared" si="4"/>
        <v>108944977.16803688</v>
      </c>
      <c r="I11" s="60">
        <f t="shared" si="2"/>
        <v>1.123468991554313</v>
      </c>
      <c r="J11" s="59">
        <f t="shared" si="5"/>
        <v>4539374.0486682029</v>
      </c>
      <c r="K11" s="59">
        <f t="shared" si="3"/>
        <v>3874205.7882293495</v>
      </c>
      <c r="L11" s="61" cm="1">
        <f t="array" ref="L11">+_xlfn.IFS(I11&gt;114%,H11*0.0125,I11&gt;109%,H11*0.01,I11&gt;104%,H11*0.0075,I11&gt;99%,H11*0.005,I11&lt;99%,H11*0)</f>
        <v>1089449.7716803688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7342359.2744361712</v>
      </c>
      <c r="E12" s="4">
        <v>7342359.2744361712</v>
      </c>
      <c r="F12" s="4">
        <f t="shared" si="7"/>
        <v>0</v>
      </c>
      <c r="G12" s="5">
        <f t="shared" si="1"/>
        <v>0.23212613979826088</v>
      </c>
      <c r="H12" s="4">
        <f t="shared" si="4"/>
        <v>29369437.097744681</v>
      </c>
      <c r="I12" s="5">
        <f t="shared" si="2"/>
        <v>0.92850455919304342</v>
      </c>
      <c r="J12" s="4">
        <f t="shared" si="5"/>
        <v>1223726.5457393618</v>
      </c>
      <c r="K12" s="4">
        <f t="shared" si="3"/>
        <v>1349363.5074517129</v>
      </c>
      <c r="L12" s="63" cm="1">
        <f t="array" ref="L12">+_xlfn.IFS(I12&gt;114%,H12*0.02,I12&gt;109%,H12*0.015,I12&gt;104%,H12*0.0125,I12&gt;99%,H12*0.01,I12&lt;99%,H12*0)</f>
        <v>0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41231894.308746725</v>
      </c>
      <c r="E13" s="4">
        <v>39689592.681744099</v>
      </c>
      <c r="F13" s="4">
        <f t="shared" si="7"/>
        <v>1542301.6270026267</v>
      </c>
      <c r="G13" s="5">
        <f t="shared" si="1"/>
        <v>0.32121094128022992</v>
      </c>
      <c r="H13" s="4">
        <f t="shared" si="4"/>
        <v>164927577.2349869</v>
      </c>
      <c r="I13" s="5">
        <f t="shared" si="2"/>
        <v>1.2848437651209197</v>
      </c>
      <c r="J13" s="4">
        <f t="shared" si="5"/>
        <v>6871982.3847911209</v>
      </c>
      <c r="K13" s="4">
        <f t="shared" si="3"/>
        <v>4840667.8758821255</v>
      </c>
      <c r="L13" s="63" cm="1">
        <f t="array" ref="L13">+_xlfn.IFS(I13&gt;114%,H13*0.0125,I13&gt;109%,H13*0.01,I13&gt;104%,H13*0.0075,I13&gt;99%,H13*0.005,I13&lt;99%,H13*0)</f>
        <v>2061594.7154373364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6878414.3543294193</v>
      </c>
      <c r="E14" s="4">
        <v>6663134.8062294191</v>
      </c>
      <c r="F14" s="4">
        <f t="shared" si="7"/>
        <v>215279.54810000025</v>
      </c>
      <c r="G14" s="5">
        <f t="shared" si="1"/>
        <v>0.16203927192841899</v>
      </c>
      <c r="H14" s="4">
        <f t="shared" si="4"/>
        <v>27513657.417317674</v>
      </c>
      <c r="I14" s="5">
        <f t="shared" si="2"/>
        <v>0.64815708771367586</v>
      </c>
      <c r="J14" s="4">
        <f t="shared" si="5"/>
        <v>1146402.3923882365</v>
      </c>
      <c r="K14" s="4">
        <f t="shared" si="3"/>
        <v>1976146.835591421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12288523.154902149</v>
      </c>
      <c r="E15" s="4">
        <v>10196205.867152149</v>
      </c>
      <c r="F15" s="4">
        <f t="shared" si="7"/>
        <v>2092317.2877500001</v>
      </c>
      <c r="G15" s="5">
        <f t="shared" si="1"/>
        <v>0.28948871680615529</v>
      </c>
      <c r="H15" s="4">
        <f t="shared" si="4"/>
        <v>49154092.619608596</v>
      </c>
      <c r="I15" s="5">
        <f t="shared" si="2"/>
        <v>1.1579548672246212</v>
      </c>
      <c r="J15" s="4">
        <f t="shared" si="5"/>
        <v>2048087.1924836915</v>
      </c>
      <c r="K15" s="4">
        <f t="shared" si="3"/>
        <v>1675585.2355596027</v>
      </c>
      <c r="L15" s="63" cm="1">
        <f t="array" ref="L15">+_xlfn.IFS(I15&gt;109%,H15*0.015,I15&gt;104%,H15*0.0125,I15&gt;99%,H15*0.01,I15&lt;99%,H15*0)</f>
        <v>737311.38929412887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94977435.384423673</v>
      </c>
      <c r="E16" s="65">
        <v>89198350.576100498</v>
      </c>
      <c r="F16" s="64">
        <f t="shared" si="7"/>
        <v>5779084.8083231747</v>
      </c>
      <c r="G16" s="66">
        <f t="shared" si="1"/>
        <v>0.27782156183263057</v>
      </c>
      <c r="H16" s="64">
        <f t="shared" si="4"/>
        <v>379909741.53769469</v>
      </c>
      <c r="I16" s="66">
        <f t="shared" si="2"/>
        <v>1.1112862473305223</v>
      </c>
      <c r="J16" s="64">
        <f t="shared" si="5"/>
        <v>15829572.564070612</v>
      </c>
      <c r="K16" s="67">
        <f t="shared" si="3"/>
        <v>13715969.242714213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5569721.4797102707</v>
      </c>
      <c r="E17" s="59">
        <v>4842984.6712837927</v>
      </c>
      <c r="F17" s="59">
        <f t="shared" ref="F17:F40" si="8">+D17-E17</f>
        <v>726736.80842647795</v>
      </c>
      <c r="G17" s="60">
        <f t="shared" si="1"/>
        <v>0.18984654841222071</v>
      </c>
      <c r="H17" s="59">
        <f t="shared" si="4"/>
        <v>22278885.918841083</v>
      </c>
      <c r="I17" s="60">
        <f t="shared" si="2"/>
        <v>0.75938619364888282</v>
      </c>
      <c r="J17" s="59">
        <f t="shared" si="5"/>
        <v>928286.91328504507</v>
      </c>
      <c r="K17" s="59">
        <f t="shared" si="3"/>
        <v>1320460.9251549852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5463522.8209966822</v>
      </c>
      <c r="E18" s="4">
        <v>4538116.0675083203</v>
      </c>
      <c r="F18" s="4">
        <f t="shared" si="8"/>
        <v>925406.75348836184</v>
      </c>
      <c r="G18" s="5">
        <f t="shared" si="1"/>
        <v>0.21889547184492469</v>
      </c>
      <c r="H18" s="4">
        <f t="shared" si="4"/>
        <v>21854091.283986729</v>
      </c>
      <c r="I18" s="5">
        <f t="shared" si="2"/>
        <v>0.87558188737969878</v>
      </c>
      <c r="J18" s="4">
        <f t="shared" si="5"/>
        <v>910587.13683278032</v>
      </c>
      <c r="K18" s="4">
        <f t="shared" si="3"/>
        <v>1083110.17105574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5986642.3849513531</v>
      </c>
      <c r="E19" s="4">
        <v>5255755.4759214995</v>
      </c>
      <c r="F19" s="4">
        <f t="shared" si="8"/>
        <v>730886.90902985353</v>
      </c>
      <c r="G19" s="5">
        <f t="shared" si="1"/>
        <v>0.23153201774525331</v>
      </c>
      <c r="H19" s="4">
        <f t="shared" si="4"/>
        <v>23946569.539805412</v>
      </c>
      <c r="I19" s="5">
        <f t="shared" si="2"/>
        <v>0.92612807098101324</v>
      </c>
      <c r="J19" s="4">
        <f t="shared" si="5"/>
        <v>997773.73082522547</v>
      </c>
      <c r="K19" s="4">
        <f t="shared" si="3"/>
        <v>1103889.3211415915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10086924.880174421</v>
      </c>
      <c r="E20" s="4">
        <v>9037854.5756811257</v>
      </c>
      <c r="F20" s="4">
        <f t="shared" si="8"/>
        <v>1049070.304493295</v>
      </c>
      <c r="G20" s="5">
        <f t="shared" si="1"/>
        <v>0.30067025733399805</v>
      </c>
      <c r="H20" s="4">
        <f t="shared" si="4"/>
        <v>40347699.520697683</v>
      </c>
      <c r="I20" s="5">
        <f t="shared" si="2"/>
        <v>1.2026810293359922</v>
      </c>
      <c r="J20" s="4">
        <f t="shared" si="5"/>
        <v>1681154.1466957368</v>
      </c>
      <c r="K20" s="4">
        <f t="shared" si="3"/>
        <v>1303400.2844347544</v>
      </c>
      <c r="L20" s="63" cm="1">
        <f t="array" ref="L20">+_xlfn.IFS(I20&gt;114%,H20*0.02,I20&gt;109%,H20*0.015,I20&gt;104%,H20*0.0125,I20&gt;99%,H20*0.01,I20&lt;99%,H20*0)</f>
        <v>806953.99041395367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6172988.7852142667</v>
      </c>
      <c r="E21" s="4">
        <v>5595341.8938343767</v>
      </c>
      <c r="F21" s="4">
        <f t="shared" ref="F21:F23" si="9">+D21-E21</f>
        <v>577646.89137989003</v>
      </c>
      <c r="G21" s="5">
        <f t="shared" si="1"/>
        <v>0.24247250861162994</v>
      </c>
      <c r="H21" s="4">
        <f t="shared" si="4"/>
        <v>24691955.140857067</v>
      </c>
      <c r="I21" s="5">
        <f t="shared" si="2"/>
        <v>0.96989003444651978</v>
      </c>
      <c r="J21" s="4">
        <f t="shared" si="5"/>
        <v>1028831.4642023778</v>
      </c>
      <c r="K21" s="4">
        <f t="shared" si="3"/>
        <v>1071417.8452658739</v>
      </c>
      <c r="L21" s="63" cm="1">
        <f t="array" ref="L21">+_xlfn.IFS(I21&gt;114%,H21*0.02,I21&gt;109%,H21*0.015,I21&gt;104%,H21*0.0125,I21&gt;99%,H21*0.01,I21&lt;99%,H21*0)</f>
        <v>0</v>
      </c>
    </row>
    <row r="22" spans="1:13" ht="15.75" x14ac:dyDescent="0.25">
      <c r="A22" s="91"/>
      <c r="B22" s="19" t="s">
        <v>101</v>
      </c>
      <c r="C22" s="71">
        <v>31742890.200000003</v>
      </c>
      <c r="D22" s="4">
        <f>IFERROR(+VLOOKUP(B22,COMISIONES!A:E,5,FALSE),"0")*1</f>
        <v>9510778.0994110405</v>
      </c>
      <c r="E22" s="4">
        <v>8516814.03087065</v>
      </c>
      <c r="F22" s="4">
        <f t="shared" si="9"/>
        <v>993964.06854039058</v>
      </c>
      <c r="G22" s="5">
        <f t="shared" si="1"/>
        <v>0.29961916005402178</v>
      </c>
      <c r="H22" s="4">
        <f t="shared" si="4"/>
        <v>38043112.397644162</v>
      </c>
      <c r="I22" s="5">
        <f t="shared" si="2"/>
        <v>1.1984766402160871</v>
      </c>
      <c r="J22" s="4">
        <f t="shared" si="5"/>
        <v>1585129.6832351733</v>
      </c>
      <c r="K22" s="4">
        <f t="shared" si="3"/>
        <v>1235117.3389216091</v>
      </c>
      <c r="L22" s="63" cm="1">
        <f t="array" ref="L22">+_xlfn.IFS(I22&gt;114%,H22*0.02,I22&gt;109%,H22*0.015,I22&gt;104%,H22*0.0125,I22&gt;99%,H22*0.01,I22&lt;99%,H22*0)</f>
        <v>760862.24795288325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6142976.0828060079</v>
      </c>
      <c r="E23" s="4">
        <v>5822405.6030015703</v>
      </c>
      <c r="F23" s="4">
        <f t="shared" si="9"/>
        <v>320570.47980443761</v>
      </c>
      <c r="G23" s="5">
        <f t="shared" si="1"/>
        <v>0.22390246836425612</v>
      </c>
      <c r="H23" s="4">
        <f t="shared" si="4"/>
        <v>24571904.331224032</v>
      </c>
      <c r="I23" s="5">
        <f t="shared" si="2"/>
        <v>0.89560987345702447</v>
      </c>
      <c r="J23" s="4">
        <f t="shared" si="5"/>
        <v>1023829.3471343346</v>
      </c>
      <c r="K23" s="4">
        <f t="shared" si="3"/>
        <v>1182942.7859552221</v>
      </c>
      <c r="L23" s="63" cm="1">
        <f t="array" ref="L23">+_xlfn.IFS(I23&gt;114%,H23*0.02,I23&gt;109%,H23*0.015,I23&gt;104%,H23*0.0125,I23&gt;99%,H23*0.01,I23&lt;99%,H23*0)</f>
        <v>0</v>
      </c>
    </row>
    <row r="24" spans="1:13" ht="15.75" x14ac:dyDescent="0.25">
      <c r="A24" s="91"/>
      <c r="B24" s="19" t="s">
        <v>109</v>
      </c>
      <c r="C24" s="71">
        <v>33494055</v>
      </c>
      <c r="D24" s="4">
        <f>IFERROR(+VLOOKUP(B24,COMISIONES!A:E,5,FALSE),"0")*1</f>
        <v>7360714.5095196133</v>
      </c>
      <c r="E24" s="4">
        <v>6909391.5039921645</v>
      </c>
      <c r="F24" s="4">
        <f t="shared" si="8"/>
        <v>451323.00552744884</v>
      </c>
      <c r="G24" s="5">
        <f t="shared" si="1"/>
        <v>0.21976182070279676</v>
      </c>
      <c r="H24" s="4">
        <f t="shared" si="4"/>
        <v>29442858.038078457</v>
      </c>
      <c r="I24" s="5">
        <f t="shared" si="2"/>
        <v>0.87904728281118716</v>
      </c>
      <c r="J24" s="4">
        <f t="shared" si="5"/>
        <v>1226785.7515866023</v>
      </c>
      <c r="K24" s="4">
        <f t="shared" si="3"/>
        <v>1451852.2494711326</v>
      </c>
      <c r="L24" s="63" cm="1">
        <f t="array" ref="L24">+_xlfn.IFS(I24&gt;114%,H24*0.02,I24&gt;109%,H24*0.015,I24&gt;104%,H24*0.0125,I24&gt;99%,H24*0.01,I24&lt;99%,H24*0)</f>
        <v>0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12160822.067982538</v>
      </c>
      <c r="E25" s="4">
        <v>8825883.2392010316</v>
      </c>
      <c r="F25" s="4">
        <f t="shared" si="8"/>
        <v>3334938.828781506</v>
      </c>
      <c r="G25" s="5">
        <f t="shared" si="1"/>
        <v>0.22492985610008884</v>
      </c>
      <c r="H25" s="4">
        <f t="shared" si="4"/>
        <v>48643288.271930151</v>
      </c>
      <c r="I25" s="5">
        <f t="shared" si="2"/>
        <v>0.89971942440035535</v>
      </c>
      <c r="J25" s="4">
        <f t="shared" si="5"/>
        <v>2026803.6779970897</v>
      </c>
      <c r="K25" s="4">
        <f t="shared" si="3"/>
        <v>2328007.2665009703</v>
      </c>
      <c r="L25" s="63" cm="1">
        <f t="array" ref="L25">+_xlfn.IFS(I25&gt;109%,H25*0.015,I25&gt;104%,H25*0.0125,I25&gt;99%,H25*0.01,I25&lt;99%,H25*0)</f>
        <v>0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68455091.110766187</v>
      </c>
      <c r="E26" s="65">
        <v>59344547.061294533</v>
      </c>
      <c r="F26" s="67">
        <f>+D26-E26</f>
        <v>9110544.049471654</v>
      </c>
      <c r="G26" s="66">
        <f t="shared" si="1"/>
        <v>0.23943830821592416</v>
      </c>
      <c r="H26" s="64">
        <f t="shared" si="4"/>
        <v>273820364.44306475</v>
      </c>
      <c r="I26" s="66">
        <f t="shared" si="2"/>
        <v>0.95775323286369662</v>
      </c>
      <c r="J26" s="64">
        <f t="shared" si="5"/>
        <v>11409181.851794364</v>
      </c>
      <c r="K26" s="67">
        <f t="shared" si="3"/>
        <v>12080198.187901881</v>
      </c>
      <c r="L26" s="68"/>
    </row>
    <row r="27" spans="1:13" ht="15.75" x14ac:dyDescent="0.25">
      <c r="A27" s="87" t="s">
        <v>219</v>
      </c>
      <c r="B27" s="57" t="s">
        <v>214</v>
      </c>
      <c r="C27" s="73">
        <v>81977700</v>
      </c>
      <c r="D27" s="59">
        <f>IFERROR(+VLOOKUP(B27,COMISIONES!A:E,5,FALSE),"0")*1</f>
        <v>18937147.75616448</v>
      </c>
      <c r="E27" s="59">
        <v>17555809.912466466</v>
      </c>
      <c r="F27" s="59">
        <f t="shared" si="8"/>
        <v>1381337.8436980136</v>
      </c>
      <c r="G27" s="60">
        <f t="shared" si="1"/>
        <v>0.23100364801847917</v>
      </c>
      <c r="H27" s="59">
        <f t="shared" si="4"/>
        <v>75748591.02465792</v>
      </c>
      <c r="I27" s="60">
        <f t="shared" si="2"/>
        <v>0.92401459207391667</v>
      </c>
      <c r="J27" s="59">
        <f t="shared" si="5"/>
        <v>3156191.2926940802</v>
      </c>
      <c r="K27" s="59">
        <f t="shared" si="3"/>
        <v>3502252.9024353069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3339149.8528803443</v>
      </c>
      <c r="E28" s="4">
        <v>2883607.9842428509</v>
      </c>
      <c r="F28" s="4">
        <f t="shared" si="8"/>
        <v>455541.86863749335</v>
      </c>
      <c r="G28" s="5">
        <f t="shared" si="1"/>
        <v>0.15900713585144496</v>
      </c>
      <c r="H28" s="4">
        <f t="shared" si="4"/>
        <v>13356599.411521379</v>
      </c>
      <c r="I28" s="5">
        <f t="shared" si="2"/>
        <v>0.63602854340577997</v>
      </c>
      <c r="J28" s="4">
        <f t="shared" si="5"/>
        <v>556524.97548005742</v>
      </c>
      <c r="K28" s="4">
        <f t="shared" si="3"/>
        <v>981158.34150664753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6335712.8592704926</v>
      </c>
      <c r="E29" s="4">
        <v>3996158.8131728824</v>
      </c>
      <c r="F29" s="4">
        <f t="shared" si="8"/>
        <v>2339554.0460976101</v>
      </c>
      <c r="G29" s="5">
        <f t="shared" si="1"/>
        <v>0.24614555955471479</v>
      </c>
      <c r="H29" s="4">
        <f t="shared" si="4"/>
        <v>25342851.43708197</v>
      </c>
      <c r="I29" s="5">
        <f t="shared" si="2"/>
        <v>0.98458223821885915</v>
      </c>
      <c r="J29" s="4">
        <f t="shared" si="5"/>
        <v>1055952.1432117487</v>
      </c>
      <c r="K29" s="4">
        <f t="shared" si="3"/>
        <v>1077999.2855960838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5102416.1731653139</v>
      </c>
      <c r="E30" s="4">
        <v>4975553.6144345868</v>
      </c>
      <c r="F30" s="4">
        <f t="shared" si="8"/>
        <v>126862.55873072706</v>
      </c>
      <c r="G30" s="5">
        <f t="shared" si="1"/>
        <v>0.13345509899579622</v>
      </c>
      <c r="H30" s="4">
        <f t="shared" si="4"/>
        <v>20409664.692661256</v>
      </c>
      <c r="I30" s="5">
        <f t="shared" si="2"/>
        <v>0.53382039598318487</v>
      </c>
      <c r="J30" s="4">
        <f t="shared" si="5"/>
        <v>850402.69552755228</v>
      </c>
      <c r="K30" s="4">
        <f t="shared" si="3"/>
        <v>1840599.3854977977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5326745.1355416654</v>
      </c>
      <c r="E31" s="4">
        <v>4865926.9418352479</v>
      </c>
      <c r="F31" s="4">
        <f t="shared" si="8"/>
        <v>460818.19370641746</v>
      </c>
      <c r="G31" s="5">
        <f t="shared" si="1"/>
        <v>0.20958853977598746</v>
      </c>
      <c r="H31" s="4">
        <f t="shared" si="4"/>
        <v>21306980.542166661</v>
      </c>
      <c r="I31" s="5">
        <f t="shared" si="2"/>
        <v>0.83835415910394984</v>
      </c>
      <c r="J31" s="4">
        <f t="shared" si="5"/>
        <v>887790.85592361086</v>
      </c>
      <c r="K31" s="4">
        <f t="shared" si="3"/>
        <v>1116028.048025463</v>
      </c>
      <c r="L31" s="63" cm="1">
        <f t="array" ref="L31">+_xlfn.IFS(I31&gt;114%,H31*0.02,I31&gt;109%,H31*0.015,I31&gt;104%,H31*0.0125,I31&gt;99%,H31*0.01,I31&lt;99%,H31*0)</f>
        <v>0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3800655.2343727285</v>
      </c>
      <c r="E32" s="4">
        <v>2958594.3353685732</v>
      </c>
      <c r="F32" s="4">
        <f t="shared" si="8"/>
        <v>842060.8990041553</v>
      </c>
      <c r="G32" s="5">
        <f t="shared" si="1"/>
        <v>0.15081965215764795</v>
      </c>
      <c r="H32" s="4">
        <f t="shared" si="4"/>
        <v>15202620.937490914</v>
      </c>
      <c r="I32" s="5">
        <f t="shared" si="2"/>
        <v>0.60327860863059179</v>
      </c>
      <c r="J32" s="4">
        <f t="shared" si="5"/>
        <v>633442.53906212142</v>
      </c>
      <c r="K32" s="4">
        <f t="shared" si="3"/>
        <v>1188852.4869792929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3355234.3973482912</v>
      </c>
      <c r="E33" s="4">
        <v>3089173.5689832573</v>
      </c>
      <c r="F33" s="4">
        <f t="shared" si="8"/>
        <v>266060.82836503396</v>
      </c>
      <c r="G33" s="5">
        <f t="shared" si="1"/>
        <v>0.12662814863514549</v>
      </c>
      <c r="H33" s="4">
        <f t="shared" si="4"/>
        <v>13420937.589393165</v>
      </c>
      <c r="I33" s="5">
        <f t="shared" si="2"/>
        <v>0.50651259454058195</v>
      </c>
      <c r="J33" s="4">
        <f t="shared" si="5"/>
        <v>559205.73289138183</v>
      </c>
      <c r="K33" s="4">
        <f t="shared" si="3"/>
        <v>1285639.7557028728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2447356.6153951334</v>
      </c>
      <c r="E34" s="4">
        <v>2098536.1960838647</v>
      </c>
      <c r="F34" s="4">
        <f t="shared" si="8"/>
        <v>348820.41931126872</v>
      </c>
      <c r="G34" s="5">
        <f t="shared" si="1"/>
        <v>0.11654079120929206</v>
      </c>
      <c r="H34" s="4">
        <f t="shared" si="4"/>
        <v>9789426.4615805335</v>
      </c>
      <c r="I34" s="5">
        <f t="shared" si="2"/>
        <v>0.46616316483716824</v>
      </c>
      <c r="J34" s="4">
        <f t="shared" si="5"/>
        <v>407892.76923252223</v>
      </c>
      <c r="K34" s="4">
        <f t="shared" si="3"/>
        <v>1030702.410255826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1956633.4710906136</v>
      </c>
      <c r="E35" s="4">
        <v>1626463.4655310514</v>
      </c>
      <c r="F35" s="4">
        <f t="shared" si="8"/>
        <v>330170.00555956224</v>
      </c>
      <c r="G35" s="5">
        <f t="shared" si="1"/>
        <v>7.9350214982870343E-2</v>
      </c>
      <c r="H35" s="4">
        <f t="shared" si="4"/>
        <v>7826533.8843624545</v>
      </c>
      <c r="I35" s="5">
        <f t="shared" si="2"/>
        <v>0.31740085993148137</v>
      </c>
      <c r="J35" s="4">
        <f t="shared" si="5"/>
        <v>326105.57851510227</v>
      </c>
      <c r="K35" s="4">
        <f t="shared" si="3"/>
        <v>1261198.1404949659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3355300.6510111671</v>
      </c>
      <c r="E36" s="4">
        <v>3109025.2196221473</v>
      </c>
      <c r="F36" s="4">
        <f t="shared" si="8"/>
        <v>246275.43138901982</v>
      </c>
      <c r="G36" s="5">
        <f t="shared" si="1"/>
        <v>0.13296218153402684</v>
      </c>
      <c r="H36" s="4">
        <f t="shared" si="4"/>
        <v>13421202.604044668</v>
      </c>
      <c r="I36" s="5">
        <f t="shared" si="2"/>
        <v>0.53184872613610734</v>
      </c>
      <c r="J36" s="4">
        <f t="shared" si="5"/>
        <v>559216.77516852785</v>
      </c>
      <c r="K36" s="4">
        <f t="shared" si="3"/>
        <v>1215538.8527216017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26940309.263082385</v>
      </c>
      <c r="E37" s="4">
        <v>17061083.040882383</v>
      </c>
      <c r="F37" s="4">
        <f t="shared" si="8"/>
        <v>9879226.2222000025</v>
      </c>
      <c r="G37" s="5">
        <f t="shared" si="1"/>
        <v>0.2208009414100067</v>
      </c>
      <c r="H37" s="4">
        <f t="shared" si="4"/>
        <v>107761237.05232954</v>
      </c>
      <c r="I37" s="5">
        <f t="shared" si="2"/>
        <v>0.88320376564002678</v>
      </c>
      <c r="J37" s="4">
        <f t="shared" si="5"/>
        <v>4490051.5438470645</v>
      </c>
      <c r="K37" s="4">
        <f t="shared" si="3"/>
        <v>5281746.7076065345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1084549.0049000001</v>
      </c>
      <c r="E38" s="4">
        <v>746511.00490000006</v>
      </c>
      <c r="F38" s="4">
        <f t="shared" ref="F38" si="10">+D38-E38</f>
        <v>338038</v>
      </c>
      <c r="G38" s="5">
        <f t="shared" si="1"/>
        <v>3.0379523946778713E-2</v>
      </c>
      <c r="H38" s="4">
        <f t="shared" si="4"/>
        <v>4338196.0196000002</v>
      </c>
      <c r="I38" s="5">
        <f t="shared" si="2"/>
        <v>0.12151809578711485</v>
      </c>
      <c r="J38" s="4">
        <f t="shared" si="5"/>
        <v>180758.16748333335</v>
      </c>
      <c r="K38" s="4">
        <f t="shared" si="3"/>
        <v>1923080.6108388889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7332096.3798651379</v>
      </c>
      <c r="E39" s="4">
        <v>6953389.0972305397</v>
      </c>
      <c r="F39" s="4">
        <f t="shared" si="8"/>
        <v>378707.2826345982</v>
      </c>
      <c r="G39" s="5">
        <f t="shared" si="1"/>
        <v>0.20164489778824021</v>
      </c>
      <c r="H39" s="4">
        <f t="shared" si="4"/>
        <v>29328385.519460551</v>
      </c>
      <c r="I39" s="5">
        <f t="shared" si="2"/>
        <v>0.80657959115296085</v>
      </c>
      <c r="J39" s="4">
        <f t="shared" si="5"/>
        <v>1222016.0633108562</v>
      </c>
      <c r="K39" s="4">
        <f t="shared" si="3"/>
        <v>1612740.6310630478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89313306.794087753</v>
      </c>
      <c r="E40" s="65">
        <v>71919833.194753855</v>
      </c>
      <c r="F40" s="67">
        <f t="shared" si="8"/>
        <v>17393473.599333897</v>
      </c>
      <c r="G40" s="66">
        <f t="shared" si="1"/>
        <v>0.17545819551145081</v>
      </c>
      <c r="H40" s="64">
        <f t="shared" si="4"/>
        <v>357253227.17635101</v>
      </c>
      <c r="I40" s="66">
        <f t="shared" si="2"/>
        <v>0.70183278204580324</v>
      </c>
      <c r="J40" s="64">
        <f t="shared" si="5"/>
        <v>14885551.132347958</v>
      </c>
      <c r="K40" s="67">
        <f t="shared" si="3"/>
        <v>23317537.558724329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319078802.18563056</v>
      </c>
      <c r="E41" s="82">
        <v>280805467.60214281</v>
      </c>
      <c r="F41" s="81">
        <f>+D41-E41</f>
        <v>38273334.583487749</v>
      </c>
      <c r="G41" s="83">
        <f t="shared" si="1"/>
        <v>0.23125554399367962</v>
      </c>
      <c r="H41" s="81">
        <f t="shared" si="4"/>
        <v>1276315208.7425222</v>
      </c>
      <c r="I41" s="83">
        <f t="shared" si="2"/>
        <v>0.92502217597471847</v>
      </c>
      <c r="J41" s="81">
        <f t="shared" si="5"/>
        <v>53179800.36427176</v>
      </c>
      <c r="K41" s="81">
        <f t="shared" si="3"/>
        <v>58927130.272639193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8104352.0621971888</v>
      </c>
      <c r="E43" s="4">
        <v>3760393.1741207056</v>
      </c>
      <c r="F43" s="4">
        <f t="shared" ref="F43" si="11">+D43-E43</f>
        <v>4343958.8880764833</v>
      </c>
      <c r="G43" s="5">
        <f>+D43/C43</f>
        <v>0.20260880155492972</v>
      </c>
      <c r="H43" s="4">
        <f t="shared" ref="H43" si="12">+D43/$N$3*$N$4</f>
        <v>32417408.248788752</v>
      </c>
      <c r="I43" s="5">
        <f>+H43/C43</f>
        <v>0.81043520621971876</v>
      </c>
      <c r="J43" s="4">
        <f t="shared" ref="J43" si="13">+D43/$N$3</f>
        <v>1350725.3436995314</v>
      </c>
      <c r="K43" s="4">
        <f>+(C43-D43)/$N$2</f>
        <v>1771980.440989045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14041795.823822808</v>
      </c>
      <c r="E44" s="4">
        <v>1913900.6624423866</v>
      </c>
      <c r="F44" s="4">
        <f t="shared" ref="F44" si="14">+D44-E44</f>
        <v>12127895.161380421</v>
      </c>
      <c r="G44" s="5">
        <f>+D44/C44</f>
        <v>0.46805986079409356</v>
      </c>
      <c r="H44" s="4">
        <f t="shared" ref="H44" si="15">+D44/$N$3*$N$4</f>
        <v>56167183.29529123</v>
      </c>
      <c r="I44" s="5">
        <f>+H44/C44</f>
        <v>1.8722394431763743</v>
      </c>
      <c r="J44" s="4">
        <f t="shared" ref="J44" si="16">+D44/$N$3</f>
        <v>2340299.3039704678</v>
      </c>
      <c r="K44" s="4">
        <f>+(C44-D44)/$N$2</f>
        <v>886566.89867651067</v>
      </c>
      <c r="L44" s="4" cm="1">
        <f t="array" ref="L44">+_xlfn.IFS(I44&gt;114%,H44*0.02,I44&gt;109%,H44*0.015,I44&gt;104%,H44*0.0125,I44&gt;99%,H44*0.01,I44&lt;99%,H44*0)</f>
        <v>1123343.6659058246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5" workbookViewId="0">
      <selection activeCell="A40" sqref="A40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0.58333333333333337</v>
      </c>
      <c r="E2" s="13">
        <v>33</v>
      </c>
      <c r="F2" s="12">
        <f>+H2-E2</f>
        <v>9</v>
      </c>
      <c r="G2" s="13">
        <f>VLOOKUP(B2,'Base Cobertura'!$A:$C,3,FALSE)</f>
        <v>72</v>
      </c>
      <c r="H2" s="13">
        <f>VLOOKUP(B2,'Base Cobertura'!$A:$C,2,FALSE)</f>
        <v>42</v>
      </c>
      <c r="I2" s="17">
        <f>(+G2*$M$2)-H2</f>
        <v>19.199999999999996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0.22175732217573221</v>
      </c>
      <c r="E3" s="13">
        <v>1</v>
      </c>
      <c r="F3" s="12">
        <f t="shared" ref="F3:F38" si="1">+H3-E3</f>
        <v>52</v>
      </c>
      <c r="G3" s="13">
        <f>VLOOKUP(B3,'Base Cobertura'!$A:$C,3,FALSE)</f>
        <v>239</v>
      </c>
      <c r="H3" s="13">
        <f>VLOOKUP(B3,'Base Cobertura'!$A:$C,2,FALSE)</f>
        <v>53</v>
      </c>
      <c r="I3" s="17">
        <f t="shared" ref="I3:I38" si="2">(+G3*$M$2)-H3</f>
        <v>150.15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27</v>
      </c>
      <c r="T3" s="12">
        <v>214</v>
      </c>
      <c r="U3" s="41">
        <f>+S3/T3</f>
        <v>0.12616822429906541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0.58590308370044053</v>
      </c>
      <c r="E4" s="13">
        <v>126</v>
      </c>
      <c r="F4" s="12">
        <f t="shared" si="1"/>
        <v>7</v>
      </c>
      <c r="G4" s="13">
        <f>VLOOKUP(B4,'Base Cobertura'!$A:$C,3,FALSE)</f>
        <v>227</v>
      </c>
      <c r="H4" s="13">
        <f>VLOOKUP(B4,'Base Cobertura'!$A:$C,2,FALSE)</f>
        <v>133</v>
      </c>
      <c r="I4" s="17">
        <f t="shared" si="2"/>
        <v>59.949999999999989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16</v>
      </c>
      <c r="T4" s="13">
        <v>214</v>
      </c>
      <c r="U4" s="5">
        <f t="shared" ref="U4:U11" si="3">+S4/T4</f>
        <v>7.476635514018691E-2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0.49230769230769234</v>
      </c>
      <c r="E5" s="13">
        <v>21</v>
      </c>
      <c r="F5" s="12">
        <f t="shared" si="1"/>
        <v>11</v>
      </c>
      <c r="G5" s="13">
        <f>VLOOKUP(B5,'Base Cobertura'!$A:$C,3,FALSE)</f>
        <v>65</v>
      </c>
      <c r="H5" s="13">
        <f>VLOOKUP(B5,'Base Cobertura'!$A:$C,2,FALSE)</f>
        <v>32</v>
      </c>
      <c r="I5" s="17">
        <f t="shared" si="2"/>
        <v>23.25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39</v>
      </c>
      <c r="T5" s="13">
        <v>214</v>
      </c>
      <c r="U5" s="5">
        <f t="shared" si="3"/>
        <v>0.1822429906542056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0.59420289855072461</v>
      </c>
      <c r="E6" s="13">
        <v>100</v>
      </c>
      <c r="F6" s="12">
        <f t="shared" si="1"/>
        <v>23</v>
      </c>
      <c r="G6" s="13">
        <f>VLOOKUP(B6,'Base Cobertura'!$A:$C,3,FALSE)</f>
        <v>207</v>
      </c>
      <c r="H6" s="13">
        <f>VLOOKUP(B6,'Base Cobertura'!$A:$C,2,FALSE)</f>
        <v>123</v>
      </c>
      <c r="I6" s="17">
        <f t="shared" si="2"/>
        <v>52.949999999999989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15</v>
      </c>
      <c r="T6" s="13">
        <v>214</v>
      </c>
      <c r="U6" s="5">
        <f t="shared" si="3"/>
        <v>7.0093457943925228E-2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0.39898989898989901</v>
      </c>
      <c r="E7" s="13">
        <v>81</v>
      </c>
      <c r="F7" s="12">
        <f t="shared" si="1"/>
        <v>-2</v>
      </c>
      <c r="G7" s="13">
        <f>VLOOKUP(B7,'Base Cobertura'!$A:$C,3,FALSE)</f>
        <v>198</v>
      </c>
      <c r="H7" s="13">
        <f>VLOOKUP(B7,'Base Cobertura'!$A:$C,2,FALSE)</f>
        <v>79</v>
      </c>
      <c r="I7" s="17">
        <f t="shared" si="2"/>
        <v>89.299999999999983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48</v>
      </c>
      <c r="T7" s="13">
        <v>214</v>
      </c>
      <c r="U7" s="5">
        <f t="shared" si="3"/>
        <v>0.22429906542056074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0.54672897196261683</v>
      </c>
      <c r="E8" s="13">
        <v>89</v>
      </c>
      <c r="F8" s="12">
        <f t="shared" si="1"/>
        <v>28</v>
      </c>
      <c r="G8" s="13">
        <f>VLOOKUP(B8,'Base Cobertura'!$A:$C,3,FALSE)</f>
        <v>214</v>
      </c>
      <c r="H8" s="13">
        <f>VLOOKUP(B8,'Base Cobertura'!$A:$C,2,FALSE)</f>
        <v>117</v>
      </c>
      <c r="I8" s="17">
        <f t="shared" si="2"/>
        <v>64.900000000000006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47</v>
      </c>
      <c r="T8" s="13">
        <v>214</v>
      </c>
      <c r="U8" s="5">
        <f t="shared" si="3"/>
        <v>0.21962616822429906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0.50292397660818711</v>
      </c>
      <c r="E9" s="13">
        <v>92</v>
      </c>
      <c r="F9" s="12">
        <f t="shared" si="1"/>
        <v>-6</v>
      </c>
      <c r="G9" s="13">
        <f>VLOOKUP(B9,'Base Cobertura'!$A:$C,3,FALSE)</f>
        <v>171</v>
      </c>
      <c r="H9" s="13">
        <f>VLOOKUP(B9,'Base Cobertura'!$A:$C,2,FALSE)</f>
        <v>86</v>
      </c>
      <c r="I9" s="17">
        <f t="shared" si="2"/>
        <v>59.349999999999994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10</v>
      </c>
      <c r="T9" s="13">
        <v>214</v>
      </c>
      <c r="U9" s="5">
        <f t="shared" si="3"/>
        <v>4.6728971962616821E-2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0.39487179487179486</v>
      </c>
      <c r="E10" s="13">
        <v>64</v>
      </c>
      <c r="F10" s="12">
        <f t="shared" si="1"/>
        <v>13</v>
      </c>
      <c r="G10" s="13">
        <f>VLOOKUP(B10,'Base Cobertura'!$A:$C,3,FALSE)</f>
        <v>195</v>
      </c>
      <c r="H10" s="13">
        <f>VLOOKUP(B10,'Base Cobertura'!$A:$C,2,FALSE)</f>
        <v>77</v>
      </c>
      <c r="I10" s="17">
        <f t="shared" si="2"/>
        <v>88.75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8</v>
      </c>
      <c r="T10" s="13">
        <v>214</v>
      </c>
      <c r="U10" s="5">
        <f t="shared" si="3"/>
        <v>3.7383177570093455E-2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0.21782178217821782</v>
      </c>
      <c r="E11" s="31">
        <v>19</v>
      </c>
      <c r="F11" s="33">
        <f t="shared" si="1"/>
        <v>3</v>
      </c>
      <c r="G11" s="13">
        <f>VLOOKUP(B11,'Base Cobertura'!$A:$C,3,FALSE)</f>
        <v>101</v>
      </c>
      <c r="H11" s="13">
        <f>VLOOKUP(B11,'Base Cobertura'!$A:$C,2,FALSE)</f>
        <v>22</v>
      </c>
      <c r="I11" s="34">
        <f t="shared" si="2"/>
        <v>63.849999999999994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12</v>
      </c>
      <c r="T11" s="13">
        <v>214</v>
      </c>
      <c r="U11" s="5">
        <f t="shared" si="3"/>
        <v>5.6074766355140186E-2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0.21904761904761905</v>
      </c>
      <c r="E12" s="31">
        <v>24</v>
      </c>
      <c r="F12" s="33">
        <f t="shared" si="1"/>
        <v>-1</v>
      </c>
      <c r="G12" s="13">
        <f>VLOOKUP(B12,'Base Cobertura'!$A:$C,3,FALSE)</f>
        <v>105</v>
      </c>
      <c r="H12" s="13">
        <f>VLOOKUP(B12,'Base Cobertura'!$A:$C,2,FALSE)</f>
        <v>23</v>
      </c>
      <c r="I12" s="34">
        <f t="shared" si="2"/>
        <v>66.25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0.51923076923076927</v>
      </c>
      <c r="E13" s="13">
        <v>144</v>
      </c>
      <c r="F13" s="12">
        <f t="shared" si="1"/>
        <v>-9</v>
      </c>
      <c r="G13" s="13">
        <f>VLOOKUP(B13,'Base Cobertura'!$A:$C,3,FALSE)</f>
        <v>260</v>
      </c>
      <c r="H13" s="13">
        <f>VLOOKUP(B13,'Base Cobertura'!$A:$C,2,FALSE)</f>
        <v>135</v>
      </c>
      <c r="I13" s="17">
        <f t="shared" si="2"/>
        <v>86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0.42307692307692307</v>
      </c>
      <c r="E14" s="13">
        <v>85</v>
      </c>
      <c r="F14" s="12">
        <f t="shared" si="1"/>
        <v>-8</v>
      </c>
      <c r="G14" s="13">
        <f>VLOOKUP(B14,'Base Cobertura'!$A:$C,3,FALSE)</f>
        <v>182</v>
      </c>
      <c r="H14" s="13">
        <f>VLOOKUP(B14,'Base Cobertura'!$A:$C,2,FALSE)</f>
        <v>77</v>
      </c>
      <c r="I14" s="17">
        <f t="shared" si="2"/>
        <v>77.699999999999989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120</v>
      </c>
      <c r="G15" s="8">
        <f>+SUM(G2:G14)</f>
        <v>2236</v>
      </c>
      <c r="H15" s="8">
        <f>+SUM(H2:H14)</f>
        <v>999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BARTSCHAT EMILIANO NAHUEL</v>
      </c>
      <c r="D16" s="22">
        <f t="shared" si="0"/>
        <v>0.60869565217391308</v>
      </c>
      <c r="E16" s="13">
        <v>90</v>
      </c>
      <c r="F16" s="12">
        <f t="shared" si="1"/>
        <v>8</v>
      </c>
      <c r="G16" s="13">
        <f>VLOOKUP(B16,'Base Cobertura'!$A:$C,3,FALSE)</f>
        <v>161</v>
      </c>
      <c r="H16" s="13">
        <f>VLOOKUP(B16,'Base Cobertura'!$A:$C,2,FALSE)</f>
        <v>98</v>
      </c>
      <c r="I16" s="17">
        <f t="shared" si="2"/>
        <v>38.849999999999994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CAÑETE DIEGO</v>
      </c>
      <c r="D17" s="22">
        <f t="shared" si="0"/>
        <v>0.37128712871287128</v>
      </c>
      <c r="E17" s="13">
        <v>92</v>
      </c>
      <c r="F17" s="12">
        <f t="shared" si="1"/>
        <v>-17</v>
      </c>
      <c r="G17" s="13">
        <f>VLOOKUP(B17,'Base Cobertura'!$A:$C,3,FALSE)</f>
        <v>202</v>
      </c>
      <c r="H17" s="13">
        <f>VLOOKUP(B17,'Base Cobertura'!$A:$C,2,FALSE)</f>
        <v>75</v>
      </c>
      <c r="I17" s="17">
        <f t="shared" si="2"/>
        <v>96.699999999999989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0.62941176470588234</v>
      </c>
      <c r="E18" s="13">
        <v>88</v>
      </c>
      <c r="F18" s="12">
        <f t="shared" si="1"/>
        <v>19</v>
      </c>
      <c r="G18" s="13">
        <f>VLOOKUP(B18,'Base Cobertura'!$A:$C,3,FALSE)</f>
        <v>170</v>
      </c>
      <c r="H18" s="13">
        <f>VLOOKUP(B18,'Base Cobertura'!$A:$C,2,FALSE)</f>
        <v>107</v>
      </c>
      <c r="I18" s="17">
        <f t="shared" si="2"/>
        <v>37.5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0.625</v>
      </c>
      <c r="E19" s="13">
        <v>95</v>
      </c>
      <c r="F19" s="12">
        <f t="shared" si="1"/>
        <v>5</v>
      </c>
      <c r="G19" s="13">
        <f>VLOOKUP(B19,'Base Cobertura'!$A:$C,3,FALSE)</f>
        <v>160</v>
      </c>
      <c r="H19" s="13">
        <f>VLOOKUP(B19,'Base Cobertura'!$A:$C,2,FALSE)</f>
        <v>100</v>
      </c>
      <c r="I19" s="17">
        <f t="shared" si="2"/>
        <v>36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0.60451977401129942</v>
      </c>
      <c r="E20" s="13">
        <v>83</v>
      </c>
      <c r="F20" s="12">
        <f t="shared" si="1"/>
        <v>24</v>
      </c>
      <c r="G20" s="13">
        <f>VLOOKUP(B20,'Base Cobertura'!$A:$C,3,FALSE)</f>
        <v>177</v>
      </c>
      <c r="H20" s="13">
        <f>VLOOKUP(B20,'Base Cobertura'!$A:$C,2,FALSE)</f>
        <v>107</v>
      </c>
      <c r="I20" s="17">
        <f t="shared" si="2"/>
        <v>43.449999999999989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0.57396449704142016</v>
      </c>
      <c r="E21" s="13">
        <v>64</v>
      </c>
      <c r="F21" s="12">
        <f t="shared" si="1"/>
        <v>33</v>
      </c>
      <c r="G21" s="13">
        <f>VLOOKUP(B21,'Base Cobertura'!$A:$C,3,FALSE)</f>
        <v>169</v>
      </c>
      <c r="H21" s="13">
        <f>VLOOKUP(B21,'Base Cobertura'!$A:$C,2,FALSE)</f>
        <v>97</v>
      </c>
      <c r="I21" s="17">
        <f t="shared" si="2"/>
        <v>46.650000000000006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0.27777777777777779</v>
      </c>
      <c r="E22" s="13">
        <v>66</v>
      </c>
      <c r="F22" s="12">
        <f t="shared" si="1"/>
        <v>-11</v>
      </c>
      <c r="G22" s="13">
        <f>VLOOKUP(B22,'Base Cobertura'!$A:$C,3,FALSE)</f>
        <v>198</v>
      </c>
      <c r="H22" s="13">
        <f>VLOOKUP(B22,'Base Cobertura'!$A:$C,2,FALSE)</f>
        <v>55</v>
      </c>
      <c r="I22" s="17">
        <f t="shared" si="2"/>
        <v>113.29999999999998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0.52898550724637683</v>
      </c>
      <c r="E23" s="13">
        <v>70</v>
      </c>
      <c r="F23" s="12">
        <f t="shared" si="1"/>
        <v>3</v>
      </c>
      <c r="G23" s="13">
        <f>VLOOKUP(B23,'Base Cobertura'!$A:$C,3,FALSE)</f>
        <v>138</v>
      </c>
      <c r="H23" s="13">
        <f>VLOOKUP(B23,'Base Cobertura'!$A:$C,2,FALSE)</f>
        <v>73</v>
      </c>
      <c r="I23" s="17">
        <f t="shared" si="2"/>
        <v>44.3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0.54705882352941182</v>
      </c>
      <c r="E24" s="13">
        <v>79</v>
      </c>
      <c r="F24" s="12">
        <f t="shared" si="1"/>
        <v>14</v>
      </c>
      <c r="G24" s="13">
        <f>VLOOKUP(B24,'Base Cobertura'!$A:$C,3,FALSE)</f>
        <v>170</v>
      </c>
      <c r="H24" s="13">
        <f>VLOOKUP(B24,'Base Cobertura'!$A:$C,2,FALSE)</f>
        <v>93</v>
      </c>
      <c r="I24" s="17">
        <f t="shared" si="2"/>
        <v>51.5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78</v>
      </c>
      <c r="G25" s="8">
        <f>+SUM(G16:G24)</f>
        <v>1545</v>
      </c>
      <c r="H25" s="8">
        <f>+SUM(H16:H24)</f>
        <v>805</v>
      </c>
      <c r="I25" s="8"/>
    </row>
    <row r="26" spans="1:11" x14ac:dyDescent="0.25">
      <c r="A26" s="95" t="s">
        <v>218</v>
      </c>
      <c r="B26">
        <v>32</v>
      </c>
      <c r="C26" s="12" t="str">
        <f>+AVANCE!B27</f>
        <v>32 - CABRAL GONZALO</v>
      </c>
      <c r="D26" s="22">
        <f t="shared" si="0"/>
        <v>0.38596491228070173</v>
      </c>
      <c r="E26" s="13">
        <v>20</v>
      </c>
      <c r="F26" s="12">
        <f>+H26-E26</f>
        <v>2</v>
      </c>
      <c r="G26" s="13">
        <f>VLOOKUP(B26,'Base Cobertura'!$A:$C,3,FALSE)</f>
        <v>57</v>
      </c>
      <c r="H26" s="13">
        <f>VLOOKUP(B26,'Base Cobertura'!$A:$C,2,FALSE)</f>
        <v>22</v>
      </c>
      <c r="I26" s="17">
        <f t="shared" si="2"/>
        <v>26.449999999999996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0.50318471337579618</v>
      </c>
      <c r="E27" s="13">
        <v>68</v>
      </c>
      <c r="F27" s="12">
        <f t="shared" si="1"/>
        <v>11</v>
      </c>
      <c r="G27" s="13">
        <f>VLOOKUP(B27,'Base Cobertura'!$A:$C,3,FALSE)</f>
        <v>157</v>
      </c>
      <c r="H27" s="13">
        <f>VLOOKUP(B27,'Base Cobertura'!$A:$C,2,FALSE)</f>
        <v>79</v>
      </c>
      <c r="I27" s="17">
        <f t="shared" si="2"/>
        <v>54.449999999999989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0.52173913043478259</v>
      </c>
      <c r="E28" s="13">
        <v>80</v>
      </c>
      <c r="F28" s="12">
        <f t="shared" si="1"/>
        <v>4</v>
      </c>
      <c r="G28" s="13">
        <f>VLOOKUP(B28,'Base Cobertura'!$A:$C,3,FALSE)</f>
        <v>161</v>
      </c>
      <c r="H28" s="13">
        <f>VLOOKUP(B28,'Base Cobertura'!$A:$C,2,FALSE)</f>
        <v>84</v>
      </c>
      <c r="I28" s="17">
        <f t="shared" si="2"/>
        <v>52.849999999999994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0.26506024096385544</v>
      </c>
      <c r="E29" s="13">
        <v>68</v>
      </c>
      <c r="F29" s="12">
        <f t="shared" si="1"/>
        <v>-2</v>
      </c>
      <c r="G29" s="13">
        <f>VLOOKUP(B29,'Base Cobertura'!$A:$C,3,FALSE)</f>
        <v>249</v>
      </c>
      <c r="H29" s="13">
        <f>VLOOKUP(B29,'Base Cobertura'!$A:$C,2,FALSE)</f>
        <v>66</v>
      </c>
      <c r="I29" s="17">
        <f t="shared" si="2"/>
        <v>145.65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0.6071428571428571</v>
      </c>
      <c r="E30" s="13">
        <v>73</v>
      </c>
      <c r="F30" s="12">
        <f t="shared" si="1"/>
        <v>12</v>
      </c>
      <c r="G30" s="13">
        <f>VLOOKUP(B30,'Base Cobertura'!$A:$C,3,FALSE)</f>
        <v>140</v>
      </c>
      <c r="H30" s="13">
        <f>VLOOKUP(B30,'Base Cobertura'!$A:$C,2,FALSE)</f>
        <v>85</v>
      </c>
      <c r="I30" s="17">
        <f t="shared" si="2"/>
        <v>34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0.40883977900552487</v>
      </c>
      <c r="E31" s="13">
        <v>40</v>
      </c>
      <c r="F31" s="12">
        <f t="shared" si="1"/>
        <v>34</v>
      </c>
      <c r="G31" s="13">
        <f>VLOOKUP(B31,'Base Cobertura'!$A:$C,3,FALSE)</f>
        <v>181</v>
      </c>
      <c r="H31" s="13">
        <f>VLOOKUP(B31,'Base Cobertura'!$A:$C,2,FALSE)</f>
        <v>74</v>
      </c>
      <c r="I31" s="17">
        <f t="shared" si="2"/>
        <v>79.849999999999994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0.45238095238095238</v>
      </c>
      <c r="E32" s="13">
        <v>67</v>
      </c>
      <c r="F32" s="12">
        <f t="shared" si="1"/>
        <v>9</v>
      </c>
      <c r="G32" s="13">
        <f>VLOOKUP(B32,'Base Cobertura'!$A:$C,3,FALSE)</f>
        <v>168</v>
      </c>
      <c r="H32" s="13">
        <f>VLOOKUP(B32,'Base Cobertura'!$A:$C,2,FALSE)</f>
        <v>76</v>
      </c>
      <c r="I32" s="17">
        <f t="shared" si="2"/>
        <v>66.799999999999983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0.48255813953488375</v>
      </c>
      <c r="E33" s="13">
        <v>66</v>
      </c>
      <c r="F33" s="12">
        <f t="shared" si="1"/>
        <v>17</v>
      </c>
      <c r="G33" s="13">
        <f>VLOOKUP(B33,'Base Cobertura'!$A:$C,3,FALSE)</f>
        <v>172</v>
      </c>
      <c r="H33" s="13">
        <f>VLOOKUP(B33,'Base Cobertura'!$A:$C,2,FALSE)</f>
        <v>83</v>
      </c>
      <c r="I33" s="17">
        <f t="shared" si="2"/>
        <v>63.199999999999989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0.26760563380281688</v>
      </c>
      <c r="E34" s="13">
        <v>82</v>
      </c>
      <c r="F34" s="12">
        <f t="shared" si="1"/>
        <v>-44</v>
      </c>
      <c r="G34" s="13">
        <f>VLOOKUP(B34,'Base Cobertura'!$A:$C,3,FALSE)</f>
        <v>142</v>
      </c>
      <c r="H34" s="13">
        <f>VLOOKUP(B34,'Base Cobertura'!$A:$C,2,FALSE)</f>
        <v>38</v>
      </c>
      <c r="I34" s="17">
        <f t="shared" si="2"/>
        <v>82.7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0.449438202247191</v>
      </c>
      <c r="E35" s="13">
        <v>81</v>
      </c>
      <c r="F35" s="12">
        <f t="shared" si="1"/>
        <v>-1</v>
      </c>
      <c r="G35" s="13">
        <f>VLOOKUP(B35,'Base Cobertura'!$A:$C,3,FALSE)</f>
        <v>178</v>
      </c>
      <c r="H35" s="13">
        <f>VLOOKUP(B35,'Base Cobertura'!$A:$C,2,FALSE)</f>
        <v>80</v>
      </c>
      <c r="I35" s="17">
        <f t="shared" si="2"/>
        <v>71.299999999999983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3.5398230088495575E-2</v>
      </c>
      <c r="E36" s="13">
        <v>0</v>
      </c>
      <c r="F36" s="12">
        <f t="shared" si="1"/>
        <v>4</v>
      </c>
      <c r="G36" s="13">
        <f>VLOOKUP(B36,'Base Cobertura'!$A:$C,3,FALSE)</f>
        <v>113</v>
      </c>
      <c r="H36" s="13">
        <f>VLOOKUP(B36,'Base Cobertura'!$A:$C,2,FALSE)</f>
        <v>4</v>
      </c>
      <c r="I36" s="17">
        <f t="shared" si="2"/>
        <v>92.05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5.7692307692307696E-2</v>
      </c>
      <c r="E37" s="13">
        <v>17</v>
      </c>
      <c r="F37" s="12">
        <f t="shared" si="1"/>
        <v>-11</v>
      </c>
      <c r="G37" s="13">
        <f>VLOOKUP(B37,'Base Cobertura'!$A:$C,3,FALSE)</f>
        <v>104</v>
      </c>
      <c r="H37" s="13">
        <f>VLOOKUP(B37,'Base Cobertura'!$A:$C,2,FALSE)</f>
        <v>6</v>
      </c>
      <c r="I37" s="17">
        <f t="shared" si="2"/>
        <v>82.399999999999991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0.53543307086614178</v>
      </c>
      <c r="E38" s="13">
        <v>60</v>
      </c>
      <c r="F38" s="12">
        <f t="shared" si="1"/>
        <v>8</v>
      </c>
      <c r="G38" s="13">
        <f>VLOOKUP(B38,'Base Cobertura'!$A:$C,3,FALSE)</f>
        <v>127</v>
      </c>
      <c r="H38" s="13">
        <f>VLOOKUP(B38,'Base Cobertura'!$A:$C,2,FALSE)</f>
        <v>68</v>
      </c>
      <c r="I38" s="17">
        <f t="shared" si="2"/>
        <v>39.950000000000003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43</v>
      </c>
      <c r="G39" s="8">
        <f>+SUM(G26:G38)</f>
        <v>1949</v>
      </c>
      <c r="H39" s="8">
        <f>+SUM(H26:H38)</f>
        <v>765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241</v>
      </c>
      <c r="G40" s="8">
        <f>+G15+G25+G39</f>
        <v>5730</v>
      </c>
      <c r="H40" s="8">
        <f>+H15+H25+H39</f>
        <v>2569</v>
      </c>
      <c r="I40" s="8"/>
      <c r="L40" s="1">
        <f>+H40/G40</f>
        <v>0.44834205933682375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0.15</v>
      </c>
      <c r="E41" s="13">
        <v>60</v>
      </c>
      <c r="F41" s="12">
        <f t="shared" ref="F41:F42" si="5">+H41-E41</f>
        <v>-42</v>
      </c>
      <c r="G41" s="13">
        <f>VLOOKUP(B41,'Base Cobertura'!$A:$C,3,FALSE)</f>
        <v>120</v>
      </c>
      <c r="H41" s="13">
        <f>VLOOKUP(B41,'Base Cobertura'!$A:$C,2,FALSE)</f>
        <v>18</v>
      </c>
      <c r="I41" s="17">
        <f t="shared" ref="I41:I42" si="6">(+G41*$M$2)-H41</f>
        <v>84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0.18032786885245902</v>
      </c>
      <c r="E42" s="13">
        <v>60</v>
      </c>
      <c r="F42" s="12">
        <f t="shared" si="5"/>
        <v>-38</v>
      </c>
      <c r="G42" s="13">
        <f>VLOOKUP(B42,'Base Cobertura'!$A:$C,3,FALSE)</f>
        <v>122</v>
      </c>
      <c r="H42" s="13">
        <f>VLOOKUP(B42,'Base Cobertura'!$A:$C,2,FALSE)</f>
        <v>22</v>
      </c>
      <c r="I42" s="17">
        <f t="shared" si="6"/>
        <v>81.7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2</v>
      </c>
      <c r="C3" s="51">
        <v>3408</v>
      </c>
      <c r="G3" t="s">
        <v>222</v>
      </c>
      <c r="H3" s="51">
        <v>1</v>
      </c>
      <c r="I3" s="51">
        <v>3408</v>
      </c>
    </row>
    <row r="4" spans="1:9" x14ac:dyDescent="0.25">
      <c r="A4">
        <v>1</v>
      </c>
      <c r="B4" s="51">
        <v>68</v>
      </c>
      <c r="C4" s="51">
        <v>127</v>
      </c>
      <c r="G4" t="s">
        <v>223</v>
      </c>
      <c r="H4">
        <v>1</v>
      </c>
      <c r="I4" s="51">
        <v>3408</v>
      </c>
    </row>
    <row r="5" spans="1:9" x14ac:dyDescent="0.25">
      <c r="A5">
        <v>10</v>
      </c>
      <c r="B5" s="51">
        <v>74</v>
      </c>
      <c r="C5" s="51">
        <v>181</v>
      </c>
      <c r="G5" t="s">
        <v>224</v>
      </c>
      <c r="H5" s="51"/>
      <c r="I5" s="51">
        <v>3408</v>
      </c>
    </row>
    <row r="6" spans="1:9" x14ac:dyDescent="0.25">
      <c r="A6">
        <v>100</v>
      </c>
      <c r="B6" s="51">
        <v>23</v>
      </c>
      <c r="C6" s="51">
        <v>2025</v>
      </c>
      <c r="G6" t="s">
        <v>225</v>
      </c>
      <c r="H6" s="51"/>
      <c r="I6" s="51">
        <v>3408</v>
      </c>
    </row>
    <row r="7" spans="1:9" x14ac:dyDescent="0.25">
      <c r="A7">
        <v>11</v>
      </c>
      <c r="B7" s="51">
        <v>86</v>
      </c>
      <c r="C7" s="51">
        <v>171</v>
      </c>
      <c r="G7" t="s">
        <v>226</v>
      </c>
      <c r="H7" s="51">
        <v>1</v>
      </c>
      <c r="I7" s="51">
        <v>3408</v>
      </c>
    </row>
    <row r="8" spans="1:9" x14ac:dyDescent="0.25">
      <c r="A8">
        <v>12</v>
      </c>
      <c r="B8" s="51">
        <v>117</v>
      </c>
      <c r="C8" s="51">
        <v>214</v>
      </c>
      <c r="G8" t="s">
        <v>227</v>
      </c>
      <c r="H8" s="51">
        <v>1</v>
      </c>
      <c r="I8" s="51">
        <v>3408</v>
      </c>
    </row>
    <row r="9" spans="1:9" x14ac:dyDescent="0.25">
      <c r="A9">
        <v>123</v>
      </c>
      <c r="B9" s="51">
        <v>21</v>
      </c>
      <c r="C9" s="51">
        <v>489</v>
      </c>
      <c r="G9" t="s">
        <v>228</v>
      </c>
      <c r="H9" s="51">
        <v>1</v>
      </c>
      <c r="I9" s="51">
        <v>3408</v>
      </c>
    </row>
    <row r="10" spans="1:9" x14ac:dyDescent="0.25">
      <c r="A10">
        <v>15</v>
      </c>
      <c r="B10" s="51">
        <v>32</v>
      </c>
      <c r="C10" s="51">
        <v>65</v>
      </c>
      <c r="G10" t="s">
        <v>229</v>
      </c>
      <c r="H10">
        <v>1</v>
      </c>
      <c r="I10" s="51">
        <v>3408</v>
      </c>
    </row>
    <row r="11" spans="1:9" x14ac:dyDescent="0.25">
      <c r="A11">
        <v>16</v>
      </c>
      <c r="B11" s="51">
        <v>79</v>
      </c>
      <c r="C11" s="51">
        <v>198</v>
      </c>
      <c r="G11" t="s">
        <v>230</v>
      </c>
      <c r="H11" s="51"/>
      <c r="I11" s="51">
        <v>3408</v>
      </c>
    </row>
    <row r="12" spans="1:9" x14ac:dyDescent="0.25">
      <c r="A12">
        <v>18</v>
      </c>
      <c r="B12" s="51">
        <v>107</v>
      </c>
      <c r="C12" s="51">
        <v>177</v>
      </c>
      <c r="E12">
        <f>+F12</f>
        <v>1</v>
      </c>
      <c r="F12">
        <v>1</v>
      </c>
      <c r="G12" t="s">
        <v>222</v>
      </c>
      <c r="H12">
        <v>29</v>
      </c>
      <c r="I12" s="51">
        <v>127</v>
      </c>
    </row>
    <row r="13" spans="1:9" x14ac:dyDescent="0.25">
      <c r="A13">
        <v>19</v>
      </c>
      <c r="B13" s="51">
        <v>123</v>
      </c>
      <c r="C13" s="51">
        <v>207</v>
      </c>
      <c r="E13">
        <f>+$E$12</f>
        <v>1</v>
      </c>
      <c r="G13" t="s">
        <v>223</v>
      </c>
      <c r="H13" s="51">
        <v>25</v>
      </c>
      <c r="I13" s="51">
        <v>127</v>
      </c>
    </row>
    <row r="14" spans="1:9" x14ac:dyDescent="0.25">
      <c r="A14">
        <v>2</v>
      </c>
      <c r="B14" s="51">
        <v>73</v>
      </c>
      <c r="C14" s="51">
        <v>138</v>
      </c>
      <c r="E14">
        <f t="shared" ref="E14:E20" si="0">+$E$12</f>
        <v>1</v>
      </c>
      <c r="G14" t="s">
        <v>224</v>
      </c>
      <c r="H14" s="51">
        <v>40</v>
      </c>
      <c r="I14" s="51">
        <v>127</v>
      </c>
    </row>
    <row r="15" spans="1:9" x14ac:dyDescent="0.25">
      <c r="A15">
        <v>20</v>
      </c>
      <c r="B15" s="51">
        <v>133</v>
      </c>
      <c r="C15" s="51">
        <v>227</v>
      </c>
      <c r="E15">
        <f t="shared" si="0"/>
        <v>1</v>
      </c>
      <c r="G15" t="s">
        <v>225</v>
      </c>
      <c r="H15" s="51">
        <v>23</v>
      </c>
      <c r="I15" s="51">
        <v>127</v>
      </c>
    </row>
    <row r="16" spans="1:9" x14ac:dyDescent="0.25">
      <c r="A16">
        <v>21</v>
      </c>
      <c r="B16" s="51">
        <v>107</v>
      </c>
      <c r="C16" s="51">
        <v>170</v>
      </c>
      <c r="E16">
        <f t="shared" si="0"/>
        <v>1</v>
      </c>
      <c r="G16" t="s">
        <v>226</v>
      </c>
      <c r="H16" s="51">
        <v>41</v>
      </c>
      <c r="I16" s="51">
        <v>127</v>
      </c>
    </row>
    <row r="17" spans="1:9" x14ac:dyDescent="0.25">
      <c r="A17">
        <v>22</v>
      </c>
      <c r="B17" s="51">
        <v>42</v>
      </c>
      <c r="C17" s="51">
        <v>72</v>
      </c>
      <c r="E17">
        <f t="shared" si="0"/>
        <v>1</v>
      </c>
      <c r="G17" t="s">
        <v>227</v>
      </c>
      <c r="H17" s="51">
        <v>41</v>
      </c>
      <c r="I17" s="51">
        <v>127</v>
      </c>
    </row>
    <row r="18" spans="1:9" x14ac:dyDescent="0.25">
      <c r="A18">
        <v>23</v>
      </c>
      <c r="B18" s="51">
        <v>100</v>
      </c>
      <c r="C18" s="51">
        <v>160</v>
      </c>
      <c r="E18">
        <f t="shared" si="0"/>
        <v>1</v>
      </c>
      <c r="G18" t="s">
        <v>228</v>
      </c>
      <c r="H18" s="51">
        <v>11</v>
      </c>
      <c r="I18" s="51">
        <v>127</v>
      </c>
    </row>
    <row r="19" spans="1:9" x14ac:dyDescent="0.25">
      <c r="A19">
        <v>24</v>
      </c>
      <c r="B19" s="51">
        <v>80</v>
      </c>
      <c r="C19" s="51">
        <v>178</v>
      </c>
      <c r="E19">
        <f t="shared" si="0"/>
        <v>1</v>
      </c>
      <c r="G19" t="s">
        <v>229</v>
      </c>
      <c r="H19" s="51">
        <v>14</v>
      </c>
      <c r="I19" s="51">
        <v>127</v>
      </c>
    </row>
    <row r="20" spans="1:9" x14ac:dyDescent="0.25">
      <c r="A20">
        <v>25</v>
      </c>
      <c r="B20" s="51">
        <v>57</v>
      </c>
      <c r="C20" s="51">
        <v>172</v>
      </c>
      <c r="E20">
        <f t="shared" si="0"/>
        <v>1</v>
      </c>
      <c r="G20" t="s">
        <v>230</v>
      </c>
      <c r="H20">
        <v>15</v>
      </c>
      <c r="I20" s="51">
        <v>127</v>
      </c>
    </row>
    <row r="21" spans="1:9" x14ac:dyDescent="0.25">
      <c r="A21">
        <v>26</v>
      </c>
      <c r="B21" s="51">
        <v>31</v>
      </c>
      <c r="C21" s="51">
        <v>164</v>
      </c>
      <c r="E21">
        <f>+$F$21</f>
        <v>10</v>
      </c>
      <c r="F21">
        <v>10</v>
      </c>
      <c r="G21" t="s">
        <v>222</v>
      </c>
      <c r="H21" s="51">
        <v>12</v>
      </c>
      <c r="I21" s="51">
        <v>181</v>
      </c>
    </row>
    <row r="22" spans="1:9" x14ac:dyDescent="0.25">
      <c r="A22">
        <v>27</v>
      </c>
      <c r="B22" s="51">
        <v>85</v>
      </c>
      <c r="C22" s="51">
        <v>140</v>
      </c>
      <c r="E22">
        <f t="shared" ref="E22:E29" si="1">+$F$21</f>
        <v>10</v>
      </c>
      <c r="G22" t="s">
        <v>223</v>
      </c>
      <c r="H22" s="51">
        <v>2</v>
      </c>
      <c r="I22" s="51">
        <v>181</v>
      </c>
    </row>
    <row r="23" spans="1:9" x14ac:dyDescent="0.25">
      <c r="A23">
        <v>28</v>
      </c>
      <c r="B23" s="51">
        <v>76</v>
      </c>
      <c r="C23" s="51">
        <v>168</v>
      </c>
      <c r="E23">
        <f t="shared" si="1"/>
        <v>10</v>
      </c>
      <c r="G23" t="s">
        <v>224</v>
      </c>
      <c r="H23" s="51">
        <v>29</v>
      </c>
      <c r="I23" s="51">
        <v>181</v>
      </c>
    </row>
    <row r="24" spans="1:9" x14ac:dyDescent="0.25">
      <c r="A24">
        <v>3</v>
      </c>
      <c r="B24" s="51">
        <v>93</v>
      </c>
      <c r="C24" s="51">
        <v>170</v>
      </c>
      <c r="E24">
        <f t="shared" si="1"/>
        <v>10</v>
      </c>
      <c r="G24" t="s">
        <v>225</v>
      </c>
      <c r="H24" s="51">
        <v>18</v>
      </c>
      <c r="I24" s="51">
        <v>181</v>
      </c>
    </row>
    <row r="25" spans="1:9" x14ac:dyDescent="0.25">
      <c r="A25">
        <v>30</v>
      </c>
      <c r="B25" s="51">
        <v>13</v>
      </c>
      <c r="C25" s="51">
        <v>139</v>
      </c>
      <c r="E25">
        <f t="shared" si="1"/>
        <v>10</v>
      </c>
      <c r="G25" t="s">
        <v>226</v>
      </c>
      <c r="H25" s="51">
        <v>32</v>
      </c>
      <c r="I25" s="51">
        <v>181</v>
      </c>
    </row>
    <row r="26" spans="1:9" x14ac:dyDescent="0.25">
      <c r="A26">
        <v>31</v>
      </c>
      <c r="B26" s="51">
        <v>98</v>
      </c>
      <c r="C26" s="51">
        <v>161</v>
      </c>
      <c r="E26">
        <f t="shared" si="1"/>
        <v>10</v>
      </c>
      <c r="G26" t="s">
        <v>227</v>
      </c>
      <c r="H26" s="51">
        <v>15</v>
      </c>
      <c r="I26" s="51">
        <v>181</v>
      </c>
    </row>
    <row r="27" spans="1:9" x14ac:dyDescent="0.25">
      <c r="A27">
        <v>32</v>
      </c>
      <c r="B27" s="51">
        <v>22</v>
      </c>
      <c r="C27" s="51">
        <v>57</v>
      </c>
      <c r="E27">
        <f t="shared" si="1"/>
        <v>10</v>
      </c>
      <c r="G27" t="s">
        <v>228</v>
      </c>
      <c r="H27" s="51">
        <v>6</v>
      </c>
      <c r="I27" s="51">
        <v>181</v>
      </c>
    </row>
    <row r="28" spans="1:9" x14ac:dyDescent="0.25">
      <c r="A28">
        <v>33</v>
      </c>
      <c r="B28" s="51">
        <v>83</v>
      </c>
      <c r="C28" s="51">
        <v>172</v>
      </c>
      <c r="E28">
        <f t="shared" si="1"/>
        <v>10</v>
      </c>
      <c r="G28" t="s">
        <v>229</v>
      </c>
      <c r="H28" s="51">
        <v>5</v>
      </c>
      <c r="I28" s="51">
        <v>181</v>
      </c>
    </row>
    <row r="29" spans="1:9" x14ac:dyDescent="0.25">
      <c r="A29">
        <v>36</v>
      </c>
      <c r="B29" s="51">
        <v>79</v>
      </c>
      <c r="C29" s="51">
        <v>157</v>
      </c>
      <c r="E29">
        <f t="shared" si="1"/>
        <v>10</v>
      </c>
      <c r="G29" t="s">
        <v>230</v>
      </c>
      <c r="H29" s="51">
        <v>4</v>
      </c>
      <c r="I29" s="51">
        <v>181</v>
      </c>
    </row>
    <row r="30" spans="1:9" x14ac:dyDescent="0.25">
      <c r="A30">
        <v>37</v>
      </c>
      <c r="B30" s="51">
        <v>38</v>
      </c>
      <c r="C30" s="51">
        <v>142</v>
      </c>
      <c r="E30">
        <f>+$F$30</f>
        <v>100</v>
      </c>
      <c r="F30">
        <v>100</v>
      </c>
      <c r="G30" t="s">
        <v>222</v>
      </c>
      <c r="H30" s="51">
        <v>11</v>
      </c>
      <c r="I30" s="51">
        <v>2025</v>
      </c>
    </row>
    <row r="31" spans="1:9" x14ac:dyDescent="0.25">
      <c r="A31">
        <v>4</v>
      </c>
      <c r="B31" s="51">
        <v>77</v>
      </c>
      <c r="C31" s="51">
        <v>182</v>
      </c>
      <c r="E31">
        <f t="shared" ref="E31:E38" si="2">+$F$30</f>
        <v>100</v>
      </c>
      <c r="G31" t="s">
        <v>223</v>
      </c>
      <c r="H31" s="51">
        <v>8</v>
      </c>
      <c r="I31" s="51">
        <v>2025</v>
      </c>
    </row>
    <row r="32" spans="1:9" x14ac:dyDescent="0.25">
      <c r="A32">
        <v>40</v>
      </c>
      <c r="B32" s="51">
        <v>66</v>
      </c>
      <c r="C32" s="51">
        <v>249</v>
      </c>
      <c r="E32">
        <f t="shared" si="2"/>
        <v>100</v>
      </c>
      <c r="G32" t="s">
        <v>224</v>
      </c>
      <c r="H32" s="51">
        <v>11</v>
      </c>
      <c r="I32" s="51">
        <v>2025</v>
      </c>
    </row>
    <row r="33" spans="1:9" x14ac:dyDescent="0.25">
      <c r="A33">
        <v>42</v>
      </c>
      <c r="B33" s="51">
        <v>4</v>
      </c>
      <c r="C33" s="51">
        <v>52</v>
      </c>
      <c r="E33">
        <f t="shared" si="2"/>
        <v>100</v>
      </c>
      <c r="G33" t="s">
        <v>225</v>
      </c>
      <c r="H33" s="51">
        <v>8</v>
      </c>
      <c r="I33" s="51">
        <v>2025</v>
      </c>
    </row>
    <row r="34" spans="1:9" x14ac:dyDescent="0.25">
      <c r="A34">
        <v>43</v>
      </c>
      <c r="B34" s="51"/>
      <c r="C34" s="51">
        <v>93</v>
      </c>
      <c r="E34">
        <f t="shared" si="2"/>
        <v>100</v>
      </c>
      <c r="G34" t="s">
        <v>226</v>
      </c>
      <c r="H34" s="51">
        <v>12</v>
      </c>
      <c r="I34" s="51">
        <v>2025</v>
      </c>
    </row>
    <row r="35" spans="1:9" x14ac:dyDescent="0.25">
      <c r="A35">
        <v>44</v>
      </c>
      <c r="B35" s="51">
        <v>97</v>
      </c>
      <c r="C35" s="51">
        <v>169</v>
      </c>
      <c r="E35">
        <f t="shared" si="2"/>
        <v>100</v>
      </c>
      <c r="G35" t="s">
        <v>227</v>
      </c>
      <c r="H35" s="51">
        <v>10</v>
      </c>
      <c r="I35" s="51">
        <v>2025</v>
      </c>
    </row>
    <row r="36" spans="1:9" x14ac:dyDescent="0.25">
      <c r="A36">
        <v>49</v>
      </c>
      <c r="B36" s="51">
        <v>53</v>
      </c>
      <c r="C36" s="51">
        <v>239</v>
      </c>
      <c r="E36">
        <f t="shared" si="2"/>
        <v>100</v>
      </c>
      <c r="G36" t="s">
        <v>228</v>
      </c>
      <c r="H36" s="51">
        <v>10</v>
      </c>
      <c r="I36" s="51">
        <v>2025</v>
      </c>
    </row>
    <row r="37" spans="1:9" x14ac:dyDescent="0.25">
      <c r="A37">
        <v>5</v>
      </c>
      <c r="B37" s="51">
        <v>135</v>
      </c>
      <c r="C37" s="51">
        <v>260</v>
      </c>
      <c r="E37">
        <f t="shared" si="2"/>
        <v>100</v>
      </c>
      <c r="G37" t="s">
        <v>229</v>
      </c>
      <c r="H37" s="51">
        <v>5</v>
      </c>
      <c r="I37" s="51">
        <v>2025</v>
      </c>
    </row>
    <row r="38" spans="1:9" x14ac:dyDescent="0.25">
      <c r="A38">
        <v>52</v>
      </c>
      <c r="B38" s="51">
        <v>22</v>
      </c>
      <c r="C38" s="51">
        <v>101</v>
      </c>
      <c r="E38">
        <f t="shared" si="2"/>
        <v>100</v>
      </c>
      <c r="G38" t="s">
        <v>230</v>
      </c>
      <c r="H38" s="51">
        <v>1</v>
      </c>
      <c r="I38" s="51">
        <v>2025</v>
      </c>
    </row>
    <row r="39" spans="1:9" x14ac:dyDescent="0.25">
      <c r="A39">
        <v>53</v>
      </c>
      <c r="B39" s="51">
        <v>23</v>
      </c>
      <c r="C39" s="51">
        <v>105</v>
      </c>
      <c r="E39">
        <f>+$F$39</f>
        <v>11</v>
      </c>
      <c r="F39">
        <v>11</v>
      </c>
      <c r="G39" t="s">
        <v>222</v>
      </c>
      <c r="H39" s="51">
        <v>13</v>
      </c>
      <c r="I39" s="51">
        <v>171</v>
      </c>
    </row>
    <row r="40" spans="1:9" x14ac:dyDescent="0.25">
      <c r="A40">
        <v>54</v>
      </c>
      <c r="B40" s="51">
        <v>75</v>
      </c>
      <c r="C40" s="51">
        <v>202</v>
      </c>
      <c r="E40">
        <f t="shared" ref="E40:E47" si="3">+$F$39</f>
        <v>11</v>
      </c>
      <c r="G40" t="s">
        <v>223</v>
      </c>
      <c r="H40" s="51">
        <v>9</v>
      </c>
      <c r="I40" s="51">
        <v>171</v>
      </c>
    </row>
    <row r="41" spans="1:9" x14ac:dyDescent="0.25">
      <c r="A41">
        <v>56</v>
      </c>
      <c r="B41">
        <v>55</v>
      </c>
      <c r="C41" s="51">
        <v>198</v>
      </c>
      <c r="E41">
        <f t="shared" si="3"/>
        <v>11</v>
      </c>
      <c r="G41" t="s">
        <v>224</v>
      </c>
      <c r="H41" s="51">
        <v>35</v>
      </c>
      <c r="I41" s="51">
        <v>171</v>
      </c>
    </row>
    <row r="42" spans="1:9" x14ac:dyDescent="0.25">
      <c r="A42">
        <v>57</v>
      </c>
      <c r="B42" s="51">
        <v>6</v>
      </c>
      <c r="C42" s="51">
        <v>104</v>
      </c>
      <c r="E42">
        <f t="shared" si="3"/>
        <v>11</v>
      </c>
      <c r="G42" t="s">
        <v>225</v>
      </c>
      <c r="H42" s="51">
        <v>24</v>
      </c>
      <c r="I42" s="51">
        <v>171</v>
      </c>
    </row>
    <row r="43" spans="1:9" x14ac:dyDescent="0.25">
      <c r="A43">
        <v>58</v>
      </c>
      <c r="B43" s="51">
        <v>18</v>
      </c>
      <c r="C43" s="51">
        <v>120</v>
      </c>
      <c r="E43">
        <f t="shared" si="3"/>
        <v>11</v>
      </c>
      <c r="G43" t="s">
        <v>226</v>
      </c>
      <c r="H43" s="51">
        <v>44</v>
      </c>
      <c r="I43" s="51">
        <v>171</v>
      </c>
    </row>
    <row r="44" spans="1:9" x14ac:dyDescent="0.25">
      <c r="A44">
        <v>59</v>
      </c>
      <c r="B44" s="51">
        <v>22</v>
      </c>
      <c r="C44" s="51">
        <v>122</v>
      </c>
      <c r="E44">
        <f t="shared" si="3"/>
        <v>11</v>
      </c>
      <c r="G44" t="s">
        <v>227</v>
      </c>
      <c r="H44" s="51">
        <v>32</v>
      </c>
      <c r="I44" s="51">
        <v>171</v>
      </c>
    </row>
    <row r="45" spans="1:9" x14ac:dyDescent="0.25">
      <c r="A45">
        <v>7</v>
      </c>
      <c r="B45" s="51">
        <v>4</v>
      </c>
      <c r="C45" s="51">
        <v>113</v>
      </c>
      <c r="E45">
        <f t="shared" si="3"/>
        <v>11</v>
      </c>
      <c r="G45" t="s">
        <v>228</v>
      </c>
      <c r="H45" s="51">
        <v>4</v>
      </c>
      <c r="I45" s="51">
        <v>171</v>
      </c>
    </row>
    <row r="46" spans="1:9" x14ac:dyDescent="0.25">
      <c r="A46">
        <v>8</v>
      </c>
      <c r="B46" s="51">
        <v>77</v>
      </c>
      <c r="C46" s="51">
        <v>195</v>
      </c>
      <c r="E46">
        <f t="shared" si="3"/>
        <v>11</v>
      </c>
      <c r="G46" t="s">
        <v>229</v>
      </c>
      <c r="H46" s="51">
        <v>12</v>
      </c>
      <c r="I46" s="51">
        <v>171</v>
      </c>
    </row>
    <row r="47" spans="1:9" x14ac:dyDescent="0.25">
      <c r="A47">
        <v>9</v>
      </c>
      <c r="B47" s="51">
        <v>84</v>
      </c>
      <c r="C47" s="51">
        <v>161</v>
      </c>
      <c r="E47">
        <f t="shared" si="3"/>
        <v>11</v>
      </c>
      <c r="G47" t="s">
        <v>230</v>
      </c>
      <c r="H47" s="51">
        <v>7</v>
      </c>
      <c r="I47" s="51">
        <v>171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27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16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39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15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48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47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10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8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12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13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7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10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>
        <v>1</v>
      </c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14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>
        <v>1</v>
      </c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9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>
        <v>2</v>
      </c>
      <c r="I64" s="51">
        <v>489</v>
      </c>
    </row>
    <row r="65" spans="5:9" x14ac:dyDescent="0.25">
      <c r="E65">
        <f t="shared" si="5"/>
        <v>123</v>
      </c>
      <c r="G65" t="s">
        <v>230</v>
      </c>
      <c r="H65" s="51"/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18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10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12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10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16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7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12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5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6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14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7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37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16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41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32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2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11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11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33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19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28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17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67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41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14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13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16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25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15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46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27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86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53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6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15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15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10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33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21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18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38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20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8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10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12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42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34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53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42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71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63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10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13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14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32</v>
      </c>
      <c r="I120" s="51">
        <v>170</v>
      </c>
    </row>
    <row r="121" spans="5:9" x14ac:dyDescent="0.25">
      <c r="E121">
        <f t="shared" ref="E121:E128" si="12">+$F$120</f>
        <v>21</v>
      </c>
      <c r="G121" t="s">
        <v>223</v>
      </c>
      <c r="H121" s="51">
        <v>25</v>
      </c>
      <c r="I121" s="51">
        <v>170</v>
      </c>
    </row>
    <row r="122" spans="5:9" x14ac:dyDescent="0.25">
      <c r="E122">
        <f t="shared" si="12"/>
        <v>21</v>
      </c>
      <c r="G122" t="s">
        <v>224</v>
      </c>
      <c r="H122" s="51">
        <v>46</v>
      </c>
      <c r="I122" s="51">
        <v>170</v>
      </c>
    </row>
    <row r="123" spans="5:9" x14ac:dyDescent="0.25">
      <c r="E123">
        <f t="shared" si="12"/>
        <v>21</v>
      </c>
      <c r="G123" t="s">
        <v>225</v>
      </c>
      <c r="H123" s="51">
        <v>26</v>
      </c>
      <c r="I123" s="51">
        <v>170</v>
      </c>
    </row>
    <row r="124" spans="5:9" x14ac:dyDescent="0.25">
      <c r="E124">
        <f t="shared" si="12"/>
        <v>21</v>
      </c>
      <c r="G124" t="s">
        <v>226</v>
      </c>
      <c r="H124">
        <v>72</v>
      </c>
      <c r="I124" s="51">
        <v>170</v>
      </c>
    </row>
    <row r="125" spans="5:9" x14ac:dyDescent="0.25">
      <c r="E125">
        <f t="shared" si="12"/>
        <v>21</v>
      </c>
      <c r="G125" t="s">
        <v>227</v>
      </c>
      <c r="H125" s="51">
        <v>53</v>
      </c>
      <c r="I125" s="51">
        <v>170</v>
      </c>
    </row>
    <row r="126" spans="5:9" x14ac:dyDescent="0.25">
      <c r="E126">
        <f t="shared" si="12"/>
        <v>21</v>
      </c>
      <c r="G126" t="s">
        <v>228</v>
      </c>
      <c r="H126" s="51">
        <v>14</v>
      </c>
      <c r="I126" s="51">
        <v>170</v>
      </c>
    </row>
    <row r="127" spans="5:9" x14ac:dyDescent="0.25">
      <c r="E127">
        <f t="shared" si="12"/>
        <v>21</v>
      </c>
      <c r="G127" t="s">
        <v>229</v>
      </c>
      <c r="H127" s="51">
        <v>18</v>
      </c>
      <c r="I127" s="51">
        <v>170</v>
      </c>
    </row>
    <row r="128" spans="5:9" x14ac:dyDescent="0.25">
      <c r="E128">
        <f t="shared" si="12"/>
        <v>21</v>
      </c>
      <c r="G128" t="s">
        <v>230</v>
      </c>
      <c r="H128" s="51">
        <v>14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23</v>
      </c>
      <c r="I129" s="51">
        <v>72</v>
      </c>
    </row>
    <row r="130" spans="5:9" x14ac:dyDescent="0.25">
      <c r="E130">
        <f t="shared" ref="E130:E137" si="13">+$F$129</f>
        <v>22</v>
      </c>
      <c r="G130" t="s">
        <v>223</v>
      </c>
      <c r="H130" s="51">
        <v>13</v>
      </c>
      <c r="I130" s="51">
        <v>72</v>
      </c>
    </row>
    <row r="131" spans="5:9" x14ac:dyDescent="0.25">
      <c r="E131">
        <f t="shared" si="13"/>
        <v>22</v>
      </c>
      <c r="G131" t="s">
        <v>224</v>
      </c>
      <c r="H131" s="51">
        <v>23</v>
      </c>
      <c r="I131" s="51">
        <v>72</v>
      </c>
    </row>
    <row r="132" spans="5:9" x14ac:dyDescent="0.25">
      <c r="E132">
        <f t="shared" si="13"/>
        <v>22</v>
      </c>
      <c r="G132" t="s">
        <v>225</v>
      </c>
      <c r="H132" s="51">
        <v>15</v>
      </c>
      <c r="I132" s="51">
        <v>72</v>
      </c>
    </row>
    <row r="133" spans="5:9" x14ac:dyDescent="0.25">
      <c r="E133">
        <f t="shared" si="13"/>
        <v>22</v>
      </c>
      <c r="G133" t="s">
        <v>226</v>
      </c>
      <c r="H133" s="51">
        <v>33</v>
      </c>
      <c r="I133" s="51">
        <v>72</v>
      </c>
    </row>
    <row r="134" spans="5:9" x14ac:dyDescent="0.25">
      <c r="E134">
        <f t="shared" si="13"/>
        <v>22</v>
      </c>
      <c r="G134" t="s">
        <v>227</v>
      </c>
      <c r="H134" s="51">
        <v>17</v>
      </c>
      <c r="I134" s="51">
        <v>72</v>
      </c>
    </row>
    <row r="135" spans="5:9" x14ac:dyDescent="0.25">
      <c r="E135">
        <f t="shared" si="13"/>
        <v>22</v>
      </c>
      <c r="G135" t="s">
        <v>228</v>
      </c>
      <c r="H135" s="51">
        <v>30</v>
      </c>
      <c r="I135" s="51">
        <v>72</v>
      </c>
    </row>
    <row r="136" spans="5:9" x14ac:dyDescent="0.25">
      <c r="E136">
        <f t="shared" si="13"/>
        <v>22</v>
      </c>
      <c r="G136" t="s">
        <v>229</v>
      </c>
      <c r="H136" s="51">
        <v>9</v>
      </c>
      <c r="I136" s="51">
        <v>72</v>
      </c>
    </row>
    <row r="137" spans="5:9" x14ac:dyDescent="0.25">
      <c r="E137">
        <f t="shared" si="13"/>
        <v>22</v>
      </c>
      <c r="G137" t="s">
        <v>230</v>
      </c>
      <c r="H137" s="51">
        <v>16</v>
      </c>
      <c r="I137" s="51">
        <v>72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29</v>
      </c>
      <c r="I138" s="51">
        <v>160</v>
      </c>
    </row>
    <row r="139" spans="5:9" x14ac:dyDescent="0.25">
      <c r="E139">
        <f t="shared" ref="E139:E146" si="14">+$F$138</f>
        <v>23</v>
      </c>
      <c r="G139" t="s">
        <v>223</v>
      </c>
      <c r="H139" s="51">
        <v>23</v>
      </c>
      <c r="I139" s="51">
        <v>160</v>
      </c>
    </row>
    <row r="140" spans="5:9" x14ac:dyDescent="0.25">
      <c r="E140">
        <f t="shared" si="14"/>
        <v>23</v>
      </c>
      <c r="G140" t="s">
        <v>224</v>
      </c>
      <c r="H140">
        <v>51</v>
      </c>
      <c r="I140" s="51">
        <v>160</v>
      </c>
    </row>
    <row r="141" spans="5:9" x14ac:dyDescent="0.25">
      <c r="E141">
        <f t="shared" si="14"/>
        <v>23</v>
      </c>
      <c r="G141" t="s">
        <v>225</v>
      </c>
      <c r="H141" s="51">
        <v>18</v>
      </c>
      <c r="I141" s="51">
        <v>160</v>
      </c>
    </row>
    <row r="142" spans="5:9" x14ac:dyDescent="0.25">
      <c r="E142">
        <f t="shared" si="14"/>
        <v>23</v>
      </c>
      <c r="G142" t="s">
        <v>226</v>
      </c>
      <c r="H142" s="51">
        <v>74</v>
      </c>
      <c r="I142" s="51">
        <v>160</v>
      </c>
    </row>
    <row r="143" spans="5:9" x14ac:dyDescent="0.25">
      <c r="E143">
        <f t="shared" si="14"/>
        <v>23</v>
      </c>
      <c r="G143" t="s">
        <v>227</v>
      </c>
      <c r="H143" s="51">
        <v>45</v>
      </c>
      <c r="I143" s="51">
        <v>160</v>
      </c>
    </row>
    <row r="144" spans="5:9" x14ac:dyDescent="0.25">
      <c r="E144">
        <f t="shared" si="14"/>
        <v>23</v>
      </c>
      <c r="G144" t="s">
        <v>228</v>
      </c>
      <c r="H144" s="51">
        <v>7</v>
      </c>
      <c r="I144" s="51">
        <v>160</v>
      </c>
    </row>
    <row r="145" spans="5:9" x14ac:dyDescent="0.25">
      <c r="E145">
        <f t="shared" si="14"/>
        <v>23</v>
      </c>
      <c r="G145" t="s">
        <v>229</v>
      </c>
      <c r="H145" s="51">
        <v>11</v>
      </c>
      <c r="I145" s="51">
        <v>160</v>
      </c>
    </row>
    <row r="146" spans="5:9" x14ac:dyDescent="0.25">
      <c r="E146">
        <f t="shared" si="14"/>
        <v>23</v>
      </c>
      <c r="G146" t="s">
        <v>230</v>
      </c>
      <c r="H146" s="51">
        <v>8</v>
      </c>
      <c r="I146" s="51">
        <v>160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19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7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49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19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39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26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6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5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2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18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14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16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27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36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30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30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10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9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12</v>
      </c>
      <c r="I165" s="51">
        <v>164</v>
      </c>
    </row>
    <row r="166" spans="5:9" x14ac:dyDescent="0.25">
      <c r="E166">
        <f t="shared" ref="E166:E173" si="17">+$F$165</f>
        <v>26</v>
      </c>
      <c r="G166" t="s">
        <v>223</v>
      </c>
      <c r="H166" s="51">
        <v>6</v>
      </c>
      <c r="I166" s="51">
        <v>164</v>
      </c>
    </row>
    <row r="167" spans="5:9" x14ac:dyDescent="0.25">
      <c r="E167">
        <f t="shared" si="17"/>
        <v>26</v>
      </c>
      <c r="G167" t="s">
        <v>224</v>
      </c>
      <c r="H167" s="51">
        <v>3</v>
      </c>
      <c r="I167" s="51">
        <v>164</v>
      </c>
    </row>
    <row r="168" spans="5:9" x14ac:dyDescent="0.25">
      <c r="E168">
        <f t="shared" si="17"/>
        <v>26</v>
      </c>
      <c r="G168" t="s">
        <v>225</v>
      </c>
      <c r="H168" s="51">
        <v>15</v>
      </c>
      <c r="I168" s="51">
        <v>164</v>
      </c>
    </row>
    <row r="169" spans="5:9" x14ac:dyDescent="0.25">
      <c r="E169">
        <f t="shared" si="17"/>
        <v>26</v>
      </c>
      <c r="G169" t="s">
        <v>226</v>
      </c>
      <c r="H169" s="51">
        <v>11</v>
      </c>
      <c r="I169" s="51">
        <v>164</v>
      </c>
    </row>
    <row r="170" spans="5:9" x14ac:dyDescent="0.25">
      <c r="E170">
        <f t="shared" si="17"/>
        <v>26</v>
      </c>
      <c r="G170" t="s">
        <v>227</v>
      </c>
      <c r="H170" s="51">
        <v>12</v>
      </c>
      <c r="I170" s="51">
        <v>164</v>
      </c>
    </row>
    <row r="171" spans="5:9" x14ac:dyDescent="0.25">
      <c r="E171">
        <f t="shared" si="17"/>
        <v>26</v>
      </c>
      <c r="G171" t="s">
        <v>228</v>
      </c>
      <c r="H171" s="51">
        <v>16</v>
      </c>
      <c r="I171" s="51">
        <v>164</v>
      </c>
    </row>
    <row r="172" spans="5:9" x14ac:dyDescent="0.25">
      <c r="E172">
        <f t="shared" si="17"/>
        <v>26</v>
      </c>
      <c r="G172" t="s">
        <v>229</v>
      </c>
      <c r="H172" s="51">
        <v>6</v>
      </c>
      <c r="I172" s="51">
        <v>164</v>
      </c>
    </row>
    <row r="173" spans="5:9" x14ac:dyDescent="0.25">
      <c r="E173">
        <f t="shared" si="17"/>
        <v>26</v>
      </c>
      <c r="G173" t="s">
        <v>230</v>
      </c>
      <c r="H173" s="51">
        <v>11</v>
      </c>
      <c r="I173" s="51">
        <v>164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24</v>
      </c>
      <c r="I174" s="51">
        <v>140</v>
      </c>
    </row>
    <row r="175" spans="5:9" x14ac:dyDescent="0.25">
      <c r="E175">
        <f t="shared" ref="E175:E182" si="18">+$F$174</f>
        <v>27</v>
      </c>
      <c r="G175" t="s">
        <v>223</v>
      </c>
      <c r="H175" s="51">
        <v>12</v>
      </c>
      <c r="I175" s="51">
        <v>140</v>
      </c>
    </row>
    <row r="176" spans="5:9" x14ac:dyDescent="0.25">
      <c r="E176">
        <f t="shared" si="18"/>
        <v>27</v>
      </c>
      <c r="G176" t="s">
        <v>224</v>
      </c>
      <c r="H176" s="51">
        <v>30</v>
      </c>
      <c r="I176" s="51">
        <v>140</v>
      </c>
    </row>
    <row r="177" spans="5:9" x14ac:dyDescent="0.25">
      <c r="E177">
        <f t="shared" si="18"/>
        <v>27</v>
      </c>
      <c r="G177" t="s">
        <v>225</v>
      </c>
      <c r="H177" s="51">
        <v>13</v>
      </c>
      <c r="I177" s="51">
        <v>140</v>
      </c>
    </row>
    <row r="178" spans="5:9" x14ac:dyDescent="0.25">
      <c r="E178">
        <f t="shared" si="18"/>
        <v>27</v>
      </c>
      <c r="G178" t="s">
        <v>226</v>
      </c>
      <c r="H178" s="51">
        <v>47</v>
      </c>
      <c r="I178" s="51">
        <v>140</v>
      </c>
    </row>
    <row r="179" spans="5:9" x14ac:dyDescent="0.25">
      <c r="E179">
        <f t="shared" si="18"/>
        <v>27</v>
      </c>
      <c r="G179" t="s">
        <v>227</v>
      </c>
      <c r="H179" s="51">
        <v>40</v>
      </c>
      <c r="I179" s="51">
        <v>140</v>
      </c>
    </row>
    <row r="180" spans="5:9" x14ac:dyDescent="0.25">
      <c r="E180">
        <f t="shared" si="18"/>
        <v>27</v>
      </c>
      <c r="G180" t="s">
        <v>228</v>
      </c>
      <c r="H180">
        <v>13</v>
      </c>
      <c r="I180" s="51">
        <v>140</v>
      </c>
    </row>
    <row r="181" spans="5:9" x14ac:dyDescent="0.25">
      <c r="E181">
        <f t="shared" si="18"/>
        <v>27</v>
      </c>
      <c r="G181" t="s">
        <v>229</v>
      </c>
      <c r="H181" s="51">
        <v>12</v>
      </c>
      <c r="I181" s="51">
        <v>140</v>
      </c>
    </row>
    <row r="182" spans="5:9" x14ac:dyDescent="0.25">
      <c r="E182">
        <f t="shared" si="18"/>
        <v>27</v>
      </c>
      <c r="G182" t="s">
        <v>230</v>
      </c>
      <c r="H182" s="51">
        <v>6</v>
      </c>
      <c r="I182" s="51">
        <v>140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18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7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16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15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40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35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4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9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4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20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14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39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20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55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37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8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13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10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4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1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3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/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3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/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9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28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10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44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28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67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44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15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21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7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12</v>
      </c>
      <c r="I219" s="51">
        <v>57</v>
      </c>
    </row>
    <row r="220" spans="5:9" x14ac:dyDescent="0.25">
      <c r="E220">
        <f t="shared" ref="E220:E227" si="23">+$F$219</f>
        <v>32</v>
      </c>
      <c r="G220" t="s">
        <v>223</v>
      </c>
      <c r="H220" s="51">
        <v>3</v>
      </c>
      <c r="I220" s="51">
        <v>57</v>
      </c>
    </row>
    <row r="221" spans="5:9" x14ac:dyDescent="0.25">
      <c r="E221">
        <f t="shared" si="23"/>
        <v>32</v>
      </c>
      <c r="G221" t="s">
        <v>224</v>
      </c>
      <c r="H221" s="51">
        <v>8</v>
      </c>
      <c r="I221" s="51">
        <v>57</v>
      </c>
    </row>
    <row r="222" spans="5:9" x14ac:dyDescent="0.25">
      <c r="E222">
        <f t="shared" si="23"/>
        <v>32</v>
      </c>
      <c r="G222" t="s">
        <v>225</v>
      </c>
      <c r="H222" s="51">
        <v>11</v>
      </c>
      <c r="I222" s="51">
        <v>57</v>
      </c>
    </row>
    <row r="223" spans="5:9" x14ac:dyDescent="0.25">
      <c r="E223">
        <f t="shared" si="23"/>
        <v>32</v>
      </c>
      <c r="G223" t="s">
        <v>226</v>
      </c>
      <c r="H223" s="51">
        <v>18</v>
      </c>
      <c r="I223" s="51">
        <v>57</v>
      </c>
    </row>
    <row r="224" spans="5:9" x14ac:dyDescent="0.25">
      <c r="E224">
        <f t="shared" si="23"/>
        <v>32</v>
      </c>
      <c r="G224" t="s">
        <v>227</v>
      </c>
      <c r="H224" s="51">
        <v>12</v>
      </c>
      <c r="I224" s="51">
        <v>57</v>
      </c>
    </row>
    <row r="225" spans="5:9" x14ac:dyDescent="0.25">
      <c r="E225">
        <f t="shared" si="23"/>
        <v>32</v>
      </c>
      <c r="G225" t="s">
        <v>228</v>
      </c>
      <c r="H225" s="51">
        <v>14</v>
      </c>
      <c r="I225" s="51">
        <v>57</v>
      </c>
    </row>
    <row r="226" spans="5:9" x14ac:dyDescent="0.25">
      <c r="E226">
        <f t="shared" si="23"/>
        <v>32</v>
      </c>
      <c r="G226" t="s">
        <v>229</v>
      </c>
      <c r="H226" s="51">
        <v>8</v>
      </c>
      <c r="I226" s="51">
        <v>57</v>
      </c>
    </row>
    <row r="227" spans="5:9" x14ac:dyDescent="0.25">
      <c r="E227">
        <f t="shared" si="23"/>
        <v>32</v>
      </c>
      <c r="G227" t="s">
        <v>230</v>
      </c>
      <c r="H227" s="51">
        <v>10</v>
      </c>
      <c r="I227" s="51">
        <v>57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19</v>
      </c>
      <c r="I228" s="51">
        <v>172</v>
      </c>
    </row>
    <row r="229" spans="5:9" x14ac:dyDescent="0.25">
      <c r="E229">
        <f t="shared" ref="E229:E236" si="24">+$F$228</f>
        <v>33</v>
      </c>
      <c r="G229" t="s">
        <v>223</v>
      </c>
      <c r="H229" s="51">
        <v>18</v>
      </c>
      <c r="I229" s="51">
        <v>172</v>
      </c>
    </row>
    <row r="230" spans="5:9" x14ac:dyDescent="0.25">
      <c r="E230">
        <f t="shared" si="24"/>
        <v>33</v>
      </c>
      <c r="G230" t="s">
        <v>224</v>
      </c>
      <c r="H230" s="51">
        <v>27</v>
      </c>
      <c r="I230" s="51">
        <v>172</v>
      </c>
    </row>
    <row r="231" spans="5:9" x14ac:dyDescent="0.25">
      <c r="E231">
        <f t="shared" si="24"/>
        <v>33</v>
      </c>
      <c r="G231" t="s">
        <v>225</v>
      </c>
      <c r="H231" s="51">
        <v>15</v>
      </c>
      <c r="I231" s="51">
        <v>172</v>
      </c>
    </row>
    <row r="232" spans="5:9" x14ac:dyDescent="0.25">
      <c r="E232">
        <f t="shared" si="24"/>
        <v>33</v>
      </c>
      <c r="G232" t="s">
        <v>226</v>
      </c>
      <c r="H232" s="51">
        <v>35</v>
      </c>
      <c r="I232" s="51">
        <v>172</v>
      </c>
    </row>
    <row r="233" spans="5:9" x14ac:dyDescent="0.25">
      <c r="E233">
        <f t="shared" si="24"/>
        <v>33</v>
      </c>
      <c r="G233" t="s">
        <v>227</v>
      </c>
      <c r="H233" s="51">
        <v>26</v>
      </c>
      <c r="I233" s="51">
        <v>172</v>
      </c>
    </row>
    <row r="234" spans="5:9" x14ac:dyDescent="0.25">
      <c r="E234">
        <f t="shared" si="24"/>
        <v>33</v>
      </c>
      <c r="G234" t="s">
        <v>228</v>
      </c>
      <c r="H234" s="51">
        <v>3</v>
      </c>
      <c r="I234" s="51">
        <v>172</v>
      </c>
    </row>
    <row r="235" spans="5:9" x14ac:dyDescent="0.25">
      <c r="E235">
        <f t="shared" si="24"/>
        <v>33</v>
      </c>
      <c r="G235" t="s">
        <v>229</v>
      </c>
      <c r="H235" s="51">
        <v>8</v>
      </c>
      <c r="I235" s="51">
        <v>172</v>
      </c>
    </row>
    <row r="236" spans="5:9" x14ac:dyDescent="0.25">
      <c r="E236">
        <f t="shared" si="24"/>
        <v>33</v>
      </c>
      <c r="G236" t="s">
        <v>230</v>
      </c>
      <c r="H236">
        <v>9</v>
      </c>
      <c r="I236" s="51">
        <v>172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12</v>
      </c>
      <c r="I237" s="51">
        <v>157</v>
      </c>
    </row>
    <row r="238" spans="5:9" x14ac:dyDescent="0.25">
      <c r="E238">
        <f t="shared" ref="E238:E245" si="25">+$F$237</f>
        <v>36</v>
      </c>
      <c r="G238" t="s">
        <v>223</v>
      </c>
      <c r="H238" s="51">
        <v>6</v>
      </c>
      <c r="I238" s="51">
        <v>157</v>
      </c>
    </row>
    <row r="239" spans="5:9" x14ac:dyDescent="0.25">
      <c r="E239">
        <f t="shared" si="25"/>
        <v>36</v>
      </c>
      <c r="G239" t="s">
        <v>224</v>
      </c>
      <c r="H239" s="51">
        <v>28</v>
      </c>
      <c r="I239" s="51">
        <v>157</v>
      </c>
    </row>
    <row r="240" spans="5:9" x14ac:dyDescent="0.25">
      <c r="E240">
        <f t="shared" si="25"/>
        <v>36</v>
      </c>
      <c r="G240" t="s">
        <v>225</v>
      </c>
      <c r="H240" s="51">
        <v>20</v>
      </c>
      <c r="I240" s="51">
        <v>157</v>
      </c>
    </row>
    <row r="241" spans="5:9" x14ac:dyDescent="0.25">
      <c r="E241">
        <f t="shared" si="25"/>
        <v>36</v>
      </c>
      <c r="G241" t="s">
        <v>226</v>
      </c>
      <c r="H241" s="51">
        <v>46</v>
      </c>
      <c r="I241" s="51">
        <v>157</v>
      </c>
    </row>
    <row r="242" spans="5:9" x14ac:dyDescent="0.25">
      <c r="E242">
        <f t="shared" si="25"/>
        <v>36</v>
      </c>
      <c r="G242" t="s">
        <v>227</v>
      </c>
      <c r="H242" s="51">
        <v>26</v>
      </c>
      <c r="I242" s="51">
        <v>157</v>
      </c>
    </row>
    <row r="243" spans="5:9" x14ac:dyDescent="0.25">
      <c r="E243">
        <f t="shared" si="25"/>
        <v>36</v>
      </c>
      <c r="G243" t="s">
        <v>228</v>
      </c>
      <c r="H243" s="51">
        <v>10</v>
      </c>
      <c r="I243" s="51">
        <v>157</v>
      </c>
    </row>
    <row r="244" spans="5:9" x14ac:dyDescent="0.25">
      <c r="E244">
        <f t="shared" si="25"/>
        <v>36</v>
      </c>
      <c r="G244" t="s">
        <v>229</v>
      </c>
      <c r="H244">
        <v>7</v>
      </c>
      <c r="I244" s="51">
        <v>157</v>
      </c>
    </row>
    <row r="245" spans="5:9" x14ac:dyDescent="0.25">
      <c r="E245">
        <f t="shared" si="25"/>
        <v>36</v>
      </c>
      <c r="G245" t="s">
        <v>230</v>
      </c>
      <c r="H245" s="51">
        <v>6</v>
      </c>
      <c r="I245" s="51">
        <v>157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7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3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8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6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22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19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8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10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5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13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13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27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23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49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28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11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11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14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15</v>
      </c>
      <c r="I264" s="51">
        <v>249</v>
      </c>
    </row>
    <row r="265" spans="5:9" x14ac:dyDescent="0.25">
      <c r="E265">
        <f t="shared" ref="E265:E272" si="28">+$F$264</f>
        <v>40</v>
      </c>
      <c r="G265" t="s">
        <v>223</v>
      </c>
      <c r="H265">
        <v>3</v>
      </c>
      <c r="I265" s="51">
        <v>249</v>
      </c>
    </row>
    <row r="266" spans="5:9" x14ac:dyDescent="0.25">
      <c r="E266">
        <f t="shared" si="28"/>
        <v>40</v>
      </c>
      <c r="G266" t="s">
        <v>224</v>
      </c>
      <c r="H266" s="51">
        <v>17</v>
      </c>
      <c r="I266" s="51">
        <v>249</v>
      </c>
    </row>
    <row r="267" spans="5:9" x14ac:dyDescent="0.25">
      <c r="E267">
        <f t="shared" si="28"/>
        <v>40</v>
      </c>
      <c r="G267" t="s">
        <v>225</v>
      </c>
      <c r="H267" s="51">
        <v>17</v>
      </c>
      <c r="I267" s="51">
        <v>249</v>
      </c>
    </row>
    <row r="268" spans="5:9" x14ac:dyDescent="0.25">
      <c r="E268">
        <f t="shared" si="28"/>
        <v>40</v>
      </c>
      <c r="G268" t="s">
        <v>226</v>
      </c>
      <c r="H268">
        <v>44</v>
      </c>
      <c r="I268" s="51">
        <v>249</v>
      </c>
    </row>
    <row r="269" spans="5:9" x14ac:dyDescent="0.25">
      <c r="E269">
        <f t="shared" si="28"/>
        <v>40</v>
      </c>
      <c r="G269" t="s">
        <v>227</v>
      </c>
      <c r="H269" s="51">
        <v>31</v>
      </c>
      <c r="I269" s="51">
        <v>249</v>
      </c>
    </row>
    <row r="270" spans="5:9" x14ac:dyDescent="0.25">
      <c r="E270">
        <f t="shared" si="28"/>
        <v>40</v>
      </c>
      <c r="G270" t="s">
        <v>228</v>
      </c>
      <c r="H270" s="51">
        <v>11</v>
      </c>
      <c r="I270" s="51">
        <v>249</v>
      </c>
    </row>
    <row r="271" spans="5:9" x14ac:dyDescent="0.25">
      <c r="E271">
        <f t="shared" si="28"/>
        <v>40</v>
      </c>
      <c r="G271" t="s">
        <v>229</v>
      </c>
      <c r="H271" s="51">
        <v>8</v>
      </c>
      <c r="I271" s="51">
        <v>249</v>
      </c>
    </row>
    <row r="272" spans="5:9" x14ac:dyDescent="0.25">
      <c r="E272">
        <f t="shared" si="28"/>
        <v>40</v>
      </c>
      <c r="G272" t="s">
        <v>230</v>
      </c>
      <c r="H272" s="51">
        <v>4</v>
      </c>
      <c r="I272" s="51">
        <v>249</v>
      </c>
    </row>
    <row r="273" spans="5:9" x14ac:dyDescent="0.25">
      <c r="E273">
        <f>+$F$273</f>
        <v>42</v>
      </c>
      <c r="F273">
        <v>42</v>
      </c>
      <c r="G273" t="s">
        <v>222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/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/>
      <c r="I275" s="51">
        <v>52</v>
      </c>
    </row>
    <row r="276" spans="5:9" x14ac:dyDescent="0.25">
      <c r="E276">
        <f t="shared" si="29"/>
        <v>42</v>
      </c>
      <c r="G276" t="s">
        <v>225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3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4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1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2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18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16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44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19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65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50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10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13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8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8</v>
      </c>
      <c r="I300" s="51">
        <v>239</v>
      </c>
    </row>
    <row r="301" spans="5:9" x14ac:dyDescent="0.25">
      <c r="E301">
        <f t="shared" ref="E301:E308" si="32">+$F$300</f>
        <v>49</v>
      </c>
      <c r="G301" t="s">
        <v>223</v>
      </c>
      <c r="H301" s="51">
        <v>8</v>
      </c>
      <c r="I301" s="51">
        <v>239</v>
      </c>
    </row>
    <row r="302" spans="5:9" x14ac:dyDescent="0.25">
      <c r="E302">
        <f t="shared" si="32"/>
        <v>49</v>
      </c>
      <c r="G302" t="s">
        <v>224</v>
      </c>
      <c r="H302" s="51">
        <v>24</v>
      </c>
      <c r="I302" s="51">
        <v>239</v>
      </c>
    </row>
    <row r="303" spans="5:9" x14ac:dyDescent="0.25">
      <c r="E303">
        <f t="shared" si="32"/>
        <v>49</v>
      </c>
      <c r="G303" t="s">
        <v>225</v>
      </c>
      <c r="H303" s="51">
        <v>6</v>
      </c>
      <c r="I303" s="51">
        <v>239</v>
      </c>
    </row>
    <row r="304" spans="5:9" x14ac:dyDescent="0.25">
      <c r="E304">
        <f t="shared" si="32"/>
        <v>49</v>
      </c>
      <c r="G304" t="s">
        <v>226</v>
      </c>
      <c r="H304" s="51">
        <v>19</v>
      </c>
      <c r="I304" s="51">
        <v>239</v>
      </c>
    </row>
    <row r="305" spans="5:9" x14ac:dyDescent="0.25">
      <c r="E305">
        <f t="shared" si="32"/>
        <v>49</v>
      </c>
      <c r="G305" t="s">
        <v>227</v>
      </c>
      <c r="H305" s="51">
        <v>11</v>
      </c>
      <c r="I305" s="51">
        <v>239</v>
      </c>
    </row>
    <row r="306" spans="5:9" x14ac:dyDescent="0.25">
      <c r="E306">
        <f t="shared" si="32"/>
        <v>49</v>
      </c>
      <c r="G306" t="s">
        <v>228</v>
      </c>
      <c r="H306" s="51">
        <v>19</v>
      </c>
      <c r="I306" s="51">
        <v>239</v>
      </c>
    </row>
    <row r="307" spans="5:9" x14ac:dyDescent="0.25">
      <c r="E307">
        <f t="shared" si="32"/>
        <v>49</v>
      </c>
      <c r="G307" t="s">
        <v>229</v>
      </c>
      <c r="H307">
        <v>7</v>
      </c>
      <c r="I307" s="51">
        <v>239</v>
      </c>
    </row>
    <row r="308" spans="5:9" x14ac:dyDescent="0.25">
      <c r="E308">
        <f t="shared" si="32"/>
        <v>49</v>
      </c>
      <c r="G308" t="s">
        <v>230</v>
      </c>
      <c r="H308">
        <v>8</v>
      </c>
      <c r="I308" s="51">
        <v>239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40</v>
      </c>
      <c r="I309" s="51">
        <v>260</v>
      </c>
    </row>
    <row r="310" spans="5:9" x14ac:dyDescent="0.25">
      <c r="E310">
        <f t="shared" ref="E310:E317" si="33">+$F$309</f>
        <v>5</v>
      </c>
      <c r="G310" t="s">
        <v>223</v>
      </c>
      <c r="H310">
        <v>19</v>
      </c>
      <c r="I310" s="51">
        <v>260</v>
      </c>
    </row>
    <row r="311" spans="5:9" x14ac:dyDescent="0.25">
      <c r="E311">
        <f t="shared" si="33"/>
        <v>5</v>
      </c>
      <c r="G311" t="s">
        <v>224</v>
      </c>
      <c r="H311">
        <v>50</v>
      </c>
      <c r="I311" s="51">
        <v>260</v>
      </c>
    </row>
    <row r="312" spans="5:9" x14ac:dyDescent="0.25">
      <c r="E312">
        <f t="shared" si="33"/>
        <v>5</v>
      </c>
      <c r="G312" t="s">
        <v>225</v>
      </c>
      <c r="H312">
        <v>22</v>
      </c>
      <c r="I312" s="51">
        <v>260</v>
      </c>
    </row>
    <row r="313" spans="5:9" x14ac:dyDescent="0.25">
      <c r="E313">
        <f t="shared" si="33"/>
        <v>5</v>
      </c>
      <c r="G313" t="s">
        <v>226</v>
      </c>
      <c r="H313">
        <v>76</v>
      </c>
      <c r="I313" s="51">
        <v>260</v>
      </c>
    </row>
    <row r="314" spans="5:9" x14ac:dyDescent="0.25">
      <c r="E314">
        <f t="shared" si="33"/>
        <v>5</v>
      </c>
      <c r="G314" t="s">
        <v>227</v>
      </c>
      <c r="H314">
        <v>51</v>
      </c>
      <c r="I314" s="51">
        <v>260</v>
      </c>
    </row>
    <row r="315" spans="5:9" x14ac:dyDescent="0.25">
      <c r="E315">
        <f t="shared" si="33"/>
        <v>5</v>
      </c>
      <c r="G315" t="s">
        <v>228</v>
      </c>
      <c r="H315" s="51">
        <v>22</v>
      </c>
      <c r="I315" s="51">
        <v>260</v>
      </c>
    </row>
    <row r="316" spans="5:9" x14ac:dyDescent="0.25">
      <c r="E316">
        <f t="shared" si="33"/>
        <v>5</v>
      </c>
      <c r="G316" t="s">
        <v>229</v>
      </c>
      <c r="H316">
        <v>16</v>
      </c>
      <c r="I316" s="51">
        <v>260</v>
      </c>
    </row>
    <row r="317" spans="5:9" x14ac:dyDescent="0.25">
      <c r="E317">
        <f t="shared" si="33"/>
        <v>5</v>
      </c>
      <c r="G317" t="s">
        <v>230</v>
      </c>
      <c r="H317" s="51">
        <v>13</v>
      </c>
      <c r="I317" s="51">
        <v>260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5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22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2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23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12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11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31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25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41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30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8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7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16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10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8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29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8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21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9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23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5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3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104</v>
      </c>
    </row>
    <row r="355" spans="5:9" x14ac:dyDescent="0.25">
      <c r="E355">
        <f t="shared" ref="E355:E362" si="38">+$F$354</f>
        <v>57</v>
      </c>
      <c r="G355" t="s">
        <v>223</v>
      </c>
      <c r="H355" s="51">
        <v>1</v>
      </c>
      <c r="I355" s="51">
        <v>104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104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104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104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104</v>
      </c>
    </row>
    <row r="360" spans="5:9" x14ac:dyDescent="0.25">
      <c r="E360">
        <f t="shared" si="38"/>
        <v>57</v>
      </c>
      <c r="G360" t="s">
        <v>228</v>
      </c>
      <c r="H360" s="51">
        <v>6</v>
      </c>
      <c r="I360" s="51">
        <v>104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104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104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1</v>
      </c>
      <c r="I363" s="51">
        <v>120</v>
      </c>
    </row>
    <row r="364" spans="5:9" x14ac:dyDescent="0.25">
      <c r="E364">
        <f t="shared" ref="E364:E371" si="39">+$F$363</f>
        <v>58</v>
      </c>
      <c r="G364" t="s">
        <v>223</v>
      </c>
      <c r="H364" s="51">
        <v>8</v>
      </c>
      <c r="I364" s="51">
        <v>120</v>
      </c>
    </row>
    <row r="365" spans="5:9" x14ac:dyDescent="0.25">
      <c r="E365">
        <f t="shared" si="39"/>
        <v>58</v>
      </c>
      <c r="G365" t="s">
        <v>224</v>
      </c>
      <c r="H365" s="51">
        <v>5</v>
      </c>
      <c r="I365" s="51">
        <v>120</v>
      </c>
    </row>
    <row r="366" spans="5:9" x14ac:dyDescent="0.25">
      <c r="E366">
        <f t="shared" si="39"/>
        <v>58</v>
      </c>
      <c r="G366" t="s">
        <v>225</v>
      </c>
      <c r="H366" s="51">
        <v>11</v>
      </c>
      <c r="I366" s="51">
        <v>120</v>
      </c>
    </row>
    <row r="367" spans="5:9" x14ac:dyDescent="0.25">
      <c r="E367">
        <f t="shared" si="39"/>
        <v>58</v>
      </c>
      <c r="G367" t="s">
        <v>226</v>
      </c>
      <c r="H367" s="51">
        <v>12</v>
      </c>
      <c r="I367" s="51">
        <v>120</v>
      </c>
    </row>
    <row r="368" spans="5:9" x14ac:dyDescent="0.25">
      <c r="E368">
        <f t="shared" si="39"/>
        <v>58</v>
      </c>
      <c r="G368" t="s">
        <v>227</v>
      </c>
      <c r="H368" s="51">
        <v>13</v>
      </c>
      <c r="I368" s="51">
        <v>120</v>
      </c>
    </row>
    <row r="369" spans="5:9" x14ac:dyDescent="0.25">
      <c r="E369">
        <f t="shared" si="39"/>
        <v>58</v>
      </c>
      <c r="G369" t="s">
        <v>228</v>
      </c>
      <c r="H369" s="51">
        <v>1</v>
      </c>
      <c r="I369" s="51">
        <v>120</v>
      </c>
    </row>
    <row r="370" spans="5:9" x14ac:dyDescent="0.25">
      <c r="E370">
        <f t="shared" si="39"/>
        <v>58</v>
      </c>
      <c r="G370" t="s">
        <v>229</v>
      </c>
      <c r="H370" s="51">
        <v>1</v>
      </c>
      <c r="I370" s="51">
        <v>120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120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8</v>
      </c>
      <c r="I372">
        <v>122</v>
      </c>
    </row>
    <row r="373" spans="5:9" x14ac:dyDescent="0.25">
      <c r="E373">
        <f t="shared" ref="E373:E380" si="40">+$F$372</f>
        <v>59</v>
      </c>
      <c r="G373" t="s">
        <v>223</v>
      </c>
      <c r="H373">
        <v>7</v>
      </c>
      <c r="I373">
        <v>122</v>
      </c>
    </row>
    <row r="374" spans="5:9" x14ac:dyDescent="0.25">
      <c r="E374">
        <f t="shared" si="40"/>
        <v>59</v>
      </c>
      <c r="G374" t="s">
        <v>224</v>
      </c>
      <c r="H374">
        <v>6</v>
      </c>
      <c r="I374">
        <v>122</v>
      </c>
    </row>
    <row r="375" spans="5:9" x14ac:dyDescent="0.25">
      <c r="E375">
        <f t="shared" si="40"/>
        <v>59</v>
      </c>
      <c r="G375" t="s">
        <v>225</v>
      </c>
      <c r="H375">
        <v>8</v>
      </c>
      <c r="I375">
        <v>122</v>
      </c>
    </row>
    <row r="376" spans="5:9" x14ac:dyDescent="0.25">
      <c r="E376">
        <f t="shared" si="40"/>
        <v>59</v>
      </c>
      <c r="G376" t="s">
        <v>226</v>
      </c>
      <c r="H376">
        <v>8</v>
      </c>
      <c r="I376">
        <v>122</v>
      </c>
    </row>
    <row r="377" spans="5:9" x14ac:dyDescent="0.25">
      <c r="E377">
        <f t="shared" si="40"/>
        <v>59</v>
      </c>
      <c r="G377" t="s">
        <v>227</v>
      </c>
      <c r="H377">
        <v>8</v>
      </c>
      <c r="I377">
        <v>122</v>
      </c>
    </row>
    <row r="378" spans="5:9" x14ac:dyDescent="0.25">
      <c r="E378">
        <f t="shared" si="40"/>
        <v>59</v>
      </c>
      <c r="G378" t="s">
        <v>228</v>
      </c>
      <c r="H378">
        <v>5</v>
      </c>
      <c r="I378">
        <v>122</v>
      </c>
    </row>
    <row r="379" spans="5:9" x14ac:dyDescent="0.25">
      <c r="E379">
        <f t="shared" si="40"/>
        <v>59</v>
      </c>
      <c r="G379" t="s">
        <v>229</v>
      </c>
      <c r="H379">
        <v>1</v>
      </c>
      <c r="I379">
        <v>122</v>
      </c>
    </row>
    <row r="380" spans="5:9" x14ac:dyDescent="0.25">
      <c r="E380">
        <f t="shared" si="40"/>
        <v>59</v>
      </c>
      <c r="G380" t="s">
        <v>230</v>
      </c>
      <c r="H380">
        <v>2</v>
      </c>
      <c r="I380">
        <v>122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2</v>
      </c>
      <c r="I381">
        <v>113</v>
      </c>
    </row>
    <row r="382" spans="5:9" x14ac:dyDescent="0.25">
      <c r="E382">
        <f t="shared" ref="E382:E389" si="41">+$F$381</f>
        <v>7</v>
      </c>
      <c r="G382" t="s">
        <v>223</v>
      </c>
      <c r="I382">
        <v>113</v>
      </c>
    </row>
    <row r="383" spans="5:9" x14ac:dyDescent="0.25">
      <c r="E383">
        <f t="shared" si="41"/>
        <v>7</v>
      </c>
      <c r="G383" t="s">
        <v>224</v>
      </c>
      <c r="H383">
        <v>3</v>
      </c>
      <c r="I383">
        <v>113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113</v>
      </c>
    </row>
    <row r="385" spans="5:9" x14ac:dyDescent="0.25">
      <c r="E385">
        <f t="shared" si="41"/>
        <v>7</v>
      </c>
      <c r="G385" t="s">
        <v>226</v>
      </c>
      <c r="H385">
        <v>2</v>
      </c>
      <c r="I385">
        <v>113</v>
      </c>
    </row>
    <row r="386" spans="5:9" x14ac:dyDescent="0.25">
      <c r="E386">
        <f t="shared" si="41"/>
        <v>7</v>
      </c>
      <c r="G386" t="s">
        <v>227</v>
      </c>
      <c r="H386">
        <v>2</v>
      </c>
      <c r="I386">
        <v>113</v>
      </c>
    </row>
    <row r="387" spans="5:9" x14ac:dyDescent="0.25">
      <c r="E387">
        <f t="shared" si="41"/>
        <v>7</v>
      </c>
      <c r="G387" t="s">
        <v>228</v>
      </c>
      <c r="H387">
        <v>2</v>
      </c>
      <c r="I387">
        <v>113</v>
      </c>
    </row>
    <row r="388" spans="5:9" x14ac:dyDescent="0.25">
      <c r="E388">
        <f t="shared" si="41"/>
        <v>7</v>
      </c>
      <c r="G388" t="s">
        <v>229</v>
      </c>
      <c r="I388">
        <v>113</v>
      </c>
    </row>
    <row r="389" spans="5:9" x14ac:dyDescent="0.25">
      <c r="E389">
        <f t="shared" si="41"/>
        <v>7</v>
      </c>
      <c r="G389" t="s">
        <v>230</v>
      </c>
      <c r="H389">
        <v>1</v>
      </c>
      <c r="I389">
        <v>113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22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4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31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11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40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31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8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8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11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19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26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27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20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35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38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6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13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9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COMISIONES</vt:lpstr>
      <vt:lpstr>AVANCE</vt:lpstr>
      <vt:lpstr>COBERTURA</vt:lpstr>
      <vt:lpstr>Venta C</vt:lpstr>
      <vt:lpstr>Base Cobertura</vt:lpstr>
      <vt:lpstr>Base venta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2026-06-06T16:17:45Z</dcterms:modified>
</cp:coreProperties>
</file>