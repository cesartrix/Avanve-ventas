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FD170828-14F0-4729-8C16-20C56C78DB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<sst xmlns="http://schemas.openxmlformats.org/spreadsheetml/2006/main" count="1520" uniqueCount="287">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</sst>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102198.21715167091</v>
      </c>
      <c r="D2" s="149">
        <v>470742.974065263</v>
      </c>
      <c r="E2" s="149">
        <v>1744538024.0188539</v>
      </c>
      <c r="F2" s="149">
        <v>0</v>
      </c>
      <c r="G2" s="149">
        <v>751645.27255777665</v>
      </c>
      <c r="H2" s="149">
        <v>751645.8</v>
      </c>
    </row>
    <row r="3" spans="1:8" x14ac:dyDescent="0.25">
      <c r="A3" s="149" t="s">
        <v>81</v>
      </c>
      <c r="B3" s="149">
        <v>1</v>
      </c>
      <c r="C3" s="149">
        <v>1001.5030314699</v>
      </c>
      <c r="D3" s="149">
        <v>1995.3802441856999</v>
      </c>
      <c r="E3" s="149">
        <v>25054842.418592516</v>
      </c>
      <c r="F3" s="149">
        <v>0</v>
      </c>
      <c r="G3" s="149">
        <v>751645.27255777665</v>
      </c>
      <c r="H3" s="149">
        <v>751645.8</v>
      </c>
    </row>
    <row r="4" spans="1:8" x14ac:dyDescent="0.25">
      <c r="A4" s="149" t="s">
        <v>82</v>
      </c>
      <c r="B4" s="149">
        <v>1</v>
      </c>
      <c r="C4" s="149">
        <v>746.35269245619997</v>
      </c>
      <c r="D4" s="149">
        <v>1495.9220029769001</v>
      </c>
      <c r="E4" s="149">
        <v>19719555.307688124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1059.9462764519999</v>
      </c>
      <c r="D5" s="149">
        <v>3753.3741190454998</v>
      </c>
      <c r="E5" s="149">
        <v>21983568.342330094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2322.8420436500001</v>
      </c>
      <c r="D6" s="149">
        <v>5119.3688690869003</v>
      </c>
      <c r="E6" s="149">
        <v>41738637.969319664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2097.3157619020999</v>
      </c>
      <c r="D7" s="149">
        <v>7388.8113690686996</v>
      </c>
      <c r="E7" s="149">
        <v>40520335.94111871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4277.4697407409003</v>
      </c>
      <c r="D8" s="149">
        <v>12245.926476855801</v>
      </c>
      <c r="E8" s="149">
        <v>65662670.917833798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1223.4351547619999</v>
      </c>
      <c r="D9" s="149">
        <v>4717.7828512099004</v>
      </c>
      <c r="E9" s="149">
        <v>21935047.685194649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852.76749801489996</v>
      </c>
      <c r="D10" s="149">
        <v>2490.7040943876</v>
      </c>
      <c r="E10" s="149">
        <v>21961957.090655975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213</v>
      </c>
      <c r="B11" s="149">
        <v>1</v>
      </c>
      <c r="C11" s="149">
        <v>1104.6205555535</v>
      </c>
      <c r="D11" s="149">
        <v>2297.9751904743998</v>
      </c>
      <c r="E11" s="149">
        <v>18176495.917142633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212</v>
      </c>
      <c r="B12" s="149">
        <v>1</v>
      </c>
      <c r="C12" s="149">
        <v>1588.3757380907</v>
      </c>
      <c r="D12" s="149">
        <v>6713.5471190386997</v>
      </c>
      <c r="E12" s="149">
        <v>26856361.149994925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2111.9166785674001</v>
      </c>
      <c r="D13" s="149">
        <v>5343.1563809523996</v>
      </c>
      <c r="E13" s="149">
        <v>35139863.288381539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7207.9481150803003</v>
      </c>
      <c r="D14" s="149">
        <v>54740.649250001101</v>
      </c>
      <c r="E14" s="149">
        <v>128174080.43376827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1750.7587301565</v>
      </c>
      <c r="D15" s="149">
        <v>6348.2946666671996</v>
      </c>
      <c r="E15" s="149">
        <v>33436278.446677495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876.28345237799999</v>
      </c>
      <c r="D16" s="149">
        <v>4059.5921949725998</v>
      </c>
      <c r="E16" s="149">
        <v>21823999.631053858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1975.3745277739999</v>
      </c>
      <c r="D17" s="149">
        <v>7182.5737916779999</v>
      </c>
      <c r="E17" s="149">
        <v>38864959.877852321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2724.9328055505998</v>
      </c>
      <c r="D18" s="149">
        <v>10320.1379642797</v>
      </c>
      <c r="E18" s="149">
        <v>46837747.030683085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2480.3438677182999</v>
      </c>
      <c r="D19" s="149">
        <v>7620.3771190712996</v>
      </c>
      <c r="E19" s="149">
        <v>46908596.944440268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7132.7721468238997</v>
      </c>
      <c r="D20" s="149">
        <v>33829.259529734103</v>
      </c>
      <c r="E20" s="149">
        <v>109506883.40895881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1164.6074325345</v>
      </c>
      <c r="D21" s="149">
        <v>4282.5283214576002</v>
      </c>
      <c r="E21" s="149">
        <v>26026854.067610081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207</v>
      </c>
      <c r="B22" s="149">
        <v>1</v>
      </c>
      <c r="C22" s="149">
        <v>957.63646031610006</v>
      </c>
      <c r="D22" s="149">
        <v>2497.1368809526002</v>
      </c>
      <c r="E22" s="149">
        <v>14092423.235800521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155</v>
      </c>
      <c r="B23" s="149">
        <v>1</v>
      </c>
      <c r="C23" s="149">
        <v>4118.1993214253998</v>
      </c>
      <c r="D23" s="149">
        <v>26455.7256309433</v>
      </c>
      <c r="E23" s="149">
        <v>80644850.144324452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220</v>
      </c>
      <c r="B24" s="149">
        <v>1</v>
      </c>
      <c r="C24" s="149">
        <v>5253.0805555548995</v>
      </c>
      <c r="D24" s="149">
        <v>41422.5508273784</v>
      </c>
      <c r="E24" s="149">
        <v>90890973.3690532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99</v>
      </c>
      <c r="B25" s="149">
        <v>1</v>
      </c>
      <c r="C25" s="149">
        <v>1416.2626931166001</v>
      </c>
      <c r="D25" s="149">
        <v>5577.2133333505999</v>
      </c>
      <c r="E25" s="149">
        <v>26313436.609832209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100</v>
      </c>
      <c r="B26" s="149">
        <v>1</v>
      </c>
      <c r="C26" s="149">
        <v>1605.6990277750999</v>
      </c>
      <c r="D26" s="149">
        <v>2993.5464404837999</v>
      </c>
      <c r="E26" s="149">
        <v>20854107.698326457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221</v>
      </c>
      <c r="B27" s="149">
        <v>1</v>
      </c>
      <c r="C27" s="149">
        <v>9530.1690476190997</v>
      </c>
      <c r="D27" s="149">
        <v>20740.9649999998</v>
      </c>
      <c r="E27" s="149">
        <v>98937464.186277539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233</v>
      </c>
      <c r="B28" s="149">
        <v>1</v>
      </c>
      <c r="C28" s="149">
        <v>1825.3366686459001</v>
      </c>
      <c r="D28" s="149">
        <v>5845.5980878128003</v>
      </c>
      <c r="E28" s="149">
        <v>32165358.359916095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6158.3448809523998</v>
      </c>
      <c r="D29" s="149">
        <v>17745.432059532199</v>
      </c>
      <c r="E29" s="149">
        <v>82008915.323856413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139</v>
      </c>
      <c r="B30" s="149">
        <v>1</v>
      </c>
      <c r="C30" s="149">
        <v>661.94367063419998</v>
      </c>
      <c r="D30" s="149">
        <v>2753.5079166741002</v>
      </c>
      <c r="E30" s="149">
        <v>13727467.509959595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216</v>
      </c>
      <c r="B31" s="149">
        <v>1</v>
      </c>
      <c r="C31" s="149">
        <v>787.17261507529997</v>
      </c>
      <c r="D31" s="149">
        <v>2105.2699999956999</v>
      </c>
      <c r="E31" s="149">
        <v>13952963.300386658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104</v>
      </c>
      <c r="B32" s="149">
        <v>1</v>
      </c>
      <c r="C32" s="149">
        <v>408.78005952349997</v>
      </c>
      <c r="D32" s="149">
        <v>1163.8712499977</v>
      </c>
      <c r="E32" s="149">
        <v>7728017.7449721582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215</v>
      </c>
      <c r="B33" s="149">
        <v>1</v>
      </c>
      <c r="C33" s="149">
        <v>1210.1095052891001</v>
      </c>
      <c r="D33" s="149">
        <v>4739.5744285938999</v>
      </c>
      <c r="E33" s="149">
        <v>21863190.112295818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231</v>
      </c>
      <c r="B34" s="149">
        <v>1</v>
      </c>
      <c r="C34" s="149">
        <v>147.6818919232</v>
      </c>
      <c r="D34" s="149">
        <v>1865.9941666653001</v>
      </c>
      <c r="E34" s="149">
        <v>4168771.4236823027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206</v>
      </c>
      <c r="B35" s="149">
        <v>1</v>
      </c>
      <c r="C35" s="149">
        <v>2498.5293650794001</v>
      </c>
      <c r="D35" s="149">
        <v>16106.2190833307</v>
      </c>
      <c r="E35" s="149">
        <v>31752496.419427477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162</v>
      </c>
      <c r="B36" s="149">
        <v>1</v>
      </c>
      <c r="C36" s="149">
        <v>1314.1305515846</v>
      </c>
      <c r="D36" s="149">
        <v>4501.4129762205002</v>
      </c>
      <c r="E36" s="149">
        <v>25777447.849963795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107</v>
      </c>
      <c r="B37" s="149">
        <v>1</v>
      </c>
      <c r="C37" s="149">
        <v>2345.9378373012</v>
      </c>
      <c r="D37" s="149">
        <v>9864.6020714268998</v>
      </c>
      <c r="E37" s="149">
        <v>37819097.976955846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112</v>
      </c>
      <c r="B38" s="149">
        <v>1</v>
      </c>
      <c r="C38" s="149">
        <v>1633.9732323229</v>
      </c>
      <c r="D38" s="149">
        <v>19593.034999996798</v>
      </c>
      <c r="E38" s="149">
        <v>39140279.651432775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108</v>
      </c>
      <c r="B39" s="149">
        <v>1</v>
      </c>
      <c r="C39" s="149">
        <v>2296.0444444441</v>
      </c>
      <c r="D39" s="149">
        <v>28009.759999994301</v>
      </c>
      <c r="E39" s="149">
        <v>51530591.057432301</v>
      </c>
      <c r="F39" s="149">
        <v>0</v>
      </c>
      <c r="G39" s="149">
        <v>0</v>
      </c>
      <c r="H39" s="149">
        <v>0</v>
      </c>
    </row>
    <row r="40" spans="1:8" x14ac:dyDescent="0.25">
      <c r="A40" s="149" t="s">
        <v>234</v>
      </c>
      <c r="B40" s="149">
        <v>1</v>
      </c>
      <c r="C40" s="149">
        <v>2650.7972222207</v>
      </c>
      <c r="D40" s="149">
        <v>13684.3941654091</v>
      </c>
      <c r="E40" s="149">
        <v>40082800.76103171</v>
      </c>
      <c r="F40" s="149">
        <v>0</v>
      </c>
      <c r="G40" s="149">
        <v>0</v>
      </c>
      <c r="H40" s="149">
        <v>0</v>
      </c>
    </row>
    <row r="41" spans="1:8" x14ac:dyDescent="0.25">
      <c r="A41" s="149" t="s">
        <v>140</v>
      </c>
      <c r="B41" s="149">
        <v>1</v>
      </c>
      <c r="C41" s="149">
        <v>4623.5154365081999</v>
      </c>
      <c r="D41" s="149">
        <v>22058.482952382499</v>
      </c>
      <c r="E41" s="149">
        <v>52746975.667182915</v>
      </c>
      <c r="F41" s="149">
        <v>0</v>
      </c>
      <c r="G41" s="149">
        <v>0</v>
      </c>
      <c r="H41" s="149">
        <v>0</v>
      </c>
    </row>
    <row r="42" spans="1:8" x14ac:dyDescent="0.25">
      <c r="A42" s="149" t="s">
        <v>217</v>
      </c>
      <c r="B42" s="149">
        <v>1</v>
      </c>
      <c r="C42" s="149">
        <v>714.68611111109999</v>
      </c>
      <c r="D42" s="149">
        <v>8476.1750000004995</v>
      </c>
      <c r="E42" s="149">
        <v>16480410.572651757</v>
      </c>
      <c r="F42" s="149">
        <v>0</v>
      </c>
      <c r="G42" s="149">
        <v>0</v>
      </c>
      <c r="H42" s="149">
        <v>0</v>
      </c>
    </row>
    <row r="43" spans="1:8" x14ac:dyDescent="0.25">
      <c r="A43" s="149" t="s">
        <v>145</v>
      </c>
      <c r="B43" s="149">
        <v>1</v>
      </c>
      <c r="C43" s="149">
        <v>1051.1805059507001</v>
      </c>
      <c r="D43" s="149">
        <v>7110.5142830207997</v>
      </c>
      <c r="E43" s="149">
        <v>31200035.617086809</v>
      </c>
      <c r="F43" s="149">
        <v>0</v>
      </c>
      <c r="G43" s="149">
        <v>0</v>
      </c>
      <c r="H43" s="149">
        <v>0</v>
      </c>
    </row>
    <row r="44" spans="1:8" x14ac:dyDescent="0.25">
      <c r="A44" s="149" t="s">
        <v>146</v>
      </c>
      <c r="B44" s="149">
        <v>1</v>
      </c>
      <c r="C44" s="149">
        <v>1566.6459960326999</v>
      </c>
      <c r="D44" s="149">
        <v>14396.834107144001</v>
      </c>
      <c r="E44" s="149">
        <v>24332681.799774844</v>
      </c>
      <c r="F44" s="149">
        <v>0</v>
      </c>
      <c r="G44" s="149">
        <v>0</v>
      </c>
      <c r="H44" s="149">
        <v>0</v>
      </c>
    </row>
    <row r="45" spans="1:8" x14ac:dyDescent="0.25">
      <c r="A45" s="149" t="s">
        <v>156</v>
      </c>
      <c r="B45" s="149">
        <v>1</v>
      </c>
      <c r="C45" s="149">
        <v>753.84257936649999</v>
      </c>
      <c r="D45" s="149">
        <v>7357.9768488121999</v>
      </c>
      <c r="E45" s="149">
        <v>17677820.163719859</v>
      </c>
      <c r="F45" s="149">
        <v>0</v>
      </c>
      <c r="G45" s="149">
        <v>0</v>
      </c>
      <c r="H45" s="149">
        <v>0</v>
      </c>
    </row>
    <row r="46" spans="1:8" x14ac:dyDescent="0.25">
      <c r="A46" s="149" t="s">
        <v>232</v>
      </c>
      <c r="B46" s="149">
        <v>1</v>
      </c>
      <c r="C46" s="149">
        <v>2968.9512222223002</v>
      </c>
      <c r="D46" s="149">
        <v>1731.8200000003999</v>
      </c>
      <c r="E46" s="149">
        <v>78320711.594213665</v>
      </c>
      <c r="F46" s="149">
        <v>0</v>
      </c>
      <c r="G46" s="149">
        <v>0</v>
      </c>
      <c r="H46" s="1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N3" sqref="N3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209</v>
      </c>
      <c r="B2" s="57" t="s">
        <v>95</v>
      </c>
      <c r="C2" s="58">
        <v>32279076.638250753</v>
      </c>
      <c r="D2" s="59">
        <f>IFERROR(+VLOOKUP(B2,COMISIONES!A:E,5,FALSE),"0")*1</f>
        <v>46837747.030683085</v>
      </c>
      <c r="E2" s="59">
        <v>45597042.635797866</v>
      </c>
      <c r="F2" s="59">
        <f t="shared" ref="F2:F9" si="0">+D2-E2</f>
        <v>1240704.3948852196</v>
      </c>
      <c r="G2" s="60">
        <f t="shared" ref="G2:G41" si="1">+D2/C2</f>
        <v>1.4510249954046173</v>
      </c>
      <c r="H2" s="59">
        <f>+D2/$N$3*$N$4</f>
        <v>46837747.030683085</v>
      </c>
      <c r="I2" s="60">
        <f t="shared" ref="I2:I41" si="2">+H2/C2</f>
        <v>1.4510249954046173</v>
      </c>
      <c r="J2" s="59">
        <f>+D2/$N$3</f>
        <v>1951572.7929451286</v>
      </c>
      <c r="K2" s="59" t="e">
        <f t="shared" ref="K2:K41" si="3">+(C2-D2)/$N$2</f>
        <v>#DIV/0!</v>
      </c>
      <c r="L2" s="61" cm="1">
        <f t="array" ref="L2">+_xlfn.IFS(I2&gt;114%,H2*0.02,I2&gt;109%,H2*0.015,I2&gt;104%,H2*0.0125,I2&gt;99%,H2*0.01,I2&lt;99%,H2*0)</f>
        <v>936754.94061366178</v>
      </c>
      <c r="M2" s="53" t="s">
        <v>36</v>
      </c>
      <c r="N2">
        <v>0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38864959.877852321</v>
      </c>
      <c r="E3" s="4">
        <v>37990396.607466161</v>
      </c>
      <c r="F3" s="4">
        <f t="shared" si="0"/>
        <v>874563.27038615942</v>
      </c>
      <c r="G3" s="5">
        <f t="shared" si="1"/>
        <v>1.2544072830985014</v>
      </c>
      <c r="H3" s="4">
        <f t="shared" ref="H3:H41" si="4">+D3/$N$3*$N$4</f>
        <v>38864959.877852321</v>
      </c>
      <c r="I3" s="5">
        <f t="shared" si="2"/>
        <v>1.2544072830985014</v>
      </c>
      <c r="J3" s="4">
        <f t="shared" ref="J3:J41" si="5">+D3/$N$3</f>
        <v>1619373.3282438468</v>
      </c>
      <c r="K3" s="4" t="e">
        <f t="shared" si="3"/>
        <v>#DIV/0!</v>
      </c>
      <c r="L3" s="63" cm="1">
        <f t="array" ref="L3">+_xlfn.IFS(I3&gt;114%,H3*0.02,I3&gt;109%,H3*0.015,I3&gt;104%,H3*0.0125,I3&gt;99%,H3*0.01,I3&lt;99%,H3*0)</f>
        <v>777299.19755704643</v>
      </c>
      <c r="M3" s="53" t="s">
        <v>40</v>
      </c>
      <c r="N3">
        <f>N4-N2</f>
        <v>24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33436278.446677495</v>
      </c>
      <c r="E4" s="4">
        <v>32127304.163806073</v>
      </c>
      <c r="F4" s="4">
        <f t="shared" si="0"/>
        <v>1308974.2828714214</v>
      </c>
      <c r="G4" s="5">
        <f t="shared" si="1"/>
        <v>1.1777471514662534</v>
      </c>
      <c r="H4" s="4">
        <f t="shared" si="4"/>
        <v>33436278.446677491</v>
      </c>
      <c r="I4" s="5">
        <f t="shared" si="2"/>
        <v>1.1777471514662532</v>
      </c>
      <c r="J4" s="4">
        <f t="shared" si="5"/>
        <v>1393178.2686115622</v>
      </c>
      <c r="K4" s="4" t="e">
        <f t="shared" si="3"/>
        <v>#DIV/0!</v>
      </c>
      <c r="L4" s="63" cm="1">
        <f t="array" ref="L4">+_xlfn.IFS(I4&gt;114%,H4*0.02,I4&gt;109%,H4*0.015,I4&gt;104%,H4*0.0125,I4&gt;99%,H4*0.01,I4&lt;99%,H4*0)</f>
        <v>668725.5689335498</v>
      </c>
      <c r="M4" s="53" t="s">
        <v>47</v>
      </c>
      <c r="N4">
        <v>24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35139863.288381539</v>
      </c>
      <c r="E5" s="4">
        <v>34257637.396055132</v>
      </c>
      <c r="F5" s="4">
        <f t="shared" si="0"/>
        <v>882225.89232640713</v>
      </c>
      <c r="G5" s="5">
        <f t="shared" si="1"/>
        <v>1.23775359619657</v>
      </c>
      <c r="H5" s="4">
        <f t="shared" si="4"/>
        <v>35139863.288381539</v>
      </c>
      <c r="I5" s="5">
        <f t="shared" si="2"/>
        <v>1.23775359619657</v>
      </c>
      <c r="J5" s="4">
        <f t="shared" si="5"/>
        <v>1464160.9703492308</v>
      </c>
      <c r="K5" s="4" t="e">
        <f t="shared" si="3"/>
        <v>#DIV/0!</v>
      </c>
      <c r="L5" s="63" cm="1">
        <f t="array" ref="L5">+_xlfn.IFS(I5&gt;114%,H5*0.02,I5&gt;109%,H5*0.015,I5&gt;104%,H5*0.0125,I5&gt;99%,H5*0.01,I5&lt;99%,H5*0)</f>
        <v>702797.26576763077</v>
      </c>
    </row>
    <row r="6" spans="1:14" ht="15.75" x14ac:dyDescent="0.25">
      <c r="A6" s="141"/>
      <c r="B6" s="36" t="s">
        <v>212</v>
      </c>
      <c r="C6" s="62">
        <v>23528724.537520126</v>
      </c>
      <c r="D6" s="4">
        <f>IFERROR(+VLOOKUP(B6,COMISIONES!A:E,5,FALSE),"0")*1</f>
        <v>26856361.149994925</v>
      </c>
      <c r="E6" s="4">
        <v>25015491.549096961</v>
      </c>
      <c r="F6" s="4">
        <f t="shared" si="0"/>
        <v>1840869.6008979641</v>
      </c>
      <c r="G6" s="5">
        <f t="shared" si="1"/>
        <v>1.1414286867598105</v>
      </c>
      <c r="H6" s="4">
        <f t="shared" si="4"/>
        <v>26856361.149994925</v>
      </c>
      <c r="I6" s="5">
        <f t="shared" si="2"/>
        <v>1.1414286867598105</v>
      </c>
      <c r="J6" s="4">
        <f t="shared" si="5"/>
        <v>1119015.0479164552</v>
      </c>
      <c r="K6" s="4" t="e">
        <f t="shared" si="3"/>
        <v>#DIV/0!</v>
      </c>
      <c r="L6" s="63" cm="1">
        <f t="array" ref="L6">+_xlfn.IFS(I6&gt;114%,H6*0.02,I6&gt;109%,H6*0.015,I6&gt;104%,H6*0.0125,I6&gt;99%,H6*0.01,I6&lt;99%,H6*0)</f>
        <v>537127.22299989848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21935047.685194649</v>
      </c>
      <c r="E7" s="4">
        <v>21605185.998899002</v>
      </c>
      <c r="F7" s="4">
        <f t="shared" ref="F7:F8" si="6">+D7-E7</f>
        <v>329861.68629564717</v>
      </c>
      <c r="G7" s="5">
        <f t="shared" si="1"/>
        <v>0.79068418747551206</v>
      </c>
      <c r="H7" s="4">
        <f t="shared" si="4"/>
        <v>21935047.685194649</v>
      </c>
      <c r="I7" s="5">
        <f t="shared" si="2"/>
        <v>0.79068418747551206</v>
      </c>
      <c r="J7" s="4">
        <f t="shared" si="5"/>
        <v>913960.32021644374</v>
      </c>
      <c r="K7" s="4" t="e">
        <f t="shared" si="3"/>
        <v>#DIV/0!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40520335.94111871</v>
      </c>
      <c r="E8" s="4">
        <v>38810951.591422051</v>
      </c>
      <c r="F8" s="4">
        <f t="shared" si="6"/>
        <v>1709384.3496966586</v>
      </c>
      <c r="G8" s="5">
        <f t="shared" si="1"/>
        <v>1.1308714570557596</v>
      </c>
      <c r="H8" s="4">
        <f t="shared" si="4"/>
        <v>40520335.94111871</v>
      </c>
      <c r="I8" s="5">
        <f t="shared" si="2"/>
        <v>1.1308714570557596</v>
      </c>
      <c r="J8" s="4">
        <f t="shared" si="5"/>
        <v>1688347.3308799462</v>
      </c>
      <c r="K8" s="4" t="e">
        <f t="shared" si="3"/>
        <v>#DIV/0!</v>
      </c>
      <c r="L8" s="63" cm="1">
        <f t="array" ref="L8">+_xlfn.IFS(I8&gt;114%,H8*0.02,I8&gt;109%,H8*0.015,I8&gt;104%,H8*0.0125,I8&gt;99%,H8*0.01,I8&lt;99%,H8*0)</f>
        <v>607805.03911678062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41738637.969319664</v>
      </c>
      <c r="E9" s="4">
        <v>39990211.496653654</v>
      </c>
      <c r="F9" s="4">
        <f t="shared" si="0"/>
        <v>1748426.4726660103</v>
      </c>
      <c r="G9" s="5">
        <f t="shared" si="1"/>
        <v>1.164872729694951</v>
      </c>
      <c r="H9" s="4">
        <f t="shared" si="4"/>
        <v>41738637.969319664</v>
      </c>
      <c r="I9" s="5">
        <f t="shared" si="2"/>
        <v>1.164872729694951</v>
      </c>
      <c r="J9" s="4">
        <f t="shared" si="5"/>
        <v>1739109.9153883194</v>
      </c>
      <c r="K9" s="4" t="e">
        <f t="shared" si="3"/>
        <v>#DIV/0!</v>
      </c>
      <c r="L9" s="63" cm="1">
        <f t="array" ref="L9">+_xlfn.IFS(I9&gt;114%,H9*0.02,I9&gt;109%,H9*0.015,I9&gt;104%,H9*0.0125,I9&gt;99%,H9*0.01,I9&lt;99%,H9*0)</f>
        <v>834772.75938639324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285329231.38922238</v>
      </c>
      <c r="E10" s="65">
        <v>275394221.43919694</v>
      </c>
      <c r="F10" s="64">
        <f>+SUM(F2:F9)</f>
        <v>9935009.9500254877</v>
      </c>
      <c r="G10" s="66">
        <f t="shared" si="1"/>
        <v>1.1743171553321303</v>
      </c>
      <c r="H10" s="64">
        <f t="shared" si="4"/>
        <v>285329231.38922238</v>
      </c>
      <c r="I10" s="66">
        <f t="shared" si="2"/>
        <v>1.1743171553321303</v>
      </c>
      <c r="J10" s="64">
        <f t="shared" si="5"/>
        <v>11888717.974550933</v>
      </c>
      <c r="K10" s="67" t="e">
        <f t="shared" si="3"/>
        <v>#DIV/0!</v>
      </c>
      <c r="L10" s="68"/>
    </row>
    <row r="11" spans="1:14" ht="15.75" x14ac:dyDescent="0.25">
      <c r="A11" s="140" t="s">
        <v>210</v>
      </c>
      <c r="B11" s="57" t="s">
        <v>97</v>
      </c>
      <c r="C11" s="58">
        <v>96971948.480137512</v>
      </c>
      <c r="D11" s="59">
        <f>IFERROR(+VLOOKUP(B11,COMISIONES!A:E,5,FALSE),"0")*1</f>
        <v>109506883.40895881</v>
      </c>
      <c r="E11" s="59">
        <v>107046963.46643755</v>
      </c>
      <c r="F11" s="59">
        <f t="shared" ref="F11:F16" si="7">+D11-E11</f>
        <v>2459919.9425212592</v>
      </c>
      <c r="G11" s="60">
        <f t="shared" si="1"/>
        <v>1.1292635151225077</v>
      </c>
      <c r="H11" s="59">
        <f t="shared" si="4"/>
        <v>109506883.40895881</v>
      </c>
      <c r="I11" s="60">
        <f t="shared" si="2"/>
        <v>1.1292635151225077</v>
      </c>
      <c r="J11" s="59">
        <f t="shared" si="5"/>
        <v>4562786.808706617</v>
      </c>
      <c r="K11" s="59" t="e">
        <f t="shared" si="3"/>
        <v>#DIV/0!</v>
      </c>
      <c r="L11" s="61" cm="1">
        <f t="array" ref="L11">+_xlfn.IFS(I11&gt;114%,H11*0.0125,I11&gt;109%,H11*0.01,I11&gt;104%,H11*0.0075,I11&gt;99%,H11*0.005,I11&lt;99%,H11*0)</f>
        <v>1095068.8340895881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37819097.976955846</v>
      </c>
      <c r="E12" s="4">
        <v>37507204.335448697</v>
      </c>
      <c r="F12" s="4">
        <f t="shared" si="7"/>
        <v>311893.64150714874</v>
      </c>
      <c r="G12" s="5">
        <f t="shared" si="1"/>
        <v>1.1956376548622532</v>
      </c>
      <c r="H12" s="4">
        <f t="shared" si="4"/>
        <v>37819097.976955846</v>
      </c>
      <c r="I12" s="5">
        <f t="shared" si="2"/>
        <v>1.1956376548622532</v>
      </c>
      <c r="J12" s="4">
        <f t="shared" si="5"/>
        <v>1575795.7490398269</v>
      </c>
      <c r="K12" s="4" t="e">
        <f t="shared" si="3"/>
        <v>#DIV/0!</v>
      </c>
      <c r="L12" s="63" cm="1">
        <f t="array" ref="L12">+_xlfn.IFS(I12&gt;114%,H12*0.02,I12&gt;109%,H12*0.015,I12&gt;104%,H12*0.0125,I12&gt;99%,H12*0.01,I12&lt;99%,H12*0)</f>
        <v>756381.95953911694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128174080.43376827</v>
      </c>
      <c r="E13" s="4">
        <v>107458900.02742086</v>
      </c>
      <c r="F13" s="4">
        <f t="shared" si="7"/>
        <v>20715180.406347409</v>
      </c>
      <c r="G13" s="5">
        <f t="shared" si="1"/>
        <v>0.9985211136691533</v>
      </c>
      <c r="H13" s="4">
        <f t="shared" si="4"/>
        <v>128174080.43376827</v>
      </c>
      <c r="I13" s="5">
        <f t="shared" si="2"/>
        <v>0.9985211136691533</v>
      </c>
      <c r="J13" s="4">
        <f t="shared" si="5"/>
        <v>5340586.684740345</v>
      </c>
      <c r="K13" s="4" t="e">
        <f t="shared" si="3"/>
        <v>#DIV/0!</v>
      </c>
      <c r="L13" s="63" cm="1">
        <f t="array" ref="L13">+_xlfn.IFS(I13&gt;114%,H13*0.0125,I13&gt;109%,H13*0.01,I13&gt;104%,H13*0.0075,I13&gt;99%,H13*0.005,I13&lt;99%,H13*0)</f>
        <v>640870.40216884133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39140279.651432775</v>
      </c>
      <c r="E14" s="4">
        <v>38089399.671858914</v>
      </c>
      <c r="F14" s="4">
        <f t="shared" si="7"/>
        <v>1050879.9795738608</v>
      </c>
      <c r="G14" s="5">
        <f t="shared" si="1"/>
        <v>0.92205297486926274</v>
      </c>
      <c r="H14" s="4">
        <f t="shared" si="4"/>
        <v>39140279.651432775</v>
      </c>
      <c r="I14" s="5">
        <f t="shared" si="2"/>
        <v>0.92205297486926274</v>
      </c>
      <c r="J14" s="4">
        <f t="shared" si="5"/>
        <v>1630844.9854763655</v>
      </c>
      <c r="K14" s="4" t="e">
        <f t="shared" si="3"/>
        <v>#DIV/0!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51530591.057432301</v>
      </c>
      <c r="E15" s="4">
        <v>45407233.8525308</v>
      </c>
      <c r="F15" s="4">
        <f t="shared" si="7"/>
        <v>6123357.2049015015</v>
      </c>
      <c r="G15" s="5">
        <f t="shared" si="1"/>
        <v>1.2139395835803022</v>
      </c>
      <c r="H15" s="4">
        <f t="shared" si="4"/>
        <v>51530591.057432301</v>
      </c>
      <c r="I15" s="5">
        <f t="shared" si="2"/>
        <v>1.2139395835803022</v>
      </c>
      <c r="J15" s="4">
        <f t="shared" si="5"/>
        <v>2147107.9607263459</v>
      </c>
      <c r="K15" s="4" t="e">
        <f t="shared" si="3"/>
        <v>#DIV/0!</v>
      </c>
      <c r="L15" s="63" cm="1">
        <f t="array" ref="L15">+_xlfn.IFS(I15&gt;109%,H15*0.015,I15&gt;104%,H15*0.0125,I15&gt;99%,H15*0.01,I15&lt;99%,H15*0)</f>
        <v>772958.86586148455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366170932.528548</v>
      </c>
      <c r="E16" s="65">
        <v>335509701.35369682</v>
      </c>
      <c r="F16" s="64">
        <f t="shared" si="7"/>
        <v>30661231.174851179</v>
      </c>
      <c r="G16" s="66">
        <f t="shared" si="1"/>
        <v>1.0710984136498991</v>
      </c>
      <c r="H16" s="64">
        <f t="shared" si="4"/>
        <v>366170932.528548</v>
      </c>
      <c r="I16" s="66">
        <f t="shared" si="2"/>
        <v>1.0710984136498991</v>
      </c>
      <c r="J16" s="64">
        <f t="shared" si="5"/>
        <v>15257122.1886895</v>
      </c>
      <c r="K16" s="67" t="e">
        <f t="shared" si="3"/>
        <v>#DIV/0!</v>
      </c>
      <c r="L16" s="68"/>
    </row>
    <row r="17" spans="1:13" ht="15.75" x14ac:dyDescent="0.25">
      <c r="A17" s="143" t="s">
        <v>211</v>
      </c>
      <c r="B17" s="69" t="s">
        <v>82</v>
      </c>
      <c r="C17" s="70">
        <v>29338018.132500004</v>
      </c>
      <c r="D17" s="59">
        <f>IFERROR(+VLOOKUP(B17,COMISIONES!A:E,5,FALSE),"0")*1</f>
        <v>19719555.307688124</v>
      </c>
      <c r="E17" s="59">
        <v>18802479.760139175</v>
      </c>
      <c r="F17" s="59">
        <f t="shared" ref="F17:F40" si="8">+D17-E17</f>
        <v>917075.54754894972</v>
      </c>
      <c r="G17" s="60">
        <f t="shared" si="1"/>
        <v>0.67215021882624171</v>
      </c>
      <c r="H17" s="59">
        <f t="shared" si="4"/>
        <v>19719555.307688124</v>
      </c>
      <c r="I17" s="60">
        <f t="shared" si="2"/>
        <v>0.67215021882624171</v>
      </c>
      <c r="J17" s="59">
        <f t="shared" si="5"/>
        <v>821648.13782033848</v>
      </c>
      <c r="K17" s="59" t="e">
        <f t="shared" si="3"/>
        <v>#DIV/0!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21983568.342330094</v>
      </c>
      <c r="E18" s="4">
        <v>20717753.349515107</v>
      </c>
      <c r="F18" s="4">
        <f t="shared" si="8"/>
        <v>1265814.9928149879</v>
      </c>
      <c r="G18" s="5">
        <f t="shared" si="1"/>
        <v>0.88076937221461959</v>
      </c>
      <c r="H18" s="4">
        <f t="shared" si="4"/>
        <v>21983568.342330094</v>
      </c>
      <c r="I18" s="5">
        <f t="shared" si="2"/>
        <v>0.88076937221461959</v>
      </c>
      <c r="J18" s="4">
        <f t="shared" si="5"/>
        <v>915982.0142637539</v>
      </c>
      <c r="K18" s="4" t="e">
        <f t="shared" si="3"/>
        <v>#DIV/0!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21823999.631053858</v>
      </c>
      <c r="E19" s="4">
        <v>21195317.753972314</v>
      </c>
      <c r="F19" s="4">
        <f t="shared" si="8"/>
        <v>628681.87708154321</v>
      </c>
      <c r="G19" s="5">
        <f t="shared" si="1"/>
        <v>0.84403816779689333</v>
      </c>
      <c r="H19" s="4">
        <f t="shared" si="4"/>
        <v>21823999.631053858</v>
      </c>
      <c r="I19" s="5">
        <f t="shared" si="2"/>
        <v>0.84403816779689333</v>
      </c>
      <c r="J19" s="4">
        <f t="shared" si="5"/>
        <v>909333.31796057743</v>
      </c>
      <c r="K19" s="4" t="e">
        <f t="shared" si="3"/>
        <v>#DIV/0!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46908596.944440268</v>
      </c>
      <c r="E20" s="4">
        <v>45288523.133737519</v>
      </c>
      <c r="F20" s="4">
        <f t="shared" si="8"/>
        <v>1620073.8107027486</v>
      </c>
      <c r="G20" s="5">
        <f t="shared" si="1"/>
        <v>1.3982477397232056</v>
      </c>
      <c r="H20" s="4">
        <f t="shared" si="4"/>
        <v>46908596.944440268</v>
      </c>
      <c r="I20" s="5">
        <f t="shared" si="2"/>
        <v>1.3982477397232056</v>
      </c>
      <c r="J20" s="4">
        <f t="shared" si="5"/>
        <v>1954524.8726850112</v>
      </c>
      <c r="K20" s="4" t="e">
        <f t="shared" si="3"/>
        <v>#DIV/0!</v>
      </c>
      <c r="L20" s="63" cm="1">
        <f t="array" ref="L20">+_xlfn.IFS(I20&gt;114%,H20*0.02,I20&gt;109%,H20*0.015,I20&gt;104%,H20*0.0125,I20&gt;99%,H20*0.01,I20&lt;99%,H20*0)</f>
        <v>938171.93888880534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26026854.067610081</v>
      </c>
      <c r="E21" s="4">
        <v>24833322.870954808</v>
      </c>
      <c r="F21" s="4">
        <f t="shared" ref="F21:F23" si="9">+D21-E21</f>
        <v>1193531.1966552734</v>
      </c>
      <c r="G21" s="5">
        <f t="shared" si="1"/>
        <v>1.0223243256423915</v>
      </c>
      <c r="H21" s="4">
        <f t="shared" si="4"/>
        <v>26026854.067610078</v>
      </c>
      <c r="I21" s="5">
        <f t="shared" si="2"/>
        <v>1.0223243256423913</v>
      </c>
      <c r="J21" s="4">
        <f t="shared" si="5"/>
        <v>1084452.2528170866</v>
      </c>
      <c r="K21" s="4" t="e">
        <f t="shared" si="3"/>
        <v>#DIV/0!</v>
      </c>
      <c r="L21" s="63" cm="1">
        <f t="array" ref="L21">+_xlfn.IFS(I21&gt;114%,H21*0.02,I21&gt;109%,H21*0.015,I21&gt;104%,H21*0.0125,I21&gt;99%,H21*0.01,I21&lt;99%,H21*0)</f>
        <v>260268.54067610079</v>
      </c>
    </row>
    <row r="22" spans="1:13" ht="15.75" x14ac:dyDescent="0.25">
      <c r="A22" s="144"/>
      <c r="B22" s="19" t="s">
        <v>233</v>
      </c>
      <c r="C22" s="71">
        <v>31742890.200000003</v>
      </c>
      <c r="D22" s="4">
        <f>IFERROR(+VLOOKUP(B22,COMISIONES!A:E,5,FALSE),"0")*1</f>
        <v>32165358.359916095</v>
      </c>
      <c r="E22" s="4">
        <v>29990683.655022953</v>
      </c>
      <c r="F22" s="4">
        <f t="shared" si="9"/>
        <v>2174674.704893142</v>
      </c>
      <c r="G22" s="5">
        <f t="shared" si="1"/>
        <v>1.0133090640850371</v>
      </c>
      <c r="H22" s="4">
        <f t="shared" si="4"/>
        <v>32165358.359916095</v>
      </c>
      <c r="I22" s="5">
        <f t="shared" si="2"/>
        <v>1.0133090640850371</v>
      </c>
      <c r="J22" s="4">
        <f t="shared" si="5"/>
        <v>1340223.2649965039</v>
      </c>
      <c r="K22" s="4" t="e">
        <f t="shared" si="3"/>
        <v>#DIV/0!</v>
      </c>
      <c r="L22" s="63" cm="1">
        <f t="array" ref="L22">+_xlfn.IFS(I22&gt;114%,H22*0.02,I22&gt;109%,H22*0.015,I22&gt;104%,H22*0.0125,I22&gt;99%,H22*0.01,I22&lt;99%,H22*0)</f>
        <v>321653.58359916095</v>
      </c>
    </row>
    <row r="23" spans="1:13" ht="15.75" x14ac:dyDescent="0.25">
      <c r="A23" s="144"/>
      <c r="B23" s="19" t="s">
        <v>162</v>
      </c>
      <c r="C23" s="71">
        <v>27435946.230000004</v>
      </c>
      <c r="D23" s="4">
        <f>IFERROR(+VLOOKUP(B23,COMISIONES!A:E,5,FALSE),"0")*1</f>
        <v>25777447.849963795</v>
      </c>
      <c r="E23" s="4">
        <v>25061497.754885402</v>
      </c>
      <c r="F23" s="4">
        <f t="shared" si="9"/>
        <v>715950.09507839382</v>
      </c>
      <c r="G23" s="5">
        <f t="shared" si="1"/>
        <v>0.93955016655402568</v>
      </c>
      <c r="H23" s="4">
        <f t="shared" si="4"/>
        <v>25777447.849963799</v>
      </c>
      <c r="I23" s="5">
        <f t="shared" si="2"/>
        <v>0.93955016655402579</v>
      </c>
      <c r="J23" s="4">
        <f t="shared" si="5"/>
        <v>1074060.3270818249</v>
      </c>
      <c r="K23" s="4" t="e">
        <f t="shared" si="3"/>
        <v>#DIV/0!</v>
      </c>
      <c r="L23" s="63" cm="1">
        <f t="array" ref="L23">+_xlfn.IFS(I23&gt;114%,H23*0.02,I23&gt;109%,H23*0.015,I23&gt;104%,H23*0.0125,I23&gt;99%,H23*0.01,I23&lt;99%,H23*0)</f>
        <v>0</v>
      </c>
    </row>
    <row r="24" spans="1:13" ht="15.75" x14ac:dyDescent="0.25">
      <c r="A24" s="144"/>
      <c r="B24" s="19" t="s">
        <v>234</v>
      </c>
      <c r="C24" s="71">
        <v>33494055</v>
      </c>
      <c r="D24" s="4">
        <f>IFERROR(+VLOOKUP(B24,COMISIONES!A:E,5,FALSE),"0")*1</f>
        <v>40082800.76103171</v>
      </c>
      <c r="E24" s="4">
        <v>38511020.179810099</v>
      </c>
      <c r="F24" s="4">
        <f t="shared" si="8"/>
        <v>1571780.5812216103</v>
      </c>
      <c r="G24" s="5">
        <f t="shared" si="1"/>
        <v>1.1967138873161733</v>
      </c>
      <c r="H24" s="4">
        <f t="shared" si="4"/>
        <v>40082800.76103171</v>
      </c>
      <c r="I24" s="5">
        <f t="shared" si="2"/>
        <v>1.1967138873161733</v>
      </c>
      <c r="J24" s="4">
        <f t="shared" si="5"/>
        <v>1670116.6983763212</v>
      </c>
      <c r="K24" s="4" t="e">
        <f t="shared" si="3"/>
        <v>#DIV/0!</v>
      </c>
      <c r="L24" s="63" cm="1">
        <f t="array" ref="L24">+_xlfn.IFS(I24&gt;114%,H24*0.02,I24&gt;109%,H24*0.015,I24&gt;104%,H24*0.0125,I24&gt;99%,H24*0.01,I24&lt;99%,H24*0)</f>
        <v>801656.01522063417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52746975.667182915</v>
      </c>
      <c r="E25" s="4">
        <v>53020207.657182917</v>
      </c>
      <c r="F25" s="4">
        <f t="shared" si="8"/>
        <v>-273231.99000000209</v>
      </c>
      <c r="G25" s="5">
        <f t="shared" si="1"/>
        <v>0.97562233705986801</v>
      </c>
      <c r="H25" s="4">
        <f t="shared" si="4"/>
        <v>52746975.667182922</v>
      </c>
      <c r="I25" s="5">
        <f t="shared" si="2"/>
        <v>0.97562233705986812</v>
      </c>
      <c r="J25" s="4">
        <f t="shared" si="5"/>
        <v>2197790.6527992883</v>
      </c>
      <c r="K25" s="4" t="e">
        <f t="shared" si="3"/>
        <v>#DIV/0!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287235156.9312169</v>
      </c>
      <c r="E26" s="65">
        <v>277420806.11522031</v>
      </c>
      <c r="F26" s="67">
        <f>+D26-E26</f>
        <v>9814350.8159965873</v>
      </c>
      <c r="G26" s="66">
        <f t="shared" si="1"/>
        <v>1.0046747279097485</v>
      </c>
      <c r="H26" s="64">
        <f t="shared" si="4"/>
        <v>287235156.9312169</v>
      </c>
      <c r="I26" s="66">
        <f t="shared" si="2"/>
        <v>1.0046747279097485</v>
      </c>
      <c r="J26" s="64">
        <f t="shared" si="5"/>
        <v>11968131.538800703</v>
      </c>
      <c r="K26" s="67" t="e">
        <f t="shared" si="3"/>
        <v>#DIV/0!</v>
      </c>
      <c r="L26" s="68"/>
    </row>
    <row r="27" spans="1:13" ht="15.75" x14ac:dyDescent="0.25">
      <c r="A27" s="140" t="s">
        <v>219</v>
      </c>
      <c r="B27" s="57" t="s">
        <v>214</v>
      </c>
      <c r="C27" s="73">
        <v>81977700</v>
      </c>
      <c r="D27" s="59">
        <f>IFERROR(+VLOOKUP(B27,COMISIONES!A:E,5,FALSE),"0")*1</f>
        <v>82008915.323856413</v>
      </c>
      <c r="E27" s="59">
        <v>79349932.648902804</v>
      </c>
      <c r="F27" s="59">
        <f t="shared" si="8"/>
        <v>2658982.6749536097</v>
      </c>
      <c r="G27" s="60">
        <f t="shared" si="1"/>
        <v>1.0003807782342808</v>
      </c>
      <c r="H27" s="59">
        <f t="shared" si="4"/>
        <v>82008915.323856413</v>
      </c>
      <c r="I27" s="60">
        <f t="shared" si="2"/>
        <v>1.0003807782342808</v>
      </c>
      <c r="J27" s="59">
        <f t="shared" si="5"/>
        <v>3417038.1384940171</v>
      </c>
      <c r="K27" s="59" t="e">
        <f t="shared" si="3"/>
        <v>#DIV/0!</v>
      </c>
      <c r="L27" s="61" cm="1">
        <f t="array" ref="L27">+_xlfn.IFS(I27&gt;114%,H27*0.0125,I27&gt;109%,H27*0.01,I27&gt;104%,H27*0.0075,I27&gt;99%,H27*0.005,I27&lt;99%,H27*0)</f>
        <v>410044.57661928207</v>
      </c>
    </row>
    <row r="28" spans="1:13" ht="15.75" x14ac:dyDescent="0.25">
      <c r="A28" s="141"/>
      <c r="B28" s="36" t="s">
        <v>216</v>
      </c>
      <c r="C28" s="74">
        <v>21000000</v>
      </c>
      <c r="D28" s="4">
        <f>IFERROR(+VLOOKUP(B28,COMISIONES!A:E,5,FALSE),"0")*1</f>
        <v>13952963.300386658</v>
      </c>
      <c r="E28" s="4">
        <v>13582204.364812182</v>
      </c>
      <c r="F28" s="4">
        <f t="shared" si="8"/>
        <v>370758.93557447568</v>
      </c>
      <c r="G28" s="5">
        <f t="shared" si="1"/>
        <v>0.66442682382793605</v>
      </c>
      <c r="H28" s="4">
        <f t="shared" si="4"/>
        <v>13952963.300386656</v>
      </c>
      <c r="I28" s="5">
        <f t="shared" si="2"/>
        <v>0.66442682382793605</v>
      </c>
      <c r="J28" s="4">
        <f t="shared" si="5"/>
        <v>581373.47084944404</v>
      </c>
      <c r="K28" s="4" t="e">
        <f t="shared" si="3"/>
        <v>#DIV/0!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21961957.090655975</v>
      </c>
      <c r="E29" s="4">
        <v>21103395.521965481</v>
      </c>
      <c r="F29" s="4">
        <f t="shared" si="8"/>
        <v>858561.5686904937</v>
      </c>
      <c r="G29" s="5">
        <f t="shared" si="1"/>
        <v>0.85323283063345634</v>
      </c>
      <c r="H29" s="4">
        <f t="shared" si="4"/>
        <v>21961957.090655975</v>
      </c>
      <c r="I29" s="5">
        <f t="shared" si="2"/>
        <v>0.85323283063345634</v>
      </c>
      <c r="J29" s="4">
        <f t="shared" si="5"/>
        <v>915081.545443999</v>
      </c>
      <c r="K29" s="4" t="e">
        <f t="shared" si="3"/>
        <v>#DIV/0!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1"/>
      <c r="B30" s="36" t="s">
        <v>215</v>
      </c>
      <c r="C30" s="74">
        <v>38233205.112125672</v>
      </c>
      <c r="D30" s="4">
        <f>IFERROR(+VLOOKUP(B30,COMISIONES!A:E,5,FALSE),"0")*1</f>
        <v>21863190.112295818</v>
      </c>
      <c r="E30" s="4">
        <v>21279417.512409199</v>
      </c>
      <c r="F30" s="4">
        <f t="shared" si="8"/>
        <v>583772.59988661855</v>
      </c>
      <c r="G30" s="5">
        <f t="shared" si="1"/>
        <v>0.57183775328744024</v>
      </c>
      <c r="H30" s="4">
        <f t="shared" si="4"/>
        <v>21863190.112295818</v>
      </c>
      <c r="I30" s="5">
        <f t="shared" si="2"/>
        <v>0.57183775328744024</v>
      </c>
      <c r="J30" s="4">
        <f t="shared" si="5"/>
        <v>910966.25467899244</v>
      </c>
      <c r="K30" s="4" t="e">
        <f t="shared" si="3"/>
        <v>#DIV/0!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26313436.609832209</v>
      </c>
      <c r="E31" s="4">
        <v>25866298.235398188</v>
      </c>
      <c r="F31" s="4">
        <f t="shared" si="8"/>
        <v>447138.37443402037</v>
      </c>
      <c r="G31" s="5">
        <f t="shared" si="1"/>
        <v>1.0353404593632645</v>
      </c>
      <c r="H31" s="4">
        <f t="shared" si="4"/>
        <v>26313436.609832205</v>
      </c>
      <c r="I31" s="5">
        <f t="shared" si="2"/>
        <v>1.0353404593632645</v>
      </c>
      <c r="J31" s="4">
        <f t="shared" si="5"/>
        <v>1096393.1920763419</v>
      </c>
      <c r="K31" s="4" t="e">
        <f t="shared" si="3"/>
        <v>#DIV/0!</v>
      </c>
      <c r="L31" s="63" cm="1">
        <f t="array" ref="L31">+_xlfn.IFS(I31&gt;114%,H31*0.02,I31&gt;109%,H31*0.015,I31&gt;104%,H31*0.0125,I31&gt;99%,H31*0.01,I31&lt;99%,H31*0)</f>
        <v>263134.36609832203</v>
      </c>
      <c r="M31" s="27"/>
    </row>
    <row r="32" spans="1:13" ht="15.75" x14ac:dyDescent="0.25">
      <c r="A32" s="141"/>
      <c r="B32" s="36" t="s">
        <v>213</v>
      </c>
      <c r="C32" s="74">
        <v>25200000</v>
      </c>
      <c r="D32" s="4">
        <f>IFERROR(+VLOOKUP(B32,COMISIONES!A:E,5,FALSE),"0")*1</f>
        <v>18176495.917142633</v>
      </c>
      <c r="E32" s="4">
        <v>17244550.074721541</v>
      </c>
      <c r="F32" s="4">
        <f t="shared" si="8"/>
        <v>931945.84242109209</v>
      </c>
      <c r="G32" s="5">
        <f t="shared" si="1"/>
        <v>0.72128952052153306</v>
      </c>
      <c r="H32" s="4">
        <f t="shared" si="4"/>
        <v>18176495.917142633</v>
      </c>
      <c r="I32" s="5">
        <f t="shared" si="2"/>
        <v>0.72128952052153306</v>
      </c>
      <c r="J32" s="4">
        <f t="shared" si="5"/>
        <v>757353.99654760968</v>
      </c>
      <c r="K32" s="4" t="e">
        <f t="shared" si="3"/>
        <v>#DIV/0!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20854107.698326457</v>
      </c>
      <c r="E33" s="4">
        <v>20072218.044281825</v>
      </c>
      <c r="F33" s="4">
        <f t="shared" si="8"/>
        <v>781889.65404463187</v>
      </c>
      <c r="G33" s="5">
        <f t="shared" si="1"/>
        <v>0.78704398457646529</v>
      </c>
      <c r="H33" s="4">
        <f t="shared" si="4"/>
        <v>20854107.698326457</v>
      </c>
      <c r="I33" s="5">
        <f t="shared" si="2"/>
        <v>0.78704398457646529</v>
      </c>
      <c r="J33" s="4">
        <f t="shared" si="5"/>
        <v>868921.15409693576</v>
      </c>
      <c r="K33" s="4" t="e">
        <f t="shared" si="3"/>
        <v>#DIV/0!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13727467.509959595</v>
      </c>
      <c r="E34" s="4">
        <v>13039481.563812835</v>
      </c>
      <c r="F34" s="4">
        <f t="shared" si="8"/>
        <v>687985.94614676014</v>
      </c>
      <c r="G34" s="5">
        <f t="shared" si="1"/>
        <v>0.65368892904569498</v>
      </c>
      <c r="H34" s="4">
        <f t="shared" si="4"/>
        <v>13727467.509959595</v>
      </c>
      <c r="I34" s="5">
        <f t="shared" si="2"/>
        <v>0.65368892904569498</v>
      </c>
      <c r="J34" s="4">
        <f t="shared" si="5"/>
        <v>571977.81291498314</v>
      </c>
      <c r="K34" s="4" t="e">
        <f t="shared" si="3"/>
        <v>#DIV/0!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7728017.7449721582</v>
      </c>
      <c r="E35" s="4">
        <v>7427038.0634731874</v>
      </c>
      <c r="F35" s="4">
        <f t="shared" si="8"/>
        <v>300979.68149897084</v>
      </c>
      <c r="G35" s="5">
        <f t="shared" si="1"/>
        <v>0.31340559103957943</v>
      </c>
      <c r="H35" s="4">
        <f t="shared" si="4"/>
        <v>7728017.7449721582</v>
      </c>
      <c r="I35" s="5">
        <f t="shared" si="2"/>
        <v>0.31340559103957943</v>
      </c>
      <c r="J35" s="4">
        <f t="shared" si="5"/>
        <v>322000.73937383993</v>
      </c>
      <c r="K35" s="4" t="e">
        <f t="shared" si="3"/>
        <v>#DIV/0!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207</v>
      </c>
      <c r="C36" s="74">
        <v>25235000</v>
      </c>
      <c r="D36" s="4">
        <f>IFERROR(+VLOOKUP(B36,COMISIONES!A:E,5,FALSE),"0")*1</f>
        <v>14092423.235800521</v>
      </c>
      <c r="E36" s="4">
        <v>13787711.752287488</v>
      </c>
      <c r="F36" s="4">
        <f t="shared" si="8"/>
        <v>304711.48351303302</v>
      </c>
      <c r="G36" s="5">
        <f t="shared" si="1"/>
        <v>0.55844752271846732</v>
      </c>
      <c r="H36" s="4">
        <f t="shared" si="4"/>
        <v>14092423.23580052</v>
      </c>
      <c r="I36" s="5">
        <f t="shared" si="2"/>
        <v>0.5584475227184672</v>
      </c>
      <c r="J36" s="4">
        <f t="shared" si="5"/>
        <v>587184.30149168835</v>
      </c>
      <c r="K36" s="4" t="e">
        <f t="shared" si="3"/>
        <v>#DIV/0!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65662670.917833798</v>
      </c>
      <c r="E37" s="4">
        <v>59403378.702583797</v>
      </c>
      <c r="F37" s="4">
        <f t="shared" si="8"/>
        <v>6259292.2152500004</v>
      </c>
      <c r="G37" s="5">
        <f t="shared" si="1"/>
        <v>0.53816678244377114</v>
      </c>
      <c r="H37" s="4">
        <f t="shared" si="4"/>
        <v>65662670.917833805</v>
      </c>
      <c r="I37" s="5">
        <f t="shared" si="2"/>
        <v>0.53816678244377125</v>
      </c>
      <c r="J37" s="4">
        <f t="shared" si="5"/>
        <v>2735944.6215764084</v>
      </c>
      <c r="K37" s="4" t="e">
        <f t="shared" si="3"/>
        <v>#DIV/0!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217</v>
      </c>
      <c r="C38" s="74">
        <v>35700000</v>
      </c>
      <c r="D38" s="4">
        <f>IFERROR(+VLOOKUP(B38,COMISIONES!A:E,5,FALSE),"0")*1</f>
        <v>16480410.572651757</v>
      </c>
      <c r="E38" s="4">
        <v>17136087.737651758</v>
      </c>
      <c r="F38" s="4">
        <f t="shared" ref="F38" si="10">+D38-E38</f>
        <v>-655677.16500000097</v>
      </c>
      <c r="G38" s="5">
        <f t="shared" si="1"/>
        <v>0.46163615049444695</v>
      </c>
      <c r="H38" s="4">
        <f t="shared" si="4"/>
        <v>16480410.572651755</v>
      </c>
      <c r="I38" s="5">
        <f t="shared" si="2"/>
        <v>0.4616361504944469</v>
      </c>
      <c r="J38" s="4">
        <f t="shared" si="5"/>
        <v>686683.77386048983</v>
      </c>
      <c r="K38" s="4" t="e">
        <f t="shared" si="3"/>
        <v>#DIV/0!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25054842.418592516</v>
      </c>
      <c r="E39" s="4">
        <v>24470367.165487725</v>
      </c>
      <c r="F39" s="4">
        <f t="shared" si="8"/>
        <v>584475.25310479105</v>
      </c>
      <c r="G39" s="5">
        <f t="shared" si="1"/>
        <v>0.68905001746451133</v>
      </c>
      <c r="H39" s="4">
        <f t="shared" si="4"/>
        <v>25054842.418592516</v>
      </c>
      <c r="I39" s="5">
        <f t="shared" si="2"/>
        <v>0.68905001746451133</v>
      </c>
      <c r="J39" s="4">
        <f t="shared" si="5"/>
        <v>1043951.7674413548</v>
      </c>
      <c r="K39" s="4" t="e">
        <f t="shared" si="3"/>
        <v>#DIV/0!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347876898.45230651</v>
      </c>
      <c r="E40" s="65">
        <v>333762081.387788</v>
      </c>
      <c r="F40" s="67">
        <f t="shared" si="8"/>
        <v>14114817.064518511</v>
      </c>
      <c r="G40" s="66">
        <f t="shared" si="1"/>
        <v>0.68341275285311032</v>
      </c>
      <c r="H40" s="64">
        <f t="shared" si="4"/>
        <v>347876898.45230651</v>
      </c>
      <c r="I40" s="66">
        <f t="shared" si="2"/>
        <v>0.68341275285311032</v>
      </c>
      <c r="J40" s="64">
        <f t="shared" si="5"/>
        <v>14494870.768846104</v>
      </c>
      <c r="K40" s="67" t="e">
        <f t="shared" si="3"/>
        <v>#DIV/0!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1286612219.3012938</v>
      </c>
      <c r="E41" s="82">
        <v>1222086810.2959023</v>
      </c>
      <c r="F41" s="81">
        <f>+D41-E41</f>
        <v>64525409.005391598</v>
      </c>
      <c r="G41" s="83">
        <f t="shared" si="1"/>
        <v>0.9324850370672334</v>
      </c>
      <c r="H41" s="81">
        <f t="shared" si="4"/>
        <v>1286612219.3012938</v>
      </c>
      <c r="I41" s="139">
        <f t="shared" si="2"/>
        <v>0.9324850370672334</v>
      </c>
      <c r="J41" s="81">
        <f t="shared" si="5"/>
        <v>53608842.470887244</v>
      </c>
      <c r="K41" s="81" t="e">
        <f t="shared" si="3"/>
        <v>#DIV/0!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31200035.617086809</v>
      </c>
      <c r="E43" s="4">
        <v>31230263.361085694</v>
      </c>
      <c r="F43" s="4">
        <f t="shared" ref="F43" si="11">+D43-E43</f>
        <v>-30227.743998885155</v>
      </c>
      <c r="G43" s="5">
        <f>+D43/C43</f>
        <v>0.78000089042717025</v>
      </c>
      <c r="H43" s="4">
        <f t="shared" ref="H43" si="12">+D43/$N$3*$N$4</f>
        <v>31200035.617086805</v>
      </c>
      <c r="I43" s="5">
        <f>+H43/C43</f>
        <v>0.78000089042717013</v>
      </c>
      <c r="J43" s="4">
        <f t="shared" ref="J43" si="13">+D43/$N$3</f>
        <v>1300001.4840452836</v>
      </c>
      <c r="K43" s="4" t="e">
        <f>+(C43-D43)/$N$2</f>
        <v>#DIV/0!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24332681.799774844</v>
      </c>
      <c r="E44" s="4">
        <v>24332681.799774844</v>
      </c>
      <c r="F44" s="4">
        <f t="shared" ref="F44" si="14">+D44-E44</f>
        <v>0</v>
      </c>
      <c r="G44" s="5">
        <f>+D44/C44</f>
        <v>0.81108939332582819</v>
      </c>
      <c r="H44" s="4">
        <f t="shared" ref="H44" si="15">+D44/$N$3*$N$4</f>
        <v>24332681.799774844</v>
      </c>
      <c r="I44" s="5">
        <f>+H44/C44</f>
        <v>0.81108939332582819</v>
      </c>
      <c r="J44" s="4">
        <f t="shared" ref="J44" si="16">+D44/$N$3</f>
        <v>1013861.7416572851</v>
      </c>
      <c r="K44" s="4" t="e">
        <f>+(C44-D44)/$N$2</f>
        <v>#DIV/0!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9" workbookViewId="0">
      <selection activeCell="C33" sqref="C33:I33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0.92</v>
      </c>
      <c r="E2" s="13">
        <v>33</v>
      </c>
      <c r="F2" s="12">
        <f>+H2-E2</f>
        <v>36</v>
      </c>
      <c r="G2" s="13">
        <f>VLOOKUP(B2,'Base Cobertura'!$A:$C,3,FALSE)</f>
        <v>75</v>
      </c>
      <c r="H2" s="13">
        <f>VLOOKUP(B2,'Base Cobertura'!$A:$C,2,FALSE)</f>
        <v>69</v>
      </c>
      <c r="I2" s="17">
        <f>(+G2*$M$2)-H2</f>
        <v>-5.25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0.48148148148148145</v>
      </c>
      <c r="E3" s="13">
        <v>1</v>
      </c>
      <c r="F3" s="12">
        <f t="shared" ref="F3:F38" si="1">+H3-E3</f>
        <v>116</v>
      </c>
      <c r="G3" s="13">
        <f>VLOOKUP(B3,'Base Cobertura'!$A:$C,3,FALSE)</f>
        <v>243</v>
      </c>
      <c r="H3" s="13">
        <f>VLOOKUP(B3,'Base Cobertura'!$A:$C,2,FALSE)</f>
        <v>117</v>
      </c>
      <c r="I3" s="17">
        <f t="shared" ref="I3:I38" si="2">(+G3*$M$2)-H3</f>
        <v>89.549999999999983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81</v>
      </c>
      <c r="T3" s="12">
        <v>214</v>
      </c>
      <c r="U3" s="41">
        <f>+S3/T3</f>
        <v>0.37850467289719625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0.90308370044052866</v>
      </c>
      <c r="E4" s="13">
        <v>126</v>
      </c>
      <c r="F4" s="12">
        <f t="shared" si="1"/>
        <v>79</v>
      </c>
      <c r="G4" s="13">
        <f>VLOOKUP(B4,'Base Cobertura'!$A:$C,3,FALSE)</f>
        <v>227</v>
      </c>
      <c r="H4" s="13">
        <f>VLOOKUP(B4,'Base Cobertura'!$A:$C,2,FALSE)</f>
        <v>205</v>
      </c>
      <c r="I4" s="17">
        <f t="shared" si="2"/>
        <v>-12.050000000000011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65</v>
      </c>
      <c r="T4" s="13">
        <v>214</v>
      </c>
      <c r="U4" s="5">
        <f t="shared" ref="U4:U11" si="3">+S4/T4</f>
        <v>0.30373831775700932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0.7846153846153846</v>
      </c>
      <c r="E5" s="13">
        <v>21</v>
      </c>
      <c r="F5" s="12">
        <f t="shared" si="1"/>
        <v>30</v>
      </c>
      <c r="G5" s="13">
        <f>VLOOKUP(B5,'Base Cobertura'!$A:$C,3,FALSE)</f>
        <v>65</v>
      </c>
      <c r="H5" s="13">
        <f>VLOOKUP(B5,'Base Cobertura'!$A:$C,2,FALSE)</f>
        <v>51</v>
      </c>
      <c r="I5" s="17">
        <f t="shared" si="2"/>
        <v>4.25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99</v>
      </c>
      <c r="T5" s="13">
        <v>214</v>
      </c>
      <c r="U5" s="5">
        <f t="shared" si="3"/>
        <v>0.46261682242990654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0.893719806763285</v>
      </c>
      <c r="E6" s="13">
        <v>100</v>
      </c>
      <c r="F6" s="12">
        <f t="shared" si="1"/>
        <v>85</v>
      </c>
      <c r="G6" s="13">
        <f>VLOOKUP(B6,'Base Cobertura'!$A:$C,3,FALSE)</f>
        <v>207</v>
      </c>
      <c r="H6" s="13">
        <f>VLOOKUP(B6,'Base Cobertura'!$A:$C,2,FALSE)</f>
        <v>185</v>
      </c>
      <c r="I6" s="17">
        <f t="shared" si="2"/>
        <v>-9.0500000000000114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54</v>
      </c>
      <c r="T6" s="13">
        <v>214</v>
      </c>
      <c r="U6" s="5">
        <f t="shared" si="3"/>
        <v>0.25233644859813081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0.85427135678391963</v>
      </c>
      <c r="E7" s="13">
        <v>81</v>
      </c>
      <c r="F7" s="12">
        <f t="shared" si="1"/>
        <v>89</v>
      </c>
      <c r="G7" s="13">
        <f>VLOOKUP(B7,'Base Cobertura'!$A:$C,3,FALSE)</f>
        <v>199</v>
      </c>
      <c r="H7" s="13">
        <f>VLOOKUP(B7,'Base Cobertura'!$A:$C,2,FALSE)</f>
        <v>170</v>
      </c>
      <c r="I7" s="17">
        <f t="shared" si="2"/>
        <v>-0.84999999999999432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104</v>
      </c>
      <c r="T7" s="13">
        <v>214</v>
      </c>
      <c r="U7" s="5">
        <f t="shared" si="3"/>
        <v>0.48598130841121495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0.88785046728971961</v>
      </c>
      <c r="E8" s="13">
        <v>89</v>
      </c>
      <c r="F8" s="12">
        <f t="shared" si="1"/>
        <v>101</v>
      </c>
      <c r="G8" s="13">
        <f>VLOOKUP(B8,'Base Cobertura'!$A:$C,3,FALSE)</f>
        <v>214</v>
      </c>
      <c r="H8" s="13">
        <f>VLOOKUP(B8,'Base Cobertura'!$A:$C,2,FALSE)</f>
        <v>190</v>
      </c>
      <c r="I8" s="17">
        <f t="shared" si="2"/>
        <v>-8.0999999999999943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91</v>
      </c>
      <c r="T8" s="13">
        <v>214</v>
      </c>
      <c r="U8" s="5">
        <f t="shared" si="3"/>
        <v>0.42523364485981308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0.82840236686390534</v>
      </c>
      <c r="E9" s="13">
        <v>92</v>
      </c>
      <c r="F9" s="12">
        <f t="shared" si="1"/>
        <v>48</v>
      </c>
      <c r="G9" s="13">
        <f>VLOOKUP(B9,'Base Cobertura'!$A:$C,3,FALSE)</f>
        <v>169</v>
      </c>
      <c r="H9" s="13">
        <f>VLOOKUP(B9,'Base Cobertura'!$A:$C,2,FALSE)</f>
        <v>140</v>
      </c>
      <c r="I9" s="17">
        <f t="shared" si="2"/>
        <v>3.6500000000000057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24</v>
      </c>
      <c r="T9" s="13">
        <v>214</v>
      </c>
      <c r="U9" s="5">
        <f t="shared" si="3"/>
        <v>0.11214953271028037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0.80512820512820515</v>
      </c>
      <c r="E10" s="13">
        <v>64</v>
      </c>
      <c r="F10" s="12">
        <f t="shared" si="1"/>
        <v>93</v>
      </c>
      <c r="G10" s="13">
        <f>VLOOKUP(B10,'Base Cobertura'!$A:$C,3,FALSE)</f>
        <v>195</v>
      </c>
      <c r="H10" s="13">
        <f>VLOOKUP(B10,'Base Cobertura'!$A:$C,2,FALSE)</f>
        <v>157</v>
      </c>
      <c r="I10" s="17">
        <f t="shared" si="2"/>
        <v>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32</v>
      </c>
      <c r="T10" s="13">
        <v>214</v>
      </c>
      <c r="U10" s="5">
        <f t="shared" si="3"/>
        <v>0.14953271028037382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0.5145631067961165</v>
      </c>
      <c r="E11" s="31">
        <v>19</v>
      </c>
      <c r="F11" s="33">
        <f t="shared" si="1"/>
        <v>34</v>
      </c>
      <c r="G11" s="13">
        <f>VLOOKUP(B11,'Base Cobertura'!$A:$C,3,FALSE)</f>
        <v>103</v>
      </c>
      <c r="H11" s="13">
        <f>VLOOKUP(B11,'Base Cobertura'!$A:$C,2,FALSE)</f>
        <v>53</v>
      </c>
      <c r="I11" s="34">
        <f t="shared" si="2"/>
        <v>34.549999999999997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46</v>
      </c>
      <c r="T11" s="13">
        <v>214</v>
      </c>
      <c r="U11" s="5">
        <f t="shared" si="3"/>
        <v>0.21495327102803738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0.62857142857142856</v>
      </c>
      <c r="E12" s="31">
        <v>24</v>
      </c>
      <c r="F12" s="33">
        <f t="shared" si="1"/>
        <v>42</v>
      </c>
      <c r="G12" s="13">
        <f>VLOOKUP(B12,'Base Cobertura'!$A:$C,3,FALSE)</f>
        <v>105</v>
      </c>
      <c r="H12" s="13">
        <f>VLOOKUP(B12,'Base Cobertura'!$A:$C,2,FALSE)</f>
        <v>66</v>
      </c>
      <c r="I12" s="34">
        <f t="shared" si="2"/>
        <v>23.25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0.90421455938697315</v>
      </c>
      <c r="E13" s="13">
        <v>144</v>
      </c>
      <c r="F13" s="12">
        <f t="shared" si="1"/>
        <v>92</v>
      </c>
      <c r="G13" s="13">
        <f>VLOOKUP(B13,'Base Cobertura'!$A:$C,3,FALSE)</f>
        <v>261</v>
      </c>
      <c r="H13" s="13">
        <f>VLOOKUP(B13,'Base Cobertura'!$A:$C,2,FALSE)</f>
        <v>236</v>
      </c>
      <c r="I13" s="17">
        <f t="shared" si="2"/>
        <v>-14.150000000000006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0.92307692307692313</v>
      </c>
      <c r="E14" s="13">
        <v>85</v>
      </c>
      <c r="F14" s="12">
        <f t="shared" si="1"/>
        <v>83</v>
      </c>
      <c r="G14" s="13">
        <f>VLOOKUP(B14,'Base Cobertura'!$A:$C,3,FALSE)</f>
        <v>182</v>
      </c>
      <c r="H14" s="13">
        <f>VLOOKUP(B14,'Base Cobertura'!$A:$C,2,FALSE)</f>
        <v>168</v>
      </c>
      <c r="I14" s="17">
        <f t="shared" si="2"/>
        <v>-13.300000000000011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928</v>
      </c>
      <c r="G15" s="8">
        <f>+SUM(G2:G14)</f>
        <v>2245</v>
      </c>
      <c r="H15" s="8">
        <f>+SUM(H2:H14)</f>
        <v>1807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0.83229813664596275</v>
      </c>
      <c r="E16" s="13">
        <v>90</v>
      </c>
      <c r="F16" s="12">
        <f t="shared" si="1"/>
        <v>44</v>
      </c>
      <c r="G16" s="13">
        <f>VLOOKUP(B16,'Base Cobertura'!$A:$C,3,FALSE)</f>
        <v>161</v>
      </c>
      <c r="H16" s="13">
        <f>VLOOKUP(B16,'Base Cobertura'!$A:$C,2,FALSE)</f>
        <v>134</v>
      </c>
      <c r="I16" s="17">
        <f t="shared" si="2"/>
        <v>2.8499999999999943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0.74860335195530725</v>
      </c>
      <c r="E17" s="13">
        <v>92</v>
      </c>
      <c r="F17" s="12">
        <f t="shared" si="1"/>
        <v>42</v>
      </c>
      <c r="G17" s="13">
        <f>VLOOKUP(B17,'Base Cobertura'!$A:$C,3,FALSE)</f>
        <v>179</v>
      </c>
      <c r="H17" s="13">
        <f>VLOOKUP(B17,'Base Cobertura'!$A:$C,2,FALSE)</f>
        <v>134</v>
      </c>
      <c r="I17" s="17">
        <f t="shared" si="2"/>
        <v>18.150000000000006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0.86549707602339176</v>
      </c>
      <c r="E18" s="13">
        <v>88</v>
      </c>
      <c r="F18" s="12">
        <f t="shared" si="1"/>
        <v>60</v>
      </c>
      <c r="G18" s="13">
        <f>VLOOKUP(B18,'Base Cobertura'!$A:$C,3,FALSE)</f>
        <v>171</v>
      </c>
      <c r="H18" s="13">
        <f>VLOOKUP(B18,'Base Cobertura'!$A:$C,2,FALSE)</f>
        <v>148</v>
      </c>
      <c r="I18" s="17">
        <f t="shared" si="2"/>
        <v>-2.6500000000000057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0.90909090909090906</v>
      </c>
      <c r="E19" s="13">
        <v>95</v>
      </c>
      <c r="F19" s="12">
        <f t="shared" si="1"/>
        <v>45</v>
      </c>
      <c r="G19" s="13">
        <f>VLOOKUP(B19,'Base Cobertura'!$A:$C,3,FALSE)</f>
        <v>154</v>
      </c>
      <c r="H19" s="13">
        <f>VLOOKUP(B19,'Base Cobertura'!$A:$C,2,FALSE)</f>
        <v>140</v>
      </c>
      <c r="I19" s="17">
        <f t="shared" si="2"/>
        <v>-9.0999999999999943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0.87570621468926557</v>
      </c>
      <c r="E20" s="13">
        <v>83</v>
      </c>
      <c r="F20" s="12">
        <f t="shared" si="1"/>
        <v>72</v>
      </c>
      <c r="G20" s="13">
        <f>VLOOKUP(B20,'Base Cobertura'!$A:$C,3,FALSE)</f>
        <v>177</v>
      </c>
      <c r="H20" s="13">
        <f>VLOOKUP(B20,'Base Cobertura'!$A:$C,2,FALSE)</f>
        <v>155</v>
      </c>
      <c r="I20" s="17">
        <f t="shared" si="2"/>
        <v>-4.5500000000000114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0.85882352941176465</v>
      </c>
      <c r="E21" s="13">
        <v>64</v>
      </c>
      <c r="F21" s="12">
        <f t="shared" si="1"/>
        <v>82</v>
      </c>
      <c r="G21" s="13">
        <f>VLOOKUP(B21,'Base Cobertura'!$A:$C,3,FALSE)</f>
        <v>170</v>
      </c>
      <c r="H21" s="13">
        <f>VLOOKUP(B21,'Base Cobertura'!$A:$C,2,FALSE)</f>
        <v>146</v>
      </c>
      <c r="I21" s="17">
        <f t="shared" si="2"/>
        <v>-1.5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0.45177664974619292</v>
      </c>
      <c r="E22" s="13">
        <v>66</v>
      </c>
      <c r="F22" s="12">
        <f t="shared" si="1"/>
        <v>23</v>
      </c>
      <c r="G22" s="13">
        <f>VLOOKUP(B22,'Base Cobertura'!$A:$C,3,FALSE)</f>
        <v>197</v>
      </c>
      <c r="H22" s="13">
        <f>VLOOKUP(B22,'Base Cobertura'!$A:$C,2,FALSE)</f>
        <v>89</v>
      </c>
      <c r="I22" s="17">
        <f t="shared" si="2"/>
        <v>78.449999999999989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0.83211678832116787</v>
      </c>
      <c r="E23" s="13">
        <v>70</v>
      </c>
      <c r="F23" s="12">
        <f t="shared" si="1"/>
        <v>44</v>
      </c>
      <c r="G23" s="13">
        <f>VLOOKUP(B23,'Base Cobertura'!$A:$C,3,FALSE)</f>
        <v>137</v>
      </c>
      <c r="H23" s="13">
        <f>VLOOKUP(B23,'Base Cobertura'!$A:$C,2,FALSE)</f>
        <v>114</v>
      </c>
      <c r="I23" s="17">
        <f t="shared" si="2"/>
        <v>2.4500000000000028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0.90588235294117647</v>
      </c>
      <c r="E24" s="13">
        <v>79</v>
      </c>
      <c r="F24" s="12">
        <f t="shared" si="1"/>
        <v>75</v>
      </c>
      <c r="G24" s="13">
        <f>VLOOKUP(B24,'Base Cobertura'!$A:$C,3,FALSE)</f>
        <v>170</v>
      </c>
      <c r="H24" s="13">
        <f>VLOOKUP(B24,'Base Cobertura'!$A:$C,2,FALSE)</f>
        <v>154</v>
      </c>
      <c r="I24" s="17">
        <f t="shared" si="2"/>
        <v>-9.5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487</v>
      </c>
      <c r="G25" s="8">
        <f>+SUM(G16:G24)</f>
        <v>1516</v>
      </c>
      <c r="H25" s="8">
        <f>+SUM(H16:H24)</f>
        <v>1214</v>
      </c>
      <c r="I25" s="8"/>
    </row>
    <row r="26" spans="1:11" x14ac:dyDescent="0.25">
      <c r="A26" s="148" t="s">
        <v>218</v>
      </c>
      <c r="B26">
        <v>32</v>
      </c>
      <c r="C26" s="12" t="str">
        <f>+AVANCE!B27</f>
        <v>32 - CABRAL GONZALO</v>
      </c>
      <c r="D26" s="22">
        <f t="shared" si="0"/>
        <v>0.91379310344827591</v>
      </c>
      <c r="E26" s="13">
        <v>20</v>
      </c>
      <c r="F26" s="12">
        <f>+H26-E26</f>
        <v>33</v>
      </c>
      <c r="G26" s="13">
        <f>VLOOKUP(B26,'Base Cobertura'!$A:$C,3,FALSE)</f>
        <v>58</v>
      </c>
      <c r="H26" s="13">
        <f>VLOOKUP(B26,'Base Cobertura'!$A:$C,2,FALSE)</f>
        <v>53</v>
      </c>
      <c r="I26" s="17">
        <f t="shared" si="2"/>
        <v>-3.7000000000000028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0.75624999999999998</v>
      </c>
      <c r="E27" s="13">
        <v>68</v>
      </c>
      <c r="F27" s="12">
        <f t="shared" si="1"/>
        <v>53</v>
      </c>
      <c r="G27" s="13">
        <f>VLOOKUP(B27,'Base Cobertura'!$A:$C,3,FALSE)</f>
        <v>160</v>
      </c>
      <c r="H27" s="13">
        <f>VLOOKUP(B27,'Base Cobertura'!$A:$C,2,FALSE)</f>
        <v>121</v>
      </c>
      <c r="I27" s="17">
        <f t="shared" si="2"/>
        <v>15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0.87820512820512819</v>
      </c>
      <c r="E28" s="13">
        <v>80</v>
      </c>
      <c r="F28" s="12">
        <f t="shared" si="1"/>
        <v>57</v>
      </c>
      <c r="G28" s="13">
        <f>VLOOKUP(B28,'Base Cobertura'!$A:$C,3,FALSE)</f>
        <v>156</v>
      </c>
      <c r="H28" s="13">
        <f>VLOOKUP(B28,'Base Cobertura'!$A:$C,2,FALSE)</f>
        <v>137</v>
      </c>
      <c r="I28" s="17">
        <f t="shared" si="2"/>
        <v>-4.4000000000000057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0.48399999999999999</v>
      </c>
      <c r="E29" s="13">
        <v>68</v>
      </c>
      <c r="F29" s="12">
        <f t="shared" si="1"/>
        <v>53</v>
      </c>
      <c r="G29" s="13">
        <f>VLOOKUP(B29,'Base Cobertura'!$A:$C,3,FALSE)</f>
        <v>250</v>
      </c>
      <c r="H29" s="13">
        <f>VLOOKUP(B29,'Base Cobertura'!$A:$C,2,FALSE)</f>
        <v>121</v>
      </c>
      <c r="I29" s="17">
        <f t="shared" si="2"/>
        <v>91.5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0.97744360902255634</v>
      </c>
      <c r="E30" s="13">
        <v>73</v>
      </c>
      <c r="F30" s="12">
        <f t="shared" si="1"/>
        <v>57</v>
      </c>
      <c r="G30" s="13">
        <f>VLOOKUP(B30,'Base Cobertura'!$A:$C,3,FALSE)</f>
        <v>133</v>
      </c>
      <c r="H30" s="13">
        <f>VLOOKUP(B30,'Base Cobertura'!$A:$C,2,FALSE)</f>
        <v>130</v>
      </c>
      <c r="I30" s="17">
        <f t="shared" si="2"/>
        <v>-16.950000000000003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0.74863387978142082</v>
      </c>
      <c r="E31" s="13">
        <v>40</v>
      </c>
      <c r="F31" s="12">
        <f t="shared" si="1"/>
        <v>97</v>
      </c>
      <c r="G31" s="13">
        <f>VLOOKUP(B31,'Base Cobertura'!$A:$C,3,FALSE)</f>
        <v>183</v>
      </c>
      <c r="H31" s="13">
        <f>VLOOKUP(B31,'Base Cobertura'!$A:$C,2,FALSE)</f>
        <v>137</v>
      </c>
      <c r="I31" s="17">
        <f t="shared" si="2"/>
        <v>18.549999999999983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0.86904761904761907</v>
      </c>
      <c r="E32" s="13">
        <v>67</v>
      </c>
      <c r="F32" s="12">
        <f t="shared" si="1"/>
        <v>79</v>
      </c>
      <c r="G32" s="13">
        <f>VLOOKUP(B32,'Base Cobertura'!$A:$C,3,FALSE)</f>
        <v>168</v>
      </c>
      <c r="H32" s="13">
        <f>VLOOKUP(B32,'Base Cobertura'!$A:$C,2,FALSE)</f>
        <v>146</v>
      </c>
      <c r="I32" s="17">
        <f t="shared" si="2"/>
        <v>-3.2000000000000171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0.85628742514970058</v>
      </c>
      <c r="E33" s="13">
        <v>66</v>
      </c>
      <c r="F33" s="12">
        <f t="shared" si="1"/>
        <v>77</v>
      </c>
      <c r="G33" s="13">
        <f>VLOOKUP(B33,'Base Cobertura'!$A:$C,3,FALSE)</f>
        <v>167</v>
      </c>
      <c r="H33" s="13">
        <f>VLOOKUP(B33,'Base Cobertura'!$A:$C,2,FALSE)</f>
        <v>143</v>
      </c>
      <c r="I33" s="17">
        <f t="shared" si="2"/>
        <v>-1.0500000000000114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0.6629213483146067</v>
      </c>
      <c r="E35" s="13">
        <v>81</v>
      </c>
      <c r="F35" s="12">
        <f t="shared" si="1"/>
        <v>37</v>
      </c>
      <c r="G35" s="13">
        <f>VLOOKUP(B35,'Base Cobertura'!$A:$C,3,FALSE)</f>
        <v>178</v>
      </c>
      <c r="H35" s="13">
        <f>VLOOKUP(B35,'Base Cobertura'!$A:$C,2,FALSE)</f>
        <v>118</v>
      </c>
      <c r="I35" s="17">
        <f t="shared" si="2"/>
        <v>33.299999999999983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0.18260869565217391</v>
      </c>
      <c r="E36" s="13">
        <v>0</v>
      </c>
      <c r="F36" s="12">
        <f t="shared" si="1"/>
        <v>21</v>
      </c>
      <c r="G36" s="13">
        <f>VLOOKUP(B36,'Base Cobertura'!$A:$C,3,FALSE)</f>
        <v>115</v>
      </c>
      <c r="H36" s="13">
        <f>VLOOKUP(B36,'Base Cobertura'!$A:$C,2,FALSE)</f>
        <v>21</v>
      </c>
      <c r="I36" s="17">
        <f t="shared" si="2"/>
        <v>76.75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0.41904761904761906</v>
      </c>
      <c r="E37" s="13">
        <v>17</v>
      </c>
      <c r="F37" s="12">
        <f t="shared" si="1"/>
        <v>27</v>
      </c>
      <c r="G37" s="13">
        <f>VLOOKUP(B37,'Base Cobertura'!$A:$C,3,FALSE)</f>
        <v>105</v>
      </c>
      <c r="H37" s="13">
        <f>VLOOKUP(B37,'Base Cobertura'!$A:$C,2,FALSE)</f>
        <v>44</v>
      </c>
      <c r="I37" s="17">
        <f t="shared" si="2"/>
        <v>45.25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0.86614173228346458</v>
      </c>
      <c r="E38" s="13">
        <v>60</v>
      </c>
      <c r="F38" s="12">
        <f t="shared" si="1"/>
        <v>50</v>
      </c>
      <c r="G38" s="13">
        <f>VLOOKUP(B38,'Base Cobertura'!$A:$C,3,FALSE)</f>
        <v>127</v>
      </c>
      <c r="H38" s="13">
        <f>VLOOKUP(B38,'Base Cobertura'!$A:$C,2,FALSE)</f>
        <v>110</v>
      </c>
      <c r="I38" s="17">
        <f t="shared" si="2"/>
        <v>-2.0499999999999972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629</v>
      </c>
      <c r="G39" s="8">
        <f>+SUM(G26:G38)</f>
        <v>1942</v>
      </c>
      <c r="H39" s="8">
        <f>+SUM(H26:H38)</f>
        <v>1351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2044</v>
      </c>
      <c r="G40" s="8">
        <f>+G15+G25+G39</f>
        <v>5703</v>
      </c>
      <c r="H40" s="8">
        <f>+H15+H25+H39</f>
        <v>4372</v>
      </c>
      <c r="I40" s="8"/>
      <c r="L40" s="1">
        <f>+H40/G40</f>
        <v>0.76661406277397859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0.33606557377049179</v>
      </c>
      <c r="E41" s="13">
        <v>60</v>
      </c>
      <c r="F41" s="12">
        <f t="shared" ref="F41:F42" si="5">+H41-E41</f>
        <v>-19</v>
      </c>
      <c r="G41" s="13">
        <f>VLOOKUP(B41,'Base Cobertura'!$A:$C,3,FALSE)</f>
        <v>122</v>
      </c>
      <c r="H41" s="13">
        <f>VLOOKUP(B41,'Base Cobertura'!$A:$C,2,FALSE)</f>
        <v>41</v>
      </c>
      <c r="I41" s="17">
        <f t="shared" ref="I41:I42" si="6">(+G41*$M$2)-H41</f>
        <v>62.7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0.50806451612903225</v>
      </c>
      <c r="E42" s="13">
        <v>60</v>
      </c>
      <c r="F42" s="12">
        <f t="shared" si="5"/>
        <v>3</v>
      </c>
      <c r="G42" s="13">
        <f>VLOOKUP(B42,'Base Cobertura'!$A:$C,3,FALSE)</f>
        <v>124</v>
      </c>
      <c r="H42" s="13">
        <f>VLOOKUP(B42,'Base Cobertura'!$A:$C,2,FALSE)</f>
        <v>63</v>
      </c>
      <c r="I42" s="17">
        <f t="shared" si="6"/>
        <v>42.399999999999991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12</v>
      </c>
      <c r="C3" s="51">
        <v>3476</v>
      </c>
      <c r="G3" t="s">
        <v>222</v>
      </c>
      <c r="H3" s="51">
        <v>3</v>
      </c>
      <c r="I3" s="51">
        <v>3476</v>
      </c>
    </row>
    <row r="4" spans="1:9" x14ac:dyDescent="0.25">
      <c r="A4">
        <v>1</v>
      </c>
      <c r="B4" s="51">
        <v>110</v>
      </c>
      <c r="C4" s="51">
        <v>127</v>
      </c>
      <c r="G4" t="s">
        <v>223</v>
      </c>
      <c r="H4">
        <v>6</v>
      </c>
      <c r="I4" s="51">
        <v>3476</v>
      </c>
    </row>
    <row r="5" spans="1:9" x14ac:dyDescent="0.25">
      <c r="A5">
        <v>10</v>
      </c>
      <c r="B5" s="51">
        <v>137</v>
      </c>
      <c r="C5" s="51">
        <v>183</v>
      </c>
      <c r="G5" t="s">
        <v>224</v>
      </c>
      <c r="H5" s="51">
        <v>7</v>
      </c>
      <c r="I5" s="51">
        <v>3476</v>
      </c>
    </row>
    <row r="6" spans="1:9" x14ac:dyDescent="0.25">
      <c r="A6">
        <v>100</v>
      </c>
      <c r="B6" s="51">
        <v>47</v>
      </c>
      <c r="C6" s="51">
        <v>2030</v>
      </c>
      <c r="G6" t="s">
        <v>225</v>
      </c>
      <c r="H6" s="51">
        <v>3</v>
      </c>
      <c r="I6" s="51">
        <v>3476</v>
      </c>
    </row>
    <row r="7" spans="1:9" x14ac:dyDescent="0.25">
      <c r="A7">
        <v>11</v>
      </c>
      <c r="B7" s="51">
        <v>140</v>
      </c>
      <c r="C7" s="51">
        <v>169</v>
      </c>
      <c r="G7" t="s">
        <v>226</v>
      </c>
      <c r="H7" s="51">
        <v>7</v>
      </c>
      <c r="I7" s="51">
        <v>3476</v>
      </c>
    </row>
    <row r="8" spans="1:9" x14ac:dyDescent="0.25">
      <c r="A8">
        <v>12</v>
      </c>
      <c r="B8" s="51">
        <v>190</v>
      </c>
      <c r="C8" s="51">
        <v>214</v>
      </c>
      <c r="G8" t="s">
        <v>227</v>
      </c>
      <c r="H8" s="51">
        <v>5</v>
      </c>
      <c r="I8" s="51">
        <v>3476</v>
      </c>
    </row>
    <row r="9" spans="1:9" x14ac:dyDescent="0.25">
      <c r="A9">
        <v>123</v>
      </c>
      <c r="B9" s="51">
        <v>41</v>
      </c>
      <c r="C9" s="51">
        <v>491</v>
      </c>
      <c r="G9" t="s">
        <v>228</v>
      </c>
      <c r="H9" s="51">
        <v>5</v>
      </c>
      <c r="I9" s="51">
        <v>3476</v>
      </c>
    </row>
    <row r="10" spans="1:9" x14ac:dyDescent="0.25">
      <c r="A10">
        <v>15</v>
      </c>
      <c r="B10" s="51">
        <v>51</v>
      </c>
      <c r="C10" s="51">
        <v>65</v>
      </c>
      <c r="G10" t="s">
        <v>229</v>
      </c>
      <c r="H10">
        <v>4</v>
      </c>
      <c r="I10" s="51">
        <v>3476</v>
      </c>
    </row>
    <row r="11" spans="1:9" x14ac:dyDescent="0.25">
      <c r="A11">
        <v>16</v>
      </c>
      <c r="B11" s="51">
        <v>170</v>
      </c>
      <c r="C11" s="51">
        <v>199</v>
      </c>
      <c r="G11" t="s">
        <v>230</v>
      </c>
      <c r="H11" s="51">
        <v>4</v>
      </c>
      <c r="I11" s="51">
        <v>3476</v>
      </c>
    </row>
    <row r="12" spans="1:9" x14ac:dyDescent="0.25">
      <c r="A12">
        <v>18</v>
      </c>
      <c r="B12" s="51">
        <v>155</v>
      </c>
      <c r="C12" s="51">
        <v>177</v>
      </c>
      <c r="E12">
        <f>+F12</f>
        <v>1</v>
      </c>
      <c r="F12">
        <v>1</v>
      </c>
      <c r="G12" t="s">
        <v>222</v>
      </c>
      <c r="H12">
        <v>49</v>
      </c>
      <c r="I12" s="51">
        <v>127</v>
      </c>
    </row>
    <row r="13" spans="1:9" x14ac:dyDescent="0.25">
      <c r="A13">
        <v>19</v>
      </c>
      <c r="B13" s="51">
        <v>185</v>
      </c>
      <c r="C13" s="51">
        <v>207</v>
      </c>
      <c r="E13">
        <f>+$E$12</f>
        <v>1</v>
      </c>
      <c r="G13" t="s">
        <v>223</v>
      </c>
      <c r="H13" s="51">
        <v>46</v>
      </c>
      <c r="I13" s="51">
        <v>127</v>
      </c>
    </row>
    <row r="14" spans="1:9" x14ac:dyDescent="0.25">
      <c r="A14">
        <v>2</v>
      </c>
      <c r="B14" s="51">
        <v>114</v>
      </c>
      <c r="C14" s="51">
        <v>137</v>
      </c>
      <c r="E14">
        <f t="shared" ref="E14:E20" si="0">+$E$12</f>
        <v>1</v>
      </c>
      <c r="G14" t="s">
        <v>224</v>
      </c>
      <c r="H14" s="51">
        <v>56</v>
      </c>
      <c r="I14" s="51">
        <v>127</v>
      </c>
    </row>
    <row r="15" spans="1:9" x14ac:dyDescent="0.25">
      <c r="A15">
        <v>20</v>
      </c>
      <c r="B15" s="51">
        <v>205</v>
      </c>
      <c r="C15" s="51">
        <v>227</v>
      </c>
      <c r="E15">
        <f t="shared" si="0"/>
        <v>1</v>
      </c>
      <c r="G15" t="s">
        <v>225</v>
      </c>
      <c r="H15" s="51">
        <v>47</v>
      </c>
      <c r="I15" s="51">
        <v>127</v>
      </c>
    </row>
    <row r="16" spans="1:9" x14ac:dyDescent="0.25">
      <c r="A16">
        <v>21</v>
      </c>
      <c r="B16" s="51">
        <v>148</v>
      </c>
      <c r="C16" s="51">
        <v>171</v>
      </c>
      <c r="E16">
        <f t="shared" si="0"/>
        <v>1</v>
      </c>
      <c r="G16" t="s">
        <v>226</v>
      </c>
      <c r="H16" s="51">
        <v>69</v>
      </c>
      <c r="I16" s="51">
        <v>127</v>
      </c>
    </row>
    <row r="17" spans="1:9" x14ac:dyDescent="0.25">
      <c r="A17">
        <v>22</v>
      </c>
      <c r="B17" s="51">
        <v>69</v>
      </c>
      <c r="C17" s="51">
        <v>75</v>
      </c>
      <c r="E17">
        <f t="shared" si="0"/>
        <v>1</v>
      </c>
      <c r="G17" t="s">
        <v>227</v>
      </c>
      <c r="H17" s="51">
        <v>65</v>
      </c>
      <c r="I17" s="51">
        <v>127</v>
      </c>
    </row>
    <row r="18" spans="1:9" x14ac:dyDescent="0.25">
      <c r="A18">
        <v>23</v>
      </c>
      <c r="B18" s="51">
        <v>140</v>
      </c>
      <c r="C18" s="51">
        <v>154</v>
      </c>
      <c r="E18">
        <f t="shared" si="0"/>
        <v>1</v>
      </c>
      <c r="G18" t="s">
        <v>228</v>
      </c>
      <c r="H18" s="51">
        <v>28</v>
      </c>
      <c r="I18" s="51">
        <v>127</v>
      </c>
    </row>
    <row r="19" spans="1:9" x14ac:dyDescent="0.25">
      <c r="A19">
        <v>24</v>
      </c>
      <c r="B19" s="51">
        <v>118</v>
      </c>
      <c r="C19" s="51">
        <v>178</v>
      </c>
      <c r="E19">
        <f t="shared" si="0"/>
        <v>1</v>
      </c>
      <c r="G19" t="s">
        <v>229</v>
      </c>
      <c r="H19" s="51">
        <v>37</v>
      </c>
      <c r="I19" s="51">
        <v>127</v>
      </c>
    </row>
    <row r="20" spans="1:9" x14ac:dyDescent="0.25">
      <c r="A20">
        <v>25</v>
      </c>
      <c r="B20" s="51">
        <v>84</v>
      </c>
      <c r="C20" s="51">
        <v>172</v>
      </c>
      <c r="E20">
        <f t="shared" si="0"/>
        <v>1</v>
      </c>
      <c r="G20" t="s">
        <v>230</v>
      </c>
      <c r="H20">
        <v>49</v>
      </c>
      <c r="I20" s="51">
        <v>127</v>
      </c>
    </row>
    <row r="21" spans="1:9" x14ac:dyDescent="0.25">
      <c r="A21">
        <v>26</v>
      </c>
      <c r="B21" s="51">
        <v>75</v>
      </c>
      <c r="C21" s="51">
        <v>166</v>
      </c>
      <c r="E21">
        <f>+$F$21</f>
        <v>10</v>
      </c>
      <c r="F21">
        <v>10</v>
      </c>
      <c r="G21" t="s">
        <v>222</v>
      </c>
      <c r="H21" s="51">
        <v>31</v>
      </c>
      <c r="I21" s="51">
        <v>183</v>
      </c>
    </row>
    <row r="22" spans="1:9" x14ac:dyDescent="0.25">
      <c r="A22">
        <v>27</v>
      </c>
      <c r="B22" s="51">
        <v>130</v>
      </c>
      <c r="C22" s="51">
        <v>133</v>
      </c>
      <c r="E22">
        <f t="shared" ref="E22:E29" si="1">+$F$21</f>
        <v>10</v>
      </c>
      <c r="G22" t="s">
        <v>223</v>
      </c>
      <c r="H22" s="51">
        <v>24</v>
      </c>
      <c r="I22" s="51">
        <v>183</v>
      </c>
    </row>
    <row r="23" spans="1:9" x14ac:dyDescent="0.25">
      <c r="A23">
        <v>28</v>
      </c>
      <c r="B23" s="51">
        <v>146</v>
      </c>
      <c r="C23" s="51">
        <v>168</v>
      </c>
      <c r="E23">
        <f t="shared" si="1"/>
        <v>10</v>
      </c>
      <c r="G23" t="s">
        <v>224</v>
      </c>
      <c r="H23" s="51">
        <v>70</v>
      </c>
      <c r="I23" s="51">
        <v>183</v>
      </c>
    </row>
    <row r="24" spans="1:9" x14ac:dyDescent="0.25">
      <c r="A24">
        <v>3</v>
      </c>
      <c r="B24" s="51">
        <v>154</v>
      </c>
      <c r="C24" s="51">
        <v>170</v>
      </c>
      <c r="E24">
        <f t="shared" si="1"/>
        <v>10</v>
      </c>
      <c r="G24" t="s">
        <v>225</v>
      </c>
      <c r="H24" s="51">
        <v>52</v>
      </c>
      <c r="I24" s="51">
        <v>183</v>
      </c>
    </row>
    <row r="25" spans="1:9" x14ac:dyDescent="0.25">
      <c r="A25">
        <v>30</v>
      </c>
      <c r="B25" s="51">
        <v>28</v>
      </c>
      <c r="C25" s="51">
        <v>139</v>
      </c>
      <c r="E25">
        <f t="shared" si="1"/>
        <v>10</v>
      </c>
      <c r="G25" t="s">
        <v>226</v>
      </c>
      <c r="H25" s="51">
        <v>78</v>
      </c>
      <c r="I25" s="51">
        <v>183</v>
      </c>
    </row>
    <row r="26" spans="1:9" x14ac:dyDescent="0.25">
      <c r="A26">
        <v>31</v>
      </c>
      <c r="B26" s="51">
        <v>134</v>
      </c>
      <c r="C26" s="51">
        <v>161</v>
      </c>
      <c r="E26">
        <f t="shared" si="1"/>
        <v>10</v>
      </c>
      <c r="G26" t="s">
        <v>227</v>
      </c>
      <c r="H26" s="51">
        <v>65</v>
      </c>
      <c r="I26" s="51">
        <v>183</v>
      </c>
    </row>
    <row r="27" spans="1:9" x14ac:dyDescent="0.25">
      <c r="A27">
        <v>32</v>
      </c>
      <c r="B27" s="51">
        <v>53</v>
      </c>
      <c r="C27" s="51">
        <v>58</v>
      </c>
      <c r="E27">
        <f t="shared" si="1"/>
        <v>10</v>
      </c>
      <c r="G27" t="s">
        <v>228</v>
      </c>
      <c r="H27" s="51">
        <v>20</v>
      </c>
      <c r="I27" s="51">
        <v>183</v>
      </c>
    </row>
    <row r="28" spans="1:9" x14ac:dyDescent="0.25">
      <c r="A28">
        <v>33</v>
      </c>
      <c r="B28" s="51">
        <v>143</v>
      </c>
      <c r="C28" s="51">
        <v>167</v>
      </c>
      <c r="E28">
        <f t="shared" si="1"/>
        <v>10</v>
      </c>
      <c r="G28" t="s">
        <v>229</v>
      </c>
      <c r="H28" s="51">
        <v>18</v>
      </c>
      <c r="I28" s="51">
        <v>183</v>
      </c>
    </row>
    <row r="29" spans="1:9" x14ac:dyDescent="0.25">
      <c r="A29">
        <v>36</v>
      </c>
      <c r="B29" s="51">
        <v>121</v>
      </c>
      <c r="C29" s="51">
        <v>160</v>
      </c>
      <c r="E29">
        <f t="shared" si="1"/>
        <v>10</v>
      </c>
      <c r="G29" t="s">
        <v>230</v>
      </c>
      <c r="H29" s="51">
        <v>30</v>
      </c>
      <c r="I29" s="51">
        <v>183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29</v>
      </c>
      <c r="I30" s="51">
        <v>2030</v>
      </c>
    </row>
    <row r="31" spans="1:9" x14ac:dyDescent="0.25">
      <c r="A31">
        <v>4</v>
      </c>
      <c r="B31" s="51">
        <v>168</v>
      </c>
      <c r="C31" s="51">
        <v>182</v>
      </c>
      <c r="E31">
        <f t="shared" ref="E31:E38" si="2">+$F$30</f>
        <v>100</v>
      </c>
      <c r="G31" t="s">
        <v>223</v>
      </c>
      <c r="H31" s="51">
        <v>26</v>
      </c>
      <c r="I31" s="51">
        <v>2030</v>
      </c>
    </row>
    <row r="32" spans="1:9" x14ac:dyDescent="0.25">
      <c r="A32">
        <v>40</v>
      </c>
      <c r="B32" s="51">
        <v>121</v>
      </c>
      <c r="C32" s="51">
        <v>250</v>
      </c>
      <c r="E32">
        <f t="shared" si="2"/>
        <v>100</v>
      </c>
      <c r="G32" t="s">
        <v>224</v>
      </c>
      <c r="H32" s="51">
        <v>29</v>
      </c>
      <c r="I32" s="51">
        <v>2030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12</v>
      </c>
      <c r="I33" s="51">
        <v>2030</v>
      </c>
    </row>
    <row r="34" spans="1:9" x14ac:dyDescent="0.25">
      <c r="A34">
        <v>43</v>
      </c>
      <c r="B34" s="51">
        <v>22</v>
      </c>
      <c r="C34" s="51">
        <v>93</v>
      </c>
      <c r="E34">
        <f t="shared" si="2"/>
        <v>100</v>
      </c>
      <c r="G34" t="s">
        <v>226</v>
      </c>
      <c r="H34" s="51">
        <v>34</v>
      </c>
      <c r="I34" s="51">
        <v>2030</v>
      </c>
    </row>
    <row r="35" spans="1:9" x14ac:dyDescent="0.25">
      <c r="A35">
        <v>44</v>
      </c>
      <c r="B35" s="51">
        <v>146</v>
      </c>
      <c r="C35" s="51">
        <v>170</v>
      </c>
      <c r="E35">
        <f t="shared" si="2"/>
        <v>100</v>
      </c>
      <c r="G35" t="s">
        <v>227</v>
      </c>
      <c r="H35" s="51">
        <v>18</v>
      </c>
      <c r="I35" s="51">
        <v>2030</v>
      </c>
    </row>
    <row r="36" spans="1:9" x14ac:dyDescent="0.25">
      <c r="A36">
        <v>49</v>
      </c>
      <c r="B36" s="51">
        <v>117</v>
      </c>
      <c r="C36" s="51">
        <v>243</v>
      </c>
      <c r="E36">
        <f t="shared" si="2"/>
        <v>100</v>
      </c>
      <c r="G36" t="s">
        <v>228</v>
      </c>
      <c r="H36" s="51">
        <v>23</v>
      </c>
      <c r="I36" s="51">
        <v>2030</v>
      </c>
    </row>
    <row r="37" spans="1:9" x14ac:dyDescent="0.25">
      <c r="A37">
        <v>5</v>
      </c>
      <c r="B37" s="51">
        <v>236</v>
      </c>
      <c r="C37" s="51">
        <v>261</v>
      </c>
      <c r="E37">
        <f t="shared" si="2"/>
        <v>100</v>
      </c>
      <c r="G37" t="s">
        <v>229</v>
      </c>
      <c r="H37" s="51">
        <v>9</v>
      </c>
      <c r="I37" s="51">
        <v>2030</v>
      </c>
    </row>
    <row r="38" spans="1:9" x14ac:dyDescent="0.25">
      <c r="A38">
        <v>52</v>
      </c>
      <c r="B38" s="51">
        <v>53</v>
      </c>
      <c r="C38" s="51">
        <v>103</v>
      </c>
      <c r="E38">
        <f t="shared" si="2"/>
        <v>100</v>
      </c>
      <c r="G38" t="s">
        <v>230</v>
      </c>
      <c r="H38" s="51">
        <v>5</v>
      </c>
      <c r="I38" s="51">
        <v>2030</v>
      </c>
    </row>
    <row r="39" spans="1:9" x14ac:dyDescent="0.25">
      <c r="A39">
        <v>53</v>
      </c>
      <c r="B39" s="51">
        <v>66</v>
      </c>
      <c r="C39" s="51">
        <v>105</v>
      </c>
      <c r="E39">
        <f>+$F$39</f>
        <v>11</v>
      </c>
      <c r="F39">
        <v>11</v>
      </c>
      <c r="G39" t="s">
        <v>222</v>
      </c>
      <c r="H39" s="51">
        <v>60</v>
      </c>
      <c r="I39" s="51">
        <v>169</v>
      </c>
    </row>
    <row r="40" spans="1:9" x14ac:dyDescent="0.25">
      <c r="A40">
        <v>54</v>
      </c>
      <c r="B40" s="51">
        <v>134</v>
      </c>
      <c r="C40" s="51">
        <v>179</v>
      </c>
      <c r="E40">
        <f t="shared" ref="E40:E47" si="3">+$F$39</f>
        <v>11</v>
      </c>
      <c r="G40" t="s">
        <v>223</v>
      </c>
      <c r="H40" s="51">
        <v>41</v>
      </c>
      <c r="I40" s="51">
        <v>169</v>
      </c>
    </row>
    <row r="41" spans="1:9" x14ac:dyDescent="0.25">
      <c r="A41">
        <v>56</v>
      </c>
      <c r="B41">
        <v>89</v>
      </c>
      <c r="C41" s="51">
        <v>197</v>
      </c>
      <c r="E41">
        <f t="shared" si="3"/>
        <v>11</v>
      </c>
      <c r="G41" t="s">
        <v>224</v>
      </c>
      <c r="H41" s="51">
        <v>98</v>
      </c>
      <c r="I41" s="51">
        <v>169</v>
      </c>
    </row>
    <row r="42" spans="1:9" x14ac:dyDescent="0.25">
      <c r="A42">
        <v>57</v>
      </c>
      <c r="B42" s="51">
        <v>44</v>
      </c>
      <c r="C42" s="51">
        <v>105</v>
      </c>
      <c r="E42">
        <f t="shared" si="3"/>
        <v>11</v>
      </c>
      <c r="G42" t="s">
        <v>225</v>
      </c>
      <c r="H42" s="51">
        <v>53</v>
      </c>
      <c r="I42" s="51">
        <v>169</v>
      </c>
    </row>
    <row r="43" spans="1:9" x14ac:dyDescent="0.25">
      <c r="A43">
        <v>58</v>
      </c>
      <c r="B43" s="51">
        <v>41</v>
      </c>
      <c r="C43" s="51">
        <v>122</v>
      </c>
      <c r="E43">
        <f t="shared" si="3"/>
        <v>11</v>
      </c>
      <c r="G43" t="s">
        <v>226</v>
      </c>
      <c r="H43" s="51">
        <v>95</v>
      </c>
      <c r="I43" s="51">
        <v>169</v>
      </c>
    </row>
    <row r="44" spans="1:9" x14ac:dyDescent="0.25">
      <c r="A44">
        <v>59</v>
      </c>
      <c r="B44" s="51">
        <v>63</v>
      </c>
      <c r="C44" s="51">
        <v>124</v>
      </c>
      <c r="E44">
        <f t="shared" si="3"/>
        <v>11</v>
      </c>
      <c r="G44" t="s">
        <v>227</v>
      </c>
      <c r="H44" s="51">
        <v>77</v>
      </c>
      <c r="I44" s="51">
        <v>169</v>
      </c>
    </row>
    <row r="45" spans="1:9" x14ac:dyDescent="0.25">
      <c r="A45">
        <v>7</v>
      </c>
      <c r="B45" s="51">
        <v>21</v>
      </c>
      <c r="C45" s="51">
        <v>115</v>
      </c>
      <c r="E45">
        <f t="shared" si="3"/>
        <v>11</v>
      </c>
      <c r="G45" t="s">
        <v>228</v>
      </c>
      <c r="H45" s="51">
        <v>14</v>
      </c>
      <c r="I45" s="51">
        <v>169</v>
      </c>
    </row>
    <row r="46" spans="1:9" x14ac:dyDescent="0.25">
      <c r="A46">
        <v>8</v>
      </c>
      <c r="B46" s="51">
        <v>157</v>
      </c>
      <c r="C46" s="51">
        <v>195</v>
      </c>
      <c r="E46">
        <f t="shared" si="3"/>
        <v>11</v>
      </c>
      <c r="G46" t="s">
        <v>229</v>
      </c>
      <c r="H46" s="51">
        <v>31</v>
      </c>
      <c r="I46" s="51">
        <v>169</v>
      </c>
    </row>
    <row r="47" spans="1:9" x14ac:dyDescent="0.25">
      <c r="A47">
        <v>9</v>
      </c>
      <c r="B47" s="51">
        <v>137</v>
      </c>
      <c r="C47" s="51">
        <v>156</v>
      </c>
      <c r="E47">
        <f t="shared" si="3"/>
        <v>11</v>
      </c>
      <c r="G47" t="s">
        <v>230</v>
      </c>
      <c r="H47" s="51">
        <v>28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81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65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99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54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104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91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32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46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491</v>
      </c>
    </row>
    <row r="58" spans="2:9" x14ac:dyDescent="0.25">
      <c r="E58">
        <f t="shared" ref="E58:E65" si="5">+$F$57</f>
        <v>123</v>
      </c>
      <c r="G58" t="s">
        <v>223</v>
      </c>
      <c r="H58" s="51">
        <v>20</v>
      </c>
      <c r="I58" s="51">
        <v>491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491</v>
      </c>
    </row>
    <row r="60" spans="2:9" x14ac:dyDescent="0.25">
      <c r="E60">
        <f t="shared" si="5"/>
        <v>123</v>
      </c>
      <c r="G60" t="s">
        <v>225</v>
      </c>
      <c r="H60" s="51">
        <v>4</v>
      </c>
      <c r="I60" s="51">
        <v>491</v>
      </c>
    </row>
    <row r="61" spans="2:9" x14ac:dyDescent="0.25">
      <c r="E61">
        <f t="shared" si="5"/>
        <v>123</v>
      </c>
      <c r="G61" t="s">
        <v>226</v>
      </c>
      <c r="H61" s="51">
        <v>22</v>
      </c>
      <c r="I61" s="51">
        <v>491</v>
      </c>
    </row>
    <row r="62" spans="2:9" x14ac:dyDescent="0.25">
      <c r="E62">
        <f t="shared" si="5"/>
        <v>123</v>
      </c>
      <c r="G62" t="s">
        <v>227</v>
      </c>
      <c r="H62" s="51">
        <v>12</v>
      </c>
      <c r="I62" s="51">
        <v>491</v>
      </c>
    </row>
    <row r="63" spans="2:9" x14ac:dyDescent="0.25">
      <c r="E63">
        <f t="shared" si="5"/>
        <v>123</v>
      </c>
      <c r="G63" t="s">
        <v>228</v>
      </c>
      <c r="H63" s="51">
        <v>18</v>
      </c>
      <c r="I63" s="51">
        <v>491</v>
      </c>
    </row>
    <row r="64" spans="2:9" x14ac:dyDescent="0.25">
      <c r="E64">
        <f t="shared" si="5"/>
        <v>123</v>
      </c>
      <c r="G64" t="s">
        <v>229</v>
      </c>
      <c r="H64" s="51">
        <v>6</v>
      </c>
      <c r="I64" s="51">
        <v>491</v>
      </c>
    </row>
    <row r="65" spans="5:9" x14ac:dyDescent="0.25">
      <c r="E65">
        <f t="shared" si="5"/>
        <v>123</v>
      </c>
      <c r="G65" t="s">
        <v>230</v>
      </c>
      <c r="H65" s="51">
        <v>6</v>
      </c>
      <c r="I65" s="51">
        <v>491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37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14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28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21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40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20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25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12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16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59</v>
      </c>
      <c r="I75" s="51">
        <v>199</v>
      </c>
    </row>
    <row r="76" spans="5:9" x14ac:dyDescent="0.25">
      <c r="E76">
        <f t="shared" ref="E76:E83" si="7">+$F$75</f>
        <v>16</v>
      </c>
      <c r="G76" t="s">
        <v>223</v>
      </c>
      <c r="H76">
        <v>36</v>
      </c>
      <c r="I76" s="51">
        <v>199</v>
      </c>
    </row>
    <row r="77" spans="5:9" x14ac:dyDescent="0.25">
      <c r="E77">
        <f t="shared" si="7"/>
        <v>16</v>
      </c>
      <c r="G77" t="s">
        <v>224</v>
      </c>
      <c r="H77" s="51">
        <v>106</v>
      </c>
      <c r="I77" s="51">
        <v>199</v>
      </c>
    </row>
    <row r="78" spans="5:9" x14ac:dyDescent="0.25">
      <c r="E78">
        <f t="shared" si="7"/>
        <v>16</v>
      </c>
      <c r="G78" t="s">
        <v>225</v>
      </c>
      <c r="H78" s="51">
        <v>52</v>
      </c>
      <c r="I78" s="51">
        <v>199</v>
      </c>
    </row>
    <row r="79" spans="5:9" x14ac:dyDescent="0.25">
      <c r="E79">
        <f t="shared" si="7"/>
        <v>16</v>
      </c>
      <c r="G79" t="s">
        <v>226</v>
      </c>
      <c r="H79" s="51">
        <v>95</v>
      </c>
      <c r="I79" s="51">
        <v>199</v>
      </c>
    </row>
    <row r="80" spans="5:9" x14ac:dyDescent="0.25">
      <c r="E80">
        <f t="shared" si="7"/>
        <v>16</v>
      </c>
      <c r="G80" t="s">
        <v>227</v>
      </c>
      <c r="H80" s="51">
        <v>84</v>
      </c>
      <c r="I80" s="51">
        <v>199</v>
      </c>
    </row>
    <row r="81" spans="5:9" x14ac:dyDescent="0.25">
      <c r="E81">
        <f t="shared" si="7"/>
        <v>16</v>
      </c>
      <c r="G81" t="s">
        <v>228</v>
      </c>
      <c r="H81" s="51">
        <v>13</v>
      </c>
      <c r="I81" s="51">
        <v>199</v>
      </c>
    </row>
    <row r="82" spans="5:9" x14ac:dyDescent="0.25">
      <c r="E82">
        <f t="shared" si="7"/>
        <v>16</v>
      </c>
      <c r="G82" t="s">
        <v>229</v>
      </c>
      <c r="H82" s="51">
        <v>44</v>
      </c>
      <c r="I82" s="51">
        <v>199</v>
      </c>
    </row>
    <row r="83" spans="5:9" x14ac:dyDescent="0.25">
      <c r="E83">
        <f t="shared" si="7"/>
        <v>16</v>
      </c>
      <c r="G83" t="s">
        <v>230</v>
      </c>
      <c r="H83" s="51">
        <v>38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69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55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72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65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122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92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21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43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49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75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52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97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68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130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100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15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42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50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34</v>
      </c>
      <c r="I102" s="51">
        <v>137</v>
      </c>
    </row>
    <row r="103" spans="5:9" x14ac:dyDescent="0.25">
      <c r="E103">
        <f t="shared" ref="E103:E110" si="10">+$F$102</f>
        <v>2</v>
      </c>
      <c r="G103" t="s">
        <v>223</v>
      </c>
      <c r="H103" s="51">
        <v>52</v>
      </c>
      <c r="I103" s="51">
        <v>137</v>
      </c>
    </row>
    <row r="104" spans="5:9" x14ac:dyDescent="0.25">
      <c r="E104">
        <f t="shared" si="10"/>
        <v>2</v>
      </c>
      <c r="G104" t="s">
        <v>224</v>
      </c>
      <c r="H104" s="51">
        <v>53</v>
      </c>
      <c r="I104" s="51">
        <v>137</v>
      </c>
    </row>
    <row r="105" spans="5:9" x14ac:dyDescent="0.25">
      <c r="E105">
        <f t="shared" si="10"/>
        <v>2</v>
      </c>
      <c r="G105" t="s">
        <v>225</v>
      </c>
      <c r="H105" s="51">
        <v>48</v>
      </c>
      <c r="I105" s="51">
        <v>137</v>
      </c>
    </row>
    <row r="106" spans="5:9" x14ac:dyDescent="0.25">
      <c r="E106">
        <f t="shared" si="10"/>
        <v>2</v>
      </c>
      <c r="G106" t="s">
        <v>226</v>
      </c>
      <c r="H106" s="51">
        <v>75</v>
      </c>
      <c r="I106" s="51">
        <v>137</v>
      </c>
    </row>
    <row r="107" spans="5:9" x14ac:dyDescent="0.25">
      <c r="E107">
        <f t="shared" si="10"/>
        <v>2</v>
      </c>
      <c r="G107" t="s">
        <v>227</v>
      </c>
      <c r="H107" s="51">
        <v>64</v>
      </c>
      <c r="I107" s="51">
        <v>137</v>
      </c>
    </row>
    <row r="108" spans="5:9" x14ac:dyDescent="0.25">
      <c r="E108">
        <f t="shared" si="10"/>
        <v>2</v>
      </c>
      <c r="G108" t="s">
        <v>228</v>
      </c>
      <c r="H108" s="51">
        <v>16</v>
      </c>
      <c r="I108" s="51">
        <v>137</v>
      </c>
    </row>
    <row r="109" spans="5:9" x14ac:dyDescent="0.25">
      <c r="E109">
        <f t="shared" si="10"/>
        <v>2</v>
      </c>
      <c r="G109" t="s">
        <v>229</v>
      </c>
      <c r="H109" s="51">
        <v>27</v>
      </c>
      <c r="I109" s="51">
        <v>137</v>
      </c>
    </row>
    <row r="110" spans="5:9" x14ac:dyDescent="0.25">
      <c r="E110">
        <f t="shared" si="10"/>
        <v>2</v>
      </c>
      <c r="G110" t="s">
        <v>230</v>
      </c>
      <c r="H110" s="51">
        <v>38</v>
      </c>
      <c r="I110" s="51">
        <v>137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91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68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121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75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133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115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46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42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77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72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110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67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128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103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28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42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40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53</v>
      </c>
      <c r="I129" s="51">
        <v>75</v>
      </c>
    </row>
    <row r="130" spans="5:9" x14ac:dyDescent="0.25">
      <c r="E130">
        <f t="shared" ref="E130:E137" si="13">+$F$129</f>
        <v>22</v>
      </c>
      <c r="G130" t="s">
        <v>223</v>
      </c>
      <c r="H130" s="51">
        <v>37</v>
      </c>
      <c r="I130" s="51">
        <v>75</v>
      </c>
    </row>
    <row r="131" spans="5:9" x14ac:dyDescent="0.25">
      <c r="E131">
        <f t="shared" si="13"/>
        <v>22</v>
      </c>
      <c r="G131" t="s">
        <v>224</v>
      </c>
      <c r="H131" s="51">
        <v>38</v>
      </c>
      <c r="I131" s="51">
        <v>75</v>
      </c>
    </row>
    <row r="132" spans="5:9" x14ac:dyDescent="0.25">
      <c r="E132">
        <f t="shared" si="13"/>
        <v>22</v>
      </c>
      <c r="G132" t="s">
        <v>225</v>
      </c>
      <c r="H132" s="51">
        <v>35</v>
      </c>
      <c r="I132" s="51">
        <v>75</v>
      </c>
    </row>
    <row r="133" spans="5:9" x14ac:dyDescent="0.25">
      <c r="E133">
        <f t="shared" si="13"/>
        <v>22</v>
      </c>
      <c r="G133" t="s">
        <v>226</v>
      </c>
      <c r="H133" s="51">
        <v>55</v>
      </c>
      <c r="I133" s="51">
        <v>75</v>
      </c>
    </row>
    <row r="134" spans="5:9" x14ac:dyDescent="0.25">
      <c r="E134">
        <f t="shared" si="13"/>
        <v>22</v>
      </c>
      <c r="G134" t="s">
        <v>227</v>
      </c>
      <c r="H134" s="51">
        <v>43</v>
      </c>
      <c r="I134" s="51">
        <v>75</v>
      </c>
    </row>
    <row r="135" spans="5:9" x14ac:dyDescent="0.25">
      <c r="E135">
        <f t="shared" si="13"/>
        <v>22</v>
      </c>
      <c r="G135" t="s">
        <v>228</v>
      </c>
      <c r="H135" s="51">
        <v>47</v>
      </c>
      <c r="I135" s="51">
        <v>75</v>
      </c>
    </row>
    <row r="136" spans="5:9" x14ac:dyDescent="0.25">
      <c r="E136">
        <f t="shared" si="13"/>
        <v>22</v>
      </c>
      <c r="G136" t="s">
        <v>229</v>
      </c>
      <c r="H136" s="51">
        <v>38</v>
      </c>
      <c r="I136" s="51">
        <v>75</v>
      </c>
    </row>
    <row r="137" spans="5:9" x14ac:dyDescent="0.25">
      <c r="E137">
        <f t="shared" si="13"/>
        <v>22</v>
      </c>
      <c r="G137" t="s">
        <v>230</v>
      </c>
      <c r="H137" s="51">
        <v>38</v>
      </c>
      <c r="I137" s="51">
        <v>75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69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68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107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56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118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104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19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40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34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48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18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83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35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75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59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28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15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44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39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54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62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57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57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29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23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42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9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15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29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35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35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41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24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29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67</v>
      </c>
      <c r="I174" s="51">
        <v>133</v>
      </c>
    </row>
    <row r="175" spans="5:9" x14ac:dyDescent="0.25">
      <c r="E175">
        <f t="shared" ref="E175:E182" si="18">+$F$174</f>
        <v>27</v>
      </c>
      <c r="G175" t="s">
        <v>223</v>
      </c>
      <c r="H175" s="51">
        <v>38</v>
      </c>
      <c r="I175" s="51">
        <v>133</v>
      </c>
    </row>
    <row r="176" spans="5:9" x14ac:dyDescent="0.25">
      <c r="E176">
        <f t="shared" si="18"/>
        <v>27</v>
      </c>
      <c r="G176" t="s">
        <v>224</v>
      </c>
      <c r="H176" s="51">
        <v>68</v>
      </c>
      <c r="I176" s="51">
        <v>133</v>
      </c>
    </row>
    <row r="177" spans="5:9" x14ac:dyDescent="0.25">
      <c r="E177">
        <f t="shared" si="18"/>
        <v>27</v>
      </c>
      <c r="G177" t="s">
        <v>225</v>
      </c>
      <c r="H177" s="51">
        <v>60</v>
      </c>
      <c r="I177" s="51">
        <v>133</v>
      </c>
    </row>
    <row r="178" spans="5:9" x14ac:dyDescent="0.25">
      <c r="E178">
        <f t="shared" si="18"/>
        <v>27</v>
      </c>
      <c r="G178" t="s">
        <v>226</v>
      </c>
      <c r="H178" s="51">
        <v>104</v>
      </c>
      <c r="I178" s="51">
        <v>133</v>
      </c>
    </row>
    <row r="179" spans="5:9" x14ac:dyDescent="0.25">
      <c r="E179">
        <f t="shared" si="18"/>
        <v>27</v>
      </c>
      <c r="G179" t="s">
        <v>227</v>
      </c>
      <c r="H179" s="51">
        <v>91</v>
      </c>
      <c r="I179" s="51">
        <v>133</v>
      </c>
    </row>
    <row r="180" spans="5:9" x14ac:dyDescent="0.25">
      <c r="E180">
        <f t="shared" si="18"/>
        <v>27</v>
      </c>
      <c r="G180" t="s">
        <v>228</v>
      </c>
      <c r="H180">
        <v>29</v>
      </c>
      <c r="I180" s="51">
        <v>133</v>
      </c>
    </row>
    <row r="181" spans="5:9" x14ac:dyDescent="0.25">
      <c r="E181">
        <f t="shared" si="18"/>
        <v>27</v>
      </c>
      <c r="G181" t="s">
        <v>229</v>
      </c>
      <c r="H181" s="51">
        <v>38</v>
      </c>
      <c r="I181" s="51">
        <v>133</v>
      </c>
    </row>
    <row r="182" spans="5:9" x14ac:dyDescent="0.25">
      <c r="E182">
        <f t="shared" si="18"/>
        <v>27</v>
      </c>
      <c r="G182" t="s">
        <v>230</v>
      </c>
      <c r="H182" s="51">
        <v>31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44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35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60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53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98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93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17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28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23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62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48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88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52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102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86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20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42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36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10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14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4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8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3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11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65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39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80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50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106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96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35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41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25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33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14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25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26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43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29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29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21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23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56</v>
      </c>
      <c r="I228" s="51">
        <v>167</v>
      </c>
    </row>
    <row r="229" spans="5:9" x14ac:dyDescent="0.25">
      <c r="E229">
        <f t="shared" ref="E229:E236" si="24">+$F$228</f>
        <v>33</v>
      </c>
      <c r="G229" t="s">
        <v>223</v>
      </c>
      <c r="H229" s="51">
        <v>44</v>
      </c>
      <c r="I229" s="51">
        <v>167</v>
      </c>
    </row>
    <row r="230" spans="5:9" x14ac:dyDescent="0.25">
      <c r="E230">
        <f t="shared" si="24"/>
        <v>33</v>
      </c>
      <c r="G230" t="s">
        <v>224</v>
      </c>
      <c r="H230" s="51">
        <v>69</v>
      </c>
      <c r="I230" s="51">
        <v>167</v>
      </c>
    </row>
    <row r="231" spans="5:9" x14ac:dyDescent="0.25">
      <c r="E231">
        <f t="shared" si="24"/>
        <v>33</v>
      </c>
      <c r="G231" t="s">
        <v>225</v>
      </c>
      <c r="H231" s="51">
        <v>51</v>
      </c>
      <c r="I231" s="51">
        <v>167</v>
      </c>
    </row>
    <row r="232" spans="5:9" x14ac:dyDescent="0.25">
      <c r="E232">
        <f t="shared" si="24"/>
        <v>33</v>
      </c>
      <c r="G232" t="s">
        <v>226</v>
      </c>
      <c r="H232" s="51">
        <v>88</v>
      </c>
      <c r="I232" s="51">
        <v>167</v>
      </c>
    </row>
    <row r="233" spans="5:9" x14ac:dyDescent="0.25">
      <c r="E233">
        <f t="shared" si="24"/>
        <v>33</v>
      </c>
      <c r="G233" t="s">
        <v>227</v>
      </c>
      <c r="H233" s="51">
        <v>78</v>
      </c>
      <c r="I233" s="51">
        <v>167</v>
      </c>
    </row>
    <row r="234" spans="5:9" x14ac:dyDescent="0.25">
      <c r="E234">
        <f t="shared" si="24"/>
        <v>33</v>
      </c>
      <c r="G234" t="s">
        <v>228</v>
      </c>
      <c r="H234" s="51">
        <v>15</v>
      </c>
      <c r="I234" s="51">
        <v>167</v>
      </c>
    </row>
    <row r="235" spans="5:9" x14ac:dyDescent="0.25">
      <c r="E235">
        <f t="shared" si="24"/>
        <v>33</v>
      </c>
      <c r="G235" t="s">
        <v>229</v>
      </c>
      <c r="H235" s="51">
        <v>31</v>
      </c>
      <c r="I235" s="51">
        <v>167</v>
      </c>
    </row>
    <row r="236" spans="5:9" x14ac:dyDescent="0.25">
      <c r="E236">
        <f t="shared" si="24"/>
        <v>33</v>
      </c>
      <c r="G236" t="s">
        <v>230</v>
      </c>
      <c r="H236">
        <v>23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38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24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65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59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87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62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22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18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19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17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9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21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47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32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21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16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48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40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76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61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97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78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26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44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51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37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15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46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51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82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82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32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35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22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4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3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46</v>
      </c>
      <c r="I291" s="51">
        <v>170</v>
      </c>
    </row>
    <row r="292" spans="5:9" x14ac:dyDescent="0.25">
      <c r="E292">
        <f t="shared" ref="E292:E299" si="31">+$F$291</f>
        <v>44</v>
      </c>
      <c r="G292" t="s">
        <v>223</v>
      </c>
      <c r="H292">
        <v>47</v>
      </c>
      <c r="I292" s="51">
        <v>170</v>
      </c>
    </row>
    <row r="293" spans="5:9" x14ac:dyDescent="0.25">
      <c r="E293">
        <f t="shared" si="31"/>
        <v>44</v>
      </c>
      <c r="G293" t="s">
        <v>224</v>
      </c>
      <c r="H293">
        <v>85</v>
      </c>
      <c r="I293" s="51">
        <v>170</v>
      </c>
    </row>
    <row r="294" spans="5:9" x14ac:dyDescent="0.25">
      <c r="E294">
        <f t="shared" si="31"/>
        <v>44</v>
      </c>
      <c r="G294" t="s">
        <v>225</v>
      </c>
      <c r="H294">
        <v>56</v>
      </c>
      <c r="I294" s="51">
        <v>170</v>
      </c>
    </row>
    <row r="295" spans="5:9" x14ac:dyDescent="0.25">
      <c r="E295">
        <f t="shared" si="31"/>
        <v>44</v>
      </c>
      <c r="G295" t="s">
        <v>226</v>
      </c>
      <c r="H295">
        <v>119</v>
      </c>
      <c r="I295" s="51">
        <v>170</v>
      </c>
    </row>
    <row r="296" spans="5:9" x14ac:dyDescent="0.25">
      <c r="E296">
        <f t="shared" si="31"/>
        <v>44</v>
      </c>
      <c r="G296" t="s">
        <v>227</v>
      </c>
      <c r="H296">
        <v>104</v>
      </c>
      <c r="I296" s="51">
        <v>170</v>
      </c>
    </row>
    <row r="297" spans="5:9" x14ac:dyDescent="0.25">
      <c r="E297">
        <f t="shared" si="31"/>
        <v>44</v>
      </c>
      <c r="G297" t="s">
        <v>228</v>
      </c>
      <c r="H297" s="51">
        <v>19</v>
      </c>
      <c r="I297" s="51">
        <v>170</v>
      </c>
    </row>
    <row r="298" spans="5:9" x14ac:dyDescent="0.25">
      <c r="E298">
        <f t="shared" si="31"/>
        <v>44</v>
      </c>
      <c r="G298" t="s">
        <v>229</v>
      </c>
      <c r="H298">
        <v>41</v>
      </c>
      <c r="I298" s="51">
        <v>170</v>
      </c>
    </row>
    <row r="299" spans="5:9" x14ac:dyDescent="0.25">
      <c r="E299">
        <f t="shared" si="31"/>
        <v>44</v>
      </c>
      <c r="G299" t="s">
        <v>230</v>
      </c>
      <c r="H299" s="51">
        <v>35</v>
      </c>
      <c r="I299" s="51">
        <v>170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43</v>
      </c>
      <c r="I300" s="51">
        <v>243</v>
      </c>
    </row>
    <row r="301" spans="5:9" x14ac:dyDescent="0.25">
      <c r="E301">
        <f t="shared" ref="E301:E308" si="32">+$F$300</f>
        <v>49</v>
      </c>
      <c r="G301" t="s">
        <v>223</v>
      </c>
      <c r="H301" s="51">
        <v>16</v>
      </c>
      <c r="I301" s="51">
        <v>243</v>
      </c>
    </row>
    <row r="302" spans="5:9" x14ac:dyDescent="0.25">
      <c r="E302">
        <f t="shared" si="32"/>
        <v>49</v>
      </c>
      <c r="G302" t="s">
        <v>224</v>
      </c>
      <c r="H302" s="51">
        <v>67</v>
      </c>
      <c r="I302" s="51">
        <v>243</v>
      </c>
    </row>
    <row r="303" spans="5:9" x14ac:dyDescent="0.25">
      <c r="E303">
        <f t="shared" si="32"/>
        <v>49</v>
      </c>
      <c r="G303" t="s">
        <v>225</v>
      </c>
      <c r="H303" s="51">
        <v>18</v>
      </c>
      <c r="I303" s="51">
        <v>243</v>
      </c>
    </row>
    <row r="304" spans="5:9" x14ac:dyDescent="0.25">
      <c r="E304">
        <f t="shared" si="32"/>
        <v>49</v>
      </c>
      <c r="G304" t="s">
        <v>226</v>
      </c>
      <c r="H304" s="51">
        <v>54</v>
      </c>
      <c r="I304" s="51">
        <v>243</v>
      </c>
    </row>
    <row r="305" spans="5:9" x14ac:dyDescent="0.25">
      <c r="E305">
        <f t="shared" si="32"/>
        <v>49</v>
      </c>
      <c r="G305" t="s">
        <v>227</v>
      </c>
      <c r="H305" s="51">
        <v>36</v>
      </c>
      <c r="I305" s="51">
        <v>243</v>
      </c>
    </row>
    <row r="306" spans="5:9" x14ac:dyDescent="0.25">
      <c r="E306">
        <f t="shared" si="32"/>
        <v>49</v>
      </c>
      <c r="G306" t="s">
        <v>228</v>
      </c>
      <c r="H306" s="51">
        <v>52</v>
      </c>
      <c r="I306" s="51">
        <v>243</v>
      </c>
    </row>
    <row r="307" spans="5:9" x14ac:dyDescent="0.25">
      <c r="E307">
        <f t="shared" si="32"/>
        <v>49</v>
      </c>
      <c r="G307" t="s">
        <v>229</v>
      </c>
      <c r="H307">
        <v>29</v>
      </c>
      <c r="I307" s="51">
        <v>243</v>
      </c>
    </row>
    <row r="308" spans="5:9" x14ac:dyDescent="0.25">
      <c r="E308">
        <f t="shared" si="32"/>
        <v>49</v>
      </c>
      <c r="G308" t="s">
        <v>230</v>
      </c>
      <c r="H308">
        <v>28</v>
      </c>
      <c r="I308" s="51">
        <v>243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106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80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127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71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165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129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50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60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49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103</v>
      </c>
    </row>
    <row r="319" spans="5:9" x14ac:dyDescent="0.25">
      <c r="E319">
        <f t="shared" ref="E319:E326" si="34">+$F$318</f>
        <v>52</v>
      </c>
      <c r="G319" t="s">
        <v>223</v>
      </c>
      <c r="H319" s="51">
        <v>10</v>
      </c>
      <c r="I319" s="51">
        <v>103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103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103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103</v>
      </c>
    </row>
    <row r="323" spans="5:9" x14ac:dyDescent="0.25">
      <c r="E323">
        <f t="shared" si="34"/>
        <v>52</v>
      </c>
      <c r="G323" t="s">
        <v>227</v>
      </c>
      <c r="I323" s="51">
        <v>103</v>
      </c>
    </row>
    <row r="324" spans="5:9" x14ac:dyDescent="0.25">
      <c r="E324">
        <f t="shared" si="34"/>
        <v>52</v>
      </c>
      <c r="G324" t="s">
        <v>228</v>
      </c>
      <c r="H324" s="51">
        <v>53</v>
      </c>
      <c r="I324" s="51">
        <v>103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103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103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19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65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60</v>
      </c>
      <c r="I336" s="51">
        <v>179</v>
      </c>
    </row>
    <row r="337" spans="5:9" x14ac:dyDescent="0.25">
      <c r="E337">
        <f t="shared" ref="E337:E344" si="36">+$F$336</f>
        <v>54</v>
      </c>
      <c r="G337" t="s">
        <v>223</v>
      </c>
      <c r="H337" s="51">
        <v>30</v>
      </c>
      <c r="I337" s="51">
        <v>179</v>
      </c>
    </row>
    <row r="338" spans="5:9" x14ac:dyDescent="0.25">
      <c r="E338">
        <f t="shared" si="36"/>
        <v>54</v>
      </c>
      <c r="G338" t="s">
        <v>224</v>
      </c>
      <c r="H338" s="51">
        <v>88</v>
      </c>
      <c r="I338" s="51">
        <v>179</v>
      </c>
    </row>
    <row r="339" spans="5:9" x14ac:dyDescent="0.25">
      <c r="E339">
        <f t="shared" si="36"/>
        <v>54</v>
      </c>
      <c r="G339" t="s">
        <v>225</v>
      </c>
      <c r="H339" s="51">
        <v>68</v>
      </c>
      <c r="I339" s="51">
        <v>179</v>
      </c>
    </row>
    <row r="340" spans="5:9" x14ac:dyDescent="0.25">
      <c r="E340">
        <f t="shared" si="36"/>
        <v>54</v>
      </c>
      <c r="G340" t="s">
        <v>226</v>
      </c>
      <c r="H340">
        <v>95</v>
      </c>
      <c r="I340" s="51">
        <v>179</v>
      </c>
    </row>
    <row r="341" spans="5:9" x14ac:dyDescent="0.25">
      <c r="E341">
        <f t="shared" si="36"/>
        <v>54</v>
      </c>
      <c r="G341" t="s">
        <v>227</v>
      </c>
      <c r="H341" s="51">
        <v>84</v>
      </c>
      <c r="I341" s="51">
        <v>179</v>
      </c>
    </row>
    <row r="342" spans="5:9" x14ac:dyDescent="0.25">
      <c r="E342">
        <f t="shared" si="36"/>
        <v>54</v>
      </c>
      <c r="G342" t="s">
        <v>228</v>
      </c>
      <c r="H342" s="51">
        <v>23</v>
      </c>
      <c r="I342" s="51">
        <v>179</v>
      </c>
    </row>
    <row r="343" spans="5:9" x14ac:dyDescent="0.25">
      <c r="E343">
        <f t="shared" si="36"/>
        <v>54</v>
      </c>
      <c r="G343" t="s">
        <v>229</v>
      </c>
      <c r="H343" s="51">
        <v>36</v>
      </c>
      <c r="I343" s="51">
        <v>179</v>
      </c>
    </row>
    <row r="344" spans="5:9" x14ac:dyDescent="0.25">
      <c r="E344">
        <f t="shared" si="36"/>
        <v>54</v>
      </c>
      <c r="G344" t="s">
        <v>230</v>
      </c>
      <c r="H344" s="51">
        <v>43</v>
      </c>
      <c r="I344" s="51">
        <v>179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28</v>
      </c>
      <c r="I345" s="51">
        <v>197</v>
      </c>
    </row>
    <row r="346" spans="5:9" x14ac:dyDescent="0.25">
      <c r="E346">
        <f t="shared" ref="E346:E353" si="37">+$F$345</f>
        <v>56</v>
      </c>
      <c r="G346" t="s">
        <v>223</v>
      </c>
      <c r="H346" s="51">
        <v>19</v>
      </c>
      <c r="I346" s="51">
        <v>197</v>
      </c>
    </row>
    <row r="347" spans="5:9" x14ac:dyDescent="0.25">
      <c r="E347">
        <f t="shared" si="37"/>
        <v>56</v>
      </c>
      <c r="G347" t="s">
        <v>224</v>
      </c>
      <c r="H347" s="51">
        <v>58</v>
      </c>
      <c r="I347" s="51">
        <v>197</v>
      </c>
    </row>
    <row r="348" spans="5:9" x14ac:dyDescent="0.25">
      <c r="E348">
        <f t="shared" si="37"/>
        <v>56</v>
      </c>
      <c r="G348" t="s">
        <v>225</v>
      </c>
      <c r="H348">
        <v>28</v>
      </c>
      <c r="I348" s="51">
        <v>197</v>
      </c>
    </row>
    <row r="349" spans="5:9" x14ac:dyDescent="0.25">
      <c r="E349">
        <f t="shared" si="37"/>
        <v>56</v>
      </c>
      <c r="G349" t="s">
        <v>226</v>
      </c>
      <c r="H349" s="51">
        <v>38</v>
      </c>
      <c r="I349" s="51">
        <v>197</v>
      </c>
    </row>
    <row r="350" spans="5:9" x14ac:dyDescent="0.25">
      <c r="E350">
        <f t="shared" si="37"/>
        <v>56</v>
      </c>
      <c r="G350" t="s">
        <v>227</v>
      </c>
      <c r="H350" s="51">
        <v>34</v>
      </c>
      <c r="I350" s="51">
        <v>197</v>
      </c>
    </row>
    <row r="351" spans="5:9" x14ac:dyDescent="0.25">
      <c r="E351">
        <f t="shared" si="37"/>
        <v>56</v>
      </c>
      <c r="G351" t="s">
        <v>228</v>
      </c>
      <c r="H351" s="51">
        <v>37</v>
      </c>
      <c r="I351" s="51">
        <v>197</v>
      </c>
    </row>
    <row r="352" spans="5:9" x14ac:dyDescent="0.25">
      <c r="E352">
        <f t="shared" si="37"/>
        <v>56</v>
      </c>
      <c r="G352" t="s">
        <v>229</v>
      </c>
      <c r="H352">
        <v>17</v>
      </c>
      <c r="I352" s="51">
        <v>197</v>
      </c>
    </row>
    <row r="353" spans="5:9" x14ac:dyDescent="0.25">
      <c r="E353">
        <f t="shared" si="37"/>
        <v>56</v>
      </c>
      <c r="G353" t="s">
        <v>230</v>
      </c>
      <c r="H353" s="51">
        <v>13</v>
      </c>
      <c r="I353" s="51">
        <v>197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3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44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8</v>
      </c>
      <c r="I363" s="51">
        <v>122</v>
      </c>
    </row>
    <row r="364" spans="5:9" x14ac:dyDescent="0.25">
      <c r="E364">
        <f t="shared" ref="E364:E371" si="39">+$F$363</f>
        <v>58</v>
      </c>
      <c r="G364" t="s">
        <v>223</v>
      </c>
      <c r="H364" s="51">
        <v>18</v>
      </c>
      <c r="I364" s="51">
        <v>122</v>
      </c>
    </row>
    <row r="365" spans="5:9" x14ac:dyDescent="0.25">
      <c r="E365">
        <f t="shared" si="39"/>
        <v>58</v>
      </c>
      <c r="G365" t="s">
        <v>224</v>
      </c>
      <c r="H365" s="51">
        <v>16</v>
      </c>
      <c r="I365" s="51">
        <v>122</v>
      </c>
    </row>
    <row r="366" spans="5:9" x14ac:dyDescent="0.25">
      <c r="E366">
        <f t="shared" si="39"/>
        <v>58</v>
      </c>
      <c r="G366" t="s">
        <v>225</v>
      </c>
      <c r="H366" s="51">
        <v>26</v>
      </c>
      <c r="I366" s="51">
        <v>122</v>
      </c>
    </row>
    <row r="367" spans="5:9" x14ac:dyDescent="0.25">
      <c r="E367">
        <f t="shared" si="39"/>
        <v>58</v>
      </c>
      <c r="G367" t="s">
        <v>226</v>
      </c>
      <c r="H367" s="51">
        <v>29</v>
      </c>
      <c r="I367" s="51">
        <v>122</v>
      </c>
    </row>
    <row r="368" spans="5:9" x14ac:dyDescent="0.25">
      <c r="E368">
        <f t="shared" si="39"/>
        <v>58</v>
      </c>
      <c r="G368" t="s">
        <v>227</v>
      </c>
      <c r="H368" s="51">
        <v>29</v>
      </c>
      <c r="I368" s="51">
        <v>122</v>
      </c>
    </row>
    <row r="369" spans="5:9" x14ac:dyDescent="0.25">
      <c r="E369">
        <f t="shared" si="39"/>
        <v>58</v>
      </c>
      <c r="G369" t="s">
        <v>228</v>
      </c>
      <c r="H369" s="51">
        <v>9</v>
      </c>
      <c r="I369" s="51">
        <v>122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122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31</v>
      </c>
      <c r="I372">
        <v>124</v>
      </c>
    </row>
    <row r="373" spans="5:9" x14ac:dyDescent="0.25">
      <c r="E373">
        <f t="shared" ref="E373:E380" si="40">+$F$372</f>
        <v>59</v>
      </c>
      <c r="G373" t="s">
        <v>223</v>
      </c>
      <c r="H373">
        <v>21</v>
      </c>
      <c r="I373">
        <v>124</v>
      </c>
    </row>
    <row r="374" spans="5:9" x14ac:dyDescent="0.25">
      <c r="E374">
        <f t="shared" si="40"/>
        <v>59</v>
      </c>
      <c r="G374" t="s">
        <v>224</v>
      </c>
      <c r="H374">
        <v>31</v>
      </c>
      <c r="I374">
        <v>124</v>
      </c>
    </row>
    <row r="375" spans="5:9" x14ac:dyDescent="0.25">
      <c r="E375">
        <f t="shared" si="40"/>
        <v>59</v>
      </c>
      <c r="G375" t="s">
        <v>225</v>
      </c>
      <c r="H375">
        <v>32</v>
      </c>
      <c r="I375">
        <v>124</v>
      </c>
    </row>
    <row r="376" spans="5:9" x14ac:dyDescent="0.25">
      <c r="E376">
        <f t="shared" si="40"/>
        <v>59</v>
      </c>
      <c r="G376" t="s">
        <v>226</v>
      </c>
      <c r="H376">
        <v>39</v>
      </c>
      <c r="I376">
        <v>124</v>
      </c>
    </row>
    <row r="377" spans="5:9" x14ac:dyDescent="0.25">
      <c r="E377">
        <f t="shared" si="40"/>
        <v>59</v>
      </c>
      <c r="G377" t="s">
        <v>227</v>
      </c>
      <c r="H377">
        <v>34</v>
      </c>
      <c r="I377">
        <v>124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124</v>
      </c>
    </row>
    <row r="379" spans="5:9" x14ac:dyDescent="0.25">
      <c r="E379">
        <f t="shared" si="40"/>
        <v>59</v>
      </c>
      <c r="G379" t="s">
        <v>229</v>
      </c>
      <c r="H379">
        <v>11</v>
      </c>
      <c r="I379">
        <v>124</v>
      </c>
    </row>
    <row r="380" spans="5:9" x14ac:dyDescent="0.25">
      <c r="E380">
        <f t="shared" si="40"/>
        <v>59</v>
      </c>
      <c r="G380" t="s">
        <v>230</v>
      </c>
      <c r="H380">
        <v>9</v>
      </c>
      <c r="I380">
        <v>124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5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3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12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6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13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77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40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87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36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101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88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21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36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46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45</v>
      </c>
      <c r="I399">
        <v>156</v>
      </c>
    </row>
    <row r="400" spans="5:9" x14ac:dyDescent="0.25">
      <c r="E400">
        <f t="shared" ref="E400:E407" si="43">+$F$399</f>
        <v>9</v>
      </c>
      <c r="G400" t="s">
        <v>223</v>
      </c>
      <c r="H400">
        <v>59</v>
      </c>
      <c r="I400">
        <v>156</v>
      </c>
    </row>
    <row r="401" spans="5:9" x14ac:dyDescent="0.25">
      <c r="E401">
        <f t="shared" si="43"/>
        <v>9</v>
      </c>
      <c r="G401" t="s">
        <v>224</v>
      </c>
      <c r="H401">
        <v>52</v>
      </c>
      <c r="I401">
        <v>156</v>
      </c>
    </row>
    <row r="402" spans="5:9" x14ac:dyDescent="0.25">
      <c r="E402">
        <f t="shared" si="43"/>
        <v>9</v>
      </c>
      <c r="G402" t="s">
        <v>225</v>
      </c>
      <c r="H402">
        <v>48</v>
      </c>
      <c r="I402">
        <v>156</v>
      </c>
    </row>
    <row r="403" spans="5:9" x14ac:dyDescent="0.25">
      <c r="E403">
        <f t="shared" si="43"/>
        <v>9</v>
      </c>
      <c r="G403" t="s">
        <v>226</v>
      </c>
      <c r="H403">
        <v>79</v>
      </c>
      <c r="I403">
        <v>156</v>
      </c>
    </row>
    <row r="404" spans="5:9" x14ac:dyDescent="0.25">
      <c r="E404">
        <f t="shared" si="43"/>
        <v>9</v>
      </c>
      <c r="G404" t="s">
        <v>227</v>
      </c>
      <c r="H404">
        <v>82</v>
      </c>
      <c r="I404">
        <v>156</v>
      </c>
    </row>
    <row r="405" spans="5:9" x14ac:dyDescent="0.25">
      <c r="E405">
        <f t="shared" si="43"/>
        <v>9</v>
      </c>
      <c r="G405" t="s">
        <v>228</v>
      </c>
      <c r="H405">
        <v>20</v>
      </c>
      <c r="I405">
        <v>156</v>
      </c>
    </row>
    <row r="406" spans="5:9" x14ac:dyDescent="0.25">
      <c r="E406">
        <f t="shared" si="43"/>
        <v>9</v>
      </c>
      <c r="G406" t="s">
        <v>229</v>
      </c>
      <c r="H406">
        <v>35</v>
      </c>
      <c r="I406">
        <v>156</v>
      </c>
    </row>
    <row r="407" spans="5:9" x14ac:dyDescent="0.25">
      <c r="E407">
        <f t="shared" si="43"/>
        <v>9</v>
      </c>
      <c r="G407" t="s">
        <v>230</v>
      </c>
      <c r="H407">
        <v>33</v>
      </c>
      <c r="I407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0.21185358796296297</v>
      </c>
    </row>
    <row r="3" spans="1:4" x14ac:dyDescent="0.25">
      <c r="A3" s="138" t="s">
        <v>245</v>
      </c>
      <c r="B3" s="138" t="s">
        <v>4</v>
      </c>
      <c r="C3" s="136"/>
      <c r="D3" s="136">
        <v>0.27407997685185181</v>
      </c>
    </row>
    <row r="4" spans="1:4" x14ac:dyDescent="0.25">
      <c r="A4" s="138" t="s">
        <v>246</v>
      </c>
      <c r="B4" s="138" t="s">
        <v>11</v>
      </c>
      <c r="C4" s="136"/>
      <c r="D4" s="136">
        <v>0.26547164351851854</v>
      </c>
    </row>
    <row r="5" spans="1:4" x14ac:dyDescent="0.25">
      <c r="A5" s="138" t="s">
        <v>247</v>
      </c>
      <c r="B5" s="138" t="s">
        <v>17</v>
      </c>
      <c r="C5" s="136"/>
      <c r="D5" s="136">
        <v>0.25571851851851851</v>
      </c>
    </row>
    <row r="6" spans="1:4" x14ac:dyDescent="0.25">
      <c r="A6" s="138" t="s">
        <v>248</v>
      </c>
      <c r="B6" s="138" t="s">
        <v>22</v>
      </c>
      <c r="C6" s="136"/>
      <c r="D6" s="136">
        <v>0.23859953703703701</v>
      </c>
    </row>
    <row r="7" spans="1:4" x14ac:dyDescent="0.25">
      <c r="A7" s="138" t="s">
        <v>249</v>
      </c>
      <c r="B7" s="138" t="s">
        <v>279</v>
      </c>
      <c r="C7" s="136"/>
      <c r="D7" s="136">
        <v>0.26923697916666672</v>
      </c>
    </row>
    <row r="8" spans="1:4" x14ac:dyDescent="0.25">
      <c r="A8" s="138" t="s">
        <v>250</v>
      </c>
      <c r="B8" s="138" t="s">
        <v>72</v>
      </c>
      <c r="C8" s="136"/>
      <c r="D8" s="136">
        <v>0.24571527777777774</v>
      </c>
    </row>
    <row r="9" spans="1:4" x14ac:dyDescent="0.25">
      <c r="A9" s="138" t="s">
        <v>251</v>
      </c>
      <c r="B9" s="138" t="s">
        <v>3</v>
      </c>
      <c r="C9" s="136"/>
      <c r="D9" s="136">
        <v>0.26156712962962958</v>
      </c>
    </row>
    <row r="10" spans="1:4" x14ac:dyDescent="0.25">
      <c r="A10" s="138" t="s">
        <v>252</v>
      </c>
      <c r="B10" s="138" t="s">
        <v>187</v>
      </c>
      <c r="C10" s="136"/>
      <c r="D10" s="136">
        <v>0.11846547067901236</v>
      </c>
    </row>
    <row r="11" spans="1:4" x14ac:dyDescent="0.25">
      <c r="A11" s="138" t="s">
        <v>253</v>
      </c>
      <c r="B11" s="138" t="s">
        <v>19</v>
      </c>
      <c r="C11" s="136"/>
      <c r="D11" s="136">
        <v>0.26648634259259263</v>
      </c>
    </row>
    <row r="12" spans="1:4" x14ac:dyDescent="0.25">
      <c r="A12" s="138" t="s">
        <v>254</v>
      </c>
      <c r="B12" s="138" t="s">
        <v>71</v>
      </c>
      <c r="C12" s="136"/>
      <c r="D12" s="136">
        <v>0.29533958333333332</v>
      </c>
    </row>
    <row r="13" spans="1:4" x14ac:dyDescent="0.25">
      <c r="A13" s="138" t="s">
        <v>255</v>
      </c>
      <c r="B13" s="138" t="s">
        <v>6</v>
      </c>
      <c r="C13" s="136"/>
      <c r="D13" s="136">
        <v>0.22815590277777781</v>
      </c>
    </row>
    <row r="14" spans="1:4" x14ac:dyDescent="0.25">
      <c r="A14" s="138" t="s">
        <v>256</v>
      </c>
      <c r="B14" s="138" t="s">
        <v>280</v>
      </c>
      <c r="C14" s="136"/>
      <c r="D14" s="136">
        <v>0.28002870370370364</v>
      </c>
    </row>
    <row r="15" spans="1:4" x14ac:dyDescent="0.25">
      <c r="A15" s="138" t="s">
        <v>257</v>
      </c>
      <c r="B15" s="138" t="s">
        <v>12</v>
      </c>
      <c r="C15" s="136"/>
      <c r="D15" s="136">
        <v>0.2431605324074074</v>
      </c>
    </row>
    <row r="16" spans="1:4" x14ac:dyDescent="0.25">
      <c r="A16" s="138" t="s">
        <v>258</v>
      </c>
      <c r="B16" s="138" t="s">
        <v>21</v>
      </c>
      <c r="C16" s="136"/>
      <c r="D16" s="136">
        <v>0.23746018518518514</v>
      </c>
    </row>
    <row r="17" spans="1:4" x14ac:dyDescent="0.25">
      <c r="A17" s="138" t="s">
        <v>259</v>
      </c>
      <c r="B17" s="138" t="s">
        <v>73</v>
      </c>
      <c r="C17" s="136"/>
      <c r="D17" s="136">
        <v>0.25885347222222221</v>
      </c>
    </row>
    <row r="18" spans="1:4" x14ac:dyDescent="0.25">
      <c r="A18" s="138" t="s">
        <v>260</v>
      </c>
      <c r="B18" s="138" t="s">
        <v>20</v>
      </c>
      <c r="C18" s="136"/>
      <c r="D18" s="136">
        <v>0.25878217592592589</v>
      </c>
    </row>
    <row r="19" spans="1:4" x14ac:dyDescent="0.25">
      <c r="A19" s="138" t="s">
        <v>261</v>
      </c>
      <c r="B19" s="138" t="s">
        <v>15</v>
      </c>
      <c r="C19" s="136"/>
      <c r="D19" s="136">
        <v>0.25906412037037035</v>
      </c>
    </row>
    <row r="20" spans="1:4" x14ac:dyDescent="0.25">
      <c r="A20" s="138" t="s">
        <v>262</v>
      </c>
      <c r="B20" s="138" t="s">
        <v>14</v>
      </c>
      <c r="C20" s="136"/>
      <c r="D20" s="136">
        <v>0.29094641203703697</v>
      </c>
    </row>
    <row r="21" spans="1:4" x14ac:dyDescent="0.25">
      <c r="A21" s="138" t="s">
        <v>263</v>
      </c>
      <c r="B21" s="138" t="s">
        <v>8</v>
      </c>
      <c r="C21" s="136"/>
      <c r="D21" s="136">
        <v>0.24554085648148147</v>
      </c>
    </row>
    <row r="22" spans="1:4" x14ac:dyDescent="0.25">
      <c r="A22" s="138" t="s">
        <v>264</v>
      </c>
      <c r="B22" s="138" t="s">
        <v>1</v>
      </c>
      <c r="C22" s="136"/>
      <c r="D22" s="136">
        <v>0.24241631944444447</v>
      </c>
    </row>
    <row r="23" spans="1:4" x14ac:dyDescent="0.25">
      <c r="A23" s="138" t="s">
        <v>265</v>
      </c>
      <c r="B23" s="138" t="s">
        <v>281</v>
      </c>
      <c r="C23" s="136"/>
      <c r="D23" s="136">
        <v>0.1956384259259259</v>
      </c>
    </row>
    <row r="24" spans="1:4" x14ac:dyDescent="0.25">
      <c r="A24" s="138" t="s">
        <v>266</v>
      </c>
      <c r="B24" s="138" t="s">
        <v>26</v>
      </c>
      <c r="C24" s="136"/>
      <c r="D24" s="136">
        <v>0.24173020833333334</v>
      </c>
    </row>
    <row r="25" spans="1:4" x14ac:dyDescent="0.25">
      <c r="A25" s="138" t="s">
        <v>267</v>
      </c>
      <c r="B25" s="138" t="s">
        <v>282</v>
      </c>
      <c r="C25" s="136"/>
      <c r="D25" s="136">
        <v>0.21102986111111113</v>
      </c>
    </row>
    <row r="26" spans="1:4" x14ac:dyDescent="0.25">
      <c r="A26" s="138" t="s">
        <v>268</v>
      </c>
      <c r="B26" s="138" t="s">
        <v>176</v>
      </c>
      <c r="C26" s="136"/>
      <c r="D26" s="136">
        <v>0.26328425925925925</v>
      </c>
    </row>
    <row r="27" spans="1:4" x14ac:dyDescent="0.25">
      <c r="A27" s="138" t="s">
        <v>269</v>
      </c>
      <c r="B27" s="138" t="s">
        <v>283</v>
      </c>
      <c r="C27" s="136"/>
      <c r="D27" s="136">
        <v>0.2307990740740741</v>
      </c>
    </row>
    <row r="28" spans="1:4" x14ac:dyDescent="0.25">
      <c r="A28" s="138" t="s">
        <v>270</v>
      </c>
      <c r="B28" s="138" t="s">
        <v>25</v>
      </c>
      <c r="C28" s="136"/>
      <c r="D28" s="136">
        <v>0.17934618055555557</v>
      </c>
    </row>
    <row r="29" spans="1:4" x14ac:dyDescent="0.25">
      <c r="A29" s="138" t="s">
        <v>271</v>
      </c>
      <c r="B29" s="138" t="s">
        <v>284</v>
      </c>
      <c r="C29" s="136"/>
      <c r="D29" s="136">
        <v>0.22364618055555557</v>
      </c>
    </row>
    <row r="30" spans="1:4" x14ac:dyDescent="0.25">
      <c r="A30" s="138" t="s">
        <v>272</v>
      </c>
      <c r="B30" s="138" t="s">
        <v>192</v>
      </c>
      <c r="C30" s="136"/>
      <c r="D30" s="136">
        <v>0.18878715277777774</v>
      </c>
    </row>
    <row r="31" spans="1:4" x14ac:dyDescent="0.25">
      <c r="A31" s="138" t="s">
        <v>273</v>
      </c>
      <c r="B31" s="138" t="s">
        <v>9</v>
      </c>
      <c r="C31" s="136"/>
      <c r="D31" s="136">
        <v>0.15608136574074072</v>
      </c>
    </row>
    <row r="32" spans="1:4" x14ac:dyDescent="0.25">
      <c r="A32" s="138" t="s">
        <v>274</v>
      </c>
      <c r="B32" s="138" t="s">
        <v>13</v>
      </c>
      <c r="C32" s="136"/>
      <c r="D32" s="136">
        <v>0.18019976851851852</v>
      </c>
    </row>
    <row r="33" spans="1:4" x14ac:dyDescent="0.25">
      <c r="A33" s="138" t="s">
        <v>275</v>
      </c>
      <c r="B33" s="138" t="s">
        <v>23</v>
      </c>
      <c r="C33" s="136"/>
      <c r="D33" s="136">
        <v>0.15912731481481482</v>
      </c>
    </row>
    <row r="34" spans="1:4" x14ac:dyDescent="0.25">
      <c r="A34" s="138" t="s">
        <v>276</v>
      </c>
      <c r="B34" s="138" t="s">
        <v>10</v>
      </c>
      <c r="C34" s="136"/>
      <c r="D34" s="136">
        <v>0.12705005787037038</v>
      </c>
    </row>
    <row r="35" spans="1:4" x14ac:dyDescent="0.25">
      <c r="A35" s="138" t="s">
        <v>277</v>
      </c>
      <c r="B35" s="138" t="s">
        <v>285</v>
      </c>
      <c r="C35" s="136"/>
      <c r="D35" s="136">
        <v>0.18631111111111112</v>
      </c>
    </row>
    <row r="36" spans="1:4" x14ac:dyDescent="0.25">
      <c r="A36" s="138" t="s">
        <v>278</v>
      </c>
      <c r="B36" s="138" t="s">
        <v>286</v>
      </c>
      <c r="C36" s="136"/>
      <c r="D36" s="136">
        <v>0.14208492476851853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2026-06-30T17:42:54Z</dcterms:modified>
</cp:coreProperties>
</file>