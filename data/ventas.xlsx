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4280214F-A38A-482A-AB9D-CA7830ADA49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<sst xmlns="http://schemas.openxmlformats.org/spreadsheetml/2006/main" count="902" uniqueCount="233">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</sst>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30050.344867064101</v>
      </c>
      <c r="D2" s="96">
        <v>151749.4632585053</v>
      </c>
      <c r="E2" s="96">
        <v>507558440.84656405</v>
      </c>
      <c r="F2" s="96">
        <v>0</v>
      </c>
      <c r="G2" s="96">
        <v>264552.02407153812</v>
      </c>
      <c r="H2" s="96">
        <v>264552.11</v>
      </c>
    </row>
    <row r="3" spans="1:8" x14ac:dyDescent="0.25">
      <c r="A3" s="96" t="s">
        <v>81</v>
      </c>
      <c r="B3" s="96">
        <v>1</v>
      </c>
      <c r="C3" s="96">
        <v>393.20745409130001</v>
      </c>
      <c r="D3" s="96">
        <v>738.55759094179996</v>
      </c>
      <c r="E3" s="96">
        <v>8818400.8023845814</v>
      </c>
      <c r="F3" s="96">
        <v>0</v>
      </c>
      <c r="G3" s="96">
        <v>264552.02407153812</v>
      </c>
      <c r="H3" s="96">
        <v>264552.11</v>
      </c>
    </row>
    <row r="4" spans="1:8" x14ac:dyDescent="0.25">
      <c r="A4" s="96" t="s">
        <v>82</v>
      </c>
      <c r="B4" s="96">
        <v>1</v>
      </c>
      <c r="C4" s="96">
        <v>215.3798690461</v>
      </c>
      <c r="D4" s="96">
        <v>429.50910714399998</v>
      </c>
      <c r="E4" s="96">
        <v>6449843.5922434218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287.8868849191</v>
      </c>
      <c r="D5" s="96">
        <v>1084.9771071369</v>
      </c>
      <c r="E5" s="96">
        <v>6596329.3614597432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623.45456349139999</v>
      </c>
      <c r="D6" s="96">
        <v>1736.7514881101999</v>
      </c>
      <c r="E6" s="96">
        <v>13014610.776669662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596.52415476040005</v>
      </c>
      <c r="D7" s="96">
        <v>1890.2880833329</v>
      </c>
      <c r="E7" s="96">
        <v>11328941.073388485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2267.1115740741998</v>
      </c>
      <c r="D8" s="96">
        <v>2600.9464768541998</v>
      </c>
      <c r="E8" s="96">
        <v>28341762.515582383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318.65723412649999</v>
      </c>
      <c r="D9" s="96">
        <v>1452.5929166666999</v>
      </c>
      <c r="E9" s="96">
        <v>5878949.2572204797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240.56374007950001</v>
      </c>
      <c r="D10" s="96">
        <v>989.48656459439997</v>
      </c>
      <c r="E10" s="96">
        <v>7520013.6941604447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246.6115674589</v>
      </c>
      <c r="D11" s="96">
        <v>799.06959523789999</v>
      </c>
      <c r="E11" s="96">
        <v>4813267.3862359719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535.28547618829998</v>
      </c>
      <c r="D12" s="96">
        <v>2973.4162023743002</v>
      </c>
      <c r="E12" s="96">
        <v>8765227.9594276343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451.5398253962</v>
      </c>
      <c r="D13" s="96">
        <v>1525.3093690521</v>
      </c>
      <c r="E13" s="96">
        <v>10185885.70934353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1878.736904762</v>
      </c>
      <c r="D14" s="96">
        <v>11394.0133333304</v>
      </c>
      <c r="E14" s="96">
        <v>32020542.941609319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529.64027777650006</v>
      </c>
      <c r="D15" s="96">
        <v>1935.5799999952001</v>
      </c>
      <c r="E15" s="96">
        <v>9837944.9718231615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311.38753968129998</v>
      </c>
      <c r="D16" s="96">
        <v>1621.2710119139001</v>
      </c>
      <c r="E16" s="96">
        <v>7830460.6488101464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626.74599206139999</v>
      </c>
      <c r="D17" s="96">
        <v>1744.6222738143999</v>
      </c>
      <c r="E17" s="96">
        <v>12180676.72377059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823.53900793590003</v>
      </c>
      <c r="D18" s="96">
        <v>3499.9758690460999</v>
      </c>
      <c r="E18" s="96">
        <v>16024694.976201845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721.2968121678</v>
      </c>
      <c r="D19" s="96">
        <v>2697.1481428653001</v>
      </c>
      <c r="E19" s="96">
        <v>13898645.433865212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2807.6356944447998</v>
      </c>
      <c r="D20" s="96">
        <v>12452.8206666639</v>
      </c>
      <c r="E20" s="96">
        <v>37584435.958896145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327.87930555359998</v>
      </c>
      <c r="D21" s="96">
        <v>1206.7342142885</v>
      </c>
      <c r="E21" s="96">
        <v>7188705.5862517217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283.72748015740001</v>
      </c>
      <c r="D22" s="96">
        <v>876.65601190109999</v>
      </c>
      <c r="E22" s="96">
        <v>4684076.524209898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963.42337301489999</v>
      </c>
      <c r="D23" s="96">
        <v>6410.1771547587996</v>
      </c>
      <c r="E23" s="96">
        <v>20358292.590482842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1862.3525793652</v>
      </c>
      <c r="D24" s="96">
        <v>15300.7601488083</v>
      </c>
      <c r="E24" s="96">
        <v>32533139.2798471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405.38249999919998</v>
      </c>
      <c r="D25" s="96">
        <v>1404.0220833387</v>
      </c>
      <c r="E25" s="96">
        <v>7212918.424210974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284.10333333210002</v>
      </c>
      <c r="D26" s="96">
        <v>761.78791666910001</v>
      </c>
      <c r="E26" s="96">
        <v>5035112.3818729157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1886.5</v>
      </c>
      <c r="D27" s="96">
        <v>9716.84</v>
      </c>
      <c r="E27" s="96">
        <v>23429640.094719999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634.36102843740002</v>
      </c>
      <c r="D28" s="96">
        <v>2820.3755878042998</v>
      </c>
      <c r="E28" s="96">
        <v>12482971.675436357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2151.9008333335</v>
      </c>
      <c r="D29" s="96">
        <v>5841.2620833384999</v>
      </c>
      <c r="E29" s="96">
        <v>28353385.45531898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197.61617063489999</v>
      </c>
      <c r="D30" s="96">
        <v>797.35166667420003</v>
      </c>
      <c r="E30" s="96">
        <v>3805787.6012926684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257.15317460160003</v>
      </c>
      <c r="D31" s="96">
        <v>558.59000000030005</v>
      </c>
      <c r="E31" s="96">
        <v>4367804.0145924808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160.09107142849999</v>
      </c>
      <c r="D32" s="96">
        <v>629.16624999830003</v>
      </c>
      <c r="E32" s="96">
        <v>3442297.9978710278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360.20210317369998</v>
      </c>
      <c r="D33" s="96">
        <v>1178.3085000034</v>
      </c>
      <c r="E33" s="96">
        <v>6348650.0493735028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383.11065476070002</v>
      </c>
      <c r="D36" s="96">
        <v>1692.1407738109999</v>
      </c>
      <c r="E36" s="96">
        <v>7824662.7877200451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652.08799603219995</v>
      </c>
      <c r="D37" s="96">
        <v>4076.6771547639</v>
      </c>
      <c r="E37" s="96">
        <v>12982127.936856734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462.89242424230002</v>
      </c>
      <c r="D38" s="96">
        <v>5401.7499999989004</v>
      </c>
      <c r="E38" s="96">
        <v>10040043.519329419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961.75</v>
      </c>
      <c r="D39" s="96">
        <v>11522.639999998801</v>
      </c>
      <c r="E39" s="96">
        <v>20528174.766575135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109</v>
      </c>
      <c r="B40" s="96">
        <v>1</v>
      </c>
      <c r="C40" s="96">
        <v>788.22911375679996</v>
      </c>
      <c r="D40" s="96">
        <v>4495.562712977</v>
      </c>
      <c r="E40" s="96">
        <v>7599049.4142421484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911.18134920600005</v>
      </c>
      <c r="D41" s="96">
        <v>6551.529166667</v>
      </c>
      <c r="E41" s="96">
        <v>12160822.067982538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100.0611111111</v>
      </c>
      <c r="D42" s="96">
        <v>1475.5799999999001</v>
      </c>
      <c r="E42" s="96">
        <v>2478634.4092995184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249.55500992079999</v>
      </c>
      <c r="D43" s="96">
        <v>1125.0769014857001</v>
      </c>
      <c r="E43" s="96">
        <v>8104352.0621971888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1041.2170634924</v>
      </c>
      <c r="D44" s="96">
        <v>12428.4199404746</v>
      </c>
      <c r="E44" s="96">
        <v>14041795.823822808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355.19942460380003</v>
      </c>
      <c r="D45" s="96">
        <v>3289.8991916700002</v>
      </c>
      <c r="E45" s="96">
        <v>7159889.4382920526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321.875</v>
      </c>
      <c r="D46" s="96">
        <v>-24.9999999996</v>
      </c>
      <c r="E46" s="96">
        <v>1576733.851396092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16024694.976201845</v>
      </c>
      <c r="E2" s="59">
        <v>14544874.419634702</v>
      </c>
      <c r="F2" s="59">
        <f t="shared" ref="F2:F9" si="0">+D2-E2</f>
        <v>1479820.5565671436</v>
      </c>
      <c r="G2" s="60">
        <f t="shared" ref="G2:G41" si="1">+D2/C2</f>
        <v>0.49644217385117384</v>
      </c>
      <c r="H2" s="59">
        <f>+D2/$N$3*$N$4</f>
        <v>48074084.928605534</v>
      </c>
      <c r="I2" s="60">
        <f t="shared" ref="I2:I41" si="2">+H2/C2</f>
        <v>1.4893265215535216</v>
      </c>
      <c r="J2" s="59">
        <f>+D2/$N$3</f>
        <v>2003086.8720252307</v>
      </c>
      <c r="K2" s="59">
        <f t="shared" ref="K2:K41" si="3">+(C2-D2)/$N$2</f>
        <v>1015898.8538780567</v>
      </c>
      <c r="L2" s="61" cm="1">
        <f t="array" ref="L2">+_xlfn.IFS(I2&gt;114%,H2*0.02,I2&gt;109%,H2*0.015,I2&gt;104%,H2*0.0125,I2&gt;99%,H2*0.01,I2&lt;99%,H2*0)</f>
        <v>961481.69857211073</v>
      </c>
      <c r="M2" s="53" t="s">
        <v>36</v>
      </c>
      <c r="N2">
        <v>16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12180676.72377059</v>
      </c>
      <c r="E3" s="4">
        <v>10570739.693693133</v>
      </c>
      <c r="F3" s="4">
        <f t="shared" si="0"/>
        <v>1609937.0300774574</v>
      </c>
      <c r="G3" s="5">
        <f t="shared" si="1"/>
        <v>0.39314409800982325</v>
      </c>
      <c r="H3" s="4">
        <f t="shared" ref="H3:H41" si="4">+D3/$N$3*$N$4</f>
        <v>36542030.171311773</v>
      </c>
      <c r="I3" s="5">
        <f t="shared" si="2"/>
        <v>1.1794322940294697</v>
      </c>
      <c r="J3" s="4">
        <f t="shared" ref="J3:J41" si="5">+D3/$N$3</f>
        <v>1522584.5904713238</v>
      </c>
      <c r="K3" s="4">
        <f t="shared" si="3"/>
        <v>1175128.2159445416</v>
      </c>
      <c r="L3" s="63" cm="1">
        <f t="array" ref="L3">+_xlfn.IFS(I3&gt;114%,H3*0.02,I3&gt;109%,H3*0.015,I3&gt;104%,H3*0.0125,I3&gt;99%,H3*0.01,I3&lt;99%,H3*0)</f>
        <v>730840.6034262355</v>
      </c>
      <c r="M3" s="53" t="s">
        <v>40</v>
      </c>
      <c r="N3">
        <f>N4-N2</f>
        <v>8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9837944.9718231615</v>
      </c>
      <c r="E4" s="4">
        <v>8367738.4832338309</v>
      </c>
      <c r="F4" s="4">
        <f t="shared" si="0"/>
        <v>1470206.4885893306</v>
      </c>
      <c r="G4" s="5">
        <f t="shared" si="1"/>
        <v>0.3465281486192977</v>
      </c>
      <c r="H4" s="4">
        <f t="shared" si="4"/>
        <v>29513834.915469483</v>
      </c>
      <c r="I4" s="5">
        <f t="shared" si="2"/>
        <v>1.0395844458578931</v>
      </c>
      <c r="J4" s="4">
        <f t="shared" si="5"/>
        <v>1229743.1214778952</v>
      </c>
      <c r="K4" s="4">
        <f t="shared" si="3"/>
        <v>1159505.3930203184</v>
      </c>
      <c r="L4" s="63" cm="1">
        <f t="array" ref="L4">+_xlfn.IFS(I4&gt;114%,H4*0.02,I4&gt;109%,H4*0.015,I4&gt;104%,H4*0.0125,I4&gt;99%,H4*0.01,I4&lt;99%,H4*0)</f>
        <v>295138.34915469482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10185885.70934353</v>
      </c>
      <c r="E5" s="4">
        <v>8636687.304375954</v>
      </c>
      <c r="F5" s="4">
        <f t="shared" si="0"/>
        <v>1549198.4049675763</v>
      </c>
      <c r="G5" s="5">
        <f t="shared" si="1"/>
        <v>0.35878388494914037</v>
      </c>
      <c r="H5" s="4">
        <f t="shared" si="4"/>
        <v>30557657.128030591</v>
      </c>
      <c r="I5" s="5">
        <f t="shared" si="2"/>
        <v>1.0763516548474212</v>
      </c>
      <c r="J5" s="4">
        <f t="shared" si="5"/>
        <v>1273235.7136679413</v>
      </c>
      <c r="K5" s="4">
        <f t="shared" si="3"/>
        <v>1137759.0969252952</v>
      </c>
      <c r="L5" s="63" cm="1">
        <f t="array" ref="L5">+_xlfn.IFS(I5&gt;114%,H5*0.02,I5&gt;109%,H5*0.015,I5&gt;104%,H5*0.0125,I5&gt;99%,H5*0.01,I5&lt;99%,H5*0)</f>
        <v>381970.71410038241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8765227.9594276343</v>
      </c>
      <c r="E6" s="4">
        <v>7873914.9061112888</v>
      </c>
      <c r="F6" s="4">
        <f t="shared" si="0"/>
        <v>891313.05331634544</v>
      </c>
      <c r="G6" s="5">
        <f t="shared" si="1"/>
        <v>0.37253306890690768</v>
      </c>
      <c r="H6" s="4">
        <f t="shared" si="4"/>
        <v>26295683.878282905</v>
      </c>
      <c r="I6" s="5">
        <f t="shared" si="2"/>
        <v>1.117599206720723</v>
      </c>
      <c r="J6" s="4">
        <f t="shared" si="5"/>
        <v>1095653.4949284543</v>
      </c>
      <c r="K6" s="4">
        <f t="shared" si="3"/>
        <v>922718.5361307807</v>
      </c>
      <c r="L6" s="63" cm="1">
        <f t="array" ref="L6">+_xlfn.IFS(I6&gt;114%,H6*0.02,I6&gt;109%,H6*0.015,I6&gt;104%,H6*0.0125,I6&gt;99%,H6*0.01,I6&lt;99%,H6*0)</f>
        <v>394435.25817424356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5878949.2572204797</v>
      </c>
      <c r="E7" s="4">
        <v>4840096.3237659615</v>
      </c>
      <c r="F7" s="4">
        <f t="shared" ref="F7:F8" si="6">+D7-E7</f>
        <v>1038852.9334545182</v>
      </c>
      <c r="G7" s="5">
        <f t="shared" si="1"/>
        <v>0.21191621205330838</v>
      </c>
      <c r="H7" s="4">
        <f t="shared" si="4"/>
        <v>17636847.771661438</v>
      </c>
      <c r="I7" s="5">
        <f t="shared" si="2"/>
        <v>0.63574863615992505</v>
      </c>
      <c r="J7" s="4">
        <f t="shared" si="5"/>
        <v>734868.65715255996</v>
      </c>
      <c r="K7" s="4">
        <f t="shared" si="3"/>
        <v>1366431.7358277515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11328941.073388485</v>
      </c>
      <c r="E8" s="4">
        <v>10363253.207426563</v>
      </c>
      <c r="F8" s="4">
        <f t="shared" si="6"/>
        <v>965687.86596192233</v>
      </c>
      <c r="G8" s="5">
        <f t="shared" si="1"/>
        <v>0.31617645315622644</v>
      </c>
      <c r="H8" s="4">
        <f t="shared" si="4"/>
        <v>33986823.220165454</v>
      </c>
      <c r="I8" s="5">
        <f t="shared" si="2"/>
        <v>0.94852935946867933</v>
      </c>
      <c r="J8" s="4">
        <f t="shared" si="5"/>
        <v>1416117.6341735607</v>
      </c>
      <c r="K8" s="4">
        <f t="shared" si="3"/>
        <v>1531383.1464705761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13014610.776669662</v>
      </c>
      <c r="E9" s="4">
        <v>10378829.479285927</v>
      </c>
      <c r="F9" s="4">
        <f t="shared" si="0"/>
        <v>2635781.297383735</v>
      </c>
      <c r="G9" s="5">
        <f t="shared" si="1"/>
        <v>0.3632213679919376</v>
      </c>
      <c r="H9" s="4">
        <f t="shared" si="4"/>
        <v>39043832.330008984</v>
      </c>
      <c r="I9" s="5">
        <f t="shared" si="2"/>
        <v>1.0896641039758126</v>
      </c>
      <c r="J9" s="4">
        <f t="shared" si="5"/>
        <v>1626826.3470837078</v>
      </c>
      <c r="K9" s="4">
        <f t="shared" si="3"/>
        <v>1426028.7900155026</v>
      </c>
      <c r="L9" s="63" cm="1">
        <f t="array" ref="L9">+_xlfn.IFS(I9&gt;114%,H9*0.02,I9&gt;109%,H9*0.015,I9&gt;104%,H9*0.0125,I9&gt;99%,H9*0.01,I9&lt;99%,H9*0)</f>
        <v>488047.90412511234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87216931.447845384</v>
      </c>
      <c r="E10" s="65">
        <v>75576133.817527354</v>
      </c>
      <c r="F10" s="64">
        <f>+SUM(F2:F9)</f>
        <v>11640797.630318029</v>
      </c>
      <c r="G10" s="66">
        <f t="shared" si="1"/>
        <v>0.3589549459617683</v>
      </c>
      <c r="H10" s="64">
        <f t="shared" si="4"/>
        <v>261650794.34353614</v>
      </c>
      <c r="I10" s="66">
        <f t="shared" si="2"/>
        <v>1.076864837885305</v>
      </c>
      <c r="J10" s="64">
        <f t="shared" si="5"/>
        <v>10902116.430980673</v>
      </c>
      <c r="K10" s="67">
        <f t="shared" si="3"/>
        <v>9734853.7682128213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37584435.958896145</v>
      </c>
      <c r="E11" s="59">
        <v>33209684.287959997</v>
      </c>
      <c r="F11" s="59">
        <f t="shared" ref="F11:F16" si="7">+D11-E11</f>
        <v>4374751.6709361486</v>
      </c>
      <c r="G11" s="60">
        <f t="shared" si="1"/>
        <v>0.38758049671028788</v>
      </c>
      <c r="H11" s="59">
        <f t="shared" si="4"/>
        <v>112753307.87668844</v>
      </c>
      <c r="I11" s="60">
        <f t="shared" si="2"/>
        <v>1.1627414901308637</v>
      </c>
      <c r="J11" s="59">
        <f t="shared" si="5"/>
        <v>4698054.4948620182</v>
      </c>
      <c r="K11" s="59">
        <f t="shared" si="3"/>
        <v>3711719.5325775854</v>
      </c>
      <c r="L11" s="61" cm="1">
        <f t="array" ref="L11">+_xlfn.IFS(I11&gt;114%,H11*0.0125,I11&gt;109%,H11*0.01,I11&gt;104%,H11*0.0075,I11&gt;99%,H11*0.005,I11&lt;99%,H11*0)</f>
        <v>1409416.3484586056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12982127.936856734</v>
      </c>
      <c r="E12" s="4">
        <v>12982127.936856734</v>
      </c>
      <c r="F12" s="4">
        <f t="shared" si="7"/>
        <v>0</v>
      </c>
      <c r="G12" s="5">
        <f t="shared" si="1"/>
        <v>0.41042546839702609</v>
      </c>
      <c r="H12" s="4">
        <f t="shared" si="4"/>
        <v>38946383.810570203</v>
      </c>
      <c r="I12" s="5">
        <f t="shared" si="2"/>
        <v>1.2312764051910783</v>
      </c>
      <c r="J12" s="4">
        <f t="shared" si="5"/>
        <v>1622765.9921070917</v>
      </c>
      <c r="K12" s="4">
        <f t="shared" si="3"/>
        <v>1165548.404481892</v>
      </c>
      <c r="L12" s="63" cm="1">
        <f t="array" ref="L12">+_xlfn.IFS(I12&gt;114%,H12*0.02,I12&gt;109%,H12*0.015,I12&gt;104%,H12*0.0125,I12&gt;99%,H12*0.01,I12&lt;99%,H12*0)</f>
        <v>778927.67621140403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32020542.941609319</v>
      </c>
      <c r="E13" s="4">
        <v>25842742.680006113</v>
      </c>
      <c r="F13" s="4">
        <f t="shared" si="7"/>
        <v>6177800.2616032064</v>
      </c>
      <c r="G13" s="5">
        <f t="shared" si="1"/>
        <v>0.24945127821586574</v>
      </c>
      <c r="H13" s="4">
        <f t="shared" si="4"/>
        <v>96061628.824827954</v>
      </c>
      <c r="I13" s="5">
        <f t="shared" si="2"/>
        <v>0.74835383464759719</v>
      </c>
      <c r="J13" s="4">
        <f t="shared" si="5"/>
        <v>4002567.8677011649</v>
      </c>
      <c r="K13" s="4">
        <f t="shared" si="3"/>
        <v>6021460.8208134789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10040043.519329419</v>
      </c>
      <c r="E14" s="4">
        <v>6979221.568329419</v>
      </c>
      <c r="F14" s="4">
        <f t="shared" si="7"/>
        <v>3060821.9510000004</v>
      </c>
      <c r="G14" s="5">
        <f t="shared" si="1"/>
        <v>0.23651982247591513</v>
      </c>
      <c r="H14" s="4">
        <f t="shared" si="4"/>
        <v>30120130.557988256</v>
      </c>
      <c r="I14" s="5">
        <f t="shared" si="2"/>
        <v>0.70955946742774534</v>
      </c>
      <c r="J14" s="4">
        <f t="shared" si="5"/>
        <v>1255005.4399161774</v>
      </c>
      <c r="K14" s="4">
        <f t="shared" si="3"/>
        <v>2025563.3672278486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20528174.766575135</v>
      </c>
      <c r="E15" s="4">
        <v>19182792.083198067</v>
      </c>
      <c r="F15" s="4">
        <f t="shared" si="7"/>
        <v>1345382.6833770685</v>
      </c>
      <c r="G15" s="5">
        <f t="shared" si="1"/>
        <v>0.48359553842543518</v>
      </c>
      <c r="H15" s="4">
        <f t="shared" si="4"/>
        <v>61584524.299725406</v>
      </c>
      <c r="I15" s="5">
        <f t="shared" si="2"/>
        <v>1.4507866152763056</v>
      </c>
      <c r="J15" s="4">
        <f t="shared" si="5"/>
        <v>2566021.8458218919</v>
      </c>
      <c r="K15" s="4">
        <f t="shared" si="3"/>
        <v>1370055.1642749915</v>
      </c>
      <c r="L15" s="63" cm="1">
        <f t="array" ref="L15">+_xlfn.IFS(I15&gt;109%,H15*0.015,I15&gt;104%,H15*0.0125,I15&gt;99%,H15*0.01,I15&lt;99%,H15*0)</f>
        <v>923767.86449588102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113155325.12326676</v>
      </c>
      <c r="E16" s="65">
        <v>98196568.556350335</v>
      </c>
      <c r="F16" s="64">
        <f t="shared" si="7"/>
        <v>14958756.566916421</v>
      </c>
      <c r="G16" s="66">
        <f t="shared" si="1"/>
        <v>0.33099429383603618</v>
      </c>
      <c r="H16" s="64">
        <f t="shared" si="4"/>
        <v>339465975.36980027</v>
      </c>
      <c r="I16" s="66">
        <f t="shared" si="2"/>
        <v>0.99298288150810854</v>
      </c>
      <c r="J16" s="64">
        <f t="shared" si="5"/>
        <v>14144415.640408345</v>
      </c>
      <c r="K16" s="67">
        <f t="shared" si="3"/>
        <v>14294347.289375797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6449843.5922434218</v>
      </c>
      <c r="E17" s="59">
        <v>5940437.3079375168</v>
      </c>
      <c r="F17" s="59">
        <f t="shared" ref="F17:F40" si="8">+D17-E17</f>
        <v>509406.28430590499</v>
      </c>
      <c r="G17" s="60">
        <f t="shared" si="1"/>
        <v>0.21984592016794852</v>
      </c>
      <c r="H17" s="59">
        <f t="shared" si="4"/>
        <v>19349530.776730265</v>
      </c>
      <c r="I17" s="60">
        <f t="shared" si="2"/>
        <v>0.65953776050384549</v>
      </c>
      <c r="J17" s="59">
        <f t="shared" si="5"/>
        <v>806230.44903042773</v>
      </c>
      <c r="K17" s="59">
        <f t="shared" si="3"/>
        <v>1430510.9087660364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6596329.3614597432</v>
      </c>
      <c r="E18" s="4">
        <v>5899873.0951455031</v>
      </c>
      <c r="F18" s="4">
        <f t="shared" si="8"/>
        <v>696456.26631424017</v>
      </c>
      <c r="G18" s="5">
        <f t="shared" si="1"/>
        <v>0.26428124770930433</v>
      </c>
      <c r="H18" s="4">
        <f t="shared" si="4"/>
        <v>19788988.08437923</v>
      </c>
      <c r="I18" s="5">
        <f t="shared" si="2"/>
        <v>0.79284374312791295</v>
      </c>
      <c r="J18" s="4">
        <f t="shared" si="5"/>
        <v>824541.1701824679</v>
      </c>
      <c r="K18" s="4">
        <f t="shared" si="3"/>
        <v>1147698.5336587662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7830460.6488101464</v>
      </c>
      <c r="E19" s="4">
        <v>6987566.4676926713</v>
      </c>
      <c r="F19" s="4">
        <f t="shared" si="8"/>
        <v>842894.18111747503</v>
      </c>
      <c r="G19" s="5">
        <f t="shared" si="1"/>
        <v>0.30284126515576909</v>
      </c>
      <c r="H19" s="4">
        <f t="shared" si="4"/>
        <v>23491381.946430437</v>
      </c>
      <c r="I19" s="5">
        <f t="shared" si="2"/>
        <v>0.90852379546730722</v>
      </c>
      <c r="J19" s="4">
        <f t="shared" si="5"/>
        <v>978807.5811012683</v>
      </c>
      <c r="K19" s="4">
        <f t="shared" si="3"/>
        <v>1126636.8447931157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13898645.433865212</v>
      </c>
      <c r="E20" s="4">
        <v>11219784.289331133</v>
      </c>
      <c r="F20" s="4">
        <f t="shared" si="8"/>
        <v>2678861.1445340794</v>
      </c>
      <c r="G20" s="5">
        <f t="shared" si="1"/>
        <v>0.41428972147971321</v>
      </c>
      <c r="H20" s="4">
        <f t="shared" si="4"/>
        <v>41695936.301595636</v>
      </c>
      <c r="I20" s="5">
        <f t="shared" si="2"/>
        <v>1.2428691644391396</v>
      </c>
      <c r="J20" s="4">
        <f t="shared" si="5"/>
        <v>1737330.6792331515</v>
      </c>
      <c r="K20" s="4">
        <f t="shared" si="3"/>
        <v>1228092.7853834243</v>
      </c>
      <c r="L20" s="63" cm="1">
        <f t="array" ref="L20">+_xlfn.IFS(I20&gt;114%,H20*0.02,I20&gt;109%,H20*0.015,I20&gt;104%,H20*0.0125,I20&gt;99%,H20*0.01,I20&lt;99%,H20*0)</f>
        <v>833918.72603191272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7188705.5862517217</v>
      </c>
      <c r="E21" s="4">
        <v>6572144.8133745482</v>
      </c>
      <c r="F21" s="4">
        <f t="shared" ref="F21:F23" si="9">+D21-E21</f>
        <v>616560.7728771735</v>
      </c>
      <c r="G21" s="5">
        <f t="shared" si="1"/>
        <v>0.28236945470303337</v>
      </c>
      <c r="H21" s="4">
        <f t="shared" si="4"/>
        <v>21566116.758755166</v>
      </c>
      <c r="I21" s="5">
        <f t="shared" si="2"/>
        <v>0.84710836410910006</v>
      </c>
      <c r="J21" s="4">
        <f t="shared" si="5"/>
        <v>898588.19828146521</v>
      </c>
      <c r="K21" s="4">
        <f t="shared" si="3"/>
        <v>1141862.7758592675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12482971.675436357</v>
      </c>
      <c r="E22" s="4">
        <v>11431823.194593111</v>
      </c>
      <c r="F22" s="4">
        <f t="shared" si="9"/>
        <v>1051148.480843246</v>
      </c>
      <c r="G22" s="5">
        <f t="shared" si="1"/>
        <v>0.39325252353474593</v>
      </c>
      <c r="H22" s="4">
        <f t="shared" si="4"/>
        <v>37448915.026309073</v>
      </c>
      <c r="I22" s="5">
        <f t="shared" si="2"/>
        <v>1.1797575706042378</v>
      </c>
      <c r="J22" s="4">
        <f t="shared" si="5"/>
        <v>1560371.4594295446</v>
      </c>
      <c r="K22" s="4">
        <f t="shared" si="3"/>
        <v>1203744.907785228</v>
      </c>
      <c r="L22" s="63" cm="1">
        <f t="array" ref="L22">+_xlfn.IFS(I22&gt;114%,H22*0.02,I22&gt;109%,H22*0.015,I22&gt;104%,H22*0.0125,I22&gt;99%,H22*0.01,I22&lt;99%,H22*0)</f>
        <v>748978.30052618147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7824662.7877200451</v>
      </c>
      <c r="E23" s="4">
        <v>7002297.6074060109</v>
      </c>
      <c r="F23" s="4">
        <f t="shared" si="9"/>
        <v>822365.18031403422</v>
      </c>
      <c r="G23" s="5">
        <f t="shared" si="1"/>
        <v>0.28519748224189617</v>
      </c>
      <c r="H23" s="4">
        <f t="shared" si="4"/>
        <v>23473988.363160133</v>
      </c>
      <c r="I23" s="5">
        <f t="shared" si="2"/>
        <v>0.85559244672568857</v>
      </c>
      <c r="J23" s="4">
        <f t="shared" si="5"/>
        <v>978082.84846500563</v>
      </c>
      <c r="K23" s="4">
        <f t="shared" si="3"/>
        <v>1225705.2151424973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7599049.4142421484</v>
      </c>
      <c r="E24" s="4">
        <v>7360714.5095196133</v>
      </c>
      <c r="F24" s="4">
        <f t="shared" si="8"/>
        <v>238334.90472253505</v>
      </c>
      <c r="G24" s="5">
        <f t="shared" si="1"/>
        <v>0.22687755824853539</v>
      </c>
      <c r="H24" s="4">
        <f t="shared" si="4"/>
        <v>22797148.242726445</v>
      </c>
      <c r="I24" s="5">
        <f t="shared" si="2"/>
        <v>0.68063267474560618</v>
      </c>
      <c r="J24" s="4">
        <f t="shared" si="5"/>
        <v>949881.17678026855</v>
      </c>
      <c r="K24" s="4">
        <f t="shared" si="3"/>
        <v>1618437.8491098657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12160822.067982538</v>
      </c>
      <c r="E25" s="4">
        <v>12160822.067982538</v>
      </c>
      <c r="F25" s="4">
        <f t="shared" si="8"/>
        <v>0</v>
      </c>
      <c r="G25" s="5">
        <f t="shared" si="1"/>
        <v>0.22492985610008884</v>
      </c>
      <c r="H25" s="4">
        <f t="shared" si="4"/>
        <v>36482466.203947611</v>
      </c>
      <c r="I25" s="5">
        <f t="shared" si="2"/>
        <v>0.67478956830026648</v>
      </c>
      <c r="J25" s="4">
        <f t="shared" si="5"/>
        <v>1520102.7584978172</v>
      </c>
      <c r="K25" s="4">
        <f t="shared" si="3"/>
        <v>2619008.1748135919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82031490.568011329</v>
      </c>
      <c r="E26" s="65">
        <v>74575463.35298264</v>
      </c>
      <c r="F26" s="67">
        <f>+D26-E26</f>
        <v>7456027.2150286883</v>
      </c>
      <c r="G26" s="66">
        <f t="shared" si="1"/>
        <v>0.28692506288909292</v>
      </c>
      <c r="H26" s="64">
        <f t="shared" si="4"/>
        <v>246094471.70403397</v>
      </c>
      <c r="I26" s="66">
        <f t="shared" si="2"/>
        <v>0.86077518866727865</v>
      </c>
      <c r="J26" s="64">
        <f t="shared" si="5"/>
        <v>10253936.321001416</v>
      </c>
      <c r="K26" s="67">
        <f t="shared" si="3"/>
        <v>12741697.995311793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28353385.45531898</v>
      </c>
      <c r="E27" s="59">
        <v>21388145.925452832</v>
      </c>
      <c r="F27" s="59">
        <f t="shared" si="8"/>
        <v>6965239.5298661478</v>
      </c>
      <c r="G27" s="60">
        <f t="shared" si="1"/>
        <v>0.34586705232421722</v>
      </c>
      <c r="H27" s="59">
        <f t="shared" si="4"/>
        <v>85060156.365956932</v>
      </c>
      <c r="I27" s="60">
        <f t="shared" si="2"/>
        <v>1.0376011569726515</v>
      </c>
      <c r="J27" s="59">
        <f t="shared" si="5"/>
        <v>3544173.1819148725</v>
      </c>
      <c r="K27" s="59">
        <f t="shared" si="3"/>
        <v>3351519.6590425638</v>
      </c>
      <c r="L27" s="61" cm="1">
        <f t="array" ref="L27">+_xlfn.IFS(I27&gt;114%,H27*0.0125,I27&gt;109%,H27*0.01,I27&gt;104%,H27*0.0075,I27&gt;99%,H27*0.005,I27&lt;99%,H27*0)</f>
        <v>425300.78182978468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4367804.0145924808</v>
      </c>
      <c r="E28" s="4">
        <v>3875759.7054576175</v>
      </c>
      <c r="F28" s="4">
        <f t="shared" si="8"/>
        <v>492044.30913486332</v>
      </c>
      <c r="G28" s="5">
        <f t="shared" si="1"/>
        <v>0.2079906673615467</v>
      </c>
      <c r="H28" s="4">
        <f t="shared" si="4"/>
        <v>13103412.043777443</v>
      </c>
      <c r="I28" s="5">
        <f t="shared" si="2"/>
        <v>0.62397200208464021</v>
      </c>
      <c r="J28" s="4">
        <f t="shared" si="5"/>
        <v>545975.50182406011</v>
      </c>
      <c r="K28" s="4">
        <f t="shared" si="3"/>
        <v>1039512.24908797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7520013.6941604447</v>
      </c>
      <c r="E29" s="4">
        <v>6757662.8877063803</v>
      </c>
      <c r="F29" s="4">
        <f t="shared" si="8"/>
        <v>762350.80645406432</v>
      </c>
      <c r="G29" s="5">
        <f t="shared" si="1"/>
        <v>0.29215622925521451</v>
      </c>
      <c r="H29" s="4">
        <f t="shared" si="4"/>
        <v>22560041.082481332</v>
      </c>
      <c r="I29" s="5">
        <f t="shared" si="2"/>
        <v>0.87646868776564346</v>
      </c>
      <c r="J29" s="4">
        <f t="shared" si="5"/>
        <v>940001.71177005558</v>
      </c>
      <c r="K29" s="4">
        <f t="shared" si="3"/>
        <v>1138730.3941149721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6348650.0493735028</v>
      </c>
      <c r="E30" s="4">
        <v>5871001.8178605409</v>
      </c>
      <c r="F30" s="4">
        <f t="shared" si="8"/>
        <v>477648.23151296191</v>
      </c>
      <c r="G30" s="5">
        <f t="shared" si="1"/>
        <v>0.16605068894315708</v>
      </c>
      <c r="H30" s="4">
        <f t="shared" si="4"/>
        <v>19045950.148120508</v>
      </c>
      <c r="I30" s="5">
        <f t="shared" si="2"/>
        <v>0.49815206682947122</v>
      </c>
      <c r="J30" s="4">
        <f t="shared" si="5"/>
        <v>793581.25617168786</v>
      </c>
      <c r="K30" s="4">
        <f t="shared" si="3"/>
        <v>1992784.6914220105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7212918.424210974</v>
      </c>
      <c r="E31" s="4">
        <v>6235749.7584266458</v>
      </c>
      <c r="F31" s="4">
        <f t="shared" si="8"/>
        <v>977168.66578432824</v>
      </c>
      <c r="G31" s="5">
        <f t="shared" si="1"/>
        <v>0.28380277291039724</v>
      </c>
      <c r="H31" s="4">
        <f t="shared" si="4"/>
        <v>21638755.272632923</v>
      </c>
      <c r="I31" s="5">
        <f t="shared" si="2"/>
        <v>0.85140831873119183</v>
      </c>
      <c r="J31" s="4">
        <f t="shared" si="5"/>
        <v>901614.80302637175</v>
      </c>
      <c r="K31" s="4">
        <f t="shared" si="3"/>
        <v>1137645.7234868142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4813267.3862359719</v>
      </c>
      <c r="E32" s="4">
        <v>4132620.3846785584</v>
      </c>
      <c r="F32" s="4">
        <f t="shared" si="8"/>
        <v>680647.00155741349</v>
      </c>
      <c r="G32" s="5">
        <f t="shared" si="1"/>
        <v>0.19100267405698301</v>
      </c>
      <c r="H32" s="4">
        <f t="shared" si="4"/>
        <v>14439802.158707917</v>
      </c>
      <c r="I32" s="5">
        <f t="shared" si="2"/>
        <v>0.57300802217094904</v>
      </c>
      <c r="J32" s="4">
        <f t="shared" si="5"/>
        <v>601658.42327949649</v>
      </c>
      <c r="K32" s="4">
        <f t="shared" si="3"/>
        <v>1274170.7883602518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5035112.3818729157</v>
      </c>
      <c r="E33" s="4">
        <v>3832290.7361907284</v>
      </c>
      <c r="F33" s="4">
        <f t="shared" si="8"/>
        <v>1202821.6456821873</v>
      </c>
      <c r="G33" s="5">
        <f t="shared" si="1"/>
        <v>0.19002754609047962</v>
      </c>
      <c r="H33" s="4">
        <f t="shared" si="4"/>
        <v>15105337.145618748</v>
      </c>
      <c r="I33" s="5">
        <f t="shared" si="2"/>
        <v>0.5700826382714389</v>
      </c>
      <c r="J33" s="4">
        <f t="shared" si="5"/>
        <v>629389.04773411446</v>
      </c>
      <c r="K33" s="4">
        <f t="shared" si="3"/>
        <v>1341352.3511329428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3805787.6012926684</v>
      </c>
      <c r="E34" s="4">
        <v>3372720.3592291768</v>
      </c>
      <c r="F34" s="4">
        <f t="shared" si="8"/>
        <v>433067.24206349161</v>
      </c>
      <c r="G34" s="5">
        <f t="shared" si="1"/>
        <v>0.18122798101393658</v>
      </c>
      <c r="H34" s="4">
        <f t="shared" si="4"/>
        <v>11417362.803878006</v>
      </c>
      <c r="I34" s="5">
        <f t="shared" si="2"/>
        <v>0.54368394304180978</v>
      </c>
      <c r="J34" s="4">
        <f t="shared" si="5"/>
        <v>475723.45016158355</v>
      </c>
      <c r="K34" s="4">
        <f t="shared" si="3"/>
        <v>1074638.2749192081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3442297.9978710278</v>
      </c>
      <c r="E35" s="4">
        <v>2627029.9340391951</v>
      </c>
      <c r="F35" s="4">
        <f t="shared" si="8"/>
        <v>815268.06383183273</v>
      </c>
      <c r="G35" s="5">
        <f t="shared" si="1"/>
        <v>0.13960053847689724</v>
      </c>
      <c r="H35" s="4">
        <f t="shared" si="4"/>
        <v>10326893.993613083</v>
      </c>
      <c r="I35" s="5">
        <f t="shared" si="2"/>
        <v>0.41880161543069172</v>
      </c>
      <c r="J35" s="4">
        <f t="shared" si="5"/>
        <v>430287.24973387847</v>
      </c>
      <c r="K35" s="4">
        <f t="shared" si="3"/>
        <v>1325993.8751330609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4684076.524209898</v>
      </c>
      <c r="E36" s="4">
        <v>4306128.2350271344</v>
      </c>
      <c r="F36" s="4">
        <f t="shared" si="8"/>
        <v>377948.28918276355</v>
      </c>
      <c r="G36" s="5">
        <f t="shared" si="1"/>
        <v>0.18561824942381208</v>
      </c>
      <c r="H36" s="4">
        <f t="shared" si="4"/>
        <v>14052229.572629694</v>
      </c>
      <c r="I36" s="5">
        <f t="shared" si="2"/>
        <v>0.55685474827143622</v>
      </c>
      <c r="J36" s="4">
        <f t="shared" si="5"/>
        <v>585509.56552623725</v>
      </c>
      <c r="K36" s="4">
        <f t="shared" si="3"/>
        <v>1284432.7172368814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28341762.515582383</v>
      </c>
      <c r="E37" s="4">
        <v>26700664.115582384</v>
      </c>
      <c r="F37" s="4">
        <f t="shared" si="8"/>
        <v>1641098.3999999985</v>
      </c>
      <c r="G37" s="5">
        <f t="shared" si="1"/>
        <v>0.2322871568974495</v>
      </c>
      <c r="H37" s="4">
        <f t="shared" si="4"/>
        <v>85025287.546747148</v>
      </c>
      <c r="I37" s="5">
        <f t="shared" si="2"/>
        <v>0.69686147069234849</v>
      </c>
      <c r="J37" s="4">
        <f t="shared" si="5"/>
        <v>3542720.3144477978</v>
      </c>
      <c r="K37" s="4">
        <f t="shared" si="3"/>
        <v>5854374.2177761011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2478634.4092995184</v>
      </c>
      <c r="E38" s="4">
        <v>1256116.5299</v>
      </c>
      <c r="F38" s="4">
        <f t="shared" ref="F38" si="10">+D38-E38</f>
        <v>1222517.8793995185</v>
      </c>
      <c r="G38" s="5">
        <f t="shared" si="1"/>
        <v>6.9429535274496315E-2</v>
      </c>
      <c r="H38" s="4">
        <f t="shared" si="4"/>
        <v>7435903.2278985549</v>
      </c>
      <c r="I38" s="5">
        <f t="shared" si="2"/>
        <v>0.20828860582348893</v>
      </c>
      <c r="J38" s="4">
        <f t="shared" si="5"/>
        <v>309829.30116243981</v>
      </c>
      <c r="K38" s="4">
        <f t="shared" si="3"/>
        <v>2076335.3494187801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8818400.8023845814</v>
      </c>
      <c r="E39" s="4">
        <v>8333389.4092635857</v>
      </c>
      <c r="F39" s="4">
        <f t="shared" si="8"/>
        <v>485011.39312099572</v>
      </c>
      <c r="G39" s="5">
        <f t="shared" si="1"/>
        <v>0.2425207520915432</v>
      </c>
      <c r="H39" s="4">
        <f t="shared" si="4"/>
        <v>26455202.407153744</v>
      </c>
      <c r="I39" s="5">
        <f t="shared" si="2"/>
        <v>0.72756225627462967</v>
      </c>
      <c r="J39" s="4">
        <f t="shared" si="5"/>
        <v>1102300.1002980727</v>
      </c>
      <c r="K39" s="4">
        <f t="shared" si="3"/>
        <v>1721439.1835384637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115222111.25640535</v>
      </c>
      <c r="E40" s="65">
        <v>98689279.798814774</v>
      </c>
      <c r="F40" s="67">
        <f t="shared" si="8"/>
        <v>16532831.45759058</v>
      </c>
      <c r="G40" s="66">
        <f t="shared" si="1"/>
        <v>0.22635668132496897</v>
      </c>
      <c r="H40" s="64">
        <f t="shared" si="4"/>
        <v>345666333.76921606</v>
      </c>
      <c r="I40" s="66">
        <f t="shared" si="2"/>
        <v>0.67907004397490689</v>
      </c>
      <c r="J40" s="64">
        <f t="shared" si="5"/>
        <v>14402763.907050669</v>
      </c>
      <c r="K40" s="67">
        <f t="shared" si="3"/>
        <v>24612929.474670023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397625858.39552885</v>
      </c>
      <c r="E41" s="82">
        <v>347037445.52567512</v>
      </c>
      <c r="F41" s="81">
        <f>+D41-E41</f>
        <v>50588412.869853735</v>
      </c>
      <c r="G41" s="83">
        <f t="shared" si="1"/>
        <v>0.28818330631602479</v>
      </c>
      <c r="H41" s="81">
        <f t="shared" si="4"/>
        <v>1192877575.1865866</v>
      </c>
      <c r="I41" s="83">
        <f t="shared" si="2"/>
        <v>0.86454991894807443</v>
      </c>
      <c r="J41" s="81">
        <f t="shared" si="5"/>
        <v>49703232.299441107</v>
      </c>
      <c r="K41" s="81">
        <f t="shared" si="3"/>
        <v>61383830.543600455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8104352.0621971888</v>
      </c>
      <c r="E43" s="4">
        <v>8104352.0621971888</v>
      </c>
      <c r="F43" s="4">
        <f t="shared" ref="F43" si="11">+D43-E43</f>
        <v>0</v>
      </c>
      <c r="G43" s="5">
        <f>+D43/C43</f>
        <v>0.20260880155492972</v>
      </c>
      <c r="H43" s="4">
        <f t="shared" ref="H43" si="12">+D43/$N$3*$N$4</f>
        <v>24313056.186591566</v>
      </c>
      <c r="I43" s="5">
        <f>+H43/C43</f>
        <v>0.6078264046647891</v>
      </c>
      <c r="J43" s="4">
        <f t="shared" ref="J43" si="13">+D43/$N$3</f>
        <v>1013044.0077746486</v>
      </c>
      <c r="K43" s="4">
        <f>+(C43-D43)/$N$2</f>
        <v>1993477.9961126756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14041795.823822808</v>
      </c>
      <c r="E44" s="4">
        <v>14041795.823822808</v>
      </c>
      <c r="F44" s="4">
        <f t="shared" ref="F44" si="14">+D44-E44</f>
        <v>0</v>
      </c>
      <c r="G44" s="5">
        <f>+D44/C44</f>
        <v>0.46805986079409356</v>
      </c>
      <c r="H44" s="4">
        <f t="shared" ref="H44" si="15">+D44/$N$3*$N$4</f>
        <v>42125387.471468419</v>
      </c>
      <c r="I44" s="5">
        <f>+H44/C44</f>
        <v>1.4041795823822807</v>
      </c>
      <c r="J44" s="4">
        <f t="shared" ref="J44" si="16">+D44/$N$3</f>
        <v>1755224.4779778509</v>
      </c>
      <c r="K44" s="4">
        <f>+(C44-D44)/$N$2</f>
        <v>997387.76101107453</v>
      </c>
      <c r="L44" s="4" cm="1">
        <f t="array" ref="L44">+_xlfn.IFS(I44&gt;114%,H44*0.02,I44&gt;109%,H44*0.015,I44&gt;104%,H44*0.0125,I44&gt;99%,H44*0.01,I44&lt;99%,H44*0)</f>
        <v>842507.74942936841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0.59722222222222221</v>
      </c>
      <c r="E2" s="13">
        <v>33</v>
      </c>
      <c r="F2" s="12">
        <f>+H2-E2</f>
        <v>10</v>
      </c>
      <c r="G2" s="13">
        <f>VLOOKUP(B2,'Base Cobertura'!$A:$C,3,FALSE)</f>
        <v>72</v>
      </c>
      <c r="H2" s="13">
        <f>VLOOKUP(B2,'Base Cobertura'!$A:$C,2,FALSE)</f>
        <v>43</v>
      </c>
      <c r="I2" s="17">
        <f>(+G2*$M$2)-H2</f>
        <v>18.199999999999996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0.35146443514644349</v>
      </c>
      <c r="E3" s="13">
        <v>1</v>
      </c>
      <c r="F3" s="12">
        <f t="shared" ref="F3:F38" si="1">+H3-E3</f>
        <v>83</v>
      </c>
      <c r="G3" s="13">
        <f>VLOOKUP(B3,'Base Cobertura'!$A:$C,3,FALSE)</f>
        <v>239</v>
      </c>
      <c r="H3" s="13">
        <f>VLOOKUP(B3,'Base Cobertura'!$A:$C,2,FALSE)</f>
        <v>84</v>
      </c>
      <c r="I3" s="17">
        <f t="shared" ref="I3:I38" si="2">(+G3*$M$2)-H3</f>
        <v>119.15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36</v>
      </c>
      <c r="T3" s="12">
        <v>214</v>
      </c>
      <c r="U3" s="41">
        <f>+S3/T3</f>
        <v>0.16822429906542055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0.65198237885462551</v>
      </c>
      <c r="E4" s="13">
        <v>126</v>
      </c>
      <c r="F4" s="12">
        <f t="shared" si="1"/>
        <v>22</v>
      </c>
      <c r="G4" s="13">
        <f>VLOOKUP(B4,'Base Cobertura'!$A:$C,3,FALSE)</f>
        <v>227</v>
      </c>
      <c r="H4" s="13">
        <f>VLOOKUP(B4,'Base Cobertura'!$A:$C,2,FALSE)</f>
        <v>148</v>
      </c>
      <c r="I4" s="17">
        <f t="shared" si="2"/>
        <v>44.949999999999989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17</v>
      </c>
      <c r="T4" s="13">
        <v>214</v>
      </c>
      <c r="U4" s="5">
        <f t="shared" ref="U4:U11" si="3">+S4/T4</f>
        <v>7.9439252336448593E-2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0.53846153846153844</v>
      </c>
      <c r="E5" s="13">
        <v>21</v>
      </c>
      <c r="F5" s="12">
        <f t="shared" si="1"/>
        <v>14</v>
      </c>
      <c r="G5" s="13">
        <f>VLOOKUP(B5,'Base Cobertura'!$A:$C,3,FALSE)</f>
        <v>65</v>
      </c>
      <c r="H5" s="13">
        <f>VLOOKUP(B5,'Base Cobertura'!$A:$C,2,FALSE)</f>
        <v>35</v>
      </c>
      <c r="I5" s="17">
        <f t="shared" si="2"/>
        <v>20.25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47</v>
      </c>
      <c r="T5" s="13">
        <v>214</v>
      </c>
      <c r="U5" s="5">
        <f t="shared" si="3"/>
        <v>0.21962616822429906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0.64251207729468596</v>
      </c>
      <c r="E6" s="13">
        <v>100</v>
      </c>
      <c r="F6" s="12">
        <f t="shared" si="1"/>
        <v>33</v>
      </c>
      <c r="G6" s="13">
        <f>VLOOKUP(B6,'Base Cobertura'!$A:$C,3,FALSE)</f>
        <v>207</v>
      </c>
      <c r="H6" s="13">
        <f>VLOOKUP(B6,'Base Cobertura'!$A:$C,2,FALSE)</f>
        <v>133</v>
      </c>
      <c r="I6" s="17">
        <f t="shared" si="2"/>
        <v>42.949999999999989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18</v>
      </c>
      <c r="T6" s="13">
        <v>214</v>
      </c>
      <c r="U6" s="5">
        <f t="shared" si="3"/>
        <v>8.4112149532710276E-2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0.46969696969696972</v>
      </c>
      <c r="E7" s="13">
        <v>81</v>
      </c>
      <c r="F7" s="12">
        <f t="shared" si="1"/>
        <v>12</v>
      </c>
      <c r="G7" s="13">
        <f>VLOOKUP(B7,'Base Cobertura'!$A:$C,3,FALSE)</f>
        <v>198</v>
      </c>
      <c r="H7" s="13">
        <f>VLOOKUP(B7,'Base Cobertura'!$A:$C,2,FALSE)</f>
        <v>93</v>
      </c>
      <c r="I7" s="17">
        <f t="shared" si="2"/>
        <v>75.299999999999983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52</v>
      </c>
      <c r="T7" s="13">
        <v>214</v>
      </c>
      <c r="U7" s="5">
        <f t="shared" si="3"/>
        <v>0.24299065420560748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0.58411214953271029</v>
      </c>
      <c r="E8" s="13">
        <v>89</v>
      </c>
      <c r="F8" s="12">
        <f t="shared" si="1"/>
        <v>36</v>
      </c>
      <c r="G8" s="13">
        <f>VLOOKUP(B8,'Base Cobertura'!$A:$C,3,FALSE)</f>
        <v>214</v>
      </c>
      <c r="H8" s="13">
        <f>VLOOKUP(B8,'Base Cobertura'!$A:$C,2,FALSE)</f>
        <v>125</v>
      </c>
      <c r="I8" s="17">
        <f t="shared" si="2"/>
        <v>56.900000000000006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48</v>
      </c>
      <c r="T8" s="13">
        <v>214</v>
      </c>
      <c r="U8" s="5">
        <f t="shared" si="3"/>
        <v>0.22429906542056074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0.60624999999999996</v>
      </c>
      <c r="E9" s="13">
        <v>92</v>
      </c>
      <c r="F9" s="12">
        <f t="shared" si="1"/>
        <v>5</v>
      </c>
      <c r="G9" s="13">
        <f>VLOOKUP(B9,'Base Cobertura'!$A:$C,3,FALSE)</f>
        <v>160</v>
      </c>
      <c r="H9" s="13">
        <f>VLOOKUP(B9,'Base Cobertura'!$A:$C,2,FALSE)</f>
        <v>97</v>
      </c>
      <c r="I9" s="17">
        <f t="shared" si="2"/>
        <v>39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10</v>
      </c>
      <c r="T9" s="13">
        <v>214</v>
      </c>
      <c r="U9" s="5">
        <f t="shared" si="3"/>
        <v>4.6728971962616821E-2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0.46153846153846156</v>
      </c>
      <c r="E10" s="13">
        <v>64</v>
      </c>
      <c r="F10" s="12">
        <f t="shared" si="1"/>
        <v>26</v>
      </c>
      <c r="G10" s="13">
        <f>VLOOKUP(B10,'Base Cobertura'!$A:$C,3,FALSE)</f>
        <v>195</v>
      </c>
      <c r="H10" s="13">
        <f>VLOOKUP(B10,'Base Cobertura'!$A:$C,2,FALSE)</f>
        <v>90</v>
      </c>
      <c r="I10" s="17">
        <f t="shared" si="2"/>
        <v>75.75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9</v>
      </c>
      <c r="T10" s="13">
        <v>214</v>
      </c>
      <c r="U10" s="5">
        <f t="shared" si="3"/>
        <v>4.2056074766355138E-2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0.23762376237623761</v>
      </c>
      <c r="E11" s="31">
        <v>19</v>
      </c>
      <c r="F11" s="33">
        <f t="shared" si="1"/>
        <v>5</v>
      </c>
      <c r="G11" s="13">
        <f>VLOOKUP(B11,'Base Cobertura'!$A:$C,3,FALSE)</f>
        <v>101</v>
      </c>
      <c r="H11" s="13">
        <f>VLOOKUP(B11,'Base Cobertura'!$A:$C,2,FALSE)</f>
        <v>24</v>
      </c>
      <c r="I11" s="34">
        <f t="shared" si="2"/>
        <v>61.849999999999994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14</v>
      </c>
      <c r="T11" s="13">
        <v>214</v>
      </c>
      <c r="U11" s="5">
        <f t="shared" si="3"/>
        <v>6.5420560747663545E-2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0.2857142857142857</v>
      </c>
      <c r="E12" s="31">
        <v>24</v>
      </c>
      <c r="F12" s="33">
        <f t="shared" si="1"/>
        <v>6</v>
      </c>
      <c r="G12" s="13">
        <f>VLOOKUP(B12,'Base Cobertura'!$A:$C,3,FALSE)</f>
        <v>105</v>
      </c>
      <c r="H12" s="13">
        <f>VLOOKUP(B12,'Base Cobertura'!$A:$C,2,FALSE)</f>
        <v>30</v>
      </c>
      <c r="I12" s="34">
        <f t="shared" si="2"/>
        <v>59.25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0.58461538461538465</v>
      </c>
      <c r="E13" s="13">
        <v>144</v>
      </c>
      <c r="F13" s="12">
        <f t="shared" si="1"/>
        <v>8</v>
      </c>
      <c r="G13" s="13">
        <f>VLOOKUP(B13,'Base Cobertura'!$A:$C,3,FALSE)</f>
        <v>260</v>
      </c>
      <c r="H13" s="13">
        <f>VLOOKUP(B13,'Base Cobertura'!$A:$C,2,FALSE)</f>
        <v>152</v>
      </c>
      <c r="I13" s="17">
        <f t="shared" si="2"/>
        <v>69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0.51098901098901095</v>
      </c>
      <c r="E14" s="13">
        <v>85</v>
      </c>
      <c r="F14" s="12">
        <f t="shared" si="1"/>
        <v>8</v>
      </c>
      <c r="G14" s="13">
        <f>VLOOKUP(B14,'Base Cobertura'!$A:$C,3,FALSE)</f>
        <v>182</v>
      </c>
      <c r="H14" s="13">
        <f>VLOOKUP(B14,'Base Cobertura'!$A:$C,2,FALSE)</f>
        <v>93</v>
      </c>
      <c r="I14" s="17">
        <f t="shared" si="2"/>
        <v>61.699999999999989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268</v>
      </c>
      <c r="G15" s="8">
        <f>+SUM(G2:G14)</f>
        <v>2225</v>
      </c>
      <c r="H15" s="8">
        <f>+SUM(H2:H14)</f>
        <v>1147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0.68125000000000002</v>
      </c>
      <c r="E16" s="13">
        <v>90</v>
      </c>
      <c r="F16" s="12">
        <f t="shared" si="1"/>
        <v>19</v>
      </c>
      <c r="G16" s="13">
        <f>VLOOKUP(B16,'Base Cobertura'!$A:$C,3,FALSE)</f>
        <v>160</v>
      </c>
      <c r="H16" s="13">
        <f>VLOOKUP(B16,'Base Cobertura'!$A:$C,2,FALSE)</f>
        <v>109</v>
      </c>
      <c r="I16" s="17">
        <f t="shared" si="2"/>
        <v>27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0.36138613861386137</v>
      </c>
      <c r="E17" s="13">
        <v>92</v>
      </c>
      <c r="F17" s="12">
        <f t="shared" si="1"/>
        <v>-19</v>
      </c>
      <c r="G17" s="13">
        <f>VLOOKUP(B17,'Base Cobertura'!$A:$C,3,FALSE)</f>
        <v>202</v>
      </c>
      <c r="H17" s="13">
        <f>VLOOKUP(B17,'Base Cobertura'!$A:$C,2,FALSE)</f>
        <v>73</v>
      </c>
      <c r="I17" s="17">
        <f t="shared" si="2"/>
        <v>98.699999999999989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0.68823529411764706</v>
      </c>
      <c r="E18" s="13">
        <v>88</v>
      </c>
      <c r="F18" s="12">
        <f t="shared" si="1"/>
        <v>29</v>
      </c>
      <c r="G18" s="13">
        <f>VLOOKUP(B18,'Base Cobertura'!$A:$C,3,FALSE)</f>
        <v>170</v>
      </c>
      <c r="H18" s="13">
        <f>VLOOKUP(B18,'Base Cobertura'!$A:$C,2,FALSE)</f>
        <v>117</v>
      </c>
      <c r="I18" s="17">
        <f t="shared" si="2"/>
        <v>27.5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0.68181818181818177</v>
      </c>
      <c r="E19" s="13">
        <v>95</v>
      </c>
      <c r="F19" s="12">
        <f t="shared" si="1"/>
        <v>10</v>
      </c>
      <c r="G19" s="13">
        <f>VLOOKUP(B19,'Base Cobertura'!$A:$C,3,FALSE)</f>
        <v>154</v>
      </c>
      <c r="H19" s="13">
        <f>VLOOKUP(B19,'Base Cobertura'!$A:$C,2,FALSE)</f>
        <v>105</v>
      </c>
      <c r="I19" s="17">
        <f t="shared" si="2"/>
        <v>25.900000000000006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0.64971751412429379</v>
      </c>
      <c r="E20" s="13">
        <v>83</v>
      </c>
      <c r="F20" s="12">
        <f t="shared" si="1"/>
        <v>32</v>
      </c>
      <c r="G20" s="13">
        <f>VLOOKUP(B20,'Base Cobertura'!$A:$C,3,FALSE)</f>
        <v>177</v>
      </c>
      <c r="H20" s="13">
        <f>VLOOKUP(B20,'Base Cobertura'!$A:$C,2,FALSE)</f>
        <v>115</v>
      </c>
      <c r="I20" s="17">
        <f t="shared" si="2"/>
        <v>35.449999999999989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0.62130177514792895</v>
      </c>
      <c r="E21" s="13">
        <v>64</v>
      </c>
      <c r="F21" s="12">
        <f t="shared" si="1"/>
        <v>41</v>
      </c>
      <c r="G21" s="13">
        <f>VLOOKUP(B21,'Base Cobertura'!$A:$C,3,FALSE)</f>
        <v>169</v>
      </c>
      <c r="H21" s="13">
        <f>VLOOKUP(B21,'Base Cobertura'!$A:$C,2,FALSE)</f>
        <v>105</v>
      </c>
      <c r="I21" s="17">
        <f t="shared" si="2"/>
        <v>38.650000000000006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0.30303030303030304</v>
      </c>
      <c r="E22" s="13">
        <v>66</v>
      </c>
      <c r="F22" s="12">
        <f t="shared" si="1"/>
        <v>-6</v>
      </c>
      <c r="G22" s="13">
        <f>VLOOKUP(B22,'Base Cobertura'!$A:$C,3,FALSE)</f>
        <v>198</v>
      </c>
      <c r="H22" s="13">
        <f>VLOOKUP(B22,'Base Cobertura'!$A:$C,2,FALSE)</f>
        <v>60</v>
      </c>
      <c r="I22" s="17">
        <f t="shared" si="2"/>
        <v>108.29999999999998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0.55797101449275366</v>
      </c>
      <c r="E23" s="13">
        <v>70</v>
      </c>
      <c r="F23" s="12">
        <f t="shared" si="1"/>
        <v>7</v>
      </c>
      <c r="G23" s="13">
        <f>VLOOKUP(B23,'Base Cobertura'!$A:$C,3,FALSE)</f>
        <v>138</v>
      </c>
      <c r="H23" s="13">
        <f>VLOOKUP(B23,'Base Cobertura'!$A:$C,2,FALSE)</f>
        <v>77</v>
      </c>
      <c r="I23" s="17">
        <f t="shared" si="2"/>
        <v>40.299999999999997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0.58823529411764708</v>
      </c>
      <c r="E24" s="13">
        <v>79</v>
      </c>
      <c r="F24" s="12">
        <f t="shared" si="1"/>
        <v>21</v>
      </c>
      <c r="G24" s="13">
        <f>VLOOKUP(B24,'Base Cobertura'!$A:$C,3,FALSE)</f>
        <v>170</v>
      </c>
      <c r="H24" s="13">
        <f>VLOOKUP(B24,'Base Cobertura'!$A:$C,2,FALSE)</f>
        <v>100</v>
      </c>
      <c r="I24" s="17">
        <f t="shared" si="2"/>
        <v>44.5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134</v>
      </c>
      <c r="G25" s="8">
        <f>+SUM(G16:G24)</f>
        <v>1538</v>
      </c>
      <c r="H25" s="8">
        <f>+SUM(H16:H24)</f>
        <v>861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0.45614035087719296</v>
      </c>
      <c r="E26" s="13">
        <v>20</v>
      </c>
      <c r="F26" s="12">
        <f>+H26-E26</f>
        <v>6</v>
      </c>
      <c r="G26" s="13">
        <f>VLOOKUP(B26,'Base Cobertura'!$A:$C,3,FALSE)</f>
        <v>57</v>
      </c>
      <c r="H26" s="13">
        <f>VLOOKUP(B26,'Base Cobertura'!$A:$C,2,FALSE)</f>
        <v>26</v>
      </c>
      <c r="I26" s="17">
        <f t="shared" si="2"/>
        <v>22.449999999999996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0.51592356687898089</v>
      </c>
      <c r="E27" s="13">
        <v>68</v>
      </c>
      <c r="F27" s="12">
        <f t="shared" si="1"/>
        <v>13</v>
      </c>
      <c r="G27" s="13">
        <f>VLOOKUP(B27,'Base Cobertura'!$A:$C,3,FALSE)</f>
        <v>157</v>
      </c>
      <c r="H27" s="13">
        <f>VLOOKUP(B27,'Base Cobertura'!$A:$C,2,FALSE)</f>
        <v>81</v>
      </c>
      <c r="I27" s="17">
        <f t="shared" si="2"/>
        <v>52.449999999999989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0.5714285714285714</v>
      </c>
      <c r="E28" s="13">
        <v>80</v>
      </c>
      <c r="F28" s="12">
        <f t="shared" si="1"/>
        <v>12</v>
      </c>
      <c r="G28" s="13">
        <f>VLOOKUP(B28,'Base Cobertura'!$A:$C,3,FALSE)</f>
        <v>161</v>
      </c>
      <c r="H28" s="13">
        <f>VLOOKUP(B28,'Base Cobertura'!$A:$C,2,FALSE)</f>
        <v>92</v>
      </c>
      <c r="I28" s="17">
        <f t="shared" si="2"/>
        <v>44.849999999999994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0.30522088353413657</v>
      </c>
      <c r="E29" s="13">
        <v>68</v>
      </c>
      <c r="F29" s="12">
        <f t="shared" si="1"/>
        <v>8</v>
      </c>
      <c r="G29" s="13">
        <f>VLOOKUP(B29,'Base Cobertura'!$A:$C,3,FALSE)</f>
        <v>249</v>
      </c>
      <c r="H29" s="13">
        <f>VLOOKUP(B29,'Base Cobertura'!$A:$C,2,FALSE)</f>
        <v>76</v>
      </c>
      <c r="I29" s="17">
        <f t="shared" si="2"/>
        <v>135.65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0.69784172661870503</v>
      </c>
      <c r="E30" s="13">
        <v>73</v>
      </c>
      <c r="F30" s="12">
        <f t="shared" si="1"/>
        <v>24</v>
      </c>
      <c r="G30" s="13">
        <f>VLOOKUP(B30,'Base Cobertura'!$A:$C,3,FALSE)</f>
        <v>139</v>
      </c>
      <c r="H30" s="13">
        <f>VLOOKUP(B30,'Base Cobertura'!$A:$C,2,FALSE)</f>
        <v>97</v>
      </c>
      <c r="I30" s="17">
        <f t="shared" si="2"/>
        <v>21.149999999999991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0.43093922651933703</v>
      </c>
      <c r="E31" s="13">
        <v>40</v>
      </c>
      <c r="F31" s="12">
        <f t="shared" si="1"/>
        <v>38</v>
      </c>
      <c r="G31" s="13">
        <f>VLOOKUP(B31,'Base Cobertura'!$A:$C,3,FALSE)</f>
        <v>181</v>
      </c>
      <c r="H31" s="13">
        <f>VLOOKUP(B31,'Base Cobertura'!$A:$C,2,FALSE)</f>
        <v>78</v>
      </c>
      <c r="I31" s="17">
        <f t="shared" si="2"/>
        <v>75.849999999999994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0.52976190476190477</v>
      </c>
      <c r="E32" s="13">
        <v>67</v>
      </c>
      <c r="F32" s="12">
        <f t="shared" si="1"/>
        <v>22</v>
      </c>
      <c r="G32" s="13">
        <f>VLOOKUP(B32,'Base Cobertura'!$A:$C,3,FALSE)</f>
        <v>168</v>
      </c>
      <c r="H32" s="13">
        <f>VLOOKUP(B32,'Base Cobertura'!$A:$C,2,FALSE)</f>
        <v>89</v>
      </c>
      <c r="I32" s="17">
        <f t="shared" si="2"/>
        <v>53.799999999999983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0.5357142857142857</v>
      </c>
      <c r="E33" s="13">
        <v>66</v>
      </c>
      <c r="F33" s="12">
        <f t="shared" si="1"/>
        <v>24</v>
      </c>
      <c r="G33" s="13">
        <f>VLOOKUP(B33,'Base Cobertura'!$A:$C,3,FALSE)</f>
        <v>168</v>
      </c>
      <c r="H33" s="13">
        <f>VLOOKUP(B33,'Base Cobertura'!$A:$C,2,FALSE)</f>
        <v>90</v>
      </c>
      <c r="I33" s="17">
        <f t="shared" si="2"/>
        <v>52.799999999999983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0.40845070422535212</v>
      </c>
      <c r="E34" s="13">
        <v>82</v>
      </c>
      <c r="F34" s="12">
        <f t="shared" si="1"/>
        <v>-24</v>
      </c>
      <c r="G34" s="13">
        <f>VLOOKUP(B34,'Base Cobertura'!$A:$C,3,FALSE)</f>
        <v>142</v>
      </c>
      <c r="H34" s="13">
        <f>VLOOKUP(B34,'Base Cobertura'!$A:$C,2,FALSE)</f>
        <v>58</v>
      </c>
      <c r="I34" s="17">
        <f t="shared" si="2"/>
        <v>62.7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0.5056179775280899</v>
      </c>
      <c r="E35" s="13">
        <v>81</v>
      </c>
      <c r="F35" s="12">
        <f t="shared" si="1"/>
        <v>9</v>
      </c>
      <c r="G35" s="13">
        <f>VLOOKUP(B35,'Base Cobertura'!$A:$C,3,FALSE)</f>
        <v>178</v>
      </c>
      <c r="H35" s="13">
        <f>VLOOKUP(B35,'Base Cobertura'!$A:$C,2,FALSE)</f>
        <v>90</v>
      </c>
      <c r="I35" s="17">
        <f t="shared" si="2"/>
        <v>61.299999999999983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3.5087719298245612E-2</v>
      </c>
      <c r="E36" s="13">
        <v>0</v>
      </c>
      <c r="F36" s="12">
        <f t="shared" si="1"/>
        <v>4</v>
      </c>
      <c r="G36" s="13">
        <f>VLOOKUP(B36,'Base Cobertura'!$A:$C,3,FALSE)</f>
        <v>114</v>
      </c>
      <c r="H36" s="13">
        <f>VLOOKUP(B36,'Base Cobertura'!$A:$C,2,FALSE)</f>
        <v>4</v>
      </c>
      <c r="I36" s="17">
        <f t="shared" si="2"/>
        <v>92.899999999999991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7.6923076923076927E-2</v>
      </c>
      <c r="E37" s="13">
        <v>17</v>
      </c>
      <c r="F37" s="12">
        <f t="shared" si="1"/>
        <v>-9</v>
      </c>
      <c r="G37" s="13">
        <f>VLOOKUP(B37,'Base Cobertura'!$A:$C,3,FALSE)</f>
        <v>104</v>
      </c>
      <c r="H37" s="13">
        <f>VLOOKUP(B37,'Base Cobertura'!$A:$C,2,FALSE)</f>
        <v>8</v>
      </c>
      <c r="I37" s="17">
        <f t="shared" si="2"/>
        <v>80.399999999999991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0.59055118110236215</v>
      </c>
      <c r="E38" s="13">
        <v>60</v>
      </c>
      <c r="F38" s="12">
        <f t="shared" si="1"/>
        <v>15</v>
      </c>
      <c r="G38" s="13">
        <f>VLOOKUP(B38,'Base Cobertura'!$A:$C,3,FALSE)</f>
        <v>127</v>
      </c>
      <c r="H38" s="13">
        <f>VLOOKUP(B38,'Base Cobertura'!$A:$C,2,FALSE)</f>
        <v>75</v>
      </c>
      <c r="I38" s="17">
        <f t="shared" si="2"/>
        <v>32.950000000000003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142</v>
      </c>
      <c r="G39" s="8">
        <f>+SUM(G26:G38)</f>
        <v>1945</v>
      </c>
      <c r="H39" s="8">
        <f>+SUM(H26:H38)</f>
        <v>864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544</v>
      </c>
      <c r="G40" s="8">
        <f>+G15+G25+G39</f>
        <v>5708</v>
      </c>
      <c r="H40" s="8">
        <f>+H15+H25+H39</f>
        <v>2872</v>
      </c>
      <c r="I40" s="8"/>
      <c r="L40" s="1">
        <f>+H40/G40</f>
        <v>0.50315346881569722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0.20833333333333334</v>
      </c>
      <c r="E41" s="13">
        <v>60</v>
      </c>
      <c r="F41" s="12">
        <f t="shared" ref="F41:F42" si="5">+H41-E41</f>
        <v>-35</v>
      </c>
      <c r="G41" s="13">
        <f>VLOOKUP(B41,'Base Cobertura'!$A:$C,3,FALSE)</f>
        <v>120</v>
      </c>
      <c r="H41" s="13">
        <f>VLOOKUP(B41,'Base Cobertura'!$A:$C,2,FALSE)</f>
        <v>25</v>
      </c>
      <c r="I41" s="17">
        <f t="shared" ref="I41:I42" si="6">(+G41*$M$2)-H41</f>
        <v>77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0.20491803278688525</v>
      </c>
      <c r="E42" s="13">
        <v>60</v>
      </c>
      <c r="F42" s="12">
        <f t="shared" si="5"/>
        <v>-35</v>
      </c>
      <c r="G42" s="13">
        <f>VLOOKUP(B42,'Base Cobertura'!$A:$C,3,FALSE)</f>
        <v>122</v>
      </c>
      <c r="H42" s="13">
        <f>VLOOKUP(B42,'Base Cobertura'!$A:$C,2,FALSE)</f>
        <v>25</v>
      </c>
      <c r="I42" s="17">
        <f t="shared" si="6"/>
        <v>78.7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3</v>
      </c>
      <c r="C3" s="51">
        <v>3430</v>
      </c>
      <c r="G3" t="s">
        <v>222</v>
      </c>
      <c r="H3" s="51">
        <v>1</v>
      </c>
      <c r="I3" s="51">
        <v>3430</v>
      </c>
    </row>
    <row r="4" spans="1:9" x14ac:dyDescent="0.25">
      <c r="A4">
        <v>1</v>
      </c>
      <c r="B4" s="51">
        <v>75</v>
      </c>
      <c r="C4" s="51">
        <v>127</v>
      </c>
      <c r="G4" t="s">
        <v>223</v>
      </c>
      <c r="H4">
        <v>2</v>
      </c>
      <c r="I4" s="51">
        <v>3430</v>
      </c>
    </row>
    <row r="5" spans="1:9" x14ac:dyDescent="0.25">
      <c r="A5">
        <v>10</v>
      </c>
      <c r="B5" s="51">
        <v>78</v>
      </c>
      <c r="C5" s="51">
        <v>181</v>
      </c>
      <c r="G5" t="s">
        <v>224</v>
      </c>
      <c r="H5" s="51"/>
      <c r="I5" s="51">
        <v>3430</v>
      </c>
    </row>
    <row r="6" spans="1:9" x14ac:dyDescent="0.25">
      <c r="A6">
        <v>100</v>
      </c>
      <c r="B6" s="51">
        <v>29</v>
      </c>
      <c r="C6" s="51">
        <v>2027</v>
      </c>
      <c r="G6" t="s">
        <v>225</v>
      </c>
      <c r="H6" s="51"/>
      <c r="I6" s="51">
        <v>3430</v>
      </c>
    </row>
    <row r="7" spans="1:9" x14ac:dyDescent="0.25">
      <c r="A7">
        <v>11</v>
      </c>
      <c r="B7" s="51">
        <v>97</v>
      </c>
      <c r="C7" s="51">
        <v>160</v>
      </c>
      <c r="G7" t="s">
        <v>226</v>
      </c>
      <c r="H7" s="51">
        <v>2</v>
      </c>
      <c r="I7" s="51">
        <v>3430</v>
      </c>
    </row>
    <row r="8" spans="1:9" x14ac:dyDescent="0.25">
      <c r="A8">
        <v>12</v>
      </c>
      <c r="B8" s="51">
        <v>125</v>
      </c>
      <c r="C8" s="51">
        <v>214</v>
      </c>
      <c r="G8" t="s">
        <v>227</v>
      </c>
      <c r="H8" s="51">
        <v>2</v>
      </c>
      <c r="I8" s="51">
        <v>3430</v>
      </c>
    </row>
    <row r="9" spans="1:9" x14ac:dyDescent="0.25">
      <c r="A9">
        <v>123</v>
      </c>
      <c r="B9" s="51">
        <v>24</v>
      </c>
      <c r="C9" s="51">
        <v>489</v>
      </c>
      <c r="G9" t="s">
        <v>228</v>
      </c>
      <c r="H9" s="51">
        <v>1</v>
      </c>
      <c r="I9" s="51">
        <v>3430</v>
      </c>
    </row>
    <row r="10" spans="1:9" x14ac:dyDescent="0.25">
      <c r="A10">
        <v>15</v>
      </c>
      <c r="B10" s="51">
        <v>35</v>
      </c>
      <c r="C10" s="51">
        <v>65</v>
      </c>
      <c r="G10" t="s">
        <v>229</v>
      </c>
      <c r="H10">
        <v>1</v>
      </c>
      <c r="I10" s="51">
        <v>3430</v>
      </c>
    </row>
    <row r="11" spans="1:9" x14ac:dyDescent="0.25">
      <c r="A11">
        <v>16</v>
      </c>
      <c r="B11" s="51">
        <v>93</v>
      </c>
      <c r="C11" s="51">
        <v>198</v>
      </c>
      <c r="G11" t="s">
        <v>230</v>
      </c>
      <c r="H11" s="51"/>
      <c r="I11" s="51">
        <v>3430</v>
      </c>
    </row>
    <row r="12" spans="1:9" x14ac:dyDescent="0.25">
      <c r="A12">
        <v>18</v>
      </c>
      <c r="B12" s="51">
        <v>115</v>
      </c>
      <c r="C12" s="51">
        <v>177</v>
      </c>
      <c r="E12">
        <f>+F12</f>
        <v>1</v>
      </c>
      <c r="F12">
        <v>1</v>
      </c>
      <c r="G12" t="s">
        <v>222</v>
      </c>
      <c r="H12">
        <v>30</v>
      </c>
      <c r="I12" s="51">
        <v>127</v>
      </c>
    </row>
    <row r="13" spans="1:9" x14ac:dyDescent="0.25">
      <c r="A13">
        <v>19</v>
      </c>
      <c r="B13" s="51">
        <v>133</v>
      </c>
      <c r="C13" s="51">
        <v>207</v>
      </c>
      <c r="E13">
        <f>+$E$12</f>
        <v>1</v>
      </c>
      <c r="G13" t="s">
        <v>223</v>
      </c>
      <c r="H13" s="51">
        <v>26</v>
      </c>
      <c r="I13" s="51">
        <v>127</v>
      </c>
    </row>
    <row r="14" spans="1:9" x14ac:dyDescent="0.25">
      <c r="A14">
        <v>2</v>
      </c>
      <c r="B14" s="51">
        <v>77</v>
      </c>
      <c r="C14" s="51">
        <v>138</v>
      </c>
      <c r="E14">
        <f t="shared" ref="E14:E20" si="0">+$E$12</f>
        <v>1</v>
      </c>
      <c r="G14" t="s">
        <v>224</v>
      </c>
      <c r="H14" s="51">
        <v>44</v>
      </c>
      <c r="I14" s="51">
        <v>127</v>
      </c>
    </row>
    <row r="15" spans="1:9" x14ac:dyDescent="0.25">
      <c r="A15">
        <v>20</v>
      </c>
      <c r="B15" s="51">
        <v>148</v>
      </c>
      <c r="C15" s="51">
        <v>227</v>
      </c>
      <c r="E15">
        <f t="shared" si="0"/>
        <v>1</v>
      </c>
      <c r="G15" t="s">
        <v>225</v>
      </c>
      <c r="H15" s="51">
        <v>28</v>
      </c>
      <c r="I15" s="51">
        <v>127</v>
      </c>
    </row>
    <row r="16" spans="1:9" x14ac:dyDescent="0.25">
      <c r="A16">
        <v>21</v>
      </c>
      <c r="B16" s="51">
        <v>117</v>
      </c>
      <c r="C16" s="51">
        <v>170</v>
      </c>
      <c r="E16">
        <f t="shared" si="0"/>
        <v>1</v>
      </c>
      <c r="G16" t="s">
        <v>226</v>
      </c>
      <c r="H16" s="51">
        <v>49</v>
      </c>
      <c r="I16" s="51">
        <v>127</v>
      </c>
    </row>
    <row r="17" spans="1:9" x14ac:dyDescent="0.25">
      <c r="A17">
        <v>22</v>
      </c>
      <c r="B17" s="51">
        <v>43</v>
      </c>
      <c r="C17" s="51">
        <v>72</v>
      </c>
      <c r="E17">
        <f t="shared" si="0"/>
        <v>1</v>
      </c>
      <c r="G17" t="s">
        <v>227</v>
      </c>
      <c r="H17" s="51">
        <v>46</v>
      </c>
      <c r="I17" s="51">
        <v>127</v>
      </c>
    </row>
    <row r="18" spans="1:9" x14ac:dyDescent="0.25">
      <c r="A18">
        <v>23</v>
      </c>
      <c r="B18" s="51">
        <v>105</v>
      </c>
      <c r="C18" s="51">
        <v>154</v>
      </c>
      <c r="E18">
        <f t="shared" si="0"/>
        <v>1</v>
      </c>
      <c r="G18" t="s">
        <v>228</v>
      </c>
      <c r="H18" s="51">
        <v>16</v>
      </c>
      <c r="I18" s="51">
        <v>127</v>
      </c>
    </row>
    <row r="19" spans="1:9" x14ac:dyDescent="0.25">
      <c r="A19">
        <v>24</v>
      </c>
      <c r="B19" s="51">
        <v>90</v>
      </c>
      <c r="C19" s="51">
        <v>178</v>
      </c>
      <c r="E19">
        <f t="shared" si="0"/>
        <v>1</v>
      </c>
      <c r="G19" t="s">
        <v>229</v>
      </c>
      <c r="H19" s="51">
        <v>17</v>
      </c>
      <c r="I19" s="51">
        <v>127</v>
      </c>
    </row>
    <row r="20" spans="1:9" x14ac:dyDescent="0.25">
      <c r="A20">
        <v>25</v>
      </c>
      <c r="B20" s="51">
        <v>59</v>
      </c>
      <c r="C20" s="51">
        <v>172</v>
      </c>
      <c r="E20">
        <f t="shared" si="0"/>
        <v>1</v>
      </c>
      <c r="G20" t="s">
        <v>230</v>
      </c>
      <c r="H20">
        <v>22</v>
      </c>
      <c r="I20" s="51">
        <v>127</v>
      </c>
    </row>
    <row r="21" spans="1:9" x14ac:dyDescent="0.25">
      <c r="A21">
        <v>26</v>
      </c>
      <c r="B21" s="51">
        <v>31</v>
      </c>
      <c r="C21" s="51">
        <v>165</v>
      </c>
      <c r="E21">
        <f>+$F$21</f>
        <v>10</v>
      </c>
      <c r="F21">
        <v>10</v>
      </c>
      <c r="G21" t="s">
        <v>222</v>
      </c>
      <c r="H21" s="51">
        <v>14</v>
      </c>
      <c r="I21" s="51">
        <v>181</v>
      </c>
    </row>
    <row r="22" spans="1:9" x14ac:dyDescent="0.25">
      <c r="A22">
        <v>27</v>
      </c>
      <c r="B22" s="51">
        <v>97</v>
      </c>
      <c r="C22" s="51">
        <v>139</v>
      </c>
      <c r="E22">
        <f t="shared" ref="E22:E29" si="1">+$F$21</f>
        <v>10</v>
      </c>
      <c r="G22" t="s">
        <v>223</v>
      </c>
      <c r="H22" s="51">
        <v>2</v>
      </c>
      <c r="I22" s="51">
        <v>181</v>
      </c>
    </row>
    <row r="23" spans="1:9" x14ac:dyDescent="0.25">
      <c r="A23">
        <v>28</v>
      </c>
      <c r="B23" s="51">
        <v>89</v>
      </c>
      <c r="C23" s="51">
        <v>168</v>
      </c>
      <c r="E23">
        <f t="shared" si="1"/>
        <v>10</v>
      </c>
      <c r="G23" t="s">
        <v>224</v>
      </c>
      <c r="H23" s="51">
        <v>30</v>
      </c>
      <c r="I23" s="51">
        <v>181</v>
      </c>
    </row>
    <row r="24" spans="1:9" x14ac:dyDescent="0.25">
      <c r="A24">
        <v>3</v>
      </c>
      <c r="B24" s="51">
        <v>100</v>
      </c>
      <c r="C24" s="51">
        <v>170</v>
      </c>
      <c r="E24">
        <f t="shared" si="1"/>
        <v>10</v>
      </c>
      <c r="G24" t="s">
        <v>225</v>
      </c>
      <c r="H24" s="51">
        <v>21</v>
      </c>
      <c r="I24" s="51">
        <v>181</v>
      </c>
    </row>
    <row r="25" spans="1:9" x14ac:dyDescent="0.25">
      <c r="A25">
        <v>30</v>
      </c>
      <c r="B25" s="51">
        <v>12</v>
      </c>
      <c r="C25" s="51">
        <v>139</v>
      </c>
      <c r="E25">
        <f t="shared" si="1"/>
        <v>10</v>
      </c>
      <c r="G25" t="s">
        <v>226</v>
      </c>
      <c r="H25" s="51">
        <v>37</v>
      </c>
      <c r="I25" s="51">
        <v>181</v>
      </c>
    </row>
    <row r="26" spans="1:9" x14ac:dyDescent="0.25">
      <c r="A26">
        <v>31</v>
      </c>
      <c r="B26" s="51">
        <v>109</v>
      </c>
      <c r="C26" s="51">
        <v>160</v>
      </c>
      <c r="E26">
        <f t="shared" si="1"/>
        <v>10</v>
      </c>
      <c r="G26" t="s">
        <v>227</v>
      </c>
      <c r="H26" s="51">
        <v>18</v>
      </c>
      <c r="I26" s="51">
        <v>181</v>
      </c>
    </row>
    <row r="27" spans="1:9" x14ac:dyDescent="0.25">
      <c r="A27">
        <v>32</v>
      </c>
      <c r="B27" s="51">
        <v>26</v>
      </c>
      <c r="C27" s="51">
        <v>57</v>
      </c>
      <c r="E27">
        <f t="shared" si="1"/>
        <v>10</v>
      </c>
      <c r="G27" t="s">
        <v>228</v>
      </c>
      <c r="H27" s="51">
        <v>8</v>
      </c>
      <c r="I27" s="51">
        <v>181</v>
      </c>
    </row>
    <row r="28" spans="1:9" x14ac:dyDescent="0.25">
      <c r="A28">
        <v>33</v>
      </c>
      <c r="B28" s="51">
        <v>90</v>
      </c>
      <c r="C28" s="51">
        <v>168</v>
      </c>
      <c r="E28">
        <f t="shared" si="1"/>
        <v>10</v>
      </c>
      <c r="G28" t="s">
        <v>229</v>
      </c>
      <c r="H28" s="51">
        <v>6</v>
      </c>
      <c r="I28" s="51">
        <v>181</v>
      </c>
    </row>
    <row r="29" spans="1:9" x14ac:dyDescent="0.25">
      <c r="A29">
        <v>36</v>
      </c>
      <c r="B29" s="51">
        <v>81</v>
      </c>
      <c r="C29" s="51">
        <v>157</v>
      </c>
      <c r="E29">
        <f t="shared" si="1"/>
        <v>10</v>
      </c>
      <c r="G29" t="s">
        <v>230</v>
      </c>
      <c r="H29" s="51">
        <v>4</v>
      </c>
      <c r="I29" s="51">
        <v>181</v>
      </c>
    </row>
    <row r="30" spans="1:9" x14ac:dyDescent="0.25">
      <c r="A30">
        <v>37</v>
      </c>
      <c r="B30" s="51">
        <v>58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16</v>
      </c>
      <c r="I30" s="51">
        <v>2027</v>
      </c>
    </row>
    <row r="31" spans="1:9" x14ac:dyDescent="0.25">
      <c r="A31">
        <v>4</v>
      </c>
      <c r="B31" s="51">
        <v>93</v>
      </c>
      <c r="C31" s="51">
        <v>182</v>
      </c>
      <c r="E31">
        <f t="shared" ref="E31:E38" si="2">+$F$30</f>
        <v>100</v>
      </c>
      <c r="G31" t="s">
        <v>223</v>
      </c>
      <c r="H31" s="51">
        <v>10</v>
      </c>
      <c r="I31" s="51">
        <v>2027</v>
      </c>
    </row>
    <row r="32" spans="1:9" x14ac:dyDescent="0.25">
      <c r="A32">
        <v>40</v>
      </c>
      <c r="B32" s="51">
        <v>76</v>
      </c>
      <c r="C32" s="51">
        <v>249</v>
      </c>
      <c r="E32">
        <f t="shared" si="2"/>
        <v>100</v>
      </c>
      <c r="G32" t="s">
        <v>224</v>
      </c>
      <c r="H32" s="51">
        <v>13</v>
      </c>
      <c r="I32" s="51">
        <v>2027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9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16</v>
      </c>
      <c r="I34" s="51">
        <v>2027</v>
      </c>
    </row>
    <row r="35" spans="1:9" x14ac:dyDescent="0.25">
      <c r="A35">
        <v>44</v>
      </c>
      <c r="B35" s="51">
        <v>105</v>
      </c>
      <c r="C35" s="51">
        <v>169</v>
      </c>
      <c r="E35">
        <f t="shared" si="2"/>
        <v>100</v>
      </c>
      <c r="G35" t="s">
        <v>227</v>
      </c>
      <c r="H35" s="51">
        <v>9</v>
      </c>
      <c r="I35" s="51">
        <v>2027</v>
      </c>
    </row>
    <row r="36" spans="1:9" x14ac:dyDescent="0.25">
      <c r="A36">
        <v>49</v>
      </c>
      <c r="B36" s="51">
        <v>84</v>
      </c>
      <c r="C36" s="51">
        <v>239</v>
      </c>
      <c r="E36">
        <f t="shared" si="2"/>
        <v>100</v>
      </c>
      <c r="G36" t="s">
        <v>228</v>
      </c>
      <c r="H36" s="51">
        <v>13</v>
      </c>
      <c r="I36" s="51">
        <v>2027</v>
      </c>
    </row>
    <row r="37" spans="1:9" x14ac:dyDescent="0.25">
      <c r="A37">
        <v>5</v>
      </c>
      <c r="B37" s="51">
        <v>152</v>
      </c>
      <c r="C37" s="51">
        <v>260</v>
      </c>
      <c r="E37">
        <f t="shared" si="2"/>
        <v>100</v>
      </c>
      <c r="G37" t="s">
        <v>229</v>
      </c>
      <c r="H37" s="51">
        <v>4</v>
      </c>
      <c r="I37" s="51">
        <v>2027</v>
      </c>
    </row>
    <row r="38" spans="1:9" x14ac:dyDescent="0.25">
      <c r="A38">
        <v>52</v>
      </c>
      <c r="B38" s="51">
        <v>24</v>
      </c>
      <c r="C38" s="51">
        <v>101</v>
      </c>
      <c r="E38">
        <f t="shared" si="2"/>
        <v>100</v>
      </c>
      <c r="G38" t="s">
        <v>230</v>
      </c>
      <c r="H38" s="51">
        <v>1</v>
      </c>
      <c r="I38" s="51">
        <v>2027</v>
      </c>
    </row>
    <row r="39" spans="1:9" x14ac:dyDescent="0.25">
      <c r="A39">
        <v>53</v>
      </c>
      <c r="B39" s="51">
        <v>30</v>
      </c>
      <c r="C39" s="51">
        <v>105</v>
      </c>
      <c r="E39">
        <f>+$F$39</f>
        <v>11</v>
      </c>
      <c r="F39">
        <v>11</v>
      </c>
      <c r="G39" t="s">
        <v>222</v>
      </c>
      <c r="H39" s="51">
        <v>24</v>
      </c>
      <c r="I39" s="51">
        <v>160</v>
      </c>
    </row>
    <row r="40" spans="1:9" x14ac:dyDescent="0.25">
      <c r="A40">
        <v>54</v>
      </c>
      <c r="B40" s="51">
        <v>73</v>
      </c>
      <c r="C40" s="51">
        <v>202</v>
      </c>
      <c r="E40">
        <f t="shared" ref="E40:E47" si="3">+$F$39</f>
        <v>11</v>
      </c>
      <c r="G40" t="s">
        <v>223</v>
      </c>
      <c r="H40" s="51">
        <v>13</v>
      </c>
      <c r="I40" s="51">
        <v>160</v>
      </c>
    </row>
    <row r="41" spans="1:9" x14ac:dyDescent="0.25">
      <c r="A41">
        <v>56</v>
      </c>
      <c r="B41">
        <v>60</v>
      </c>
      <c r="C41" s="51">
        <v>198</v>
      </c>
      <c r="E41">
        <f t="shared" si="3"/>
        <v>11</v>
      </c>
      <c r="G41" t="s">
        <v>224</v>
      </c>
      <c r="H41" s="51">
        <v>43</v>
      </c>
      <c r="I41" s="51">
        <v>160</v>
      </c>
    </row>
    <row r="42" spans="1:9" x14ac:dyDescent="0.25">
      <c r="A42">
        <v>57</v>
      </c>
      <c r="B42" s="51">
        <v>8</v>
      </c>
      <c r="C42" s="51">
        <v>104</v>
      </c>
      <c r="E42">
        <f t="shared" si="3"/>
        <v>11</v>
      </c>
      <c r="G42" t="s">
        <v>225</v>
      </c>
      <c r="H42" s="51">
        <v>29</v>
      </c>
      <c r="I42" s="51">
        <v>160</v>
      </c>
    </row>
    <row r="43" spans="1:9" x14ac:dyDescent="0.25">
      <c r="A43">
        <v>58</v>
      </c>
      <c r="B43" s="51">
        <v>25</v>
      </c>
      <c r="C43" s="51">
        <v>120</v>
      </c>
      <c r="E43">
        <f t="shared" si="3"/>
        <v>11</v>
      </c>
      <c r="G43" t="s">
        <v>226</v>
      </c>
      <c r="H43" s="51">
        <v>51</v>
      </c>
      <c r="I43" s="51">
        <v>160</v>
      </c>
    </row>
    <row r="44" spans="1:9" x14ac:dyDescent="0.25">
      <c r="A44">
        <v>59</v>
      </c>
      <c r="B44" s="51">
        <v>25</v>
      </c>
      <c r="C44" s="51">
        <v>122</v>
      </c>
      <c r="E44">
        <f t="shared" si="3"/>
        <v>11</v>
      </c>
      <c r="G44" t="s">
        <v>227</v>
      </c>
      <c r="H44" s="51">
        <v>37</v>
      </c>
      <c r="I44" s="51">
        <v>160</v>
      </c>
    </row>
    <row r="45" spans="1:9" x14ac:dyDescent="0.25">
      <c r="A45">
        <v>7</v>
      </c>
      <c r="B45" s="51">
        <v>4</v>
      </c>
      <c r="C45" s="51">
        <v>114</v>
      </c>
      <c r="E45">
        <f t="shared" si="3"/>
        <v>11</v>
      </c>
      <c r="G45" t="s">
        <v>228</v>
      </c>
      <c r="H45" s="51">
        <v>10</v>
      </c>
      <c r="I45" s="51">
        <v>160</v>
      </c>
    </row>
    <row r="46" spans="1:9" x14ac:dyDescent="0.25">
      <c r="A46">
        <v>8</v>
      </c>
      <c r="B46" s="51">
        <v>90</v>
      </c>
      <c r="C46" s="51">
        <v>195</v>
      </c>
      <c r="E46">
        <f t="shared" si="3"/>
        <v>11</v>
      </c>
      <c r="G46" t="s">
        <v>229</v>
      </c>
      <c r="H46" s="51">
        <v>14</v>
      </c>
      <c r="I46" s="51">
        <v>160</v>
      </c>
    </row>
    <row r="47" spans="1:9" x14ac:dyDescent="0.25">
      <c r="A47">
        <v>9</v>
      </c>
      <c r="B47" s="51">
        <v>92</v>
      </c>
      <c r="C47" s="51">
        <v>161</v>
      </c>
      <c r="E47">
        <f t="shared" si="3"/>
        <v>11</v>
      </c>
      <c r="G47" t="s">
        <v>230</v>
      </c>
      <c r="H47" s="51">
        <v>9</v>
      </c>
      <c r="I47" s="51">
        <v>160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36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17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47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18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52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48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10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9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14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15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8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13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17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1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10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19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15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11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19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7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12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8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8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22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11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49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21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52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36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4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15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12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22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34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21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75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45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14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18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18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30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53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28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94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60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17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15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10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37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27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21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42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23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9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12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15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51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37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62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45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81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67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12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18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40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29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52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29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79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65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17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19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16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25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14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27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15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35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20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31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11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17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31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23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56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21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81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49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11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10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23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8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56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45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29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9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10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2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21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17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40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32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32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11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10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3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16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30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33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19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56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47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15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16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20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8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23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17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48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40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5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10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5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27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19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41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22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62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44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10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17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13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8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37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19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50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31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80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51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17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25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9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15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5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9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11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21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12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16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12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27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18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31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20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43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32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6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11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16</v>
      </c>
      <c r="I237" s="51">
        <v>157</v>
      </c>
    </row>
    <row r="238" spans="5:9" x14ac:dyDescent="0.25">
      <c r="E238">
        <f t="shared" ref="E238:E245" si="25">+$F$237</f>
        <v>36</v>
      </c>
      <c r="G238" t="s">
        <v>223</v>
      </c>
      <c r="H238" s="51">
        <v>8</v>
      </c>
      <c r="I238" s="51">
        <v>157</v>
      </c>
    </row>
    <row r="239" spans="5:9" x14ac:dyDescent="0.25">
      <c r="E239">
        <f t="shared" si="25"/>
        <v>36</v>
      </c>
      <c r="G239" t="s">
        <v>224</v>
      </c>
      <c r="H239" s="51">
        <v>29</v>
      </c>
      <c r="I239" s="51">
        <v>157</v>
      </c>
    </row>
    <row r="240" spans="5:9" x14ac:dyDescent="0.25">
      <c r="E240">
        <f t="shared" si="25"/>
        <v>36</v>
      </c>
      <c r="G240" t="s">
        <v>225</v>
      </c>
      <c r="H240" s="51">
        <v>24</v>
      </c>
      <c r="I240" s="51">
        <v>157</v>
      </c>
    </row>
    <row r="241" spans="5:9" x14ac:dyDescent="0.25">
      <c r="E241">
        <f t="shared" si="25"/>
        <v>36</v>
      </c>
      <c r="G241" t="s">
        <v>226</v>
      </c>
      <c r="H241" s="51">
        <v>48</v>
      </c>
      <c r="I241" s="51">
        <v>157</v>
      </c>
    </row>
    <row r="242" spans="5:9" x14ac:dyDescent="0.25">
      <c r="E242">
        <f t="shared" si="25"/>
        <v>36</v>
      </c>
      <c r="G242" t="s">
        <v>227</v>
      </c>
      <c r="H242" s="51">
        <v>28</v>
      </c>
      <c r="I242" s="51">
        <v>157</v>
      </c>
    </row>
    <row r="243" spans="5:9" x14ac:dyDescent="0.25">
      <c r="E243">
        <f t="shared" si="25"/>
        <v>36</v>
      </c>
      <c r="G243" t="s">
        <v>228</v>
      </c>
      <c r="H243" s="51">
        <v>11</v>
      </c>
      <c r="I243" s="51">
        <v>157</v>
      </c>
    </row>
    <row r="244" spans="5:9" x14ac:dyDescent="0.25">
      <c r="E244">
        <f t="shared" si="25"/>
        <v>36</v>
      </c>
      <c r="G244" t="s">
        <v>229</v>
      </c>
      <c r="H244">
        <v>8</v>
      </c>
      <c r="I244" s="51">
        <v>157</v>
      </c>
    </row>
    <row r="245" spans="5:9" x14ac:dyDescent="0.25">
      <c r="E245">
        <f t="shared" si="25"/>
        <v>36</v>
      </c>
      <c r="G245" t="s">
        <v>230</v>
      </c>
      <c r="H245" s="51">
        <v>7</v>
      </c>
      <c r="I245" s="51">
        <v>157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10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5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11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10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33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21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10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13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12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17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17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34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30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59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34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15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16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18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22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51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35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15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8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5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19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52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23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72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52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11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12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40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29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32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13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19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52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25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58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26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89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60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25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24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17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4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24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30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11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10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31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25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39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30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7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7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11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9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33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10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24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11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5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8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>
        <v>14</v>
      </c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>
        <v>16</v>
      </c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8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9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6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10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3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2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2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2</v>
      </c>
      <c r="I387">
        <v>114</v>
      </c>
    </row>
    <row r="388" spans="5:9" x14ac:dyDescent="0.25">
      <c r="E388">
        <f t="shared" si="41"/>
        <v>7</v>
      </c>
      <c r="G388" t="s">
        <v>229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24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5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36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11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45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41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14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25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31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29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22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40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42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15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15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2026-06-09T17:39:18Z</dcterms:modified>
</cp:coreProperties>
</file>