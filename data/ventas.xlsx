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AEFEE085-E02C-4985-A78A-DF26F1AABF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<sst xmlns="http://schemas.openxmlformats.org/spreadsheetml/2006/main" count="1520" uniqueCount="287">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</sst>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90626.386347688604</v>
      </c>
      <c r="D2" s="149">
        <v>412449.66271698551</v>
      </c>
      <c r="E2" s="149">
        <v>1531733118.7112758</v>
      </c>
      <c r="F2" s="149">
        <v>0</v>
      </c>
      <c r="G2" s="149">
        <v>710706.74624665314</v>
      </c>
      <c r="H2" s="149">
        <v>710707.23</v>
      </c>
    </row>
    <row r="3" spans="1:8" x14ac:dyDescent="0.25">
      <c r="A3" s="149" t="s">
        <v>81</v>
      </c>
      <c r="B3" s="149">
        <v>1</v>
      </c>
      <c r="C3" s="149">
        <v>942.40670210509995</v>
      </c>
      <c r="D3" s="149">
        <v>1913.5320656155</v>
      </c>
      <c r="E3" s="149">
        <v>23690224.874888409</v>
      </c>
      <c r="F3" s="149">
        <v>0</v>
      </c>
      <c r="G3" s="149">
        <v>710706.74624665314</v>
      </c>
      <c r="H3" s="149">
        <v>710707.23</v>
      </c>
    </row>
    <row r="4" spans="1:8" x14ac:dyDescent="0.25">
      <c r="A4" s="149" t="s">
        <v>82</v>
      </c>
      <c r="B4" s="149">
        <v>1</v>
      </c>
      <c r="C4" s="149">
        <v>696.53255356770001</v>
      </c>
      <c r="D4" s="149">
        <v>1339.3410654761001</v>
      </c>
      <c r="E4" s="149">
        <v>18499686.452025712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953.15470899180002</v>
      </c>
      <c r="D5" s="149">
        <v>3344.1699523780999</v>
      </c>
      <c r="E5" s="149">
        <v>19424954.100527775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1973.0880753961001</v>
      </c>
      <c r="D6" s="149">
        <v>4583.8150238436001</v>
      </c>
      <c r="E6" s="149">
        <v>36508823.968888387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1775.8596111094</v>
      </c>
      <c r="D7" s="149">
        <v>6633.5342857285004</v>
      </c>
      <c r="E7" s="149">
        <v>34912526.417396955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3134.4697407408999</v>
      </c>
      <c r="D8" s="149">
        <v>5221.3464768557997</v>
      </c>
      <c r="E8" s="149">
        <v>41403779.984393798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1140.6262261907</v>
      </c>
      <c r="D9" s="149">
        <v>4500.1193393061003</v>
      </c>
      <c r="E9" s="149">
        <v>20444026.41577046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775.8964146815</v>
      </c>
      <c r="D10" s="149">
        <v>2222.4724574750999</v>
      </c>
      <c r="E10" s="149">
        <v>18605159.412867669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1007.6114285693</v>
      </c>
      <c r="D11" s="149">
        <v>2037.0860238056</v>
      </c>
      <c r="E11" s="149">
        <v>16409209.878591815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1350.4999444401999</v>
      </c>
      <c r="D12" s="149">
        <v>6027.5371190365004</v>
      </c>
      <c r="E12" s="149">
        <v>22808231.112358663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2004.1908492028999</v>
      </c>
      <c r="D13" s="149">
        <v>5085.3988809503999</v>
      </c>
      <c r="E13" s="149">
        <v>32151531.334291395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5912.1613095249004</v>
      </c>
      <c r="D14" s="149">
        <v>49201.955916669598</v>
      </c>
      <c r="E14" s="149">
        <v>102943660.95730989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1630.2157738074</v>
      </c>
      <c r="D15" s="149">
        <v>5975.1546666666</v>
      </c>
      <c r="E15" s="149">
        <v>30719720.642584618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790.00876983900002</v>
      </c>
      <c r="D16" s="149">
        <v>3817.7180282961999</v>
      </c>
      <c r="E16" s="149">
        <v>19714579.69941406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1834.6449642823</v>
      </c>
      <c r="D17" s="149">
        <v>6737.2518631004996</v>
      </c>
      <c r="E17" s="149">
        <v>36330053.720463678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2567.7496706308002</v>
      </c>
      <c r="D18" s="149">
        <v>9785.9208809446009</v>
      </c>
      <c r="E18" s="149">
        <v>43519030.185272135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2237.1463478779001</v>
      </c>
      <c r="D19" s="149">
        <v>6923.5200833528997</v>
      </c>
      <c r="E19" s="149">
        <v>41556892.034672759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6041.7477579355</v>
      </c>
      <c r="D20" s="149">
        <v>29267.798946408999</v>
      </c>
      <c r="E20" s="149">
        <v>94605885.586918995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1034.4090079320999</v>
      </c>
      <c r="D21" s="149">
        <v>3987.5283214524002</v>
      </c>
      <c r="E21" s="149">
        <v>23402536.291227944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890.36880158609995</v>
      </c>
      <c r="D22" s="149">
        <v>2335.4268809488999</v>
      </c>
      <c r="E22" s="149">
        <v>12838840.014131976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3974.9066626951999</v>
      </c>
      <c r="D23" s="149">
        <v>26066.900035705199</v>
      </c>
      <c r="E23" s="149">
        <v>77234938.082233369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4167.0604166664998</v>
      </c>
      <c r="D24" s="149">
        <v>31679.110827379998</v>
      </c>
      <c r="E24" s="149">
        <v>71395677.265248328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1247.0245833286999</v>
      </c>
      <c r="D25" s="149">
        <v>5098.4133333472</v>
      </c>
      <c r="E25" s="149">
        <v>22957193.490778685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1506.9914563464999</v>
      </c>
      <c r="D26" s="149">
        <v>2510.5364404791999</v>
      </c>
      <c r="E26" s="149">
        <v>19289742.16236195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9075.4190476190997</v>
      </c>
      <c r="D27" s="149">
        <v>19079.449999999801</v>
      </c>
      <c r="E27" s="149">
        <v>92737394.572166532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1574.7172585935</v>
      </c>
      <c r="D28" s="149">
        <v>5480.3927306706</v>
      </c>
      <c r="E28" s="149">
        <v>27946953.901314609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5496.9674999997997</v>
      </c>
      <c r="D29" s="149">
        <v>14817.5402738143</v>
      </c>
      <c r="E29" s="149">
        <v>71438349.44963026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621.37717460270005</v>
      </c>
      <c r="D30" s="149">
        <v>2498.6954166737</v>
      </c>
      <c r="E30" s="149">
        <v>12409562.828433625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722.21977380550004</v>
      </c>
      <c r="D31" s="149">
        <v>1941.0074999945</v>
      </c>
      <c r="E31" s="149">
        <v>12424424.174816599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379.61547619010003</v>
      </c>
      <c r="D32" s="149">
        <v>1065.8712499977</v>
      </c>
      <c r="E32" s="149">
        <v>6910663.8929484431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1113.3202790989999</v>
      </c>
      <c r="D33" s="149">
        <v>4316.5594285916004</v>
      </c>
      <c r="E33" s="149">
        <v>19737898.64465503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147.6818919232</v>
      </c>
      <c r="D34" s="149">
        <v>1865.9941666653001</v>
      </c>
      <c r="E34" s="149">
        <v>4168771.4236823027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1689.1194444444</v>
      </c>
      <c r="D35" s="149">
        <v>10581.395333333199</v>
      </c>
      <c r="E35" s="149">
        <v>21379822.506904159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1229.6342222200001</v>
      </c>
      <c r="D36" s="149">
        <v>4228.8729762209996</v>
      </c>
      <c r="E36" s="149">
        <v>23727967.216498662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1860.8072817458999</v>
      </c>
      <c r="D37" s="149">
        <v>7608.3120714283004</v>
      </c>
      <c r="E37" s="149">
        <v>29444806.499426268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1502.3671717169</v>
      </c>
      <c r="D38" s="149">
        <v>17874.494999997401</v>
      </c>
      <c r="E38" s="149">
        <v>35283348.383201838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1854.5111111107999</v>
      </c>
      <c r="D39" s="149">
        <v>22580.139999994601</v>
      </c>
      <c r="E39" s="149">
        <v>42011238.924611963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2500.6607804222999</v>
      </c>
      <c r="D40" s="149">
        <v>13093.995296355301</v>
      </c>
      <c r="E40" s="149">
        <v>36704515.767288655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4332.8487698414001</v>
      </c>
      <c r="D41" s="149">
        <v>20832.482952382499</v>
      </c>
      <c r="E41" s="149">
        <v>49873243.888233334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689.68611111109999</v>
      </c>
      <c r="D42" s="149">
        <v>8108.1750000005004</v>
      </c>
      <c r="E42" s="149">
        <v>15734253.852251757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1012.5971726173</v>
      </c>
      <c r="D43" s="149">
        <v>7108.5042830208004</v>
      </c>
      <c r="E43" s="149">
        <v>29890050.750444368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1544.6160357153001</v>
      </c>
      <c r="D44" s="149">
        <v>14309.1466071431</v>
      </c>
      <c r="E44" s="149">
        <v>23870371.251658227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720.49684523949998</v>
      </c>
      <c r="D45" s="149">
        <v>7031.2235154772998</v>
      </c>
      <c r="E45" s="149">
        <v>16351865.104276011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2968.9512222223002</v>
      </c>
      <c r="D46" s="149">
        <v>1731.8200000003999</v>
      </c>
      <c r="E46" s="149">
        <v>78320711.594213665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43519030.185272135</v>
      </c>
      <c r="E2" s="59">
        <v>42348673.501936115</v>
      </c>
      <c r="F2" s="59">
        <f t="shared" ref="F2:F9" si="0">+D2-E2</f>
        <v>1170356.6833360195</v>
      </c>
      <c r="G2" s="60">
        <f t="shared" ref="G2:G41" si="1">+D2/C2</f>
        <v>1.3482117432597815</v>
      </c>
      <c r="H2" s="59">
        <f>+D2/$N$3*$N$4</f>
        <v>49736034.497453868</v>
      </c>
      <c r="I2" s="60">
        <f t="shared" ref="I2:I41" si="2">+H2/C2</f>
        <v>1.5408134208683217</v>
      </c>
      <c r="J2" s="59">
        <f>+D2/$N$3</f>
        <v>2072334.7707272444</v>
      </c>
      <c r="K2" s="59">
        <f t="shared" ref="K2:K41" si="3">+(C2-D2)/$N$2</f>
        <v>-3746651.1823404604</v>
      </c>
      <c r="L2" s="61" cm="1">
        <f t="array" ref="L2">+_xlfn.IFS(I2&gt;114%,H2*0.02,I2&gt;109%,H2*0.015,I2&gt;104%,H2*0.0125,I2&gt;99%,H2*0.01,I2&lt;99%,H2*0)</f>
        <v>994720.68994907744</v>
      </c>
      <c r="M2" s="53" t="s">
        <v>36</v>
      </c>
      <c r="N2">
        <v>3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36330053.720463678</v>
      </c>
      <c r="E3" s="4">
        <v>34729966.551307231</v>
      </c>
      <c r="F3" s="4">
        <f t="shared" si="0"/>
        <v>1600087.1691564471</v>
      </c>
      <c r="G3" s="5">
        <f t="shared" si="1"/>
        <v>1.1725905320766741</v>
      </c>
      <c r="H3" s="4">
        <f t="shared" ref="H3:H41" si="4">+D3/$N$3*$N$4</f>
        <v>41520061.394815631</v>
      </c>
      <c r="I3" s="5">
        <f t="shared" si="2"/>
        <v>1.3401034652304846</v>
      </c>
      <c r="J3" s="4">
        <f t="shared" ref="J3:J41" si="5">+D3/$N$3</f>
        <v>1730002.558117318</v>
      </c>
      <c r="K3" s="4">
        <f t="shared" si="3"/>
        <v>-1782441.8471934746</v>
      </c>
      <c r="L3" s="63" cm="1">
        <f t="array" ref="L3">+_xlfn.IFS(I3&gt;114%,H3*0.02,I3&gt;109%,H3*0.015,I3&gt;104%,H3*0.0125,I3&gt;99%,H3*0.01,I3&lt;99%,H3*0)</f>
        <v>830401.2278963126</v>
      </c>
      <c r="M3" s="53" t="s">
        <v>40</v>
      </c>
      <c r="N3">
        <f>N4-N2</f>
        <v>21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30719720.642584618</v>
      </c>
      <c r="E4" s="4">
        <v>26053301.553926799</v>
      </c>
      <c r="F4" s="4">
        <f t="shared" si="0"/>
        <v>4666419.0886578187</v>
      </c>
      <c r="G4" s="5">
        <f t="shared" si="1"/>
        <v>1.0820601203672009</v>
      </c>
      <c r="H4" s="4">
        <f t="shared" si="4"/>
        <v>35108252.162953854</v>
      </c>
      <c r="I4" s="5">
        <f t="shared" si="2"/>
        <v>1.2366401375625156</v>
      </c>
      <c r="J4" s="4">
        <f t="shared" si="5"/>
        <v>1462843.8401230772</v>
      </c>
      <c r="K4" s="4">
        <f t="shared" si="3"/>
        <v>-776563.12747878826</v>
      </c>
      <c r="L4" s="63" cm="1">
        <f t="array" ref="L4">+_xlfn.IFS(I4&gt;114%,H4*0.02,I4&gt;109%,H4*0.015,I4&gt;104%,H4*0.0125,I4&gt;99%,H4*0.01,I4&lt;99%,H4*0)</f>
        <v>702165.04325907712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32151531.334291395</v>
      </c>
      <c r="E5" s="4">
        <v>30938074.443758298</v>
      </c>
      <c r="F5" s="4">
        <f t="shared" si="0"/>
        <v>1213456.8905330971</v>
      </c>
      <c r="G5" s="5">
        <f t="shared" si="1"/>
        <v>1.132493692580862</v>
      </c>
      <c r="H5" s="4">
        <f t="shared" si="4"/>
        <v>36744607.239190161</v>
      </c>
      <c r="I5" s="5">
        <f t="shared" si="2"/>
        <v>1.2942785058066992</v>
      </c>
      <c r="J5" s="4">
        <f t="shared" si="5"/>
        <v>1531025.3016329235</v>
      </c>
      <c r="K5" s="4">
        <f t="shared" si="3"/>
        <v>-1253833.3580477138</v>
      </c>
      <c r="L5" s="63" cm="1">
        <f t="array" ref="L5">+_xlfn.IFS(I5&gt;114%,H5*0.02,I5&gt;109%,H5*0.015,I5&gt;104%,H5*0.0125,I5&gt;99%,H5*0.01,I5&lt;99%,H5*0)</f>
        <v>734892.14478380326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22808231.112358663</v>
      </c>
      <c r="E6" s="4">
        <v>22335454.178610008</v>
      </c>
      <c r="F6" s="4">
        <f t="shared" si="0"/>
        <v>472776.93374865502</v>
      </c>
      <c r="G6" s="5">
        <f t="shared" si="1"/>
        <v>0.96937813505306991</v>
      </c>
      <c r="H6" s="4">
        <f t="shared" si="4"/>
        <v>26066549.842695616</v>
      </c>
      <c r="I6" s="5">
        <f t="shared" si="2"/>
        <v>1.1078607257749371</v>
      </c>
      <c r="J6" s="4">
        <f t="shared" si="5"/>
        <v>1086106.2434456507</v>
      </c>
      <c r="K6" s="4">
        <f t="shared" si="3"/>
        <v>240164.47505382076</v>
      </c>
      <c r="L6" s="63" cm="1">
        <f t="array" ref="L6">+_xlfn.IFS(I6&gt;114%,H6*0.02,I6&gt;109%,H6*0.015,I6&gt;104%,H6*0.0125,I6&gt;99%,H6*0.01,I6&lt;99%,H6*0)</f>
        <v>390998.24764043425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20444026.41577046</v>
      </c>
      <c r="E7" s="4">
        <v>19669161.376174107</v>
      </c>
      <c r="F7" s="4">
        <f t="shared" ref="F7:F8" si="6">+D7-E7</f>
        <v>774865.03959635273</v>
      </c>
      <c r="G7" s="5">
        <f t="shared" si="1"/>
        <v>0.73693791995683677</v>
      </c>
      <c r="H7" s="4">
        <f t="shared" si="4"/>
        <v>23364601.618023381</v>
      </c>
      <c r="I7" s="5">
        <f t="shared" si="2"/>
        <v>0.84221476566495623</v>
      </c>
      <c r="J7" s="4">
        <f t="shared" si="5"/>
        <v>973525.06741764094</v>
      </c>
      <c r="K7" s="4">
        <f t="shared" si="3"/>
        <v>2432610.2048980147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34912526.417396955</v>
      </c>
      <c r="E8" s="4">
        <v>33172117.206180889</v>
      </c>
      <c r="F8" s="4">
        <f t="shared" si="6"/>
        <v>1740409.211216066</v>
      </c>
      <c r="G8" s="5">
        <f t="shared" si="1"/>
        <v>0.97436456786812531</v>
      </c>
      <c r="H8" s="4">
        <f t="shared" si="4"/>
        <v>39900030.191310808</v>
      </c>
      <c r="I8" s="5">
        <f t="shared" si="2"/>
        <v>1.1135595061350003</v>
      </c>
      <c r="J8" s="4">
        <f t="shared" si="5"/>
        <v>1662501.2579712835</v>
      </c>
      <c r="K8" s="4">
        <f t="shared" si="3"/>
        <v>306181.66650691628</v>
      </c>
      <c r="L8" s="63" cm="1">
        <f t="array" ref="L8">+_xlfn.IFS(I8&gt;114%,H8*0.02,I8&gt;109%,H8*0.015,I8&gt;104%,H8*0.0125,I8&gt;99%,H8*0.01,I8&lt;99%,H8*0)</f>
        <v>598500.45286966208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36508823.968888387</v>
      </c>
      <c r="E9" s="4">
        <v>34384138.677477628</v>
      </c>
      <c r="F9" s="4">
        <f t="shared" si="0"/>
        <v>2124685.2914107591</v>
      </c>
      <c r="G9" s="5">
        <f t="shared" si="1"/>
        <v>1.0189152186962147</v>
      </c>
      <c r="H9" s="4">
        <f t="shared" si="4"/>
        <v>41724370.250158161</v>
      </c>
      <c r="I9" s="5">
        <f t="shared" si="2"/>
        <v>1.1644745356528168</v>
      </c>
      <c r="J9" s="4">
        <f t="shared" si="5"/>
        <v>1738515.4270899233</v>
      </c>
      <c r="K9" s="4">
        <f t="shared" si="3"/>
        <v>-225917.51732356101</v>
      </c>
      <c r="L9" s="63" cm="1">
        <f t="array" ref="L9">+_xlfn.IFS(I9&gt;114%,H9*0.02,I9&gt;109%,H9*0.015,I9&gt;104%,H9*0.0125,I9&gt;99%,H9*0.01,I9&lt;99%,H9*0)</f>
        <v>834487.40500316327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257393943.79702634</v>
      </c>
      <c r="E10" s="65">
        <v>243630887.48937106</v>
      </c>
      <c r="F10" s="64">
        <f>+SUM(F2:F9)</f>
        <v>13763056.307655215</v>
      </c>
      <c r="G10" s="66">
        <f t="shared" si="1"/>
        <v>1.0593451025251646</v>
      </c>
      <c r="H10" s="64">
        <f t="shared" si="4"/>
        <v>294164507.19660151</v>
      </c>
      <c r="I10" s="66">
        <f t="shared" si="2"/>
        <v>1.2106801171716166</v>
      </c>
      <c r="J10" s="64">
        <f t="shared" si="5"/>
        <v>12256854.466525063</v>
      </c>
      <c r="K10" s="67">
        <f t="shared" si="3"/>
        <v>-4806450.6859252751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94605885.586918995</v>
      </c>
      <c r="E11" s="59">
        <v>91499113.57094492</v>
      </c>
      <c r="F11" s="59">
        <f t="shared" ref="F11:F16" si="7">+D11-E11</f>
        <v>3106772.0159740746</v>
      </c>
      <c r="G11" s="60">
        <f t="shared" si="1"/>
        <v>0.97560054293739229</v>
      </c>
      <c r="H11" s="59">
        <f t="shared" si="4"/>
        <v>108121012.099336</v>
      </c>
      <c r="I11" s="60">
        <f t="shared" si="2"/>
        <v>1.1149720490713055</v>
      </c>
      <c r="J11" s="59">
        <f t="shared" si="5"/>
        <v>4505042.1708056666</v>
      </c>
      <c r="K11" s="59">
        <f t="shared" si="3"/>
        <v>788687.63107283914</v>
      </c>
      <c r="L11" s="61" cm="1">
        <f t="array" ref="L11">+_xlfn.IFS(I11&gt;114%,H11*0.0125,I11&gt;109%,H11*0.01,I11&gt;104%,H11*0.0075,I11&gt;99%,H11*0.005,I11&lt;99%,H11*0)</f>
        <v>1081210.1209933599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29444806.499426268</v>
      </c>
      <c r="E12" s="4">
        <v>29444806.499426268</v>
      </c>
      <c r="F12" s="4">
        <f t="shared" si="7"/>
        <v>0</v>
      </c>
      <c r="G12" s="5">
        <f t="shared" si="1"/>
        <v>0.93088733666515167</v>
      </c>
      <c r="H12" s="4">
        <f t="shared" si="4"/>
        <v>33651207.427915737</v>
      </c>
      <c r="I12" s="5">
        <f t="shared" si="2"/>
        <v>1.0638712419030305</v>
      </c>
      <c r="J12" s="4">
        <f t="shared" si="5"/>
        <v>1402133.6428298224</v>
      </c>
      <c r="K12" s="4">
        <f t="shared" si="3"/>
        <v>728698.63638024533</v>
      </c>
      <c r="L12" s="63" cm="1">
        <f t="array" ref="L12">+_xlfn.IFS(I12&gt;114%,H12*0.02,I12&gt;109%,H12*0.015,I12&gt;104%,H12*0.0125,I12&gt;99%,H12*0.01,I12&lt;99%,H12*0)</f>
        <v>420640.09284894675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102943660.95730989</v>
      </c>
      <c r="E13" s="4">
        <v>87897365.335645273</v>
      </c>
      <c r="F13" s="4">
        <f t="shared" si="7"/>
        <v>15046295.621664613</v>
      </c>
      <c r="G13" s="5">
        <f t="shared" si="1"/>
        <v>0.80196728259258687</v>
      </c>
      <c r="H13" s="4">
        <f t="shared" si="4"/>
        <v>117649898.2369256</v>
      </c>
      <c r="I13" s="5">
        <f t="shared" si="2"/>
        <v>0.91653403724867089</v>
      </c>
      <c r="J13" s="4">
        <f t="shared" si="5"/>
        <v>4902079.0932052331</v>
      </c>
      <c r="K13" s="4">
        <f t="shared" si="3"/>
        <v>8473418.3724383656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35283348.383201838</v>
      </c>
      <c r="E14" s="4">
        <v>33394070.300837837</v>
      </c>
      <c r="F14" s="4">
        <f t="shared" si="7"/>
        <v>1889278.0823640004</v>
      </c>
      <c r="G14" s="5">
        <f t="shared" si="1"/>
        <v>0.83119274133466581</v>
      </c>
      <c r="H14" s="4">
        <f t="shared" si="4"/>
        <v>40323826.723659247</v>
      </c>
      <c r="I14" s="5">
        <f t="shared" si="2"/>
        <v>0.94993456152533251</v>
      </c>
      <c r="J14" s="4">
        <f t="shared" si="5"/>
        <v>1680159.4468191352</v>
      </c>
      <c r="K14" s="4">
        <f t="shared" si="3"/>
        <v>2388569.670591054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42011238.924611963</v>
      </c>
      <c r="E15" s="4">
        <v>42099413.06320975</v>
      </c>
      <c r="F15" s="4">
        <f t="shared" si="7"/>
        <v>-88174.138597786427</v>
      </c>
      <c r="G15" s="5">
        <f t="shared" si="1"/>
        <v>0.98968602609265799</v>
      </c>
      <c r="H15" s="4">
        <f t="shared" si="4"/>
        <v>48012844.485270813</v>
      </c>
      <c r="I15" s="5">
        <f t="shared" si="2"/>
        <v>1.1310697441058948</v>
      </c>
      <c r="J15" s="4">
        <f t="shared" si="5"/>
        <v>2000535.186886284</v>
      </c>
      <c r="K15" s="4">
        <f t="shared" si="3"/>
        <v>145939.49012101194</v>
      </c>
      <c r="L15" s="63" cm="1">
        <f t="array" ref="L15">+_xlfn.IFS(I15&gt;109%,H15*0.015,I15&gt;104%,H15*0.0125,I15&gt;99%,H15*0.01,I15&lt;99%,H15*0)</f>
        <v>720192.66727906221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304288940.35146898</v>
      </c>
      <c r="E16" s="65">
        <v>284334768.77006406</v>
      </c>
      <c r="F16" s="64">
        <f t="shared" si="7"/>
        <v>19954171.581404924</v>
      </c>
      <c r="G16" s="66">
        <f t="shared" si="1"/>
        <v>0.89008540096572797</v>
      </c>
      <c r="H16" s="64">
        <f t="shared" si="4"/>
        <v>347758788.9731074</v>
      </c>
      <c r="I16" s="66">
        <f t="shared" si="2"/>
        <v>1.0172404582465462</v>
      </c>
      <c r="J16" s="64">
        <f t="shared" si="5"/>
        <v>14489949.540546142</v>
      </c>
      <c r="K16" s="67">
        <f t="shared" si="3"/>
        <v>12525313.800603509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18499686.452025712</v>
      </c>
      <c r="E17" s="59">
        <v>18330519.82745814</v>
      </c>
      <c r="F17" s="59">
        <f t="shared" ref="F17:F40" si="8">+D17-E17</f>
        <v>169166.62456757203</v>
      </c>
      <c r="G17" s="60">
        <f t="shared" si="1"/>
        <v>0.63057042123551521</v>
      </c>
      <c r="H17" s="59">
        <f t="shared" si="4"/>
        <v>21142498.802315101</v>
      </c>
      <c r="I17" s="60">
        <f t="shared" si="2"/>
        <v>0.72065190998344608</v>
      </c>
      <c r="J17" s="59">
        <f t="shared" si="5"/>
        <v>880937.4500964625</v>
      </c>
      <c r="K17" s="59">
        <f t="shared" si="3"/>
        <v>3612777.2268247642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19424954.100527775</v>
      </c>
      <c r="E18" s="4">
        <v>18347208.19406531</v>
      </c>
      <c r="F18" s="4">
        <f t="shared" si="8"/>
        <v>1077745.9064624645</v>
      </c>
      <c r="G18" s="5">
        <f t="shared" si="1"/>
        <v>0.77825875954250257</v>
      </c>
      <c r="H18" s="4">
        <f t="shared" si="4"/>
        <v>22199947.543460313</v>
      </c>
      <c r="I18" s="5">
        <f t="shared" si="2"/>
        <v>0.88943858233428852</v>
      </c>
      <c r="J18" s="4">
        <f t="shared" si="5"/>
        <v>924997.81431084638</v>
      </c>
      <c r="K18" s="4">
        <f t="shared" si="3"/>
        <v>1844850.5998240758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19714579.69941406</v>
      </c>
      <c r="E19" s="4">
        <v>19092113.053231597</v>
      </c>
      <c r="F19" s="4">
        <f t="shared" si="8"/>
        <v>622466.64618246257</v>
      </c>
      <c r="G19" s="5">
        <f t="shared" si="1"/>
        <v>0.76245683695403133</v>
      </c>
      <c r="H19" s="4">
        <f t="shared" si="4"/>
        <v>22530948.227901783</v>
      </c>
      <c r="I19" s="5">
        <f t="shared" si="2"/>
        <v>0.87137924223317864</v>
      </c>
      <c r="J19" s="4">
        <f t="shared" si="5"/>
        <v>938789.50949590758</v>
      </c>
      <c r="K19" s="4">
        <f t="shared" si="3"/>
        <v>2047356.8220286469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41556892.034672759</v>
      </c>
      <c r="E20" s="4">
        <v>38385785.436317317</v>
      </c>
      <c r="F20" s="4">
        <f t="shared" si="8"/>
        <v>3171106.5983554423</v>
      </c>
      <c r="G20" s="5">
        <f t="shared" si="1"/>
        <v>1.2387245439514143</v>
      </c>
      <c r="H20" s="4">
        <f t="shared" si="4"/>
        <v>47493590.896768868</v>
      </c>
      <c r="I20" s="5">
        <f t="shared" si="2"/>
        <v>1.4156851930873307</v>
      </c>
      <c r="J20" s="4">
        <f t="shared" si="5"/>
        <v>1978899.6206987028</v>
      </c>
      <c r="K20" s="4">
        <f t="shared" si="3"/>
        <v>-2669587.34489092</v>
      </c>
      <c r="L20" s="63" cm="1">
        <f t="array" ref="L20">+_xlfn.IFS(I20&gt;114%,H20*0.02,I20&gt;109%,H20*0.015,I20&gt;104%,H20*0.0125,I20&gt;99%,H20*0.01,I20&lt;99%,H20*0)</f>
        <v>949871.81793537736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23402536.291227944</v>
      </c>
      <c r="E21" s="4">
        <v>22197119.57940197</v>
      </c>
      <c r="F21" s="4">
        <f t="shared" ref="F21:F23" si="9">+D21-E21</f>
        <v>1205416.7118259743</v>
      </c>
      <c r="G21" s="5">
        <f t="shared" si="1"/>
        <v>0.91924218232834298</v>
      </c>
      <c r="H21" s="4">
        <f t="shared" si="4"/>
        <v>26745755.761403367</v>
      </c>
      <c r="I21" s="5">
        <f t="shared" si="2"/>
        <v>1.0505624940895351</v>
      </c>
      <c r="J21" s="4">
        <f t="shared" si="5"/>
        <v>1114406.4900584735</v>
      </c>
      <c r="K21" s="4">
        <f t="shared" si="3"/>
        <v>685324.56959068531</v>
      </c>
      <c r="L21" s="63" cm="1">
        <f t="array" ref="L21">+_xlfn.IFS(I21&gt;114%,H21*0.02,I21&gt;109%,H21*0.015,I21&gt;104%,H21*0.0125,I21&gt;99%,H21*0.01,I21&lt;99%,H21*0)</f>
        <v>334321.94701754209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27946953.901314609</v>
      </c>
      <c r="E22" s="4">
        <v>26643942.312290296</v>
      </c>
      <c r="F22" s="4">
        <f t="shared" si="9"/>
        <v>1303011.5890243128</v>
      </c>
      <c r="G22" s="5">
        <f t="shared" si="1"/>
        <v>0.88041617273132255</v>
      </c>
      <c r="H22" s="4">
        <f t="shared" si="4"/>
        <v>31939375.887216695</v>
      </c>
      <c r="I22" s="5">
        <f t="shared" si="2"/>
        <v>1.00618991169294</v>
      </c>
      <c r="J22" s="4">
        <f t="shared" si="5"/>
        <v>1330807.328634029</v>
      </c>
      <c r="K22" s="4">
        <f t="shared" si="3"/>
        <v>1265312.0995617982</v>
      </c>
      <c r="L22" s="63" cm="1">
        <f t="array" ref="L22">+_xlfn.IFS(I22&gt;114%,H22*0.02,I22&gt;109%,H22*0.015,I22&gt;104%,H22*0.0125,I22&gt;99%,H22*0.01,I22&lt;99%,H22*0)</f>
        <v>319393.75887216697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23727967.216498662</v>
      </c>
      <c r="E23" s="4">
        <v>22747804.690357793</v>
      </c>
      <c r="F23" s="4">
        <f t="shared" si="9"/>
        <v>980162.52614086866</v>
      </c>
      <c r="G23" s="5">
        <f t="shared" si="1"/>
        <v>0.86484960342111949</v>
      </c>
      <c r="H23" s="4">
        <f t="shared" si="4"/>
        <v>27117676.818855613</v>
      </c>
      <c r="I23" s="5">
        <f t="shared" si="2"/>
        <v>0.98839954676699371</v>
      </c>
      <c r="J23" s="4">
        <f t="shared" si="5"/>
        <v>1129903.2007856506</v>
      </c>
      <c r="K23" s="4">
        <f t="shared" si="3"/>
        <v>1235993.0045004475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36704515.767288655</v>
      </c>
      <c r="E24" s="4">
        <v>32782721.995051492</v>
      </c>
      <c r="F24" s="4">
        <f t="shared" si="8"/>
        <v>3921793.772237163</v>
      </c>
      <c r="G24" s="5">
        <f t="shared" si="1"/>
        <v>1.0958516598628818</v>
      </c>
      <c r="H24" s="4">
        <f t="shared" si="4"/>
        <v>41948018.019758463</v>
      </c>
      <c r="I24" s="5">
        <f t="shared" si="2"/>
        <v>1.2524018969861506</v>
      </c>
      <c r="J24" s="4">
        <f t="shared" si="5"/>
        <v>1747834.0841566026</v>
      </c>
      <c r="K24" s="4">
        <f t="shared" si="3"/>
        <v>-1070153.5890962183</v>
      </c>
      <c r="L24" s="63" cm="1">
        <f t="array" ref="L24">+_xlfn.IFS(I24&gt;114%,H24*0.02,I24&gt;109%,H24*0.015,I24&gt;104%,H24*0.0125,I24&gt;99%,H24*0.01,I24&lt;99%,H24*0)</f>
        <v>838960.36039516923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49873243.888233334</v>
      </c>
      <c r="E25" s="4">
        <v>48558364.440969415</v>
      </c>
      <c r="F25" s="4">
        <f t="shared" si="8"/>
        <v>1314879.4472639188</v>
      </c>
      <c r="G25" s="5">
        <f t="shared" si="1"/>
        <v>0.92246901634718226</v>
      </c>
      <c r="H25" s="4">
        <f t="shared" si="4"/>
        <v>56997993.015123814</v>
      </c>
      <c r="I25" s="5">
        <f t="shared" si="2"/>
        <v>1.0542503043967799</v>
      </c>
      <c r="J25" s="4">
        <f t="shared" si="5"/>
        <v>2374916.3756301589</v>
      </c>
      <c r="K25" s="4">
        <f t="shared" si="3"/>
        <v>1397236.325588892</v>
      </c>
      <c r="L25" s="63" cm="1">
        <f t="array" ref="L25">+_xlfn.IFS(I25&gt;109%,H25*0.015,I25&gt;104%,H25*0.0125,I25&gt;99%,H25*0.01,I25&lt;99%,H25*0)</f>
        <v>712474.91268904775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260851329.35120353</v>
      </c>
      <c r="E26" s="65">
        <v>247085579.52914333</v>
      </c>
      <c r="F26" s="67">
        <f>+D26-E26</f>
        <v>13765749.822060198</v>
      </c>
      <c r="G26" s="66">
        <f t="shared" si="1"/>
        <v>0.91239088258117951</v>
      </c>
      <c r="H26" s="64">
        <f t="shared" si="4"/>
        <v>298115804.97280407</v>
      </c>
      <c r="I26" s="66">
        <f t="shared" si="2"/>
        <v>1.0427324372356339</v>
      </c>
      <c r="J26" s="64">
        <f t="shared" si="5"/>
        <v>12421491.873866836</v>
      </c>
      <c r="K26" s="67">
        <f t="shared" si="3"/>
        <v>8349109.7139321668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71438349.44963026</v>
      </c>
      <c r="E27" s="59">
        <v>63898020.896201789</v>
      </c>
      <c r="F27" s="59">
        <f t="shared" si="8"/>
        <v>7540328.5534284711</v>
      </c>
      <c r="G27" s="60">
        <f t="shared" si="1"/>
        <v>0.87143637171609178</v>
      </c>
      <c r="H27" s="59">
        <f t="shared" si="4"/>
        <v>81643827.942434579</v>
      </c>
      <c r="I27" s="60">
        <f t="shared" si="2"/>
        <v>0.99592728196124769</v>
      </c>
      <c r="J27" s="59">
        <f t="shared" si="5"/>
        <v>3401826.1642681076</v>
      </c>
      <c r="K27" s="59">
        <f t="shared" si="3"/>
        <v>3513116.8501232467</v>
      </c>
      <c r="L27" s="61" cm="1">
        <f t="array" ref="L27">+_xlfn.IFS(I27&gt;114%,H27*0.0125,I27&gt;109%,H27*0.01,I27&gt;104%,H27*0.0075,I27&gt;99%,H27*0.005,I27&lt;99%,H27*0)</f>
        <v>408219.13971217291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12424424.174816599</v>
      </c>
      <c r="E28" s="4">
        <v>12068618.095180452</v>
      </c>
      <c r="F28" s="4">
        <f t="shared" si="8"/>
        <v>355806.07963614725</v>
      </c>
      <c r="G28" s="5">
        <f t="shared" si="1"/>
        <v>0.59163924641983801</v>
      </c>
      <c r="H28" s="4">
        <f t="shared" si="4"/>
        <v>14199341.914076112</v>
      </c>
      <c r="I28" s="5">
        <f t="shared" si="2"/>
        <v>0.67615913876552913</v>
      </c>
      <c r="J28" s="4">
        <f t="shared" si="5"/>
        <v>591639.24641983805</v>
      </c>
      <c r="K28" s="4">
        <f t="shared" si="3"/>
        <v>2858525.2750611338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18605159.412867669</v>
      </c>
      <c r="E29" s="4">
        <v>17716153.185610507</v>
      </c>
      <c r="F29" s="4">
        <f t="shared" si="8"/>
        <v>889006.22725716233</v>
      </c>
      <c r="G29" s="5">
        <f t="shared" si="1"/>
        <v>0.72281959047182631</v>
      </c>
      <c r="H29" s="4">
        <f t="shared" si="4"/>
        <v>21263039.328991622</v>
      </c>
      <c r="I29" s="5">
        <f t="shared" si="2"/>
        <v>0.82607953196780159</v>
      </c>
      <c r="J29" s="4">
        <f t="shared" si="5"/>
        <v>885959.97204131761</v>
      </c>
      <c r="K29" s="4">
        <f t="shared" si="3"/>
        <v>2378180.1957107768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19737898.64465503</v>
      </c>
      <c r="E30" s="4">
        <v>19107545.450427301</v>
      </c>
      <c r="F30" s="4">
        <f t="shared" si="8"/>
        <v>630353.19422772899</v>
      </c>
      <c r="G30" s="5">
        <f t="shared" si="1"/>
        <v>0.51625017015366959</v>
      </c>
      <c r="H30" s="4">
        <f t="shared" si="4"/>
        <v>22557598.451034322</v>
      </c>
      <c r="I30" s="5">
        <f t="shared" si="2"/>
        <v>0.59000019446133678</v>
      </c>
      <c r="J30" s="4">
        <f t="shared" si="5"/>
        <v>939899.93545976339</v>
      </c>
      <c r="K30" s="4">
        <f t="shared" si="3"/>
        <v>6165102.1558235474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22957193.490778685</v>
      </c>
      <c r="E31" s="4">
        <v>22351851.760405116</v>
      </c>
      <c r="F31" s="4">
        <f t="shared" si="8"/>
        <v>605341.73037356883</v>
      </c>
      <c r="G31" s="5">
        <f t="shared" si="1"/>
        <v>0.90328418924774234</v>
      </c>
      <c r="H31" s="4">
        <f t="shared" si="4"/>
        <v>26236792.56088993</v>
      </c>
      <c r="I31" s="5">
        <f t="shared" si="2"/>
        <v>1.0323247877117057</v>
      </c>
      <c r="J31" s="4">
        <f t="shared" si="5"/>
        <v>1093199.6900370803</v>
      </c>
      <c r="K31" s="4">
        <f t="shared" si="3"/>
        <v>819352.16974043846</v>
      </c>
      <c r="L31" s="63" cm="1">
        <f t="array" ref="L31">+_xlfn.IFS(I31&gt;114%,H31*0.02,I31&gt;109%,H31*0.015,I31&gt;104%,H31*0.0125,I31&gt;99%,H31*0.01,I31&lt;99%,H31*0)</f>
        <v>262367.92560889933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16409209.878591815</v>
      </c>
      <c r="E32" s="4">
        <v>15567396.521303969</v>
      </c>
      <c r="F32" s="4">
        <f t="shared" si="8"/>
        <v>841813.35728784651</v>
      </c>
      <c r="G32" s="5">
        <f t="shared" si="1"/>
        <v>0.65115912216634186</v>
      </c>
      <c r="H32" s="4">
        <f t="shared" si="4"/>
        <v>18753382.718390647</v>
      </c>
      <c r="I32" s="5">
        <f t="shared" si="2"/>
        <v>0.74418185390439073</v>
      </c>
      <c r="J32" s="4">
        <f t="shared" si="5"/>
        <v>781390.94659961027</v>
      </c>
      <c r="K32" s="4">
        <f t="shared" si="3"/>
        <v>2930263.3738027285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19289742.16236195</v>
      </c>
      <c r="E33" s="4">
        <v>18152132.627476722</v>
      </c>
      <c r="F33" s="4">
        <f t="shared" si="8"/>
        <v>1137609.5348852277</v>
      </c>
      <c r="G33" s="5">
        <f t="shared" si="1"/>
        <v>0.72800408209919898</v>
      </c>
      <c r="H33" s="4">
        <f t="shared" si="4"/>
        <v>22045419.614127941</v>
      </c>
      <c r="I33" s="5">
        <f t="shared" si="2"/>
        <v>0.83200466525622729</v>
      </c>
      <c r="J33" s="4">
        <f t="shared" si="5"/>
        <v>918559.15058866423</v>
      </c>
      <c r="K33" s="4">
        <f t="shared" si="3"/>
        <v>2402335.94587935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12409562.828433625</v>
      </c>
      <c r="E34" s="4">
        <v>11897787.146556925</v>
      </c>
      <c r="F34" s="4">
        <f t="shared" si="8"/>
        <v>511775.68187670037</v>
      </c>
      <c r="G34" s="5">
        <f t="shared" si="1"/>
        <v>0.59093156325874407</v>
      </c>
      <c r="H34" s="4">
        <f t="shared" si="4"/>
        <v>14182357.518209858</v>
      </c>
      <c r="I34" s="5">
        <f t="shared" si="2"/>
        <v>0.67535035800999321</v>
      </c>
      <c r="J34" s="4">
        <f t="shared" si="5"/>
        <v>590931.56325874408</v>
      </c>
      <c r="K34" s="4">
        <f t="shared" si="3"/>
        <v>2863479.0571887917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6910663.8929484431</v>
      </c>
      <c r="E35" s="4">
        <v>6654129.5833571497</v>
      </c>
      <c r="F35" s="4">
        <f t="shared" si="8"/>
        <v>256534.30959129333</v>
      </c>
      <c r="G35" s="5">
        <f t="shared" si="1"/>
        <v>0.28025824646358788</v>
      </c>
      <c r="H35" s="4">
        <f t="shared" si="4"/>
        <v>7897901.5919410782</v>
      </c>
      <c r="I35" s="5">
        <f t="shared" si="2"/>
        <v>0.32029513881552907</v>
      </c>
      <c r="J35" s="4">
        <f t="shared" si="5"/>
        <v>329079.23299754492</v>
      </c>
      <c r="K35" s="4">
        <f t="shared" si="3"/>
        <v>5915845.3690171866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12838840.014131976</v>
      </c>
      <c r="E36" s="4">
        <v>12282537.745466704</v>
      </c>
      <c r="F36" s="4">
        <f t="shared" si="8"/>
        <v>556302.26866527274</v>
      </c>
      <c r="G36" s="5">
        <f t="shared" si="1"/>
        <v>0.50877115173893306</v>
      </c>
      <c r="H36" s="4">
        <f t="shared" si="4"/>
        <v>14672960.01615083</v>
      </c>
      <c r="I36" s="5">
        <f t="shared" si="2"/>
        <v>0.58145274484449494</v>
      </c>
      <c r="J36" s="4">
        <f t="shared" si="5"/>
        <v>611373.3340062846</v>
      </c>
      <c r="K36" s="4">
        <f t="shared" si="3"/>
        <v>4132053.3286226746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41403779.984393798</v>
      </c>
      <c r="E37" s="4">
        <v>40168339.712393798</v>
      </c>
      <c r="F37" s="4">
        <f t="shared" si="8"/>
        <v>1235440.2719999999</v>
      </c>
      <c r="G37" s="5">
        <f t="shared" si="1"/>
        <v>0.33934256319078937</v>
      </c>
      <c r="H37" s="4">
        <f t="shared" si="4"/>
        <v>47318605.696450055</v>
      </c>
      <c r="I37" s="5">
        <f t="shared" si="2"/>
        <v>0.38782007221804504</v>
      </c>
      <c r="J37" s="4">
        <f t="shared" si="5"/>
        <v>1971608.570685419</v>
      </c>
      <c r="K37" s="4">
        <f t="shared" si="3"/>
        <v>26869323.338535398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15734253.852251757</v>
      </c>
      <c r="E38" s="4">
        <v>11613512.945751758</v>
      </c>
      <c r="F38" s="4">
        <f t="shared" ref="F38" si="10">+D38-E38</f>
        <v>4120740.9064999986</v>
      </c>
      <c r="G38" s="5">
        <f t="shared" si="1"/>
        <v>0.44073540202385875</v>
      </c>
      <c r="H38" s="4">
        <f t="shared" si="4"/>
        <v>17982004.402573436</v>
      </c>
      <c r="I38" s="5">
        <f t="shared" si="2"/>
        <v>0.50369760231298144</v>
      </c>
      <c r="J38" s="4">
        <f t="shared" si="5"/>
        <v>749250.18344055989</v>
      </c>
      <c r="K38" s="4">
        <f t="shared" si="3"/>
        <v>6655248.7159160813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23690224.874888409</v>
      </c>
      <c r="E39" s="4">
        <v>23459878.903237622</v>
      </c>
      <c r="F39" s="4">
        <f t="shared" si="8"/>
        <v>230345.9716507867</v>
      </c>
      <c r="G39" s="5">
        <f t="shared" si="1"/>
        <v>0.65152075559120848</v>
      </c>
      <c r="H39" s="4">
        <f t="shared" si="4"/>
        <v>27074542.714158177</v>
      </c>
      <c r="I39" s="5">
        <f t="shared" si="2"/>
        <v>0.74459514924709536</v>
      </c>
      <c r="J39" s="4">
        <f t="shared" si="5"/>
        <v>1128105.9464232575</v>
      </c>
      <c r="K39" s="4">
        <f t="shared" si="3"/>
        <v>4223734.2880371967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293849302.66075003</v>
      </c>
      <c r="E40" s="65">
        <v>274937904.5733698</v>
      </c>
      <c r="F40" s="67">
        <f t="shared" si="8"/>
        <v>18911398.08738023</v>
      </c>
      <c r="G40" s="66">
        <f t="shared" si="1"/>
        <v>0.57727420748199576</v>
      </c>
      <c r="H40" s="64">
        <f t="shared" si="4"/>
        <v>335827774.46942866</v>
      </c>
      <c r="I40" s="66">
        <f t="shared" si="2"/>
        <v>0.6597419514079953</v>
      </c>
      <c r="J40" s="64">
        <f t="shared" si="5"/>
        <v>13992823.936226193</v>
      </c>
      <c r="K40" s="67">
        <f t="shared" si="3"/>
        <v>71726560.063458562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1116383516.160449</v>
      </c>
      <c r="E41" s="82">
        <v>1049989140.3619483</v>
      </c>
      <c r="F41" s="81">
        <f>+D41-E41</f>
        <v>66394375.798500776</v>
      </c>
      <c r="G41" s="83">
        <f t="shared" si="1"/>
        <v>0.8091100868087937</v>
      </c>
      <c r="H41" s="81">
        <f t="shared" si="4"/>
        <v>1275866875.6119418</v>
      </c>
      <c r="I41" s="139">
        <f t="shared" si="2"/>
        <v>0.92469724206719295</v>
      </c>
      <c r="J41" s="81">
        <f t="shared" si="5"/>
        <v>53161119.817164242</v>
      </c>
      <c r="K41" s="81">
        <f t="shared" si="3"/>
        <v>87794543.64422901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29890050.750444368</v>
      </c>
      <c r="E43" s="4">
        <v>26223021.650199708</v>
      </c>
      <c r="F43" s="4">
        <f t="shared" ref="F43" si="11">+D43-E43</f>
        <v>3667029.1002446599</v>
      </c>
      <c r="G43" s="5">
        <f>+D43/C43</f>
        <v>0.74725126876110914</v>
      </c>
      <c r="H43" s="4">
        <f t="shared" ref="H43" si="12">+D43/$N$3*$N$4</f>
        <v>34160058.000507846</v>
      </c>
      <c r="I43" s="5">
        <f>+H43/C43</f>
        <v>0.85400145001269612</v>
      </c>
      <c r="J43" s="4">
        <f t="shared" ref="J43" si="13">+D43/$N$3</f>
        <v>1423335.7500211603</v>
      </c>
      <c r="K43" s="4">
        <f>+(C43-D43)/$N$2</f>
        <v>3369983.0831852108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23870371.251658227</v>
      </c>
      <c r="E44" s="4">
        <v>21190073.138939679</v>
      </c>
      <c r="F44" s="4">
        <f t="shared" ref="F44" si="14">+D44-E44</f>
        <v>2680298.1127185486</v>
      </c>
      <c r="G44" s="5">
        <f>+D44/C44</f>
        <v>0.79567904172194093</v>
      </c>
      <c r="H44" s="4">
        <f t="shared" ref="H44" si="15">+D44/$N$3*$N$4</f>
        <v>27280424.287609406</v>
      </c>
      <c r="I44" s="5">
        <f>+H44/C44</f>
        <v>0.90934747625364687</v>
      </c>
      <c r="J44" s="4">
        <f t="shared" ref="J44" si="16">+D44/$N$3</f>
        <v>1136684.3453170585</v>
      </c>
      <c r="K44" s="4">
        <f>+(C44-D44)/$N$2</f>
        <v>2043209.582780591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0.85135135135135132</v>
      </c>
      <c r="E2" s="13">
        <v>33</v>
      </c>
      <c r="F2" s="12">
        <f>+H2-E2</f>
        <v>30</v>
      </c>
      <c r="G2" s="13">
        <f>VLOOKUP(B2,'Base Cobertura'!$A:$C,3,FALSE)</f>
        <v>74</v>
      </c>
      <c r="H2" s="13">
        <f>VLOOKUP(B2,'Base Cobertura'!$A:$C,2,FALSE)</f>
        <v>63</v>
      </c>
      <c r="I2" s="17">
        <f>(+G2*$M$2)-H2</f>
        <v>-0.10000000000000142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0.44855967078189302</v>
      </c>
      <c r="E3" s="13">
        <v>1</v>
      </c>
      <c r="F3" s="12">
        <f t="shared" ref="F3:F38" si="1">+H3-E3</f>
        <v>108</v>
      </c>
      <c r="G3" s="13">
        <f>VLOOKUP(B3,'Base Cobertura'!$A:$C,3,FALSE)</f>
        <v>243</v>
      </c>
      <c r="H3" s="13">
        <f>VLOOKUP(B3,'Base Cobertura'!$A:$C,2,FALSE)</f>
        <v>109</v>
      </c>
      <c r="I3" s="17">
        <f t="shared" ref="I3:I38" si="2">(+G3*$M$2)-H3</f>
        <v>97.549999999999983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78</v>
      </c>
      <c r="T3" s="12">
        <v>214</v>
      </c>
      <c r="U3" s="41">
        <f>+S3/T3</f>
        <v>0.3644859813084112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0.88986784140969166</v>
      </c>
      <c r="E4" s="13">
        <v>126</v>
      </c>
      <c r="F4" s="12">
        <f t="shared" si="1"/>
        <v>76</v>
      </c>
      <c r="G4" s="13">
        <f>VLOOKUP(B4,'Base Cobertura'!$A:$C,3,FALSE)</f>
        <v>227</v>
      </c>
      <c r="H4" s="13">
        <f>VLOOKUP(B4,'Base Cobertura'!$A:$C,2,FALSE)</f>
        <v>202</v>
      </c>
      <c r="I4" s="17">
        <f t="shared" si="2"/>
        <v>-9.0500000000000114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57</v>
      </c>
      <c r="T4" s="13">
        <v>214</v>
      </c>
      <c r="U4" s="5">
        <f t="shared" ref="U4:U11" si="3">+S4/T4</f>
        <v>0.26635514018691586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0.76923076923076927</v>
      </c>
      <c r="E5" s="13">
        <v>21</v>
      </c>
      <c r="F5" s="12">
        <f t="shared" si="1"/>
        <v>29</v>
      </c>
      <c r="G5" s="13">
        <f>VLOOKUP(B5,'Base Cobertura'!$A:$C,3,FALSE)</f>
        <v>65</v>
      </c>
      <c r="H5" s="13">
        <f>VLOOKUP(B5,'Base Cobertura'!$A:$C,2,FALSE)</f>
        <v>50</v>
      </c>
      <c r="I5" s="17">
        <f t="shared" si="2"/>
        <v>5.25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95</v>
      </c>
      <c r="T5" s="13">
        <v>214</v>
      </c>
      <c r="U5" s="5">
        <f t="shared" si="3"/>
        <v>0.44392523364485981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0.88888888888888884</v>
      </c>
      <c r="E6" s="13">
        <v>100</v>
      </c>
      <c r="F6" s="12">
        <f t="shared" si="1"/>
        <v>84</v>
      </c>
      <c r="G6" s="13">
        <f>VLOOKUP(B6,'Base Cobertura'!$A:$C,3,FALSE)</f>
        <v>207</v>
      </c>
      <c r="H6" s="13">
        <f>VLOOKUP(B6,'Base Cobertura'!$A:$C,2,FALSE)</f>
        <v>184</v>
      </c>
      <c r="I6" s="17">
        <f t="shared" si="2"/>
        <v>-8.0500000000000114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50</v>
      </c>
      <c r="T6" s="13">
        <v>214</v>
      </c>
      <c r="U6" s="5">
        <f t="shared" si="3"/>
        <v>0.23364485981308411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0.83417085427135673</v>
      </c>
      <c r="E7" s="13">
        <v>81</v>
      </c>
      <c r="F7" s="12">
        <f t="shared" si="1"/>
        <v>85</v>
      </c>
      <c r="G7" s="13">
        <f>VLOOKUP(B7,'Base Cobertura'!$A:$C,3,FALSE)</f>
        <v>199</v>
      </c>
      <c r="H7" s="13">
        <f>VLOOKUP(B7,'Base Cobertura'!$A:$C,2,FALSE)</f>
        <v>166</v>
      </c>
      <c r="I7" s="17">
        <f t="shared" si="2"/>
        <v>3.1500000000000057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99</v>
      </c>
      <c r="T7" s="13">
        <v>214</v>
      </c>
      <c r="U7" s="5">
        <f t="shared" si="3"/>
        <v>0.46261682242990654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0.87850467289719625</v>
      </c>
      <c r="E8" s="13">
        <v>89</v>
      </c>
      <c r="F8" s="12">
        <f t="shared" si="1"/>
        <v>99</v>
      </c>
      <c r="G8" s="13">
        <f>VLOOKUP(B8,'Base Cobertura'!$A:$C,3,FALSE)</f>
        <v>214</v>
      </c>
      <c r="H8" s="13">
        <f>VLOOKUP(B8,'Base Cobertura'!$A:$C,2,FALSE)</f>
        <v>188</v>
      </c>
      <c r="I8" s="17">
        <f t="shared" si="2"/>
        <v>-6.0999999999999943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88</v>
      </c>
      <c r="T8" s="13">
        <v>214</v>
      </c>
      <c r="U8" s="5">
        <f t="shared" si="3"/>
        <v>0.41121495327102803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0.81065088757396453</v>
      </c>
      <c r="E9" s="13">
        <v>92</v>
      </c>
      <c r="F9" s="12">
        <f t="shared" si="1"/>
        <v>45</v>
      </c>
      <c r="G9" s="13">
        <f>VLOOKUP(B9,'Base Cobertura'!$A:$C,3,FALSE)</f>
        <v>169</v>
      </c>
      <c r="H9" s="13">
        <f>VLOOKUP(B9,'Base Cobertura'!$A:$C,2,FALSE)</f>
        <v>137</v>
      </c>
      <c r="I9" s="17">
        <f t="shared" si="2"/>
        <v>6.6500000000000057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0.79487179487179482</v>
      </c>
      <c r="E10" s="13">
        <v>64</v>
      </c>
      <c r="F10" s="12">
        <f t="shared" si="1"/>
        <v>91</v>
      </c>
      <c r="G10" s="13">
        <f>VLOOKUP(B10,'Base Cobertura'!$A:$C,3,FALSE)</f>
        <v>195</v>
      </c>
      <c r="H10" s="13">
        <f>VLOOKUP(B10,'Base Cobertura'!$A:$C,2,FALSE)</f>
        <v>155</v>
      </c>
      <c r="I10" s="17">
        <f t="shared" si="2"/>
        <v>10.75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28</v>
      </c>
      <c r="T10" s="13">
        <v>214</v>
      </c>
      <c r="U10" s="5">
        <f t="shared" si="3"/>
        <v>0.13084112149532709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0.49514563106796117</v>
      </c>
      <c r="E11" s="31">
        <v>19</v>
      </c>
      <c r="F11" s="33">
        <f t="shared" si="1"/>
        <v>32</v>
      </c>
      <c r="G11" s="13">
        <f>VLOOKUP(B11,'Base Cobertura'!$A:$C,3,FALSE)</f>
        <v>103</v>
      </c>
      <c r="H11" s="13">
        <f>VLOOKUP(B11,'Base Cobertura'!$A:$C,2,FALSE)</f>
        <v>51</v>
      </c>
      <c r="I11" s="34">
        <f t="shared" si="2"/>
        <v>36.549999999999997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44</v>
      </c>
      <c r="T11" s="13">
        <v>214</v>
      </c>
      <c r="U11" s="5">
        <f t="shared" si="3"/>
        <v>0.20560747663551401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0.6</v>
      </c>
      <c r="E12" s="31">
        <v>24</v>
      </c>
      <c r="F12" s="33">
        <f t="shared" si="1"/>
        <v>39</v>
      </c>
      <c r="G12" s="13">
        <f>VLOOKUP(B12,'Base Cobertura'!$A:$C,3,FALSE)</f>
        <v>105</v>
      </c>
      <c r="H12" s="13">
        <f>VLOOKUP(B12,'Base Cobertura'!$A:$C,2,FALSE)</f>
        <v>63</v>
      </c>
      <c r="I12" s="34">
        <f t="shared" si="2"/>
        <v>26.25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0.88888888888888884</v>
      </c>
      <c r="E13" s="13">
        <v>144</v>
      </c>
      <c r="F13" s="12">
        <f t="shared" si="1"/>
        <v>88</v>
      </c>
      <c r="G13" s="13">
        <f>VLOOKUP(B13,'Base Cobertura'!$A:$C,3,FALSE)</f>
        <v>261</v>
      </c>
      <c r="H13" s="13">
        <f>VLOOKUP(B13,'Base Cobertura'!$A:$C,2,FALSE)</f>
        <v>232</v>
      </c>
      <c r="I13" s="17">
        <f t="shared" si="2"/>
        <v>-10.150000000000006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0.82417582417582413</v>
      </c>
      <c r="E14" s="13">
        <v>85</v>
      </c>
      <c r="F14" s="12">
        <f t="shared" si="1"/>
        <v>65</v>
      </c>
      <c r="G14" s="13">
        <f>VLOOKUP(B14,'Base Cobertura'!$A:$C,3,FALSE)</f>
        <v>182</v>
      </c>
      <c r="H14" s="13">
        <f>VLOOKUP(B14,'Base Cobertura'!$A:$C,2,FALSE)</f>
        <v>150</v>
      </c>
      <c r="I14" s="17">
        <f t="shared" si="2"/>
        <v>4.6999999999999886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871</v>
      </c>
      <c r="G15" s="8">
        <f>+SUM(G2:G14)</f>
        <v>2244</v>
      </c>
      <c r="H15" s="8">
        <f>+SUM(H2:H14)</f>
        <v>1750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0.81987577639751552</v>
      </c>
      <c r="E16" s="13">
        <v>90</v>
      </c>
      <c r="F16" s="12">
        <f t="shared" si="1"/>
        <v>42</v>
      </c>
      <c r="G16" s="13">
        <f>VLOOKUP(B16,'Base Cobertura'!$A:$C,3,FALSE)</f>
        <v>161</v>
      </c>
      <c r="H16" s="13">
        <f>VLOOKUP(B16,'Base Cobertura'!$A:$C,2,FALSE)</f>
        <v>132</v>
      </c>
      <c r="I16" s="17">
        <f t="shared" si="2"/>
        <v>4.8499999999999943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0.72625698324022347</v>
      </c>
      <c r="E17" s="13">
        <v>92</v>
      </c>
      <c r="F17" s="12">
        <f t="shared" si="1"/>
        <v>38</v>
      </c>
      <c r="G17" s="13">
        <f>VLOOKUP(B17,'Base Cobertura'!$A:$C,3,FALSE)</f>
        <v>179</v>
      </c>
      <c r="H17" s="13">
        <f>VLOOKUP(B17,'Base Cobertura'!$A:$C,2,FALSE)</f>
        <v>130</v>
      </c>
      <c r="I17" s="17">
        <f t="shared" si="2"/>
        <v>22.150000000000006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0.86549707602339176</v>
      </c>
      <c r="E18" s="13">
        <v>88</v>
      </c>
      <c r="F18" s="12">
        <f t="shared" si="1"/>
        <v>60</v>
      </c>
      <c r="G18" s="13">
        <f>VLOOKUP(B18,'Base Cobertura'!$A:$C,3,FALSE)</f>
        <v>171</v>
      </c>
      <c r="H18" s="13">
        <f>VLOOKUP(B18,'Base Cobertura'!$A:$C,2,FALSE)</f>
        <v>148</v>
      </c>
      <c r="I18" s="17">
        <f t="shared" si="2"/>
        <v>-2.6500000000000057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0.90259740259740262</v>
      </c>
      <c r="E19" s="13">
        <v>95</v>
      </c>
      <c r="F19" s="12">
        <f t="shared" si="1"/>
        <v>44</v>
      </c>
      <c r="G19" s="13">
        <f>VLOOKUP(B19,'Base Cobertura'!$A:$C,3,FALSE)</f>
        <v>154</v>
      </c>
      <c r="H19" s="13">
        <f>VLOOKUP(B19,'Base Cobertura'!$A:$C,2,FALSE)</f>
        <v>139</v>
      </c>
      <c r="I19" s="17">
        <f t="shared" si="2"/>
        <v>-8.0999999999999943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0.87570621468926557</v>
      </c>
      <c r="E20" s="13">
        <v>83</v>
      </c>
      <c r="F20" s="12">
        <f t="shared" si="1"/>
        <v>72</v>
      </c>
      <c r="G20" s="13">
        <f>VLOOKUP(B20,'Base Cobertura'!$A:$C,3,FALSE)</f>
        <v>177</v>
      </c>
      <c r="H20" s="13">
        <f>VLOOKUP(B20,'Base Cobertura'!$A:$C,2,FALSE)</f>
        <v>155</v>
      </c>
      <c r="I20" s="17">
        <f t="shared" si="2"/>
        <v>-4.5500000000000114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0.84023668639053251</v>
      </c>
      <c r="E21" s="13">
        <v>64</v>
      </c>
      <c r="F21" s="12">
        <f t="shared" si="1"/>
        <v>78</v>
      </c>
      <c r="G21" s="13">
        <f>VLOOKUP(B21,'Base Cobertura'!$A:$C,3,FALSE)</f>
        <v>169</v>
      </c>
      <c r="H21" s="13">
        <f>VLOOKUP(B21,'Base Cobertura'!$A:$C,2,FALSE)</f>
        <v>142</v>
      </c>
      <c r="I21" s="17">
        <f t="shared" si="2"/>
        <v>1.6500000000000057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0.45177664974619292</v>
      </c>
      <c r="E22" s="13">
        <v>66</v>
      </c>
      <c r="F22" s="12">
        <f t="shared" si="1"/>
        <v>23</v>
      </c>
      <c r="G22" s="13">
        <f>VLOOKUP(B22,'Base Cobertura'!$A:$C,3,FALSE)</f>
        <v>197</v>
      </c>
      <c r="H22" s="13">
        <f>VLOOKUP(B22,'Base Cobertura'!$A:$C,2,FALSE)</f>
        <v>89</v>
      </c>
      <c r="I22" s="17">
        <f t="shared" si="2"/>
        <v>78.449999999999989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0.82608695652173914</v>
      </c>
      <c r="E23" s="13">
        <v>70</v>
      </c>
      <c r="F23" s="12">
        <f t="shared" si="1"/>
        <v>44</v>
      </c>
      <c r="G23" s="13">
        <f>VLOOKUP(B23,'Base Cobertura'!$A:$C,3,FALSE)</f>
        <v>138</v>
      </c>
      <c r="H23" s="13">
        <f>VLOOKUP(B23,'Base Cobertura'!$A:$C,2,FALSE)</f>
        <v>114</v>
      </c>
      <c r="I23" s="17">
        <f t="shared" si="2"/>
        <v>3.2999999999999972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0.89411764705882357</v>
      </c>
      <c r="E24" s="13">
        <v>79</v>
      </c>
      <c r="F24" s="12">
        <f t="shared" si="1"/>
        <v>73</v>
      </c>
      <c r="G24" s="13">
        <f>VLOOKUP(B24,'Base Cobertura'!$A:$C,3,FALSE)</f>
        <v>170</v>
      </c>
      <c r="H24" s="13">
        <f>VLOOKUP(B24,'Base Cobertura'!$A:$C,2,FALSE)</f>
        <v>152</v>
      </c>
      <c r="I24" s="17">
        <f t="shared" si="2"/>
        <v>-7.5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474</v>
      </c>
      <c r="G25" s="8">
        <f>+SUM(G16:G24)</f>
        <v>1516</v>
      </c>
      <c r="H25" s="8">
        <f>+SUM(H16:H24)</f>
        <v>1201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0.82758620689655171</v>
      </c>
      <c r="E26" s="13">
        <v>20</v>
      </c>
      <c r="F26" s="12">
        <f>+H26-E26</f>
        <v>28</v>
      </c>
      <c r="G26" s="13">
        <f>VLOOKUP(B26,'Base Cobertura'!$A:$C,3,FALSE)</f>
        <v>58</v>
      </c>
      <c r="H26" s="13">
        <f>VLOOKUP(B26,'Base Cobertura'!$A:$C,2,FALSE)</f>
        <v>48</v>
      </c>
      <c r="I26" s="17">
        <f t="shared" si="2"/>
        <v>1.2999999999999972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0.73750000000000004</v>
      </c>
      <c r="E27" s="13">
        <v>68</v>
      </c>
      <c r="F27" s="12">
        <f t="shared" si="1"/>
        <v>50</v>
      </c>
      <c r="G27" s="13">
        <f>VLOOKUP(B27,'Base Cobertura'!$A:$C,3,FALSE)</f>
        <v>160</v>
      </c>
      <c r="H27" s="13">
        <f>VLOOKUP(B27,'Base Cobertura'!$A:$C,2,FALSE)</f>
        <v>118</v>
      </c>
      <c r="I27" s="17">
        <f t="shared" si="2"/>
        <v>18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0.84615384615384615</v>
      </c>
      <c r="E28" s="13">
        <v>80</v>
      </c>
      <c r="F28" s="12">
        <f t="shared" si="1"/>
        <v>52</v>
      </c>
      <c r="G28" s="13">
        <f>VLOOKUP(B28,'Base Cobertura'!$A:$C,3,FALSE)</f>
        <v>156</v>
      </c>
      <c r="H28" s="13">
        <f>VLOOKUP(B28,'Base Cobertura'!$A:$C,2,FALSE)</f>
        <v>132</v>
      </c>
      <c r="I28" s="17">
        <f t="shared" si="2"/>
        <v>0.59999999999999432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0.46</v>
      </c>
      <c r="E29" s="13">
        <v>68</v>
      </c>
      <c r="F29" s="12">
        <f t="shared" si="1"/>
        <v>47</v>
      </c>
      <c r="G29" s="13">
        <f>VLOOKUP(B29,'Base Cobertura'!$A:$C,3,FALSE)</f>
        <v>250</v>
      </c>
      <c r="H29" s="13">
        <f>VLOOKUP(B29,'Base Cobertura'!$A:$C,2,FALSE)</f>
        <v>115</v>
      </c>
      <c r="I29" s="17">
        <f t="shared" si="2"/>
        <v>97.5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0.97744360902255634</v>
      </c>
      <c r="E30" s="13">
        <v>73</v>
      </c>
      <c r="F30" s="12">
        <f t="shared" si="1"/>
        <v>57</v>
      </c>
      <c r="G30" s="13">
        <f>VLOOKUP(B30,'Base Cobertura'!$A:$C,3,FALSE)</f>
        <v>133</v>
      </c>
      <c r="H30" s="13">
        <f>VLOOKUP(B30,'Base Cobertura'!$A:$C,2,FALSE)</f>
        <v>130</v>
      </c>
      <c r="I30" s="17">
        <f t="shared" si="2"/>
        <v>-16.950000000000003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0.73770491803278693</v>
      </c>
      <c r="E31" s="13">
        <v>40</v>
      </c>
      <c r="F31" s="12">
        <f t="shared" si="1"/>
        <v>95</v>
      </c>
      <c r="G31" s="13">
        <f>VLOOKUP(B31,'Base Cobertura'!$A:$C,3,FALSE)</f>
        <v>183</v>
      </c>
      <c r="H31" s="13">
        <f>VLOOKUP(B31,'Base Cobertura'!$A:$C,2,FALSE)</f>
        <v>135</v>
      </c>
      <c r="I31" s="17">
        <f t="shared" si="2"/>
        <v>20.549999999999983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0.83333333333333337</v>
      </c>
      <c r="E32" s="13">
        <v>67</v>
      </c>
      <c r="F32" s="12">
        <f t="shared" si="1"/>
        <v>73</v>
      </c>
      <c r="G32" s="13">
        <f>VLOOKUP(B32,'Base Cobertura'!$A:$C,3,FALSE)</f>
        <v>168</v>
      </c>
      <c r="H32" s="13">
        <f>VLOOKUP(B32,'Base Cobertura'!$A:$C,2,FALSE)</f>
        <v>140</v>
      </c>
      <c r="I32" s="17">
        <f t="shared" si="2"/>
        <v>2.7999999999999829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0.84848484848484851</v>
      </c>
      <c r="E33" s="13">
        <v>66</v>
      </c>
      <c r="F33" s="12">
        <f t="shared" si="1"/>
        <v>74</v>
      </c>
      <c r="G33" s="13">
        <f>VLOOKUP(B33,'Base Cobertura'!$A:$C,3,FALSE)</f>
        <v>165</v>
      </c>
      <c r="H33" s="13">
        <f>VLOOKUP(B33,'Base Cobertura'!$A:$C,2,FALSE)</f>
        <v>140</v>
      </c>
      <c r="I33" s="17">
        <f t="shared" si="2"/>
        <v>0.25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0.6629213483146067</v>
      </c>
      <c r="E35" s="13">
        <v>81</v>
      </c>
      <c r="F35" s="12">
        <f t="shared" si="1"/>
        <v>37</v>
      </c>
      <c r="G35" s="13">
        <f>VLOOKUP(B35,'Base Cobertura'!$A:$C,3,FALSE)</f>
        <v>178</v>
      </c>
      <c r="H35" s="13">
        <f>VLOOKUP(B35,'Base Cobertura'!$A:$C,2,FALSE)</f>
        <v>118</v>
      </c>
      <c r="I35" s="17">
        <f t="shared" si="2"/>
        <v>33.299999999999983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0.12173913043478261</v>
      </c>
      <c r="E36" s="13">
        <v>0</v>
      </c>
      <c r="F36" s="12">
        <f t="shared" si="1"/>
        <v>14</v>
      </c>
      <c r="G36" s="13">
        <f>VLOOKUP(B36,'Base Cobertura'!$A:$C,3,FALSE)</f>
        <v>115</v>
      </c>
      <c r="H36" s="13">
        <f>VLOOKUP(B36,'Base Cobertura'!$A:$C,2,FALSE)</f>
        <v>14</v>
      </c>
      <c r="I36" s="17">
        <f t="shared" si="2"/>
        <v>83.75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0.40952380952380951</v>
      </c>
      <c r="E37" s="13">
        <v>17</v>
      </c>
      <c r="F37" s="12">
        <f t="shared" si="1"/>
        <v>26</v>
      </c>
      <c r="G37" s="13">
        <f>VLOOKUP(B37,'Base Cobertura'!$A:$C,3,FALSE)</f>
        <v>105</v>
      </c>
      <c r="H37" s="13">
        <f>VLOOKUP(B37,'Base Cobertura'!$A:$C,2,FALSE)</f>
        <v>43</v>
      </c>
      <c r="I37" s="17">
        <f t="shared" si="2"/>
        <v>46.25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0.83464566929133854</v>
      </c>
      <c r="E38" s="13">
        <v>60</v>
      </c>
      <c r="F38" s="12">
        <f t="shared" si="1"/>
        <v>46</v>
      </c>
      <c r="G38" s="13">
        <f>VLOOKUP(B38,'Base Cobertura'!$A:$C,3,FALSE)</f>
        <v>127</v>
      </c>
      <c r="H38" s="13">
        <f>VLOOKUP(B38,'Base Cobertura'!$A:$C,2,FALSE)</f>
        <v>106</v>
      </c>
      <c r="I38" s="17">
        <f t="shared" si="2"/>
        <v>1.9500000000000028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587</v>
      </c>
      <c r="G39" s="8">
        <f>+SUM(G26:G38)</f>
        <v>1940</v>
      </c>
      <c r="H39" s="8">
        <f>+SUM(H26:H38)</f>
        <v>1309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1932</v>
      </c>
      <c r="G40" s="8">
        <f>+G15+G25+G39</f>
        <v>5700</v>
      </c>
      <c r="H40" s="8">
        <f>+H15+H25+H39</f>
        <v>4260</v>
      </c>
      <c r="I40" s="8"/>
      <c r="L40" s="1">
        <f>+H40/G40</f>
        <v>0.74736842105263157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0.31967213114754101</v>
      </c>
      <c r="E41" s="13">
        <v>60</v>
      </c>
      <c r="F41" s="12">
        <f t="shared" ref="F41:F42" si="5">+H41-E41</f>
        <v>-21</v>
      </c>
      <c r="G41" s="13">
        <f>VLOOKUP(B41,'Base Cobertura'!$A:$C,3,FALSE)</f>
        <v>122</v>
      </c>
      <c r="H41" s="13">
        <f>VLOOKUP(B41,'Base Cobertura'!$A:$C,2,FALSE)</f>
        <v>39</v>
      </c>
      <c r="I41" s="17">
        <f t="shared" ref="I41:I42" si="6">(+G41*$M$2)-H41</f>
        <v>64.7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0.41129032258064518</v>
      </c>
      <c r="E42" s="13">
        <v>60</v>
      </c>
      <c r="F42" s="12">
        <f t="shared" si="5"/>
        <v>-9</v>
      </c>
      <c r="G42" s="13">
        <f>VLOOKUP(B42,'Base Cobertura'!$A:$C,3,FALSE)</f>
        <v>124</v>
      </c>
      <c r="H42" s="13">
        <f>VLOOKUP(B42,'Base Cobertura'!$A:$C,2,FALSE)</f>
        <v>51</v>
      </c>
      <c r="I42" s="17">
        <f t="shared" si="6"/>
        <v>54.399999999999991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10</v>
      </c>
      <c r="C3" s="51">
        <v>3474</v>
      </c>
      <c r="G3" t="s">
        <v>222</v>
      </c>
      <c r="H3" s="51">
        <v>3</v>
      </c>
      <c r="I3" s="51">
        <v>3474</v>
      </c>
    </row>
    <row r="4" spans="1:9" x14ac:dyDescent="0.25">
      <c r="A4">
        <v>1</v>
      </c>
      <c r="B4" s="51">
        <v>106</v>
      </c>
      <c r="C4" s="51">
        <v>127</v>
      </c>
      <c r="G4" t="s">
        <v>223</v>
      </c>
      <c r="H4">
        <v>5</v>
      </c>
      <c r="I4" s="51">
        <v>3474</v>
      </c>
    </row>
    <row r="5" spans="1:9" x14ac:dyDescent="0.25">
      <c r="A5">
        <v>10</v>
      </c>
      <c r="B5" s="51">
        <v>135</v>
      </c>
      <c r="C5" s="51">
        <v>183</v>
      </c>
      <c r="G5" t="s">
        <v>224</v>
      </c>
      <c r="H5" s="51">
        <v>6</v>
      </c>
      <c r="I5" s="51">
        <v>3474</v>
      </c>
    </row>
    <row r="6" spans="1:9" x14ac:dyDescent="0.25">
      <c r="A6">
        <v>100</v>
      </c>
      <c r="B6" s="51">
        <v>47</v>
      </c>
      <c r="C6" s="51">
        <v>2030</v>
      </c>
      <c r="G6" t="s">
        <v>225</v>
      </c>
      <c r="H6" s="51">
        <v>2</v>
      </c>
      <c r="I6" s="51">
        <v>3474</v>
      </c>
    </row>
    <row r="7" spans="1:9" x14ac:dyDescent="0.25">
      <c r="A7">
        <v>11</v>
      </c>
      <c r="B7" s="51">
        <v>137</v>
      </c>
      <c r="C7" s="51">
        <v>169</v>
      </c>
      <c r="G7" t="s">
        <v>226</v>
      </c>
      <c r="H7" s="51">
        <v>6</v>
      </c>
      <c r="I7" s="51">
        <v>3474</v>
      </c>
    </row>
    <row r="8" spans="1:9" x14ac:dyDescent="0.25">
      <c r="A8">
        <v>12</v>
      </c>
      <c r="B8" s="51">
        <v>188</v>
      </c>
      <c r="C8" s="51">
        <v>214</v>
      </c>
      <c r="G8" t="s">
        <v>227</v>
      </c>
      <c r="H8" s="51">
        <v>4</v>
      </c>
      <c r="I8" s="51">
        <v>3474</v>
      </c>
    </row>
    <row r="9" spans="1:9" x14ac:dyDescent="0.25">
      <c r="A9">
        <v>123</v>
      </c>
      <c r="B9" s="51">
        <v>38</v>
      </c>
      <c r="C9" s="51">
        <v>490</v>
      </c>
      <c r="G9" t="s">
        <v>228</v>
      </c>
      <c r="H9" s="51">
        <v>4</v>
      </c>
      <c r="I9" s="51">
        <v>3474</v>
      </c>
    </row>
    <row r="10" spans="1:9" x14ac:dyDescent="0.25">
      <c r="A10">
        <v>15</v>
      </c>
      <c r="B10" s="51">
        <v>50</v>
      </c>
      <c r="C10" s="51">
        <v>65</v>
      </c>
      <c r="G10" t="s">
        <v>229</v>
      </c>
      <c r="H10">
        <v>3</v>
      </c>
      <c r="I10" s="51">
        <v>3474</v>
      </c>
    </row>
    <row r="11" spans="1:9" x14ac:dyDescent="0.25">
      <c r="A11">
        <v>16</v>
      </c>
      <c r="B11" s="51">
        <v>166</v>
      </c>
      <c r="C11" s="51">
        <v>199</v>
      </c>
      <c r="G11" t="s">
        <v>230</v>
      </c>
      <c r="H11" s="51">
        <v>3</v>
      </c>
      <c r="I11" s="51">
        <v>3474</v>
      </c>
    </row>
    <row r="12" spans="1:9" x14ac:dyDescent="0.25">
      <c r="A12">
        <v>18</v>
      </c>
      <c r="B12" s="51">
        <v>155</v>
      </c>
      <c r="C12" s="51">
        <v>177</v>
      </c>
      <c r="E12">
        <f>+F12</f>
        <v>1</v>
      </c>
      <c r="F12">
        <v>1</v>
      </c>
      <c r="G12" t="s">
        <v>222</v>
      </c>
      <c r="H12">
        <v>48</v>
      </c>
      <c r="I12" s="51">
        <v>127</v>
      </c>
    </row>
    <row r="13" spans="1:9" x14ac:dyDescent="0.25">
      <c r="A13">
        <v>19</v>
      </c>
      <c r="B13" s="51">
        <v>184</v>
      </c>
      <c r="C13" s="51">
        <v>207</v>
      </c>
      <c r="E13">
        <f>+$E$12</f>
        <v>1</v>
      </c>
      <c r="G13" t="s">
        <v>223</v>
      </c>
      <c r="H13" s="51">
        <v>45</v>
      </c>
      <c r="I13" s="51">
        <v>127</v>
      </c>
    </row>
    <row r="14" spans="1:9" x14ac:dyDescent="0.25">
      <c r="A14">
        <v>2</v>
      </c>
      <c r="B14" s="51">
        <v>114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202</v>
      </c>
      <c r="C15" s="51">
        <v>227</v>
      </c>
      <c r="E15">
        <f t="shared" si="0"/>
        <v>1</v>
      </c>
      <c r="G15" t="s">
        <v>225</v>
      </c>
      <c r="H15" s="51">
        <v>45</v>
      </c>
      <c r="I15" s="51">
        <v>127</v>
      </c>
    </row>
    <row r="16" spans="1:9" x14ac:dyDescent="0.25">
      <c r="A16">
        <v>21</v>
      </c>
      <c r="B16" s="51">
        <v>148</v>
      </c>
      <c r="C16" s="51">
        <v>171</v>
      </c>
      <c r="E16">
        <f t="shared" si="0"/>
        <v>1</v>
      </c>
      <c r="G16" t="s">
        <v>226</v>
      </c>
      <c r="H16" s="51">
        <v>66</v>
      </c>
      <c r="I16" s="51">
        <v>127</v>
      </c>
    </row>
    <row r="17" spans="1:9" x14ac:dyDescent="0.25">
      <c r="A17">
        <v>22</v>
      </c>
      <c r="B17" s="51">
        <v>63</v>
      </c>
      <c r="C17" s="51">
        <v>74</v>
      </c>
      <c r="E17">
        <f t="shared" si="0"/>
        <v>1</v>
      </c>
      <c r="G17" t="s">
        <v>227</v>
      </c>
      <c r="H17" s="51">
        <v>63</v>
      </c>
      <c r="I17" s="51">
        <v>127</v>
      </c>
    </row>
    <row r="18" spans="1:9" x14ac:dyDescent="0.25">
      <c r="A18">
        <v>23</v>
      </c>
      <c r="B18" s="51">
        <v>139</v>
      </c>
      <c r="C18" s="51">
        <v>154</v>
      </c>
      <c r="E18">
        <f t="shared" si="0"/>
        <v>1</v>
      </c>
      <c r="G18" t="s">
        <v>228</v>
      </c>
      <c r="H18" s="51">
        <v>27</v>
      </c>
      <c r="I18" s="51">
        <v>127</v>
      </c>
    </row>
    <row r="19" spans="1:9" x14ac:dyDescent="0.25">
      <c r="A19">
        <v>24</v>
      </c>
      <c r="B19" s="51">
        <v>118</v>
      </c>
      <c r="C19" s="51">
        <v>178</v>
      </c>
      <c r="E19">
        <f t="shared" si="0"/>
        <v>1</v>
      </c>
      <c r="G19" t="s">
        <v>229</v>
      </c>
      <c r="H19" s="51">
        <v>36</v>
      </c>
      <c r="I19" s="51">
        <v>127</v>
      </c>
    </row>
    <row r="20" spans="1:9" x14ac:dyDescent="0.25">
      <c r="A20">
        <v>25</v>
      </c>
      <c r="B20" s="51">
        <v>84</v>
      </c>
      <c r="C20" s="51">
        <v>172</v>
      </c>
      <c r="E20">
        <f t="shared" si="0"/>
        <v>1</v>
      </c>
      <c r="G20" t="s">
        <v>230</v>
      </c>
      <c r="H20">
        <v>48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29</v>
      </c>
      <c r="I21" s="51">
        <v>183</v>
      </c>
    </row>
    <row r="22" spans="1:9" x14ac:dyDescent="0.25">
      <c r="A22">
        <v>27</v>
      </c>
      <c r="B22" s="51">
        <v>130</v>
      </c>
      <c r="C22" s="51">
        <v>133</v>
      </c>
      <c r="E22">
        <f t="shared" ref="E22:E29" si="1">+$F$21</f>
        <v>10</v>
      </c>
      <c r="G22" t="s">
        <v>223</v>
      </c>
      <c r="H22" s="51">
        <v>23</v>
      </c>
      <c r="I22" s="51">
        <v>183</v>
      </c>
    </row>
    <row r="23" spans="1:9" x14ac:dyDescent="0.25">
      <c r="A23">
        <v>28</v>
      </c>
      <c r="B23" s="51">
        <v>140</v>
      </c>
      <c r="C23" s="51">
        <v>168</v>
      </c>
      <c r="E23">
        <f t="shared" si="1"/>
        <v>10</v>
      </c>
      <c r="G23" t="s">
        <v>224</v>
      </c>
      <c r="H23" s="51">
        <v>68</v>
      </c>
      <c r="I23" s="51">
        <v>183</v>
      </c>
    </row>
    <row r="24" spans="1:9" x14ac:dyDescent="0.25">
      <c r="A24">
        <v>3</v>
      </c>
      <c r="B24" s="51">
        <v>152</v>
      </c>
      <c r="C24" s="51">
        <v>170</v>
      </c>
      <c r="E24">
        <f t="shared" si="1"/>
        <v>10</v>
      </c>
      <c r="G24" t="s">
        <v>225</v>
      </c>
      <c r="H24" s="51">
        <v>45</v>
      </c>
      <c r="I24" s="51">
        <v>183</v>
      </c>
    </row>
    <row r="25" spans="1:9" x14ac:dyDescent="0.25">
      <c r="A25">
        <v>30</v>
      </c>
      <c r="B25" s="51">
        <v>27</v>
      </c>
      <c r="C25" s="51">
        <v>139</v>
      </c>
      <c r="E25">
        <f t="shared" si="1"/>
        <v>10</v>
      </c>
      <c r="G25" t="s">
        <v>226</v>
      </c>
      <c r="H25" s="51">
        <v>75</v>
      </c>
      <c r="I25" s="51">
        <v>183</v>
      </c>
    </row>
    <row r="26" spans="1:9" x14ac:dyDescent="0.25">
      <c r="A26">
        <v>31</v>
      </c>
      <c r="B26" s="51">
        <v>132</v>
      </c>
      <c r="C26" s="51">
        <v>161</v>
      </c>
      <c r="E26">
        <f t="shared" si="1"/>
        <v>10</v>
      </c>
      <c r="G26" t="s">
        <v>227</v>
      </c>
      <c r="H26" s="51">
        <v>61</v>
      </c>
      <c r="I26" s="51">
        <v>183</v>
      </c>
    </row>
    <row r="27" spans="1:9" x14ac:dyDescent="0.25">
      <c r="A27">
        <v>32</v>
      </c>
      <c r="B27" s="51">
        <v>48</v>
      </c>
      <c r="C27" s="51">
        <v>58</v>
      </c>
      <c r="E27">
        <f t="shared" si="1"/>
        <v>10</v>
      </c>
      <c r="G27" t="s">
        <v>228</v>
      </c>
      <c r="H27" s="51">
        <v>20</v>
      </c>
      <c r="I27" s="51">
        <v>183</v>
      </c>
    </row>
    <row r="28" spans="1:9" x14ac:dyDescent="0.25">
      <c r="A28">
        <v>33</v>
      </c>
      <c r="B28" s="51">
        <v>140</v>
      </c>
      <c r="C28" s="51">
        <v>165</v>
      </c>
      <c r="E28">
        <f t="shared" si="1"/>
        <v>10</v>
      </c>
      <c r="G28" t="s">
        <v>229</v>
      </c>
      <c r="H28" s="51">
        <v>16</v>
      </c>
      <c r="I28" s="51">
        <v>183</v>
      </c>
    </row>
    <row r="29" spans="1:9" x14ac:dyDescent="0.25">
      <c r="A29">
        <v>36</v>
      </c>
      <c r="B29" s="51">
        <v>118</v>
      </c>
      <c r="C29" s="51">
        <v>160</v>
      </c>
      <c r="E29">
        <f t="shared" si="1"/>
        <v>10</v>
      </c>
      <c r="G29" t="s">
        <v>230</v>
      </c>
      <c r="H29" s="51">
        <v>28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29</v>
      </c>
      <c r="I30" s="51">
        <v>2030</v>
      </c>
    </row>
    <row r="31" spans="1:9" x14ac:dyDescent="0.25">
      <c r="A31">
        <v>4</v>
      </c>
      <c r="B31" s="51">
        <v>150</v>
      </c>
      <c r="C31" s="51">
        <v>182</v>
      </c>
      <c r="E31">
        <f t="shared" ref="E31:E38" si="2">+$F$30</f>
        <v>100</v>
      </c>
      <c r="G31" t="s">
        <v>223</v>
      </c>
      <c r="H31" s="51">
        <v>26</v>
      </c>
      <c r="I31" s="51">
        <v>2030</v>
      </c>
    </row>
    <row r="32" spans="1:9" x14ac:dyDescent="0.25">
      <c r="A32">
        <v>40</v>
      </c>
      <c r="B32" s="51">
        <v>115</v>
      </c>
      <c r="C32" s="51">
        <v>250</v>
      </c>
      <c r="E32">
        <f t="shared" si="2"/>
        <v>100</v>
      </c>
      <c r="G32" t="s">
        <v>224</v>
      </c>
      <c r="H32" s="51">
        <v>28</v>
      </c>
      <c r="I32" s="51">
        <v>2030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12</v>
      </c>
      <c r="I33" s="51">
        <v>2030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32</v>
      </c>
      <c r="I34" s="51">
        <v>2030</v>
      </c>
    </row>
    <row r="35" spans="1:9" x14ac:dyDescent="0.25">
      <c r="A35">
        <v>44</v>
      </c>
      <c r="B35" s="51">
        <v>142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2030</v>
      </c>
    </row>
    <row r="36" spans="1:9" x14ac:dyDescent="0.25">
      <c r="A36">
        <v>49</v>
      </c>
      <c r="B36" s="51">
        <v>109</v>
      </c>
      <c r="C36" s="51">
        <v>243</v>
      </c>
      <c r="E36">
        <f t="shared" si="2"/>
        <v>100</v>
      </c>
      <c r="G36" t="s">
        <v>228</v>
      </c>
      <c r="H36" s="51">
        <v>23</v>
      </c>
      <c r="I36" s="51">
        <v>2030</v>
      </c>
    </row>
    <row r="37" spans="1:9" x14ac:dyDescent="0.25">
      <c r="A37">
        <v>5</v>
      </c>
      <c r="B37" s="51">
        <v>232</v>
      </c>
      <c r="C37" s="51">
        <v>261</v>
      </c>
      <c r="E37">
        <f t="shared" si="2"/>
        <v>100</v>
      </c>
      <c r="G37" t="s">
        <v>229</v>
      </c>
      <c r="H37" s="51">
        <v>8</v>
      </c>
      <c r="I37" s="51">
        <v>2030</v>
      </c>
    </row>
    <row r="38" spans="1:9" x14ac:dyDescent="0.25">
      <c r="A38">
        <v>52</v>
      </c>
      <c r="B38" s="51">
        <v>51</v>
      </c>
      <c r="C38" s="51">
        <v>103</v>
      </c>
      <c r="E38">
        <f t="shared" si="2"/>
        <v>100</v>
      </c>
      <c r="G38" t="s">
        <v>230</v>
      </c>
      <c r="H38" s="51">
        <v>4</v>
      </c>
      <c r="I38" s="51">
        <v>2030</v>
      </c>
    </row>
    <row r="39" spans="1:9" x14ac:dyDescent="0.25">
      <c r="A39">
        <v>53</v>
      </c>
      <c r="B39" s="51">
        <v>63</v>
      </c>
      <c r="C39" s="51">
        <v>105</v>
      </c>
      <c r="E39">
        <f>+$F$39</f>
        <v>11</v>
      </c>
      <c r="F39">
        <v>11</v>
      </c>
      <c r="G39" t="s">
        <v>222</v>
      </c>
      <c r="H39" s="51">
        <v>50</v>
      </c>
      <c r="I39" s="51">
        <v>169</v>
      </c>
    </row>
    <row r="40" spans="1:9" x14ac:dyDescent="0.25">
      <c r="A40">
        <v>54</v>
      </c>
      <c r="B40" s="51">
        <v>130</v>
      </c>
      <c r="C40" s="51">
        <v>179</v>
      </c>
      <c r="E40">
        <f t="shared" ref="E40:E47" si="3">+$F$39</f>
        <v>11</v>
      </c>
      <c r="G40" t="s">
        <v>223</v>
      </c>
      <c r="H40" s="51">
        <v>37</v>
      </c>
      <c r="I40" s="51">
        <v>169</v>
      </c>
    </row>
    <row r="41" spans="1:9" x14ac:dyDescent="0.25">
      <c r="A41">
        <v>56</v>
      </c>
      <c r="B41">
        <v>89</v>
      </c>
      <c r="C41" s="51">
        <v>197</v>
      </c>
      <c r="E41">
        <f t="shared" si="3"/>
        <v>11</v>
      </c>
      <c r="G41" t="s">
        <v>224</v>
      </c>
      <c r="H41" s="51">
        <v>91</v>
      </c>
      <c r="I41" s="51">
        <v>169</v>
      </c>
    </row>
    <row r="42" spans="1:9" x14ac:dyDescent="0.25">
      <c r="A42">
        <v>57</v>
      </c>
      <c r="B42" s="51">
        <v>43</v>
      </c>
      <c r="C42" s="51">
        <v>105</v>
      </c>
      <c r="E42">
        <f t="shared" si="3"/>
        <v>11</v>
      </c>
      <c r="G42" t="s">
        <v>225</v>
      </c>
      <c r="H42" s="51">
        <v>49</v>
      </c>
      <c r="I42" s="51">
        <v>169</v>
      </c>
    </row>
    <row r="43" spans="1:9" x14ac:dyDescent="0.25">
      <c r="A43">
        <v>58</v>
      </c>
      <c r="B43" s="51">
        <v>39</v>
      </c>
      <c r="C43" s="51">
        <v>122</v>
      </c>
      <c r="E43">
        <f t="shared" si="3"/>
        <v>11</v>
      </c>
      <c r="G43" t="s">
        <v>226</v>
      </c>
      <c r="H43" s="51">
        <v>94</v>
      </c>
      <c r="I43" s="51">
        <v>169</v>
      </c>
    </row>
    <row r="44" spans="1:9" x14ac:dyDescent="0.25">
      <c r="A44">
        <v>59</v>
      </c>
      <c r="B44" s="51">
        <v>51</v>
      </c>
      <c r="C44" s="51">
        <v>124</v>
      </c>
      <c r="E44">
        <f t="shared" si="3"/>
        <v>11</v>
      </c>
      <c r="G44" t="s">
        <v>227</v>
      </c>
      <c r="H44" s="51">
        <v>73</v>
      </c>
      <c r="I44" s="51">
        <v>169</v>
      </c>
    </row>
    <row r="45" spans="1:9" x14ac:dyDescent="0.25">
      <c r="A45">
        <v>7</v>
      </c>
      <c r="B45" s="51">
        <v>14</v>
      </c>
      <c r="C45" s="51">
        <v>115</v>
      </c>
      <c r="E45">
        <f t="shared" si="3"/>
        <v>11</v>
      </c>
      <c r="G45" t="s">
        <v>228</v>
      </c>
      <c r="H45" s="51">
        <v>14</v>
      </c>
      <c r="I45" s="51">
        <v>169</v>
      </c>
    </row>
    <row r="46" spans="1:9" x14ac:dyDescent="0.25">
      <c r="A46">
        <v>8</v>
      </c>
      <c r="B46" s="51">
        <v>155</v>
      </c>
      <c r="C46" s="51">
        <v>195</v>
      </c>
      <c r="E46">
        <f t="shared" si="3"/>
        <v>11</v>
      </c>
      <c r="G46" t="s">
        <v>229</v>
      </c>
      <c r="H46" s="51">
        <v>29</v>
      </c>
      <c r="I46" s="51">
        <v>169</v>
      </c>
    </row>
    <row r="47" spans="1:9" x14ac:dyDescent="0.25">
      <c r="A47">
        <v>9</v>
      </c>
      <c r="B47" s="51">
        <v>132</v>
      </c>
      <c r="C47" s="51">
        <v>156</v>
      </c>
      <c r="E47">
        <f t="shared" si="3"/>
        <v>11</v>
      </c>
      <c r="G47" t="s">
        <v>230</v>
      </c>
      <c r="H47" s="51">
        <v>26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78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57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95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50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99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88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28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44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20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16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5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4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36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14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28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21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39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24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12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53</v>
      </c>
      <c r="I75" s="51">
        <v>199</v>
      </c>
    </row>
    <row r="76" spans="5:9" x14ac:dyDescent="0.25">
      <c r="E76">
        <f t="shared" ref="E76:E83" si="7">+$F$75</f>
        <v>16</v>
      </c>
      <c r="G76" t="s">
        <v>223</v>
      </c>
      <c r="H76">
        <v>35</v>
      </c>
      <c r="I76" s="51">
        <v>199</v>
      </c>
    </row>
    <row r="77" spans="5:9" x14ac:dyDescent="0.25">
      <c r="E77">
        <f t="shared" si="7"/>
        <v>16</v>
      </c>
      <c r="G77" t="s">
        <v>224</v>
      </c>
      <c r="H77" s="51">
        <v>99</v>
      </c>
      <c r="I77" s="51">
        <v>199</v>
      </c>
    </row>
    <row r="78" spans="5:9" x14ac:dyDescent="0.25">
      <c r="E78">
        <f t="shared" si="7"/>
        <v>16</v>
      </c>
      <c r="G78" t="s">
        <v>225</v>
      </c>
      <c r="H78" s="51">
        <v>45</v>
      </c>
      <c r="I78" s="51">
        <v>199</v>
      </c>
    </row>
    <row r="79" spans="5:9" x14ac:dyDescent="0.25">
      <c r="E79">
        <f t="shared" si="7"/>
        <v>16</v>
      </c>
      <c r="G79" t="s">
        <v>226</v>
      </c>
      <c r="H79" s="51">
        <v>93</v>
      </c>
      <c r="I79" s="51">
        <v>199</v>
      </c>
    </row>
    <row r="80" spans="5:9" x14ac:dyDescent="0.25">
      <c r="E80">
        <f t="shared" si="7"/>
        <v>16</v>
      </c>
      <c r="G80" t="s">
        <v>227</v>
      </c>
      <c r="H80" s="51">
        <v>79</v>
      </c>
      <c r="I80" s="51">
        <v>199</v>
      </c>
    </row>
    <row r="81" spans="5:9" x14ac:dyDescent="0.25">
      <c r="E81">
        <f t="shared" si="7"/>
        <v>16</v>
      </c>
      <c r="G81" t="s">
        <v>228</v>
      </c>
      <c r="H81" s="51">
        <v>11</v>
      </c>
      <c r="I81" s="51">
        <v>199</v>
      </c>
    </row>
    <row r="82" spans="5:9" x14ac:dyDescent="0.25">
      <c r="E82">
        <f t="shared" si="7"/>
        <v>16</v>
      </c>
      <c r="G82" t="s">
        <v>229</v>
      </c>
      <c r="H82" s="51">
        <v>44</v>
      </c>
      <c r="I82" s="51">
        <v>199</v>
      </c>
    </row>
    <row r="83" spans="5:9" x14ac:dyDescent="0.25">
      <c r="E83">
        <f t="shared" si="7"/>
        <v>16</v>
      </c>
      <c r="G83" t="s">
        <v>230</v>
      </c>
      <c r="H83" s="51">
        <v>37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63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50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69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61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121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89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42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48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71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49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97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64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127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99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15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40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49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34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52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52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46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75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63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16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27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37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83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117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68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128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111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16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42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38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71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70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107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62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127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101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29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41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38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49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33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35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33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52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40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35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34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64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64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100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55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115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102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18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38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34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46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16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82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33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72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54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14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42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33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38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50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61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57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56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29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24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62</v>
      </c>
      <c r="I174" s="51">
        <v>133</v>
      </c>
    </row>
    <row r="175" spans="5:9" x14ac:dyDescent="0.25">
      <c r="E175">
        <f t="shared" ref="E175:E182" si="18">+$F$174</f>
        <v>27</v>
      </c>
      <c r="G175" t="s">
        <v>223</v>
      </c>
      <c r="H175" s="51">
        <v>33</v>
      </c>
      <c r="I175" s="51">
        <v>133</v>
      </c>
    </row>
    <row r="176" spans="5:9" x14ac:dyDescent="0.25">
      <c r="E176">
        <f t="shared" si="18"/>
        <v>27</v>
      </c>
      <c r="G176" t="s">
        <v>224</v>
      </c>
      <c r="H176" s="51">
        <v>62</v>
      </c>
      <c r="I176" s="51">
        <v>133</v>
      </c>
    </row>
    <row r="177" spans="5:9" x14ac:dyDescent="0.25">
      <c r="E177">
        <f t="shared" si="18"/>
        <v>27</v>
      </c>
      <c r="G177" t="s">
        <v>225</v>
      </c>
      <c r="H177" s="51">
        <v>54</v>
      </c>
      <c r="I177" s="51">
        <v>133</v>
      </c>
    </row>
    <row r="178" spans="5:9" x14ac:dyDescent="0.25">
      <c r="E178">
        <f t="shared" si="18"/>
        <v>27</v>
      </c>
      <c r="G178" t="s">
        <v>226</v>
      </c>
      <c r="H178" s="51">
        <v>104</v>
      </c>
      <c r="I178" s="51">
        <v>133</v>
      </c>
    </row>
    <row r="179" spans="5:9" x14ac:dyDescent="0.25">
      <c r="E179">
        <f t="shared" si="18"/>
        <v>27</v>
      </c>
      <c r="G179" t="s">
        <v>227</v>
      </c>
      <c r="H179" s="51">
        <v>87</v>
      </c>
      <c r="I179" s="51">
        <v>133</v>
      </c>
    </row>
    <row r="180" spans="5:9" x14ac:dyDescent="0.25">
      <c r="E180">
        <f t="shared" si="18"/>
        <v>27</v>
      </c>
      <c r="G180" t="s">
        <v>228</v>
      </c>
      <c r="H180">
        <v>28</v>
      </c>
      <c r="I180" s="51">
        <v>133</v>
      </c>
    </row>
    <row r="181" spans="5:9" x14ac:dyDescent="0.25">
      <c r="E181">
        <f t="shared" si="18"/>
        <v>27</v>
      </c>
      <c r="G181" t="s">
        <v>229</v>
      </c>
      <c r="H181" s="51">
        <v>36</v>
      </c>
      <c r="I181" s="51">
        <v>133</v>
      </c>
    </row>
    <row r="182" spans="5:9" x14ac:dyDescent="0.25">
      <c r="E182">
        <f t="shared" si="18"/>
        <v>27</v>
      </c>
      <c r="G182" t="s">
        <v>230</v>
      </c>
      <c r="H182" s="51">
        <v>28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39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28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54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47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90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89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26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18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58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42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87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50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98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85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19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38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33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9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14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4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8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11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61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33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73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47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104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93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33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36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19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14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21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22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37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26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26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16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21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53</v>
      </c>
      <c r="I228" s="51">
        <v>165</v>
      </c>
    </row>
    <row r="229" spans="5:9" x14ac:dyDescent="0.25">
      <c r="E229">
        <f t="shared" ref="E229:E236" si="24">+$F$228</f>
        <v>33</v>
      </c>
      <c r="G229" t="s">
        <v>223</v>
      </c>
      <c r="H229" s="51">
        <v>43</v>
      </c>
      <c r="I229" s="51">
        <v>165</v>
      </c>
    </row>
    <row r="230" spans="5:9" x14ac:dyDescent="0.25">
      <c r="E230">
        <f t="shared" si="24"/>
        <v>33</v>
      </c>
      <c r="G230" t="s">
        <v>224</v>
      </c>
      <c r="H230" s="51">
        <v>64</v>
      </c>
      <c r="I230" s="51">
        <v>165</v>
      </c>
    </row>
    <row r="231" spans="5:9" x14ac:dyDescent="0.25">
      <c r="E231">
        <f t="shared" si="24"/>
        <v>33</v>
      </c>
      <c r="G231" t="s">
        <v>225</v>
      </c>
      <c r="H231" s="51">
        <v>48</v>
      </c>
      <c r="I231" s="51">
        <v>165</v>
      </c>
    </row>
    <row r="232" spans="5:9" x14ac:dyDescent="0.25">
      <c r="E232">
        <f t="shared" si="24"/>
        <v>33</v>
      </c>
      <c r="G232" t="s">
        <v>226</v>
      </c>
      <c r="H232" s="51">
        <v>84</v>
      </c>
      <c r="I232" s="51">
        <v>165</v>
      </c>
    </row>
    <row r="233" spans="5:9" x14ac:dyDescent="0.25">
      <c r="E233">
        <f t="shared" si="24"/>
        <v>33</v>
      </c>
      <c r="G233" t="s">
        <v>227</v>
      </c>
      <c r="H233" s="51">
        <v>77</v>
      </c>
      <c r="I233" s="51">
        <v>165</v>
      </c>
    </row>
    <row r="234" spans="5:9" x14ac:dyDescent="0.25">
      <c r="E234">
        <f t="shared" si="24"/>
        <v>33</v>
      </c>
      <c r="G234" t="s">
        <v>228</v>
      </c>
      <c r="H234" s="51">
        <v>15</v>
      </c>
      <c r="I234" s="51">
        <v>165</v>
      </c>
    </row>
    <row r="235" spans="5:9" x14ac:dyDescent="0.25">
      <c r="E235">
        <f t="shared" si="24"/>
        <v>33</v>
      </c>
      <c r="G235" t="s">
        <v>229</v>
      </c>
      <c r="H235" s="51">
        <v>29</v>
      </c>
      <c r="I235" s="51">
        <v>165</v>
      </c>
    </row>
    <row r="236" spans="5:9" x14ac:dyDescent="0.25">
      <c r="E236">
        <f t="shared" si="24"/>
        <v>33</v>
      </c>
      <c r="G236" t="s">
        <v>230</v>
      </c>
      <c r="H236">
        <v>21</v>
      </c>
      <c r="I236" s="51">
        <v>165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37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22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58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53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83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58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21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17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15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21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46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31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20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15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46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38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69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54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91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74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24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43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46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35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12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39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46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79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79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33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29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19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41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44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84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52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116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99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39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33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36</v>
      </c>
      <c r="I300" s="51">
        <v>243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243</v>
      </c>
    </row>
    <row r="302" spans="5:9" x14ac:dyDescent="0.25">
      <c r="E302">
        <f t="shared" si="32"/>
        <v>49</v>
      </c>
      <c r="G302" t="s">
        <v>224</v>
      </c>
      <c r="H302" s="51">
        <v>59</v>
      </c>
      <c r="I302" s="51">
        <v>243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243</v>
      </c>
    </row>
    <row r="304" spans="5:9" x14ac:dyDescent="0.25">
      <c r="E304">
        <f t="shared" si="32"/>
        <v>49</v>
      </c>
      <c r="G304" t="s">
        <v>226</v>
      </c>
      <c r="H304" s="51">
        <v>51</v>
      </c>
      <c r="I304" s="51">
        <v>243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243</v>
      </c>
    </row>
    <row r="306" spans="5:9" x14ac:dyDescent="0.25">
      <c r="E306">
        <f t="shared" si="32"/>
        <v>49</v>
      </c>
      <c r="G306" t="s">
        <v>228</v>
      </c>
      <c r="H306" s="51">
        <v>45</v>
      </c>
      <c r="I306" s="51">
        <v>243</v>
      </c>
    </row>
    <row r="307" spans="5:9" x14ac:dyDescent="0.25">
      <c r="E307">
        <f t="shared" si="32"/>
        <v>49</v>
      </c>
      <c r="G307" t="s">
        <v>229</v>
      </c>
      <c r="H307">
        <v>24</v>
      </c>
      <c r="I307" s="51">
        <v>243</v>
      </c>
    </row>
    <row r="308" spans="5:9" x14ac:dyDescent="0.25">
      <c r="E308">
        <f t="shared" si="32"/>
        <v>49</v>
      </c>
      <c r="G308" t="s">
        <v>230</v>
      </c>
      <c r="H308">
        <v>26</v>
      </c>
      <c r="I308" s="51">
        <v>243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101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77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118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63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162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121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47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56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43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103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103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227</v>
      </c>
      <c r="I323" s="51">
        <v>103</v>
      </c>
    </row>
    <row r="324" spans="5:9" x14ac:dyDescent="0.25">
      <c r="E324">
        <f t="shared" si="34"/>
        <v>52</v>
      </c>
      <c r="G324" t="s">
        <v>228</v>
      </c>
      <c r="H324" s="51">
        <v>51</v>
      </c>
      <c r="I324" s="51">
        <v>103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17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62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54</v>
      </c>
      <c r="I336" s="51">
        <v>179</v>
      </c>
    </row>
    <row r="337" spans="5:9" x14ac:dyDescent="0.25">
      <c r="E337">
        <f t="shared" ref="E337:E344" si="36">+$F$336</f>
        <v>54</v>
      </c>
      <c r="G337" t="s">
        <v>223</v>
      </c>
      <c r="H337" s="51">
        <v>28</v>
      </c>
      <c r="I337" s="51">
        <v>179</v>
      </c>
    </row>
    <row r="338" spans="5:9" x14ac:dyDescent="0.25">
      <c r="E338">
        <f t="shared" si="36"/>
        <v>54</v>
      </c>
      <c r="G338" t="s">
        <v>224</v>
      </c>
      <c r="H338" s="51">
        <v>84</v>
      </c>
      <c r="I338" s="51">
        <v>179</v>
      </c>
    </row>
    <row r="339" spans="5:9" x14ac:dyDescent="0.25">
      <c r="E339">
        <f t="shared" si="36"/>
        <v>54</v>
      </c>
      <c r="G339" t="s">
        <v>225</v>
      </c>
      <c r="H339" s="51">
        <v>62</v>
      </c>
      <c r="I339" s="51">
        <v>179</v>
      </c>
    </row>
    <row r="340" spans="5:9" x14ac:dyDescent="0.25">
      <c r="E340">
        <f t="shared" si="36"/>
        <v>54</v>
      </c>
      <c r="G340" t="s">
        <v>226</v>
      </c>
      <c r="H340">
        <v>89</v>
      </c>
      <c r="I340" s="51">
        <v>179</v>
      </c>
    </row>
    <row r="341" spans="5:9" x14ac:dyDescent="0.25">
      <c r="E341">
        <f t="shared" si="36"/>
        <v>54</v>
      </c>
      <c r="G341" t="s">
        <v>227</v>
      </c>
      <c r="H341" s="51">
        <v>79</v>
      </c>
      <c r="I341" s="51">
        <v>179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179</v>
      </c>
    </row>
    <row r="343" spans="5:9" x14ac:dyDescent="0.25">
      <c r="E343">
        <f t="shared" si="36"/>
        <v>54</v>
      </c>
      <c r="G343" t="s">
        <v>229</v>
      </c>
      <c r="H343" s="51">
        <v>34</v>
      </c>
      <c r="I343" s="51">
        <v>179</v>
      </c>
    </row>
    <row r="344" spans="5:9" x14ac:dyDescent="0.25">
      <c r="E344">
        <f t="shared" si="36"/>
        <v>54</v>
      </c>
      <c r="G344" t="s">
        <v>230</v>
      </c>
      <c r="H344" s="51">
        <v>40</v>
      </c>
      <c r="I344" s="51">
        <v>179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26</v>
      </c>
      <c r="I345" s="51">
        <v>197</v>
      </c>
    </row>
    <row r="346" spans="5:9" x14ac:dyDescent="0.25">
      <c r="E346">
        <f t="shared" ref="E346:E353" si="37">+$F$345</f>
        <v>56</v>
      </c>
      <c r="G346" t="s">
        <v>223</v>
      </c>
      <c r="H346" s="51">
        <v>17</v>
      </c>
      <c r="I346" s="51">
        <v>197</v>
      </c>
    </row>
    <row r="347" spans="5:9" x14ac:dyDescent="0.25">
      <c r="E347">
        <f t="shared" si="37"/>
        <v>56</v>
      </c>
      <c r="G347" t="s">
        <v>224</v>
      </c>
      <c r="H347" s="51">
        <v>58</v>
      </c>
      <c r="I347" s="51">
        <v>197</v>
      </c>
    </row>
    <row r="348" spans="5:9" x14ac:dyDescent="0.25">
      <c r="E348">
        <f t="shared" si="37"/>
        <v>56</v>
      </c>
      <c r="G348" t="s">
        <v>225</v>
      </c>
      <c r="H348">
        <v>28</v>
      </c>
      <c r="I348" s="51">
        <v>197</v>
      </c>
    </row>
    <row r="349" spans="5:9" x14ac:dyDescent="0.25">
      <c r="E349">
        <f t="shared" si="37"/>
        <v>56</v>
      </c>
      <c r="G349" t="s">
        <v>226</v>
      </c>
      <c r="H349" s="51">
        <v>38</v>
      </c>
      <c r="I349" s="51">
        <v>197</v>
      </c>
    </row>
    <row r="350" spans="5:9" x14ac:dyDescent="0.25">
      <c r="E350">
        <f t="shared" si="37"/>
        <v>56</v>
      </c>
      <c r="G350" t="s">
        <v>227</v>
      </c>
      <c r="H350" s="51">
        <v>33</v>
      </c>
      <c r="I350" s="51">
        <v>197</v>
      </c>
    </row>
    <row r="351" spans="5:9" x14ac:dyDescent="0.25">
      <c r="E351">
        <f t="shared" si="37"/>
        <v>56</v>
      </c>
      <c r="G351" t="s">
        <v>228</v>
      </c>
      <c r="H351" s="51">
        <v>37</v>
      </c>
      <c r="I351" s="51">
        <v>197</v>
      </c>
    </row>
    <row r="352" spans="5:9" x14ac:dyDescent="0.25">
      <c r="E352">
        <f t="shared" si="37"/>
        <v>56</v>
      </c>
      <c r="G352" t="s">
        <v>229</v>
      </c>
      <c r="H352">
        <v>17</v>
      </c>
      <c r="I352" s="51">
        <v>197</v>
      </c>
    </row>
    <row r="353" spans="5:9" x14ac:dyDescent="0.25">
      <c r="E353">
        <f t="shared" si="37"/>
        <v>56</v>
      </c>
      <c r="G353" t="s">
        <v>230</v>
      </c>
      <c r="H353" s="51">
        <v>12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43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124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124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124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124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124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124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124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124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124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4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6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7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70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40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87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35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100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87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21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31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43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44</v>
      </c>
      <c r="I399">
        <v>156</v>
      </c>
    </row>
    <row r="400" spans="5:9" x14ac:dyDescent="0.25">
      <c r="E400">
        <f t="shared" ref="E400:E407" si="43">+$F$399</f>
        <v>9</v>
      </c>
      <c r="G400" t="s">
        <v>223</v>
      </c>
      <c r="H400">
        <v>54</v>
      </c>
      <c r="I400">
        <v>156</v>
      </c>
    </row>
    <row r="401" spans="5:9" x14ac:dyDescent="0.25">
      <c r="E401">
        <f t="shared" si="43"/>
        <v>9</v>
      </c>
      <c r="G401" t="s">
        <v>224</v>
      </c>
      <c r="H401">
        <v>51</v>
      </c>
      <c r="I401">
        <v>156</v>
      </c>
    </row>
    <row r="402" spans="5:9" x14ac:dyDescent="0.25">
      <c r="E402">
        <f t="shared" si="43"/>
        <v>9</v>
      </c>
      <c r="G402" t="s">
        <v>225</v>
      </c>
      <c r="H402">
        <v>44</v>
      </c>
      <c r="I402">
        <v>156</v>
      </c>
    </row>
    <row r="403" spans="5:9" x14ac:dyDescent="0.25">
      <c r="E403">
        <f t="shared" si="43"/>
        <v>9</v>
      </c>
      <c r="G403" t="s">
        <v>226</v>
      </c>
      <c r="H403">
        <v>77</v>
      </c>
      <c r="I403">
        <v>156</v>
      </c>
    </row>
    <row r="404" spans="5:9" x14ac:dyDescent="0.25">
      <c r="E404">
        <f t="shared" si="43"/>
        <v>9</v>
      </c>
      <c r="G404" t="s">
        <v>227</v>
      </c>
      <c r="H404">
        <v>80</v>
      </c>
      <c r="I404">
        <v>156</v>
      </c>
    </row>
    <row r="405" spans="5:9" x14ac:dyDescent="0.25">
      <c r="E405">
        <f t="shared" si="43"/>
        <v>9</v>
      </c>
      <c r="G405" t="s">
        <v>228</v>
      </c>
      <c r="H405">
        <v>19</v>
      </c>
      <c r="I405">
        <v>156</v>
      </c>
    </row>
    <row r="406" spans="5:9" x14ac:dyDescent="0.25">
      <c r="E406">
        <f t="shared" si="43"/>
        <v>9</v>
      </c>
      <c r="G406" t="s">
        <v>229</v>
      </c>
      <c r="H406">
        <v>29</v>
      </c>
      <c r="I406">
        <v>156</v>
      </c>
    </row>
    <row r="407" spans="5:9" x14ac:dyDescent="0.25">
      <c r="E407">
        <f t="shared" si="43"/>
        <v>9</v>
      </c>
      <c r="G407" t="s">
        <v>230</v>
      </c>
      <c r="H407">
        <v>28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0.23044357638888888</v>
      </c>
    </row>
    <row r="3" spans="1:4" x14ac:dyDescent="0.25">
      <c r="A3" s="138" t="s">
        <v>245</v>
      </c>
      <c r="B3" s="138" t="s">
        <v>4</v>
      </c>
      <c r="C3" s="136"/>
      <c r="D3" s="136">
        <v>0.27564192708333329</v>
      </c>
    </row>
    <row r="4" spans="1:4" x14ac:dyDescent="0.25">
      <c r="A4" s="138" t="s">
        <v>246</v>
      </c>
      <c r="B4" s="138" t="s">
        <v>11</v>
      </c>
      <c r="C4" s="136"/>
      <c r="D4" s="136">
        <v>0.26174869791666666</v>
      </c>
    </row>
    <row r="5" spans="1:4" x14ac:dyDescent="0.25">
      <c r="A5" s="138" t="s">
        <v>247</v>
      </c>
      <c r="B5" s="138" t="s">
        <v>17</v>
      </c>
      <c r="C5" s="136"/>
      <c r="D5" s="136">
        <v>0.25074334490740741</v>
      </c>
    </row>
    <row r="6" spans="1:4" x14ac:dyDescent="0.25">
      <c r="A6" s="138" t="s">
        <v>248</v>
      </c>
      <c r="B6" s="138" t="s">
        <v>22</v>
      </c>
      <c r="C6" s="136"/>
      <c r="D6" s="136">
        <v>0.23413657407407407</v>
      </c>
    </row>
    <row r="7" spans="1:4" x14ac:dyDescent="0.25">
      <c r="A7" s="138" t="s">
        <v>249</v>
      </c>
      <c r="B7" s="138" t="s">
        <v>279</v>
      </c>
      <c r="C7" s="136"/>
      <c r="D7" s="136">
        <v>0.26755979938271607</v>
      </c>
    </row>
    <row r="8" spans="1:4" x14ac:dyDescent="0.25">
      <c r="A8" s="138" t="s">
        <v>250</v>
      </c>
      <c r="B8" s="138" t="s">
        <v>72</v>
      </c>
      <c r="C8" s="136"/>
      <c r="D8" s="136">
        <v>0.24195254629629628</v>
      </c>
    </row>
    <row r="9" spans="1:4" x14ac:dyDescent="0.25">
      <c r="A9" s="138" t="s">
        <v>251</v>
      </c>
      <c r="B9" s="138" t="s">
        <v>3</v>
      </c>
      <c r="C9" s="136"/>
      <c r="D9" s="136">
        <v>0.2557585358796296</v>
      </c>
    </row>
    <row r="10" spans="1:4" x14ac:dyDescent="0.25">
      <c r="A10" s="138" t="s">
        <v>252</v>
      </c>
      <c r="B10" s="138" t="s">
        <v>187</v>
      </c>
      <c r="C10" s="136"/>
      <c r="D10" s="136">
        <v>0.14165822723765434</v>
      </c>
    </row>
    <row r="11" spans="1:4" x14ac:dyDescent="0.25">
      <c r="A11" s="138" t="s">
        <v>253</v>
      </c>
      <c r="B11" s="138" t="s">
        <v>19</v>
      </c>
      <c r="C11" s="136"/>
      <c r="D11" s="136">
        <v>0.25495052083333336</v>
      </c>
    </row>
    <row r="12" spans="1:4" x14ac:dyDescent="0.25">
      <c r="A12" s="138" t="s">
        <v>254</v>
      </c>
      <c r="B12" s="138" t="s">
        <v>71</v>
      </c>
      <c r="C12" s="136"/>
      <c r="D12" s="136">
        <v>0.2892210648148148</v>
      </c>
    </row>
    <row r="13" spans="1:4" x14ac:dyDescent="0.25">
      <c r="A13" s="138" t="s">
        <v>255</v>
      </c>
      <c r="B13" s="138" t="s">
        <v>6</v>
      </c>
      <c r="C13" s="136"/>
      <c r="D13" s="136">
        <v>0.24883376736111112</v>
      </c>
    </row>
    <row r="14" spans="1:4" x14ac:dyDescent="0.25">
      <c r="A14" s="138" t="s">
        <v>256</v>
      </c>
      <c r="B14" s="138" t="s">
        <v>280</v>
      </c>
      <c r="C14" s="136"/>
      <c r="D14" s="136">
        <v>0.27270920138888888</v>
      </c>
    </row>
    <row r="15" spans="1:4" x14ac:dyDescent="0.25">
      <c r="A15" s="138" t="s">
        <v>257</v>
      </c>
      <c r="B15" s="138" t="s">
        <v>12</v>
      </c>
      <c r="C15" s="136"/>
      <c r="D15" s="136">
        <v>0.23474305555555555</v>
      </c>
    </row>
    <row r="16" spans="1:4" x14ac:dyDescent="0.25">
      <c r="A16" s="138" t="s">
        <v>258</v>
      </c>
      <c r="B16" s="138" t="s">
        <v>21</v>
      </c>
      <c r="C16" s="136"/>
      <c r="D16" s="136">
        <v>0.23281018518518515</v>
      </c>
    </row>
    <row r="17" spans="1:4" x14ac:dyDescent="0.25">
      <c r="A17" s="138" t="s">
        <v>259</v>
      </c>
      <c r="B17" s="138" t="s">
        <v>73</v>
      </c>
      <c r="C17" s="136"/>
      <c r="D17" s="136">
        <v>0.25113614004629631</v>
      </c>
    </row>
    <row r="18" spans="1:4" x14ac:dyDescent="0.25">
      <c r="A18" s="138" t="s">
        <v>260</v>
      </c>
      <c r="B18" s="138" t="s">
        <v>20</v>
      </c>
      <c r="C18" s="136"/>
      <c r="D18" s="136">
        <v>0.26061371527777777</v>
      </c>
    </row>
    <row r="19" spans="1:4" x14ac:dyDescent="0.25">
      <c r="A19" s="138" t="s">
        <v>261</v>
      </c>
      <c r="B19" s="138" t="s">
        <v>15</v>
      </c>
      <c r="C19" s="136"/>
      <c r="D19" s="136">
        <v>0.26096614583333333</v>
      </c>
    </row>
    <row r="20" spans="1:4" x14ac:dyDescent="0.25">
      <c r="A20" s="138" t="s">
        <v>262</v>
      </c>
      <c r="B20" s="138" t="s">
        <v>14</v>
      </c>
      <c r="C20" s="136"/>
      <c r="D20" s="136">
        <v>0.2852932581018518</v>
      </c>
    </row>
    <row r="21" spans="1:4" x14ac:dyDescent="0.25">
      <c r="A21" s="138" t="s">
        <v>263</v>
      </c>
      <c r="B21" s="138" t="s">
        <v>8</v>
      </c>
      <c r="C21" s="136"/>
      <c r="D21" s="136">
        <v>0.23657045717592595</v>
      </c>
    </row>
    <row r="22" spans="1:4" x14ac:dyDescent="0.25">
      <c r="A22" s="138" t="s">
        <v>264</v>
      </c>
      <c r="B22" s="138" t="s">
        <v>1</v>
      </c>
      <c r="C22" s="136"/>
      <c r="D22" s="136">
        <v>0.23838874421296297</v>
      </c>
    </row>
    <row r="23" spans="1:4" x14ac:dyDescent="0.25">
      <c r="A23" s="138" t="s">
        <v>265</v>
      </c>
      <c r="B23" s="138" t="s">
        <v>281</v>
      </c>
      <c r="C23" s="136"/>
      <c r="D23" s="136">
        <v>0.18833521412037038</v>
      </c>
    </row>
    <row r="24" spans="1:4" x14ac:dyDescent="0.25">
      <c r="A24" s="138" t="s">
        <v>266</v>
      </c>
      <c r="B24" s="138" t="s">
        <v>26</v>
      </c>
      <c r="C24" s="136"/>
      <c r="D24" s="136">
        <v>0.24211299189814817</v>
      </c>
    </row>
    <row r="25" spans="1:4" x14ac:dyDescent="0.25">
      <c r="A25" s="138" t="s">
        <v>267</v>
      </c>
      <c r="B25" s="138" t="s">
        <v>282</v>
      </c>
      <c r="C25" s="136"/>
      <c r="D25" s="136">
        <v>0.22009939236111112</v>
      </c>
    </row>
    <row r="26" spans="1:4" x14ac:dyDescent="0.25">
      <c r="A26" s="138" t="s">
        <v>268</v>
      </c>
      <c r="B26" s="138" t="s">
        <v>176</v>
      </c>
      <c r="C26" s="136"/>
      <c r="D26" s="136">
        <v>0.2553781828703704</v>
      </c>
    </row>
    <row r="27" spans="1:4" x14ac:dyDescent="0.25">
      <c r="A27" s="138" t="s">
        <v>269</v>
      </c>
      <c r="B27" s="138" t="s">
        <v>283</v>
      </c>
      <c r="C27" s="136"/>
      <c r="D27" s="136">
        <v>0.22379687500000001</v>
      </c>
    </row>
    <row r="28" spans="1:4" x14ac:dyDescent="0.25">
      <c r="A28" s="138" t="s">
        <v>270</v>
      </c>
      <c r="B28" s="138" t="s">
        <v>25</v>
      </c>
      <c r="C28" s="136"/>
      <c r="D28" s="136">
        <v>0.18191189236111113</v>
      </c>
    </row>
    <row r="29" spans="1:4" x14ac:dyDescent="0.25">
      <c r="A29" s="138" t="s">
        <v>271</v>
      </c>
      <c r="B29" s="138" t="s">
        <v>284</v>
      </c>
      <c r="C29" s="136"/>
      <c r="D29" s="136">
        <v>0.21719531250000002</v>
      </c>
    </row>
    <row r="30" spans="1:4" x14ac:dyDescent="0.25">
      <c r="A30" s="138" t="s">
        <v>272</v>
      </c>
      <c r="B30" s="138" t="s">
        <v>192</v>
      </c>
      <c r="C30" s="136"/>
      <c r="D30" s="136">
        <v>0.17495934606481481</v>
      </c>
    </row>
    <row r="31" spans="1:4" x14ac:dyDescent="0.25">
      <c r="A31" s="138" t="s">
        <v>273</v>
      </c>
      <c r="B31" s="138" t="s">
        <v>9</v>
      </c>
      <c r="C31" s="136"/>
      <c r="D31" s="136">
        <v>0.164015625</v>
      </c>
    </row>
    <row r="32" spans="1:4" x14ac:dyDescent="0.25">
      <c r="A32" s="138" t="s">
        <v>274</v>
      </c>
      <c r="B32" s="138" t="s">
        <v>13</v>
      </c>
      <c r="C32" s="136"/>
      <c r="D32" s="136">
        <v>0.18175665509259259</v>
      </c>
    </row>
    <row r="33" spans="1:4" x14ac:dyDescent="0.25">
      <c r="A33" s="138" t="s">
        <v>275</v>
      </c>
      <c r="B33" s="138" t="s">
        <v>23</v>
      </c>
      <c r="C33" s="136"/>
      <c r="D33" s="136">
        <v>0.16169386574074074</v>
      </c>
    </row>
    <row r="34" spans="1:4" x14ac:dyDescent="0.25">
      <c r="A34" s="138" t="s">
        <v>276</v>
      </c>
      <c r="B34" s="138" t="s">
        <v>10</v>
      </c>
      <c r="C34" s="136"/>
      <c r="D34" s="136">
        <v>0.13456134259259259</v>
      </c>
    </row>
    <row r="35" spans="1:4" x14ac:dyDescent="0.25">
      <c r="A35" s="138" t="s">
        <v>277</v>
      </c>
      <c r="B35" s="138" t="s">
        <v>285</v>
      </c>
      <c r="C35" s="136"/>
      <c r="D35" s="136">
        <v>0.17870486111111111</v>
      </c>
    </row>
    <row r="36" spans="1:4" x14ac:dyDescent="0.25">
      <c r="A36" s="138" t="s">
        <v>278</v>
      </c>
      <c r="B36" s="138" t="s">
        <v>286</v>
      </c>
      <c r="C36" s="136"/>
      <c r="D36" s="136">
        <v>0.14126128472222224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2026-06-26T17:53:51Z</dcterms:modified>
</cp:coreProperties>
</file>