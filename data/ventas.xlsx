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1ED77F2B-C804-4A4C-B2B1-B2CB88BD618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<sst xmlns="http://schemas.openxmlformats.org/spreadsheetml/2006/main" count="902" uniqueCount="233">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</sst>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97" t="s">
        <v>76</v>
      </c>
      <c r="B1" s="97" t="s">
        <v>147</v>
      </c>
      <c r="C1" s="97" t="s">
        <v>148</v>
      </c>
      <c r="D1" s="97" t="s">
        <v>149</v>
      </c>
      <c r="E1" s="97" t="s">
        <v>150</v>
      </c>
      <c r="F1" s="97" t="s">
        <v>151</v>
      </c>
      <c r="G1" s="97" t="s">
        <v>152</v>
      </c>
      <c r="H1" s="97" t="s">
        <v>153</v>
      </c>
    </row>
    <row r="2" spans="1:8" x14ac:dyDescent="0.25">
      <c r="A2" s="96" t="s">
        <v>154</v>
      </c>
      <c r="B2" s="96">
        <v>0</v>
      </c>
      <c r="C2" s="96">
        <v>20239.264746040899</v>
      </c>
      <c r="D2" s="96">
        <v>97497.216435570401</v>
      </c>
      <c r="E2" s="96">
        <v>347488527.93282223</v>
      </c>
      <c r="F2" s="96">
        <v>0</v>
      </c>
      <c r="G2" s="96">
        <v>208601.67291691661</v>
      </c>
      <c r="H2" s="96">
        <v>208601.74</v>
      </c>
    </row>
    <row r="3" spans="1:8" x14ac:dyDescent="0.25">
      <c r="A3" s="96" t="s">
        <v>81</v>
      </c>
      <c r="B3" s="96">
        <v>1</v>
      </c>
      <c r="C3" s="96">
        <v>287.35735488500001</v>
      </c>
      <c r="D3" s="96">
        <v>636.38716535089998</v>
      </c>
      <c r="E3" s="96">
        <v>6953389.0972305397</v>
      </c>
      <c r="F3" s="96">
        <v>0</v>
      </c>
      <c r="G3" s="96">
        <v>208601.67291691661</v>
      </c>
      <c r="H3" s="96">
        <v>208601.74</v>
      </c>
    </row>
    <row r="4" spans="1:8" x14ac:dyDescent="0.25">
      <c r="A4" s="96" t="s">
        <v>82</v>
      </c>
      <c r="B4" s="96">
        <v>1</v>
      </c>
      <c r="C4" s="96">
        <v>155.42341269729999</v>
      </c>
      <c r="D4" s="96">
        <v>326.98499999799998</v>
      </c>
      <c r="E4" s="96">
        <v>4842984.6712837927</v>
      </c>
      <c r="F4" s="96">
        <v>0</v>
      </c>
      <c r="G4" s="96">
        <v>0</v>
      </c>
      <c r="H4" s="96">
        <v>0</v>
      </c>
    </row>
    <row r="5" spans="1:8" x14ac:dyDescent="0.25">
      <c r="A5" s="96" t="s">
        <v>83</v>
      </c>
      <c r="B5" s="96">
        <v>1</v>
      </c>
      <c r="C5" s="96">
        <v>200.08797618950001</v>
      </c>
      <c r="D5" s="96">
        <v>776.02249999560001</v>
      </c>
      <c r="E5" s="96">
        <v>4538116.0675083203</v>
      </c>
      <c r="F5" s="96">
        <v>0</v>
      </c>
      <c r="G5" s="96">
        <v>0</v>
      </c>
      <c r="H5" s="96">
        <v>0</v>
      </c>
    </row>
    <row r="6" spans="1:8" x14ac:dyDescent="0.25">
      <c r="A6" s="96" t="s">
        <v>84</v>
      </c>
      <c r="B6" s="96">
        <v>1</v>
      </c>
      <c r="C6" s="96">
        <v>397.30575396749998</v>
      </c>
      <c r="D6" s="96">
        <v>1116.1477142923</v>
      </c>
      <c r="E6" s="96">
        <v>7971555.33420307</v>
      </c>
      <c r="F6" s="96">
        <v>0</v>
      </c>
      <c r="G6" s="96">
        <v>0</v>
      </c>
      <c r="H6" s="96">
        <v>0</v>
      </c>
    </row>
    <row r="7" spans="1:8" x14ac:dyDescent="0.25">
      <c r="A7" s="96" t="s">
        <v>85</v>
      </c>
      <c r="B7" s="96">
        <v>1</v>
      </c>
      <c r="C7" s="96">
        <v>418.16251984000002</v>
      </c>
      <c r="D7" s="96">
        <v>1324.0909999978001</v>
      </c>
      <c r="E7" s="96">
        <v>8068882.1386908181</v>
      </c>
      <c r="F7" s="96">
        <v>0</v>
      </c>
      <c r="G7" s="96">
        <v>0</v>
      </c>
      <c r="H7" s="96">
        <v>0</v>
      </c>
    </row>
    <row r="8" spans="1:8" x14ac:dyDescent="0.25">
      <c r="A8" s="96" t="s">
        <v>111</v>
      </c>
      <c r="B8" s="96">
        <v>1</v>
      </c>
      <c r="C8" s="96">
        <v>1635.1115740742</v>
      </c>
      <c r="D8" s="96">
        <v>1870.3864768542001</v>
      </c>
      <c r="E8" s="96">
        <v>17061083.040882383</v>
      </c>
      <c r="F8" s="96">
        <v>0</v>
      </c>
      <c r="G8" s="96">
        <v>0</v>
      </c>
      <c r="H8" s="96">
        <v>0</v>
      </c>
    </row>
    <row r="9" spans="1:8" x14ac:dyDescent="0.25">
      <c r="A9" s="96" t="s">
        <v>86</v>
      </c>
      <c r="B9" s="96">
        <v>1</v>
      </c>
      <c r="C9" s="96">
        <v>198.23150793619999</v>
      </c>
      <c r="D9" s="96">
        <v>911.56750000140005</v>
      </c>
      <c r="E9" s="96">
        <v>3586477.5079781078</v>
      </c>
      <c r="F9" s="96">
        <v>0</v>
      </c>
      <c r="G9" s="96">
        <v>0</v>
      </c>
      <c r="H9" s="96">
        <v>0</v>
      </c>
    </row>
    <row r="10" spans="1:8" x14ac:dyDescent="0.25">
      <c r="A10" s="96" t="s">
        <v>87</v>
      </c>
      <c r="B10" s="96">
        <v>1</v>
      </c>
      <c r="C10" s="96">
        <v>151.87760912690001</v>
      </c>
      <c r="D10" s="96">
        <v>538.00411458880001</v>
      </c>
      <c r="E10" s="96">
        <v>3996158.8131728824</v>
      </c>
      <c r="F10" s="96">
        <v>0</v>
      </c>
      <c r="G10" s="96">
        <v>0</v>
      </c>
      <c r="H10" s="96">
        <v>0</v>
      </c>
    </row>
    <row r="11" spans="1:8" x14ac:dyDescent="0.25">
      <c r="A11" s="96" t="s">
        <v>213</v>
      </c>
      <c r="B11" s="96">
        <v>1</v>
      </c>
      <c r="C11" s="96">
        <v>157.76408730060001</v>
      </c>
      <c r="D11" s="96">
        <v>362.56459523730001</v>
      </c>
      <c r="E11" s="96">
        <v>2958594.3353685732</v>
      </c>
      <c r="F11" s="96">
        <v>0</v>
      </c>
      <c r="G11" s="96">
        <v>0</v>
      </c>
      <c r="H11" s="96">
        <v>0</v>
      </c>
    </row>
    <row r="12" spans="1:8" x14ac:dyDescent="0.25">
      <c r="A12" s="96" t="s">
        <v>212</v>
      </c>
      <c r="B12" s="96">
        <v>1</v>
      </c>
      <c r="C12" s="96">
        <v>376.22777777610003</v>
      </c>
      <c r="D12" s="96">
        <v>2353.8501190427</v>
      </c>
      <c r="E12" s="96">
        <v>6404448.8053096188</v>
      </c>
      <c r="F12" s="96">
        <v>0</v>
      </c>
      <c r="G12" s="96">
        <v>0</v>
      </c>
      <c r="H12" s="96">
        <v>0</v>
      </c>
    </row>
    <row r="13" spans="1:8" x14ac:dyDescent="0.25">
      <c r="A13" s="96" t="s">
        <v>90</v>
      </c>
      <c r="B13" s="96">
        <v>1</v>
      </c>
      <c r="C13" s="96">
        <v>340.59277777739999</v>
      </c>
      <c r="D13" s="96">
        <v>1049.3365119081</v>
      </c>
      <c r="E13" s="96">
        <v>6622431.8650625329</v>
      </c>
      <c r="F13" s="96">
        <v>0</v>
      </c>
      <c r="G13" s="96">
        <v>0</v>
      </c>
      <c r="H13" s="96">
        <v>0</v>
      </c>
    </row>
    <row r="14" spans="1:8" x14ac:dyDescent="0.25">
      <c r="A14" s="96" t="s">
        <v>91</v>
      </c>
      <c r="B14" s="96">
        <v>1</v>
      </c>
      <c r="C14" s="96">
        <v>1689.6688492064</v>
      </c>
      <c r="D14" s="96">
        <v>14984.7324999998</v>
      </c>
      <c r="E14" s="96">
        <v>39689592.681744099</v>
      </c>
      <c r="F14" s="96">
        <v>0</v>
      </c>
      <c r="G14" s="96">
        <v>0</v>
      </c>
      <c r="H14" s="96">
        <v>0</v>
      </c>
    </row>
    <row r="15" spans="1:8" x14ac:dyDescent="0.25">
      <c r="A15" s="96" t="s">
        <v>92</v>
      </c>
      <c r="B15" s="96">
        <v>1</v>
      </c>
      <c r="C15" s="96">
        <v>322.91230158680003</v>
      </c>
      <c r="D15" s="96">
        <v>1065.8074999979999</v>
      </c>
      <c r="E15" s="96">
        <v>6197917.8190731332</v>
      </c>
      <c r="F15" s="96">
        <v>0</v>
      </c>
      <c r="G15" s="96">
        <v>0</v>
      </c>
      <c r="H15" s="96">
        <v>0</v>
      </c>
    </row>
    <row r="16" spans="1:8" x14ac:dyDescent="0.25">
      <c r="A16" s="96" t="s">
        <v>93</v>
      </c>
      <c r="B16" s="96">
        <v>1</v>
      </c>
      <c r="C16" s="96">
        <v>214.65501984030001</v>
      </c>
      <c r="D16" s="96">
        <v>1133.6685119097999</v>
      </c>
      <c r="E16" s="96">
        <v>5255755.4759214995</v>
      </c>
      <c r="F16" s="96">
        <v>0</v>
      </c>
      <c r="G16" s="96">
        <v>0</v>
      </c>
      <c r="H16" s="96">
        <v>0</v>
      </c>
    </row>
    <row r="17" spans="1:8" x14ac:dyDescent="0.25">
      <c r="A17" s="96" t="s">
        <v>94</v>
      </c>
      <c r="B17" s="96">
        <v>1</v>
      </c>
      <c r="C17" s="96">
        <v>480.26246031580001</v>
      </c>
      <c r="D17" s="96">
        <v>1416.7735238169</v>
      </c>
      <c r="E17" s="96">
        <v>9288875.7683896385</v>
      </c>
      <c r="F17" s="96">
        <v>0</v>
      </c>
      <c r="G17" s="96">
        <v>0</v>
      </c>
      <c r="H17" s="96">
        <v>0</v>
      </c>
    </row>
    <row r="18" spans="1:8" x14ac:dyDescent="0.25">
      <c r="A18" s="96" t="s">
        <v>95</v>
      </c>
      <c r="B18" s="96">
        <v>1</v>
      </c>
      <c r="C18" s="96">
        <v>588.94634920609997</v>
      </c>
      <c r="D18" s="96">
        <v>2848.4188452368999</v>
      </c>
      <c r="E18" s="96">
        <v>12202147.531287048</v>
      </c>
      <c r="F18" s="96">
        <v>0</v>
      </c>
      <c r="G18" s="96">
        <v>0</v>
      </c>
      <c r="H18" s="96">
        <v>0</v>
      </c>
    </row>
    <row r="19" spans="1:8" x14ac:dyDescent="0.25">
      <c r="A19" s="96" t="s">
        <v>96</v>
      </c>
      <c r="B19" s="96">
        <v>1</v>
      </c>
      <c r="C19" s="96">
        <v>441.94708994609999</v>
      </c>
      <c r="D19" s="96">
        <v>1784.6717142952</v>
      </c>
      <c r="E19" s="96">
        <v>9037854.5756811257</v>
      </c>
      <c r="F19" s="96">
        <v>0</v>
      </c>
      <c r="G19" s="96">
        <v>0</v>
      </c>
      <c r="H19" s="96">
        <v>0</v>
      </c>
    </row>
    <row r="20" spans="1:8" x14ac:dyDescent="0.25">
      <c r="A20" s="96" t="s">
        <v>97</v>
      </c>
      <c r="B20" s="96">
        <v>1</v>
      </c>
      <c r="C20" s="96">
        <v>1691.1757341268999</v>
      </c>
      <c r="D20" s="96">
        <v>8709.6164999951998</v>
      </c>
      <c r="E20" s="96">
        <v>25307057.946538661</v>
      </c>
      <c r="F20" s="96">
        <v>0</v>
      </c>
      <c r="G20" s="96">
        <v>0</v>
      </c>
      <c r="H20" s="96">
        <v>0</v>
      </c>
    </row>
    <row r="21" spans="1:8" x14ac:dyDescent="0.25">
      <c r="A21" s="96" t="s">
        <v>98</v>
      </c>
      <c r="B21" s="96">
        <v>1</v>
      </c>
      <c r="C21" s="96">
        <v>264.46081349069999</v>
      </c>
      <c r="D21" s="96">
        <v>939.2292142901</v>
      </c>
      <c r="E21" s="96">
        <v>5595341.8938343767</v>
      </c>
      <c r="F21" s="96">
        <v>0</v>
      </c>
      <c r="G21" s="96">
        <v>0</v>
      </c>
      <c r="H21" s="96">
        <v>0</v>
      </c>
    </row>
    <row r="22" spans="1:8" x14ac:dyDescent="0.25">
      <c r="A22" s="96" t="s">
        <v>207</v>
      </c>
      <c r="B22" s="96">
        <v>1</v>
      </c>
      <c r="C22" s="96">
        <v>197.9982142849</v>
      </c>
      <c r="D22" s="96">
        <v>505.67851190179999</v>
      </c>
      <c r="E22" s="96">
        <v>3109025.2196221473</v>
      </c>
      <c r="F22" s="96">
        <v>0</v>
      </c>
      <c r="G22" s="96">
        <v>0</v>
      </c>
      <c r="H22" s="96">
        <v>0</v>
      </c>
    </row>
    <row r="23" spans="1:8" x14ac:dyDescent="0.25">
      <c r="A23" s="96" t="s">
        <v>155</v>
      </c>
      <c r="B23" s="96">
        <v>1</v>
      </c>
      <c r="C23" s="96">
        <v>781.37513888820001</v>
      </c>
      <c r="D23" s="96">
        <v>4836.2267976160001</v>
      </c>
      <c r="E23" s="96">
        <v>16984006.336814482</v>
      </c>
      <c r="F23" s="96">
        <v>0</v>
      </c>
      <c r="G23" s="96">
        <v>0</v>
      </c>
      <c r="H23" s="96">
        <v>0</v>
      </c>
    </row>
    <row r="24" spans="1:8" x14ac:dyDescent="0.25">
      <c r="A24" s="96" t="s">
        <v>220</v>
      </c>
      <c r="B24" s="96">
        <v>1</v>
      </c>
      <c r="C24" s="96">
        <v>731.66458333349999</v>
      </c>
      <c r="D24" s="96">
        <v>4795.7219583328997</v>
      </c>
      <c r="E24" s="96">
        <v>13810777.689331688</v>
      </c>
      <c r="F24" s="96">
        <v>0</v>
      </c>
      <c r="G24" s="96">
        <v>0</v>
      </c>
      <c r="H24" s="96">
        <v>0</v>
      </c>
    </row>
    <row r="25" spans="1:8" x14ac:dyDescent="0.25">
      <c r="A25" s="96" t="s">
        <v>99</v>
      </c>
      <c r="B25" s="96">
        <v>1</v>
      </c>
      <c r="C25" s="96">
        <v>298.05575396820001</v>
      </c>
      <c r="D25" s="96">
        <v>850.76000000500005</v>
      </c>
      <c r="E25" s="96">
        <v>4865926.9418352479</v>
      </c>
      <c r="F25" s="96">
        <v>0</v>
      </c>
      <c r="G25" s="96">
        <v>0</v>
      </c>
      <c r="H25" s="96">
        <v>0</v>
      </c>
    </row>
    <row r="26" spans="1:8" x14ac:dyDescent="0.25">
      <c r="A26" s="96" t="s">
        <v>100</v>
      </c>
      <c r="B26" s="96">
        <v>1</v>
      </c>
      <c r="C26" s="96">
        <v>200.69081349109999</v>
      </c>
      <c r="D26" s="96">
        <v>459.23708333330001</v>
      </c>
      <c r="E26" s="96">
        <v>3089173.5689832573</v>
      </c>
      <c r="F26" s="96">
        <v>0</v>
      </c>
      <c r="G26" s="96">
        <v>0</v>
      </c>
      <c r="H26" s="96">
        <v>0</v>
      </c>
    </row>
    <row r="27" spans="1:8" x14ac:dyDescent="0.25">
      <c r="A27" s="96" t="s">
        <v>221</v>
      </c>
      <c r="B27" s="96">
        <v>1</v>
      </c>
      <c r="C27" s="96">
        <v>1888.5</v>
      </c>
      <c r="D27" s="96">
        <v>9736.84</v>
      </c>
      <c r="E27" s="96">
        <v>23468686.842</v>
      </c>
      <c r="F27" s="96">
        <v>0</v>
      </c>
      <c r="G27" s="96">
        <v>0</v>
      </c>
      <c r="H27" s="96">
        <v>0</v>
      </c>
    </row>
    <row r="28" spans="1:8" x14ac:dyDescent="0.25">
      <c r="A28" s="96" t="s">
        <v>101</v>
      </c>
      <c r="B28" s="96">
        <v>1</v>
      </c>
      <c r="C28" s="96">
        <v>424.6578339939</v>
      </c>
      <c r="D28" s="96">
        <v>1810.8346354224</v>
      </c>
      <c r="E28" s="96">
        <v>8516814.03087065</v>
      </c>
      <c r="F28" s="96">
        <v>0</v>
      </c>
      <c r="G28" s="96">
        <v>0</v>
      </c>
      <c r="H28" s="96">
        <v>0</v>
      </c>
    </row>
    <row r="29" spans="1:8" x14ac:dyDescent="0.25">
      <c r="A29" s="96" t="s">
        <v>214</v>
      </c>
      <c r="B29" s="96">
        <v>1</v>
      </c>
      <c r="C29" s="96">
        <v>1351.4300000001001</v>
      </c>
      <c r="D29" s="96">
        <v>2346.2820833356</v>
      </c>
      <c r="E29" s="96">
        <v>17555809.912466466</v>
      </c>
      <c r="F29" s="96">
        <v>0</v>
      </c>
      <c r="G29" s="96">
        <v>0</v>
      </c>
      <c r="H29" s="96">
        <v>0</v>
      </c>
    </row>
    <row r="30" spans="1:8" x14ac:dyDescent="0.25">
      <c r="A30" s="96" t="s">
        <v>139</v>
      </c>
      <c r="B30" s="96">
        <v>1</v>
      </c>
      <c r="C30" s="96">
        <v>111.48898809560001</v>
      </c>
      <c r="D30" s="96">
        <v>371.92416667719999</v>
      </c>
      <c r="E30" s="96">
        <v>2098536.1960838647</v>
      </c>
      <c r="F30" s="96">
        <v>0</v>
      </c>
      <c r="G30" s="96">
        <v>0</v>
      </c>
      <c r="H30" s="96">
        <v>0</v>
      </c>
    </row>
    <row r="31" spans="1:8" x14ac:dyDescent="0.25">
      <c r="A31" s="96" t="s">
        <v>216</v>
      </c>
      <c r="B31" s="96">
        <v>1</v>
      </c>
      <c r="C31" s="96">
        <v>172.14345238000001</v>
      </c>
      <c r="D31" s="96">
        <v>351.31749999890002</v>
      </c>
      <c r="E31" s="96">
        <v>2883607.9842428509</v>
      </c>
      <c r="F31" s="96">
        <v>0</v>
      </c>
      <c r="G31" s="96">
        <v>0</v>
      </c>
      <c r="H31" s="96">
        <v>0</v>
      </c>
    </row>
    <row r="32" spans="1:8" x14ac:dyDescent="0.25">
      <c r="A32" s="96" t="s">
        <v>104</v>
      </c>
      <c r="B32" s="96">
        <v>1</v>
      </c>
      <c r="C32" s="96">
        <v>55.931944444599999</v>
      </c>
      <c r="D32" s="96">
        <v>392.40416666760001</v>
      </c>
      <c r="E32" s="96">
        <v>1626463.4655310514</v>
      </c>
      <c r="F32" s="96">
        <v>0</v>
      </c>
      <c r="G32" s="96">
        <v>0</v>
      </c>
      <c r="H32" s="96">
        <v>0</v>
      </c>
    </row>
    <row r="33" spans="1:8" x14ac:dyDescent="0.25">
      <c r="A33" s="96" t="s">
        <v>215</v>
      </c>
      <c r="B33" s="96">
        <v>1</v>
      </c>
      <c r="C33" s="96">
        <v>308.6682738092</v>
      </c>
      <c r="D33" s="96">
        <v>704.99600000179998</v>
      </c>
      <c r="E33" s="96">
        <v>4975553.6144345868</v>
      </c>
      <c r="F33" s="96">
        <v>0</v>
      </c>
      <c r="G33" s="96">
        <v>0</v>
      </c>
      <c r="H33" s="96">
        <v>0</v>
      </c>
    </row>
    <row r="34" spans="1:8" x14ac:dyDescent="0.25">
      <c r="A34" s="96" t="s">
        <v>231</v>
      </c>
      <c r="B34" s="96">
        <v>1</v>
      </c>
      <c r="C34" s="96">
        <v>25.288194444399998</v>
      </c>
      <c r="D34" s="96">
        <v>354.02</v>
      </c>
      <c r="E34" s="96">
        <v>715253.15687714703</v>
      </c>
      <c r="F34" s="96">
        <v>0</v>
      </c>
      <c r="G34" s="96">
        <v>0</v>
      </c>
      <c r="H34" s="96">
        <v>0</v>
      </c>
    </row>
    <row r="35" spans="1:8" x14ac:dyDescent="0.25">
      <c r="A35" s="96" t="s">
        <v>206</v>
      </c>
      <c r="B35" s="96">
        <v>1</v>
      </c>
      <c r="C35" s="96">
        <v>-25</v>
      </c>
      <c r="D35" s="96">
        <v>0</v>
      </c>
      <c r="E35" s="96">
        <v>-233849</v>
      </c>
      <c r="F35" s="96">
        <v>0</v>
      </c>
      <c r="G35" s="96">
        <v>0</v>
      </c>
      <c r="H35" s="96">
        <v>0</v>
      </c>
    </row>
    <row r="36" spans="1:8" x14ac:dyDescent="0.25">
      <c r="A36" s="96" t="s">
        <v>162</v>
      </c>
      <c r="B36" s="96">
        <v>1</v>
      </c>
      <c r="C36" s="96">
        <v>285.49811507840002</v>
      </c>
      <c r="D36" s="96">
        <v>1243.7466071438</v>
      </c>
      <c r="E36" s="96">
        <v>5822405.6030015703</v>
      </c>
      <c r="F36" s="96">
        <v>0</v>
      </c>
      <c r="G36" s="96">
        <v>0</v>
      </c>
      <c r="H36" s="96">
        <v>0</v>
      </c>
    </row>
    <row r="37" spans="1:8" x14ac:dyDescent="0.25">
      <c r="A37" s="96" t="s">
        <v>107</v>
      </c>
      <c r="B37" s="96">
        <v>1</v>
      </c>
      <c r="C37" s="96">
        <v>414.39123015899997</v>
      </c>
      <c r="D37" s="96">
        <v>2342.8888214259</v>
      </c>
      <c r="E37" s="96">
        <v>7342359.2744361712</v>
      </c>
      <c r="F37" s="96">
        <v>0</v>
      </c>
      <c r="G37" s="96">
        <v>0</v>
      </c>
      <c r="H37" s="96">
        <v>0</v>
      </c>
    </row>
    <row r="38" spans="1:8" x14ac:dyDescent="0.25">
      <c r="A38" s="96" t="s">
        <v>112</v>
      </c>
      <c r="B38" s="96">
        <v>1</v>
      </c>
      <c r="C38" s="96">
        <v>308.39242424230002</v>
      </c>
      <c r="D38" s="96">
        <v>3260.7299999989</v>
      </c>
      <c r="E38" s="96">
        <v>6663134.8062294191</v>
      </c>
      <c r="F38" s="96">
        <v>0</v>
      </c>
      <c r="G38" s="96">
        <v>0</v>
      </c>
      <c r="H38" s="96">
        <v>0</v>
      </c>
    </row>
    <row r="39" spans="1:8" x14ac:dyDescent="0.25">
      <c r="A39" s="96" t="s">
        <v>108</v>
      </c>
      <c r="B39" s="96">
        <v>1</v>
      </c>
      <c r="C39" s="96">
        <v>471.4166666667</v>
      </c>
      <c r="D39" s="96">
        <v>5734.2</v>
      </c>
      <c r="E39" s="96">
        <v>10196205.867152149</v>
      </c>
      <c r="F39" s="96">
        <v>0</v>
      </c>
      <c r="G39" s="96">
        <v>0</v>
      </c>
      <c r="H39" s="96">
        <v>0</v>
      </c>
    </row>
    <row r="40" spans="1:8" x14ac:dyDescent="0.25">
      <c r="A40" s="96" t="s">
        <v>109</v>
      </c>
      <c r="B40" s="96">
        <v>1</v>
      </c>
      <c r="C40" s="96">
        <v>757.61760582019997</v>
      </c>
      <c r="D40" s="96">
        <v>4224.4444986853996</v>
      </c>
      <c r="E40" s="96">
        <v>6909391.5039921645</v>
      </c>
      <c r="F40" s="96">
        <v>0</v>
      </c>
      <c r="G40" s="96">
        <v>0</v>
      </c>
      <c r="H40" s="96">
        <v>0</v>
      </c>
    </row>
    <row r="41" spans="1:8" x14ac:dyDescent="0.25">
      <c r="A41" s="96" t="s">
        <v>140</v>
      </c>
      <c r="B41" s="96">
        <v>1</v>
      </c>
      <c r="C41" s="96">
        <v>679.35634920610005</v>
      </c>
      <c r="D41" s="96">
        <v>4883.0241666669999</v>
      </c>
      <c r="E41" s="96">
        <v>8825883.2392010316</v>
      </c>
      <c r="F41" s="96">
        <v>0</v>
      </c>
      <c r="G41" s="96">
        <v>0</v>
      </c>
      <c r="H41" s="96">
        <v>0</v>
      </c>
    </row>
    <row r="42" spans="1:8" x14ac:dyDescent="0.25">
      <c r="A42" s="96" t="s">
        <v>217</v>
      </c>
      <c r="B42" s="96">
        <v>1</v>
      </c>
      <c r="C42" s="96">
        <v>32</v>
      </c>
      <c r="D42" s="96">
        <v>424.04</v>
      </c>
      <c r="E42" s="96">
        <v>746511.00490000006</v>
      </c>
      <c r="F42" s="96">
        <v>0</v>
      </c>
      <c r="G42" s="96">
        <v>0</v>
      </c>
      <c r="H42" s="96">
        <v>0</v>
      </c>
    </row>
    <row r="43" spans="1:8" x14ac:dyDescent="0.25">
      <c r="A43" s="96" t="s">
        <v>145</v>
      </c>
      <c r="B43" s="96">
        <v>1</v>
      </c>
      <c r="C43" s="96">
        <v>74.818551587300007</v>
      </c>
      <c r="D43" s="96">
        <v>229.00349106979999</v>
      </c>
      <c r="E43" s="96">
        <v>3760393.1741207056</v>
      </c>
      <c r="F43" s="96">
        <v>0</v>
      </c>
      <c r="G43" s="96">
        <v>0</v>
      </c>
      <c r="H43" s="96">
        <v>0</v>
      </c>
    </row>
    <row r="44" spans="1:8" x14ac:dyDescent="0.25">
      <c r="A44" s="96" t="s">
        <v>146</v>
      </c>
      <c r="B44" s="96">
        <v>1</v>
      </c>
      <c r="C44" s="96">
        <v>123.917063492</v>
      </c>
      <c r="D44" s="96">
        <v>1239.6349404736</v>
      </c>
      <c r="E44" s="96">
        <v>1913900.6624423866</v>
      </c>
      <c r="F44" s="96">
        <v>0</v>
      </c>
      <c r="G44" s="96">
        <v>0</v>
      </c>
      <c r="H44" s="96">
        <v>0</v>
      </c>
    </row>
    <row r="45" spans="1:8" x14ac:dyDescent="0.25">
      <c r="A45" s="96" t="s">
        <v>156</v>
      </c>
      <c r="B45" s="96">
        <v>1</v>
      </c>
      <c r="C45" s="96">
        <v>234.9175793654</v>
      </c>
      <c r="D45" s="96">
        <v>2276.0000000041</v>
      </c>
      <c r="E45" s="96">
        <v>4664188.216696891</v>
      </c>
      <c r="F45" s="96">
        <v>0</v>
      </c>
      <c r="G45" s="96">
        <v>0</v>
      </c>
      <c r="H45" s="96">
        <v>0</v>
      </c>
    </row>
    <row r="46" spans="1:8" x14ac:dyDescent="0.25">
      <c r="A46" s="96" t="s">
        <v>232</v>
      </c>
      <c r="B46" s="96">
        <v>1</v>
      </c>
      <c r="C46" s="96">
        <v>321.875</v>
      </c>
      <c r="D46" s="96">
        <v>-24.9999999996</v>
      </c>
      <c r="E46" s="96">
        <v>1599703.2523960921</v>
      </c>
      <c r="F46" s="96">
        <v>0</v>
      </c>
      <c r="G46" s="96">
        <v>0</v>
      </c>
      <c r="H46" s="9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12202147.531287048</v>
      </c>
      <c r="E2" s="59">
        <v>10180781.322442733</v>
      </c>
      <c r="F2" s="59">
        <f t="shared" ref="F2:F9" si="0">+D2-E2</f>
        <v>2021366.2088443153</v>
      </c>
      <c r="G2" s="60">
        <f t="shared" ref="G2:G41" si="1">+D2/C2</f>
        <v>0.3780203401737795</v>
      </c>
      <c r="H2" s="59">
        <f>+D2/$N$3*$N$4</f>
        <v>58570308.150177836</v>
      </c>
      <c r="I2" s="60">
        <f t="shared" ref="I2:I41" si="2">+H2/C2</f>
        <v>1.8144976328341418</v>
      </c>
      <c r="J2" s="59">
        <f>+D2/$N$3</f>
        <v>2440429.5062574097</v>
      </c>
      <c r="K2" s="59">
        <f t="shared" ref="K2:K41" si="3">+(C2-D2)/$N$2</f>
        <v>1056680.4793138793</v>
      </c>
      <c r="L2" s="61" cm="1">
        <f t="array" ref="L2">+_xlfn.IFS(I2&gt;114%,H2*0.02,I2&gt;109%,H2*0.015,I2&gt;104%,H2*0.0125,I2&gt;99%,H2*0.01,I2&lt;99%,H2*0)</f>
        <v>1171406.1630035567</v>
      </c>
      <c r="M2" s="53" t="s">
        <v>36</v>
      </c>
      <c r="N2">
        <v>19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9288875.7683896385</v>
      </c>
      <c r="E3" s="4">
        <v>6362623.1530077159</v>
      </c>
      <c r="F3" s="4">
        <f t="shared" si="0"/>
        <v>2926252.6153819226</v>
      </c>
      <c r="G3" s="5">
        <f t="shared" si="1"/>
        <v>0.29980819360899963</v>
      </c>
      <c r="H3" s="4">
        <f t="shared" ref="H3:H41" si="4">+D3/$N$3*$N$4</f>
        <v>44586603.688270271</v>
      </c>
      <c r="I3" s="5">
        <f t="shared" si="2"/>
        <v>1.4390793293231983</v>
      </c>
      <c r="J3" s="4">
        <f t="shared" ref="J3:J41" si="5">+D3/$N$3</f>
        <v>1857775.1536779278</v>
      </c>
      <c r="K3" s="4">
        <f t="shared" si="3"/>
        <v>1141781.7058154535</v>
      </c>
      <c r="L3" s="63" cm="1">
        <f t="array" ref="L3">+_xlfn.IFS(I3&gt;114%,H3*0.02,I3&gt;109%,H3*0.015,I3&gt;104%,H3*0.0125,I3&gt;99%,H3*0.01,I3&lt;99%,H3*0)</f>
        <v>891732.07376540545</v>
      </c>
      <c r="M3" s="53" t="s">
        <v>40</v>
      </c>
      <c r="N3">
        <f>N4-N2</f>
        <v>5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6197917.8190731332</v>
      </c>
      <c r="E4" s="4">
        <v>4655359.4802594241</v>
      </c>
      <c r="F4" s="4">
        <f t="shared" si="0"/>
        <v>1542558.3388137091</v>
      </c>
      <c r="G4" s="5">
        <f t="shared" si="1"/>
        <v>0.21831317346146409</v>
      </c>
      <c r="H4" s="4">
        <f t="shared" si="4"/>
        <v>29750005.531551037</v>
      </c>
      <c r="I4" s="5">
        <f t="shared" si="2"/>
        <v>1.0479032326150275</v>
      </c>
      <c r="J4" s="4">
        <f t="shared" si="5"/>
        <v>1239583.5638146265</v>
      </c>
      <c r="K4" s="4">
        <f t="shared" si="3"/>
        <v>1168005.970582901</v>
      </c>
      <c r="L4" s="63" cm="1">
        <f t="array" ref="L4">+_xlfn.IFS(I4&gt;114%,H4*0.02,I4&gt;109%,H4*0.015,I4&gt;104%,H4*0.0125,I4&gt;99%,H4*0.01,I4&lt;99%,H4*0)</f>
        <v>371875.06914438796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6622431.8650625329</v>
      </c>
      <c r="E5" s="4">
        <v>5672001.5032034451</v>
      </c>
      <c r="F5" s="4">
        <f t="shared" si="0"/>
        <v>950430.36185908783</v>
      </c>
      <c r="G5" s="5">
        <f t="shared" si="1"/>
        <v>0.23326609979322546</v>
      </c>
      <c r="H5" s="4">
        <f t="shared" si="4"/>
        <v>31787672.952300161</v>
      </c>
      <c r="I5" s="5">
        <f t="shared" si="2"/>
        <v>1.1196772790074823</v>
      </c>
      <c r="J5" s="4">
        <f t="shared" si="5"/>
        <v>1324486.3730125066</v>
      </c>
      <c r="K5" s="4">
        <f t="shared" si="3"/>
        <v>1145663.1260571433</v>
      </c>
      <c r="L5" s="63" cm="1">
        <f t="array" ref="L5">+_xlfn.IFS(I5&gt;114%,H5*0.02,I5&gt;109%,H5*0.015,I5&gt;104%,H5*0.0125,I5&gt;99%,H5*0.01,I5&lt;99%,H5*0)</f>
        <v>476815.09428450238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6404448.8053096188</v>
      </c>
      <c r="E6" s="4">
        <v>5810906.7980635744</v>
      </c>
      <c r="F6" s="4">
        <f t="shared" si="0"/>
        <v>593542.00724604446</v>
      </c>
      <c r="G6" s="5">
        <f t="shared" si="1"/>
        <v>0.27219702432644627</v>
      </c>
      <c r="H6" s="4">
        <f t="shared" si="4"/>
        <v>30741354.265486173</v>
      </c>
      <c r="I6" s="5">
        <f t="shared" si="2"/>
        <v>1.3065457167669423</v>
      </c>
      <c r="J6" s="4">
        <f t="shared" si="5"/>
        <v>1280889.7610619238</v>
      </c>
      <c r="K6" s="4">
        <f t="shared" si="3"/>
        <v>901277.67011634237</v>
      </c>
      <c r="L6" s="63" cm="1">
        <f t="array" ref="L6">+_xlfn.IFS(I6&gt;114%,H6*0.02,I6&gt;109%,H6*0.015,I6&gt;104%,H6*0.0125,I6&gt;99%,H6*0.01,I6&lt;99%,H6*0)</f>
        <v>614827.08530972351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3586477.5079781078</v>
      </c>
      <c r="E7" s="4">
        <v>2938195.7767915935</v>
      </c>
      <c r="F7" s="4">
        <f t="shared" ref="F7:F8" si="6">+D7-E7</f>
        <v>648281.73118651425</v>
      </c>
      <c r="G7" s="5">
        <f t="shared" si="1"/>
        <v>0.12928036879577476</v>
      </c>
      <c r="H7" s="4">
        <f t="shared" si="4"/>
        <v>17215092.038294919</v>
      </c>
      <c r="I7" s="5">
        <f t="shared" si="2"/>
        <v>0.62054577021971891</v>
      </c>
      <c r="J7" s="4">
        <f t="shared" si="5"/>
        <v>717295.50159562158</v>
      </c>
      <c r="K7" s="4">
        <f t="shared" si="3"/>
        <v>1271335.7643413893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8068882.1386908181</v>
      </c>
      <c r="E8" s="4">
        <v>6168952.3513542237</v>
      </c>
      <c r="F8" s="4">
        <f t="shared" si="6"/>
        <v>1899929.7873365944</v>
      </c>
      <c r="G8" s="5">
        <f t="shared" si="1"/>
        <v>0.22519232106693524</v>
      </c>
      <c r="H8" s="4">
        <f t="shared" si="4"/>
        <v>38730634.265715927</v>
      </c>
      <c r="I8" s="5">
        <f t="shared" si="2"/>
        <v>1.0809231411212892</v>
      </c>
      <c r="J8" s="4">
        <f t="shared" si="5"/>
        <v>1613776.4277381636</v>
      </c>
      <c r="K8" s="4">
        <f t="shared" si="3"/>
        <v>1461167.8567487835</v>
      </c>
      <c r="L8" s="63" cm="1">
        <f t="array" ref="L8">+_xlfn.IFS(I8&gt;114%,H8*0.02,I8&gt;109%,H8*0.015,I8&gt;104%,H8*0.0125,I8&gt;99%,H8*0.01,I8&lt;99%,H8*0)</f>
        <v>484132.92832144909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7971555.33420307</v>
      </c>
      <c r="E9" s="4">
        <v>6899879.8473196756</v>
      </c>
      <c r="F9" s="4">
        <f t="shared" si="0"/>
        <v>1071675.4868833944</v>
      </c>
      <c r="G9" s="5">
        <f t="shared" si="1"/>
        <v>0.22247605273782814</v>
      </c>
      <c r="H9" s="4">
        <f t="shared" si="4"/>
        <v>38263465.604174733</v>
      </c>
      <c r="I9" s="5">
        <f t="shared" si="2"/>
        <v>1.0678850531415751</v>
      </c>
      <c r="J9" s="4">
        <f t="shared" si="5"/>
        <v>1594311.066840614</v>
      </c>
      <c r="K9" s="4">
        <f t="shared" si="3"/>
        <v>1466290.3201428754</v>
      </c>
      <c r="L9" s="63" cm="1">
        <f t="array" ref="L9">+_xlfn.IFS(I9&gt;114%,H9*0.02,I9&gt;109%,H9*0.015,I9&gt;104%,H9*0.0125,I9&gt;99%,H9*0.01,I9&lt;99%,H9*0)</f>
        <v>478293.32005218416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60342736.769993968</v>
      </c>
      <c r="E10" s="65">
        <v>48688700.232442394</v>
      </c>
      <c r="F10" s="64">
        <f>+SUM(F2:F9)</f>
        <v>11654036.537551582</v>
      </c>
      <c r="G10" s="66">
        <f t="shared" si="1"/>
        <v>0.2483499872890047</v>
      </c>
      <c r="H10" s="64">
        <f t="shared" si="4"/>
        <v>289645136.49597102</v>
      </c>
      <c r="I10" s="66">
        <f t="shared" si="2"/>
        <v>1.1920799389872223</v>
      </c>
      <c r="J10" s="64">
        <f t="shared" si="5"/>
        <v>12068547.353998793</v>
      </c>
      <c r="K10" s="67">
        <f t="shared" si="3"/>
        <v>9612202.8931187652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25307057.946538661</v>
      </c>
      <c r="E11" s="59">
        <v>21714287.032106198</v>
      </c>
      <c r="F11" s="59">
        <f t="shared" ref="F11:F16" si="7">+D11-E11</f>
        <v>3592770.9144324623</v>
      </c>
      <c r="G11" s="60">
        <f t="shared" si="1"/>
        <v>0.26097297562008082</v>
      </c>
      <c r="H11" s="59">
        <f t="shared" si="4"/>
        <v>121473878.14338556</v>
      </c>
      <c r="I11" s="60">
        <f t="shared" si="2"/>
        <v>1.2526702829763878</v>
      </c>
      <c r="J11" s="59">
        <f t="shared" si="5"/>
        <v>5061411.5893077319</v>
      </c>
      <c r="K11" s="59">
        <f t="shared" si="3"/>
        <v>3771836.3438736238</v>
      </c>
      <c r="L11" s="61" cm="1">
        <f t="array" ref="L11">+_xlfn.IFS(I11&gt;114%,H11*0.0125,I11&gt;109%,H11*0.01,I11&gt;104%,H11*0.0075,I11&gt;99%,H11*0.005,I11&lt;99%,H11*0)</f>
        <v>1518423.4767923197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7342359.2744361712</v>
      </c>
      <c r="E12" s="4">
        <v>7342359.2744361712</v>
      </c>
      <c r="F12" s="4">
        <f t="shared" si="7"/>
        <v>0</v>
      </c>
      <c r="G12" s="5">
        <f t="shared" si="1"/>
        <v>0.23212613979826088</v>
      </c>
      <c r="H12" s="4">
        <f t="shared" si="4"/>
        <v>35243324.517293625</v>
      </c>
      <c r="I12" s="5">
        <f t="shared" si="2"/>
        <v>1.1142054710316522</v>
      </c>
      <c r="J12" s="4">
        <f t="shared" si="5"/>
        <v>1468471.8548872343</v>
      </c>
      <c r="K12" s="4">
        <f t="shared" si="3"/>
        <v>1278344.3754805701</v>
      </c>
      <c r="L12" s="63" cm="1">
        <f t="array" ref="L12">+_xlfn.IFS(I12&gt;114%,H12*0.02,I12&gt;109%,H12*0.015,I12&gt;104%,H12*0.0125,I12&gt;99%,H12*0.01,I12&lt;99%,H12*0)</f>
        <v>528649.86775940435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39689592.681744099</v>
      </c>
      <c r="E13" s="4">
        <v>38609317.055148289</v>
      </c>
      <c r="F13" s="4">
        <f t="shared" si="7"/>
        <v>1080275.6265958101</v>
      </c>
      <c r="G13" s="5">
        <f t="shared" si="1"/>
        <v>0.30919586980090541</v>
      </c>
      <c r="H13" s="4">
        <f t="shared" si="4"/>
        <v>190510044.87237167</v>
      </c>
      <c r="I13" s="5">
        <f t="shared" si="2"/>
        <v>1.4841401750443461</v>
      </c>
      <c r="J13" s="4">
        <f t="shared" si="5"/>
        <v>7937918.5363488197</v>
      </c>
      <c r="K13" s="4">
        <f t="shared" si="3"/>
        <v>4667069.6522568883</v>
      </c>
      <c r="L13" s="63" cm="1">
        <f t="array" ref="L13">+_xlfn.IFS(I13&gt;114%,H13*0.0125,I13&gt;109%,H13*0.01,I13&gt;104%,H13*0.0075,I13&gt;99%,H13*0.005,I13&lt;99%,H13*0)</f>
        <v>2381375.5609046458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6663134.8062294191</v>
      </c>
      <c r="E14" s="4">
        <v>5554944.6639294196</v>
      </c>
      <c r="F14" s="4">
        <f t="shared" si="7"/>
        <v>1108190.1422999995</v>
      </c>
      <c r="G14" s="5">
        <f t="shared" si="1"/>
        <v>0.15696779186946522</v>
      </c>
      <c r="H14" s="4">
        <f t="shared" si="4"/>
        <v>31983047.069901209</v>
      </c>
      <c r="I14" s="5">
        <f t="shared" si="2"/>
        <v>0.75344540097343304</v>
      </c>
      <c r="J14" s="4">
        <f t="shared" si="5"/>
        <v>1332626.9612458837</v>
      </c>
      <c r="K14" s="4">
        <f t="shared" si="3"/>
        <v>1883469.6099339779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10196205.867152149</v>
      </c>
      <c r="E15" s="4">
        <v>8252554.4917521486</v>
      </c>
      <c r="F15" s="4">
        <f t="shared" si="7"/>
        <v>1943651.3754000003</v>
      </c>
      <c r="G15" s="5">
        <f t="shared" si="1"/>
        <v>0.24019864027320303</v>
      </c>
      <c r="H15" s="4">
        <f t="shared" si="4"/>
        <v>48941788.162330315</v>
      </c>
      <c r="I15" s="5">
        <f t="shared" si="2"/>
        <v>1.1529534733113747</v>
      </c>
      <c r="J15" s="4">
        <f t="shared" si="5"/>
        <v>2039241.1734304298</v>
      </c>
      <c r="K15" s="4">
        <f t="shared" si="3"/>
        <v>1697518.5014643606</v>
      </c>
      <c r="L15" s="63" cm="1">
        <f t="array" ref="L15">+_xlfn.IFS(I15&gt;109%,H15*0.015,I15&gt;104%,H15*0.0125,I15&gt;99%,H15*0.01,I15&lt;99%,H15*0)</f>
        <v>734126.82243495469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89198350.576100498</v>
      </c>
      <c r="E16" s="65">
        <v>81473462.517372221</v>
      </c>
      <c r="F16" s="64">
        <f t="shared" si="7"/>
        <v>7724888.0587282777</v>
      </c>
      <c r="G16" s="66">
        <f t="shared" si="1"/>
        <v>0.26091697432810329</v>
      </c>
      <c r="H16" s="64">
        <f t="shared" si="4"/>
        <v>428152082.76528239</v>
      </c>
      <c r="I16" s="66">
        <f t="shared" si="2"/>
        <v>1.2524014767748959</v>
      </c>
      <c r="J16" s="64">
        <f t="shared" si="5"/>
        <v>17839670.1152201</v>
      </c>
      <c r="K16" s="67">
        <f t="shared" si="3"/>
        <v>13298238.483009422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4842984.6712837927</v>
      </c>
      <c r="E17" s="59">
        <v>3831780.4656781647</v>
      </c>
      <c r="F17" s="59">
        <f t="shared" ref="F17:F40" si="8">+D17-E17</f>
        <v>1011204.205605628</v>
      </c>
      <c r="G17" s="60">
        <f t="shared" si="1"/>
        <v>0.1650753861222426</v>
      </c>
      <c r="H17" s="59">
        <f t="shared" si="4"/>
        <v>23246326.422162205</v>
      </c>
      <c r="I17" s="60">
        <f t="shared" si="2"/>
        <v>0.79236185338676446</v>
      </c>
      <c r="J17" s="59">
        <f t="shared" si="5"/>
        <v>968596.93425675854</v>
      </c>
      <c r="K17" s="59">
        <f t="shared" si="3"/>
        <v>1289212.2874324322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4538116.0675083203</v>
      </c>
      <c r="E18" s="4">
        <v>3383340.6159000443</v>
      </c>
      <c r="F18" s="4">
        <f t="shared" si="8"/>
        <v>1154775.451608276</v>
      </c>
      <c r="G18" s="5">
        <f t="shared" si="1"/>
        <v>0.18181914680884448</v>
      </c>
      <c r="H18" s="4">
        <f t="shared" si="4"/>
        <v>21782957.124039941</v>
      </c>
      <c r="I18" s="5">
        <f t="shared" si="2"/>
        <v>0.87273190468245365</v>
      </c>
      <c r="J18" s="4">
        <f t="shared" si="5"/>
        <v>907623.21350166411</v>
      </c>
      <c r="K18" s="4">
        <f t="shared" si="3"/>
        <v>1074809.9911837727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5255755.4759214995</v>
      </c>
      <c r="E19" s="4">
        <v>4172472.7522102422</v>
      </c>
      <c r="F19" s="4">
        <f t="shared" si="8"/>
        <v>1083282.7237112573</v>
      </c>
      <c r="G19" s="5">
        <f t="shared" si="1"/>
        <v>0.20326513458940426</v>
      </c>
      <c r="H19" s="4">
        <f t="shared" si="4"/>
        <v>25227626.284423195</v>
      </c>
      <c r="I19" s="5">
        <f t="shared" si="2"/>
        <v>0.97567264602914039</v>
      </c>
      <c r="J19" s="4">
        <f t="shared" si="5"/>
        <v>1051151.0951842999</v>
      </c>
      <c r="K19" s="4">
        <f t="shared" si="3"/>
        <v>1084257.6152409737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9037854.5756811257</v>
      </c>
      <c r="E20" s="4">
        <v>8068602.606727235</v>
      </c>
      <c r="F20" s="4">
        <f t="shared" si="8"/>
        <v>969251.96895389073</v>
      </c>
      <c r="G20" s="5">
        <f t="shared" si="1"/>
        <v>0.2693996528474501</v>
      </c>
      <c r="H20" s="4">
        <f t="shared" si="4"/>
        <v>43381701.963269398</v>
      </c>
      <c r="I20" s="5">
        <f t="shared" si="2"/>
        <v>1.2931183336677603</v>
      </c>
      <c r="J20" s="4">
        <f t="shared" si="5"/>
        <v>1807570.9151362251</v>
      </c>
      <c r="K20" s="4">
        <f t="shared" si="3"/>
        <v>1290014.4960167827</v>
      </c>
      <c r="L20" s="63" cm="1">
        <f t="array" ref="L20">+_xlfn.IFS(I20&gt;114%,H20*0.02,I20&gt;109%,H20*0.015,I20&gt;104%,H20*0.0125,I20&gt;99%,H20*0.01,I20&lt;99%,H20*0)</f>
        <v>867634.03926538792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5595341.8938343767</v>
      </c>
      <c r="E21" s="4">
        <v>4521737.6382463202</v>
      </c>
      <c r="F21" s="4">
        <f t="shared" ref="F21:F23" si="9">+D21-E21</f>
        <v>1073604.2555880565</v>
      </c>
      <c r="G21" s="5">
        <f t="shared" si="1"/>
        <v>0.2197827718053561</v>
      </c>
      <c r="H21" s="4">
        <f t="shared" si="4"/>
        <v>26857641.090405006</v>
      </c>
      <c r="I21" s="5">
        <f t="shared" si="2"/>
        <v>1.0549573046657093</v>
      </c>
      <c r="J21" s="4">
        <f t="shared" si="5"/>
        <v>1119068.3787668752</v>
      </c>
      <c r="K21" s="4">
        <f t="shared" si="3"/>
        <v>1045429.9003245066</v>
      </c>
      <c r="L21" s="63" cm="1">
        <f t="array" ref="L21">+_xlfn.IFS(I21&gt;114%,H21*0.02,I21&gt;109%,H21*0.015,I21&gt;104%,H21*0.0125,I21&gt;99%,H21*0.01,I21&lt;99%,H21*0)</f>
        <v>335720.51363006257</v>
      </c>
    </row>
    <row r="22" spans="1:13" ht="15.75" x14ac:dyDescent="0.25">
      <c r="A22" s="91"/>
      <c r="B22" s="19" t="s">
        <v>101</v>
      </c>
      <c r="C22" s="71">
        <v>31742890.200000003</v>
      </c>
      <c r="D22" s="4">
        <f>IFERROR(+VLOOKUP(B22,COMISIONES!A:E,5,FALSE),"0")*1</f>
        <v>8516814.03087065</v>
      </c>
      <c r="E22" s="4">
        <v>6604601.1312453747</v>
      </c>
      <c r="F22" s="4">
        <f t="shared" si="9"/>
        <v>1912212.8996252753</v>
      </c>
      <c r="G22" s="5">
        <f t="shared" si="1"/>
        <v>0.26830619320450694</v>
      </c>
      <c r="H22" s="4">
        <f t="shared" si="4"/>
        <v>40880707.348179117</v>
      </c>
      <c r="I22" s="5">
        <f t="shared" si="2"/>
        <v>1.2878697273816331</v>
      </c>
      <c r="J22" s="4">
        <f t="shared" si="5"/>
        <v>1703362.8061741299</v>
      </c>
      <c r="K22" s="4">
        <f t="shared" si="3"/>
        <v>1222425.061533124</v>
      </c>
      <c r="L22" s="63" cm="1">
        <f t="array" ref="L22">+_xlfn.IFS(I22&gt;114%,H22*0.02,I22&gt;109%,H22*0.015,I22&gt;104%,H22*0.0125,I22&gt;99%,H22*0.01,I22&lt;99%,H22*0)</f>
        <v>817614.14696358237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5822405.6030015703</v>
      </c>
      <c r="E23" s="4">
        <v>5027241.122842595</v>
      </c>
      <c r="F23" s="4">
        <f t="shared" si="9"/>
        <v>795164.48015897535</v>
      </c>
      <c r="G23" s="5">
        <f t="shared" si="1"/>
        <v>0.21221814455355015</v>
      </c>
      <c r="H23" s="4">
        <f t="shared" si="4"/>
        <v>27947546.894407541</v>
      </c>
      <c r="I23" s="5">
        <f t="shared" si="2"/>
        <v>1.0186470938570409</v>
      </c>
      <c r="J23" s="4">
        <f t="shared" si="5"/>
        <v>1164481.1206003141</v>
      </c>
      <c r="K23" s="4">
        <f t="shared" si="3"/>
        <v>1137554.7698420228</v>
      </c>
      <c r="L23" s="63" cm="1">
        <f t="array" ref="L23">+_xlfn.IFS(I23&gt;114%,H23*0.02,I23&gt;109%,H23*0.015,I23&gt;104%,H23*0.0125,I23&gt;99%,H23*0.01,I23&lt;99%,H23*0)</f>
        <v>279475.4689440754</v>
      </c>
    </row>
    <row r="24" spans="1:13" ht="15.75" x14ac:dyDescent="0.25">
      <c r="A24" s="91"/>
      <c r="B24" s="19" t="s">
        <v>109</v>
      </c>
      <c r="C24" s="71">
        <v>33494055</v>
      </c>
      <c r="D24" s="4">
        <f>IFERROR(+VLOOKUP(B24,COMISIONES!A:E,5,FALSE),"0")*1</f>
        <v>6909391.5039921645</v>
      </c>
      <c r="E24" s="4">
        <v>4507114.506957056</v>
      </c>
      <c r="F24" s="4">
        <f t="shared" si="8"/>
        <v>2402276.9970351085</v>
      </c>
      <c r="G24" s="5">
        <f t="shared" si="1"/>
        <v>0.20628710091961586</v>
      </c>
      <c r="H24" s="4">
        <f t="shared" si="4"/>
        <v>33165079.21916239</v>
      </c>
      <c r="I24" s="5">
        <f t="shared" si="2"/>
        <v>0.99017808441415622</v>
      </c>
      <c r="J24" s="4">
        <f t="shared" si="5"/>
        <v>1381878.3007984329</v>
      </c>
      <c r="K24" s="4">
        <f t="shared" si="3"/>
        <v>1399192.8155793599</v>
      </c>
      <c r="L24" s="63" cm="1">
        <f t="array" ref="L24">+_xlfn.IFS(I24&gt;114%,H24*0.02,I24&gt;109%,H24*0.015,I24&gt;104%,H24*0.0125,I24&gt;99%,H24*0.01,I24&lt;99%,H24*0)</f>
        <v>331650.79219162388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8825883.2392010316</v>
      </c>
      <c r="E25" s="4">
        <v>7398936.6723073218</v>
      </c>
      <c r="F25" s="4">
        <f t="shared" si="8"/>
        <v>1426946.5668937098</v>
      </c>
      <c r="G25" s="5">
        <f t="shared" si="1"/>
        <v>0.16324592497544999</v>
      </c>
      <c r="H25" s="4">
        <f t="shared" si="4"/>
        <v>42364239.548164949</v>
      </c>
      <c r="I25" s="5">
        <f t="shared" si="2"/>
        <v>0.78358043988215986</v>
      </c>
      <c r="J25" s="4">
        <f t="shared" si="5"/>
        <v>1765176.6478402063</v>
      </c>
      <c r="K25" s="4">
        <f t="shared" si="3"/>
        <v>2381003.6645157356</v>
      </c>
      <c r="L25" s="63" cm="1">
        <f t="array" ref="L25">+_xlfn.IFS(I25&gt;109%,H25*0.015,I25&gt;104%,H25*0.0125,I25&gt;99%,H25*0.01,I25&lt;99%,H25*0)</f>
        <v>0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59344547.061294533</v>
      </c>
      <c r="E26" s="65">
        <v>47515827.512114353</v>
      </c>
      <c r="F26" s="67">
        <f>+D26-E26</f>
        <v>11828719.54918018</v>
      </c>
      <c r="G26" s="66">
        <f t="shared" si="1"/>
        <v>0.20757196754299401</v>
      </c>
      <c r="H26" s="64">
        <f t="shared" si="4"/>
        <v>284853825.89421374</v>
      </c>
      <c r="I26" s="66">
        <f t="shared" si="2"/>
        <v>0.99634544420637117</v>
      </c>
      <c r="J26" s="64">
        <f t="shared" si="5"/>
        <v>11868909.412258906</v>
      </c>
      <c r="K26" s="67">
        <f t="shared" si="3"/>
        <v>11923900.60166871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17555809.912466466</v>
      </c>
      <c r="E27" s="59">
        <v>14993819.966923174</v>
      </c>
      <c r="F27" s="59">
        <f t="shared" si="8"/>
        <v>2561989.9455432929</v>
      </c>
      <c r="G27" s="60">
        <f t="shared" si="1"/>
        <v>0.21415348213558646</v>
      </c>
      <c r="H27" s="59">
        <f t="shared" si="4"/>
        <v>84267887.579839051</v>
      </c>
      <c r="I27" s="60">
        <f t="shared" si="2"/>
        <v>1.0279367142508151</v>
      </c>
      <c r="J27" s="59">
        <f t="shared" si="5"/>
        <v>3511161.9824932935</v>
      </c>
      <c r="K27" s="59">
        <f t="shared" si="3"/>
        <v>3390625.7940807124</v>
      </c>
      <c r="L27" s="61" cm="1">
        <f t="array" ref="L27">+_xlfn.IFS(I27&gt;114%,H27*0.0125,I27&gt;109%,H27*0.01,I27&gt;104%,H27*0.0075,I27&gt;99%,H27*0.005,I27&lt;99%,H27*0)</f>
        <v>421339.43789919524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2883607.9842428509</v>
      </c>
      <c r="E28" s="4">
        <v>2246997.9859188953</v>
      </c>
      <c r="F28" s="4">
        <f t="shared" si="8"/>
        <v>636609.99832395557</v>
      </c>
      <c r="G28" s="5">
        <f t="shared" si="1"/>
        <v>0.13731466591632624</v>
      </c>
      <c r="H28" s="4">
        <f t="shared" si="4"/>
        <v>13841318.324365683</v>
      </c>
      <c r="I28" s="5">
        <f t="shared" si="2"/>
        <v>0.65911039639836588</v>
      </c>
      <c r="J28" s="4">
        <f t="shared" si="5"/>
        <v>576721.59684857016</v>
      </c>
      <c r="K28" s="4">
        <f t="shared" si="3"/>
        <v>953494.31661879737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3996158.8131728824</v>
      </c>
      <c r="E29" s="4">
        <v>2863924.6281832345</v>
      </c>
      <c r="F29" s="4">
        <f t="shared" si="8"/>
        <v>1132234.1849896479</v>
      </c>
      <c r="G29" s="5">
        <f t="shared" si="1"/>
        <v>0.15525273461512304</v>
      </c>
      <c r="H29" s="4">
        <f t="shared" si="4"/>
        <v>19181562.303229839</v>
      </c>
      <c r="I29" s="5">
        <f t="shared" si="2"/>
        <v>0.74521312615259072</v>
      </c>
      <c r="J29" s="4">
        <f t="shared" si="5"/>
        <v>799231.76263457653</v>
      </c>
      <c r="K29" s="4">
        <f t="shared" si="3"/>
        <v>1144396.9045698482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4975553.6144345868</v>
      </c>
      <c r="E30" s="4">
        <v>4669958.7290065279</v>
      </c>
      <c r="F30" s="4">
        <f t="shared" si="8"/>
        <v>305594.88542805891</v>
      </c>
      <c r="G30" s="5">
        <f t="shared" si="1"/>
        <v>0.13013697386454762</v>
      </c>
      <c r="H30" s="4">
        <f t="shared" si="4"/>
        <v>23882657.34928602</v>
      </c>
      <c r="I30" s="5">
        <f t="shared" si="2"/>
        <v>0.62465747454982867</v>
      </c>
      <c r="J30" s="4">
        <f t="shared" si="5"/>
        <v>995110.72288691741</v>
      </c>
      <c r="K30" s="4">
        <f t="shared" si="3"/>
        <v>1750402.710404794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4865926.9418352479</v>
      </c>
      <c r="E31" s="4">
        <v>4425690.3579718489</v>
      </c>
      <c r="F31" s="4">
        <f t="shared" si="8"/>
        <v>440236.58386339899</v>
      </c>
      <c r="G31" s="5">
        <f t="shared" si="1"/>
        <v>0.19145697728077624</v>
      </c>
      <c r="H31" s="4">
        <f t="shared" si="4"/>
        <v>23356449.320809193</v>
      </c>
      <c r="I31" s="5">
        <f t="shared" si="2"/>
        <v>0.91899349094772598</v>
      </c>
      <c r="J31" s="4">
        <f t="shared" si="5"/>
        <v>973185.38836704963</v>
      </c>
      <c r="K31" s="4">
        <f t="shared" si="3"/>
        <v>1081543.3188507764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2958594.3353685732</v>
      </c>
      <c r="E32" s="4">
        <v>2292259.0263364343</v>
      </c>
      <c r="F32" s="4">
        <f t="shared" si="8"/>
        <v>666335.3090321389</v>
      </c>
      <c r="G32" s="5">
        <f t="shared" si="1"/>
        <v>0.11740453711780052</v>
      </c>
      <c r="H32" s="4">
        <f t="shared" si="4"/>
        <v>14201252.80976915</v>
      </c>
      <c r="I32" s="5">
        <f t="shared" si="2"/>
        <v>0.56354177816544249</v>
      </c>
      <c r="J32" s="4">
        <f t="shared" si="5"/>
        <v>591718.86707371462</v>
      </c>
      <c r="K32" s="4">
        <f t="shared" si="3"/>
        <v>1170600.2981384962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3089173.5689832573</v>
      </c>
      <c r="E33" s="4">
        <v>2299134.4748592312</v>
      </c>
      <c r="F33" s="4">
        <f t="shared" si="8"/>
        <v>790039.09412402613</v>
      </c>
      <c r="G33" s="5">
        <f t="shared" si="1"/>
        <v>0.1165868859004692</v>
      </c>
      <c r="H33" s="4">
        <f t="shared" si="4"/>
        <v>14828033.131119635</v>
      </c>
      <c r="I33" s="5">
        <f t="shared" si="2"/>
        <v>0.55961705232225212</v>
      </c>
      <c r="J33" s="4">
        <f t="shared" si="5"/>
        <v>617834.71379665146</v>
      </c>
      <c r="K33" s="4">
        <f t="shared" si="3"/>
        <v>1231977.706895618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2098536.1960838647</v>
      </c>
      <c r="E34" s="4">
        <v>1808557.8257932956</v>
      </c>
      <c r="F34" s="4">
        <f t="shared" si="8"/>
        <v>289978.37029056903</v>
      </c>
      <c r="G34" s="5">
        <f t="shared" si="1"/>
        <v>9.9930295051612605E-2</v>
      </c>
      <c r="H34" s="4">
        <f t="shared" si="4"/>
        <v>10072973.741202552</v>
      </c>
      <c r="I34" s="5">
        <f t="shared" si="2"/>
        <v>0.47966541624774056</v>
      </c>
      <c r="J34" s="4">
        <f t="shared" si="5"/>
        <v>419707.23921677296</v>
      </c>
      <c r="K34" s="4">
        <f t="shared" si="3"/>
        <v>994813.88441663864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1626463.4655310514</v>
      </c>
      <c r="E35" s="4">
        <v>1134886.8601273343</v>
      </c>
      <c r="F35" s="4">
        <f t="shared" si="8"/>
        <v>491576.60540371714</v>
      </c>
      <c r="G35" s="5">
        <f t="shared" si="1"/>
        <v>6.5960348506016314E-2</v>
      </c>
      <c r="H35" s="4">
        <f t="shared" si="4"/>
        <v>7807024.6345490459</v>
      </c>
      <c r="I35" s="5">
        <f t="shared" si="2"/>
        <v>0.31660967282887825</v>
      </c>
      <c r="J35" s="4">
        <f t="shared" si="5"/>
        <v>325292.69310621027</v>
      </c>
      <c r="K35" s="4">
        <f t="shared" si="3"/>
        <v>1212196.659708892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3109025.2196221473</v>
      </c>
      <c r="E36" s="4">
        <v>2633216.6305364068</v>
      </c>
      <c r="F36" s="4">
        <f t="shared" si="8"/>
        <v>475808.5890857405</v>
      </c>
      <c r="G36" s="5">
        <f t="shared" si="1"/>
        <v>0.12320290151068544</v>
      </c>
      <c r="H36" s="4">
        <f t="shared" si="4"/>
        <v>14923321.054186307</v>
      </c>
      <c r="I36" s="5">
        <f t="shared" si="2"/>
        <v>0.59137392725129012</v>
      </c>
      <c r="J36" s="4">
        <f t="shared" si="5"/>
        <v>621805.04392442945</v>
      </c>
      <c r="K36" s="4">
        <f t="shared" si="3"/>
        <v>1164524.9884409397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17061083.040882383</v>
      </c>
      <c r="E37" s="4">
        <v>17081843.43377829</v>
      </c>
      <c r="F37" s="4">
        <f t="shared" si="8"/>
        <v>-20760.392895907164</v>
      </c>
      <c r="G37" s="5">
        <f t="shared" si="1"/>
        <v>0.13983147558233025</v>
      </c>
      <c r="H37" s="4">
        <f t="shared" si="4"/>
        <v>81893198.596235424</v>
      </c>
      <c r="I37" s="5">
        <f t="shared" si="2"/>
        <v>0.67119108279518513</v>
      </c>
      <c r="J37" s="4">
        <f t="shared" si="5"/>
        <v>3412216.6081764763</v>
      </c>
      <c r="K37" s="4">
        <f t="shared" si="3"/>
        <v>5523719.3136377698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746511.00490000006</v>
      </c>
      <c r="E38" s="4">
        <v>280769.63740000001</v>
      </c>
      <c r="F38" s="4">
        <f t="shared" ref="F38" si="10">+D38-E38</f>
        <v>465741.36750000005</v>
      </c>
      <c r="G38" s="5">
        <f t="shared" si="1"/>
        <v>2.0910672406162466E-2</v>
      </c>
      <c r="H38" s="4">
        <f t="shared" si="4"/>
        <v>3583252.8235200006</v>
      </c>
      <c r="I38" s="5">
        <f t="shared" si="2"/>
        <v>0.10037122754957985</v>
      </c>
      <c r="J38" s="4">
        <f t="shared" si="5"/>
        <v>149302.20098000002</v>
      </c>
      <c r="K38" s="4">
        <f t="shared" si="3"/>
        <v>1839657.3155315788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6953389.0972305397</v>
      </c>
      <c r="E39" s="4">
        <v>6167950.3247244535</v>
      </c>
      <c r="F39" s="4">
        <f t="shared" si="8"/>
        <v>785438.77250608616</v>
      </c>
      <c r="G39" s="5">
        <f t="shared" si="1"/>
        <v>0.19122981493305272</v>
      </c>
      <c r="H39" s="4">
        <f t="shared" si="4"/>
        <v>33376267.666706588</v>
      </c>
      <c r="I39" s="5">
        <f t="shared" si="2"/>
        <v>0.91790311167865302</v>
      </c>
      <c r="J39" s="4">
        <f t="shared" si="5"/>
        <v>1390677.8194461078</v>
      </c>
      <c r="K39" s="4">
        <f t="shared" si="3"/>
        <v>1547791.5074615506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71919833.194753855</v>
      </c>
      <c r="E40" s="65">
        <v>62899009.881559134</v>
      </c>
      <c r="F40" s="67">
        <f t="shared" si="8"/>
        <v>9020823.3131947219</v>
      </c>
      <c r="G40" s="66">
        <f t="shared" si="1"/>
        <v>0.14128828734254617</v>
      </c>
      <c r="H40" s="64">
        <f t="shared" si="4"/>
        <v>345215199.33481848</v>
      </c>
      <c r="I40" s="66">
        <f t="shared" si="2"/>
        <v>0.67818377924422157</v>
      </c>
      <c r="J40" s="64">
        <f t="shared" si="5"/>
        <v>14383966.638950771</v>
      </c>
      <c r="K40" s="67">
        <f t="shared" si="3"/>
        <v>23005744.718756411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280805467.60214281</v>
      </c>
      <c r="E41" s="82">
        <v>240577000.14348808</v>
      </c>
      <c r="F41" s="81">
        <f>+D41-E41</f>
        <v>40228467.458654732</v>
      </c>
      <c r="G41" s="83">
        <f t="shared" si="1"/>
        <v>0.20351656306191793</v>
      </c>
      <c r="H41" s="81">
        <f t="shared" si="4"/>
        <v>1347866244.4902854</v>
      </c>
      <c r="I41" s="83">
        <f t="shared" si="2"/>
        <v>0.97687950269720591</v>
      </c>
      <c r="J41" s="81">
        <f t="shared" si="5"/>
        <v>56161093.520428561</v>
      </c>
      <c r="K41" s="81">
        <f t="shared" si="3"/>
        <v>57840088.394262806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3760393.1741207056</v>
      </c>
      <c r="E43" s="4">
        <v>-275260.76904147147</v>
      </c>
      <c r="F43" s="4">
        <f t="shared" ref="F43" si="11">+D43-E43</f>
        <v>4035653.9431621772</v>
      </c>
      <c r="G43" s="5">
        <f>+D43/C43</f>
        <v>9.4009829353017646E-2</v>
      </c>
      <c r="H43" s="4">
        <f t="shared" ref="H43" si="12">+D43/$N$3*$N$4</f>
        <v>18049887.23577939</v>
      </c>
      <c r="I43" s="5">
        <f>+H43/C43</f>
        <v>0.45124718089448473</v>
      </c>
      <c r="J43" s="4">
        <f t="shared" ref="J43" si="13">+D43/$N$3</f>
        <v>752078.63482414116</v>
      </c>
      <c r="K43" s="4">
        <f>+(C43-D43)/$N$2</f>
        <v>1907347.7276778575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1913900.6624423866</v>
      </c>
      <c r="E44" s="4">
        <v>-402349.89063324447</v>
      </c>
      <c r="F44" s="4">
        <f t="shared" ref="F44" si="14">+D44-E44</f>
        <v>2316250.5530756311</v>
      </c>
      <c r="G44" s="5">
        <f>+D44/C44</f>
        <v>6.3796688748079561E-2</v>
      </c>
      <c r="H44" s="4">
        <f t="shared" ref="H44" si="15">+D44/$N$3*$N$4</f>
        <v>9186723.1797234565</v>
      </c>
      <c r="I44" s="5">
        <f>+H44/C44</f>
        <v>0.30622410599078187</v>
      </c>
      <c r="J44" s="4">
        <f t="shared" ref="J44" si="16">+D44/$N$3</f>
        <v>382780.13248847733</v>
      </c>
      <c r="K44" s="4">
        <f>+(C44-D44)/$N$2</f>
        <v>1478215.7546082954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topLeftCell="A5" workbookViewId="0">
      <selection activeCell="A40" sqref="A40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0.51388888888888884</v>
      </c>
      <c r="E2" s="13">
        <v>33</v>
      </c>
      <c r="F2" s="12">
        <f>+H2-E2</f>
        <v>4</v>
      </c>
      <c r="G2" s="13">
        <f>VLOOKUP(B2,'Base Cobertura'!$A:$C,3,FALSE)</f>
        <v>72</v>
      </c>
      <c r="H2" s="13">
        <f>VLOOKUP(B2,'Base Cobertura'!$A:$C,2,FALSE)</f>
        <v>37</v>
      </c>
      <c r="I2" s="17">
        <f>(+G2*$M$2)-H2</f>
        <v>24.199999999999996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0.22175732217573221</v>
      </c>
      <c r="E3" s="13">
        <v>1</v>
      </c>
      <c r="F3" s="12">
        <f t="shared" ref="F3:F38" si="1">+H3-E3</f>
        <v>52</v>
      </c>
      <c r="G3" s="13">
        <f>VLOOKUP(B3,'Base Cobertura'!$A:$C,3,FALSE)</f>
        <v>239</v>
      </c>
      <c r="H3" s="13">
        <f>VLOOKUP(B3,'Base Cobertura'!$A:$C,2,FALSE)</f>
        <v>53</v>
      </c>
      <c r="I3" s="17">
        <f t="shared" ref="I3:I38" si="2">(+G3*$M$2)-H3</f>
        <v>150.15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18</v>
      </c>
      <c r="T3" s="12">
        <v>214</v>
      </c>
      <c r="U3" s="41">
        <f>+S3/T3</f>
        <v>8.4112149532710276E-2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0.52422907488986781</v>
      </c>
      <c r="E4" s="13">
        <v>126</v>
      </c>
      <c r="F4" s="12">
        <f t="shared" si="1"/>
        <v>-7</v>
      </c>
      <c r="G4" s="13">
        <f>VLOOKUP(B4,'Base Cobertura'!$A:$C,3,FALSE)</f>
        <v>227</v>
      </c>
      <c r="H4" s="13">
        <f>VLOOKUP(B4,'Base Cobertura'!$A:$C,2,FALSE)</f>
        <v>119</v>
      </c>
      <c r="I4" s="17">
        <f t="shared" si="2"/>
        <v>73.949999999999989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15</v>
      </c>
      <c r="T4" s="13">
        <v>214</v>
      </c>
      <c r="U4" s="5">
        <f t="shared" ref="U4:U11" si="3">+S4/T4</f>
        <v>7.0093457943925228E-2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0.41538461538461541</v>
      </c>
      <c r="E5" s="13">
        <v>21</v>
      </c>
      <c r="F5" s="12">
        <f t="shared" si="1"/>
        <v>6</v>
      </c>
      <c r="G5" s="13">
        <f>VLOOKUP(B5,'Base Cobertura'!$A:$C,3,FALSE)</f>
        <v>65</v>
      </c>
      <c r="H5" s="13">
        <f>VLOOKUP(B5,'Base Cobertura'!$A:$C,2,FALSE)</f>
        <v>27</v>
      </c>
      <c r="I5" s="17">
        <f t="shared" si="2"/>
        <v>28.25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28</v>
      </c>
      <c r="T5" s="13">
        <v>214</v>
      </c>
      <c r="U5" s="5">
        <f t="shared" si="3"/>
        <v>0.13084112149532709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0.50724637681159424</v>
      </c>
      <c r="E6" s="13">
        <v>100</v>
      </c>
      <c r="F6" s="12">
        <f t="shared" si="1"/>
        <v>5</v>
      </c>
      <c r="G6" s="13">
        <f>VLOOKUP(B6,'Base Cobertura'!$A:$C,3,FALSE)</f>
        <v>207</v>
      </c>
      <c r="H6" s="13">
        <f>VLOOKUP(B6,'Base Cobertura'!$A:$C,2,FALSE)</f>
        <v>105</v>
      </c>
      <c r="I6" s="17">
        <f t="shared" si="2"/>
        <v>70.949999999999989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13</v>
      </c>
      <c r="T6" s="13">
        <v>214</v>
      </c>
      <c r="U6" s="5">
        <f t="shared" si="3"/>
        <v>6.0747663551401869E-2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0.32323232323232326</v>
      </c>
      <c r="E7" s="13">
        <v>81</v>
      </c>
      <c r="F7" s="12">
        <f t="shared" si="1"/>
        <v>-17</v>
      </c>
      <c r="G7" s="13">
        <f>VLOOKUP(B7,'Base Cobertura'!$A:$C,3,FALSE)</f>
        <v>198</v>
      </c>
      <c r="H7" s="13">
        <f>VLOOKUP(B7,'Base Cobertura'!$A:$C,2,FALSE)</f>
        <v>64</v>
      </c>
      <c r="I7" s="17">
        <f t="shared" si="2"/>
        <v>104.29999999999998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37</v>
      </c>
      <c r="T7" s="13">
        <v>214</v>
      </c>
      <c r="U7" s="5">
        <f t="shared" si="3"/>
        <v>0.17289719626168223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0.43457943925233644</v>
      </c>
      <c r="E8" s="13">
        <v>89</v>
      </c>
      <c r="F8" s="12">
        <f t="shared" si="1"/>
        <v>4</v>
      </c>
      <c r="G8" s="13">
        <f>VLOOKUP(B8,'Base Cobertura'!$A:$C,3,FALSE)</f>
        <v>214</v>
      </c>
      <c r="H8" s="13">
        <f>VLOOKUP(B8,'Base Cobertura'!$A:$C,2,FALSE)</f>
        <v>93</v>
      </c>
      <c r="I8" s="17">
        <f t="shared" si="2"/>
        <v>88.9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39</v>
      </c>
      <c r="T8" s="13">
        <v>214</v>
      </c>
      <c r="U8" s="5">
        <f t="shared" si="3"/>
        <v>0.1822429906542056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0.42603550295857989</v>
      </c>
      <c r="E9" s="13">
        <v>92</v>
      </c>
      <c r="F9" s="12">
        <f t="shared" si="1"/>
        <v>-20</v>
      </c>
      <c r="G9" s="13">
        <f>VLOOKUP(B9,'Base Cobertura'!$A:$C,3,FALSE)</f>
        <v>169</v>
      </c>
      <c r="H9" s="13">
        <f>VLOOKUP(B9,'Base Cobertura'!$A:$C,2,FALSE)</f>
        <v>72</v>
      </c>
      <c r="I9" s="17">
        <f t="shared" si="2"/>
        <v>71.650000000000006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9</v>
      </c>
      <c r="T9" s="13">
        <v>214</v>
      </c>
      <c r="U9" s="5">
        <f t="shared" si="3"/>
        <v>4.2056074766355138E-2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0.3487179487179487</v>
      </c>
      <c r="E10" s="13">
        <v>64</v>
      </c>
      <c r="F10" s="12">
        <f t="shared" si="1"/>
        <v>4</v>
      </c>
      <c r="G10" s="13">
        <f>VLOOKUP(B10,'Base Cobertura'!$A:$C,3,FALSE)</f>
        <v>195</v>
      </c>
      <c r="H10" s="13">
        <f>VLOOKUP(B10,'Base Cobertura'!$A:$C,2,FALSE)</f>
        <v>68</v>
      </c>
      <c r="I10" s="17">
        <f t="shared" si="2"/>
        <v>97.75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5</v>
      </c>
      <c r="T10" s="13">
        <v>214</v>
      </c>
      <c r="U10" s="5">
        <f t="shared" si="3"/>
        <v>2.336448598130841E-2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0.16831683168316833</v>
      </c>
      <c r="E11" s="31">
        <v>19</v>
      </c>
      <c r="F11" s="33">
        <f t="shared" si="1"/>
        <v>-2</v>
      </c>
      <c r="G11" s="13">
        <f>VLOOKUP(B11,'Base Cobertura'!$A:$C,3,FALSE)</f>
        <v>101</v>
      </c>
      <c r="H11" s="13">
        <f>VLOOKUP(B11,'Base Cobertura'!$A:$C,2,FALSE)</f>
        <v>17</v>
      </c>
      <c r="I11" s="34">
        <f t="shared" si="2"/>
        <v>68.849999999999994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5</v>
      </c>
      <c r="T11" s="13">
        <v>214</v>
      </c>
      <c r="U11" s="5">
        <f t="shared" si="3"/>
        <v>2.336448598130841E-2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0.19047619047619047</v>
      </c>
      <c r="E12" s="31">
        <v>24</v>
      </c>
      <c r="F12" s="33">
        <f t="shared" si="1"/>
        <v>-4</v>
      </c>
      <c r="G12" s="13">
        <f>VLOOKUP(B12,'Base Cobertura'!$A:$C,3,FALSE)</f>
        <v>105</v>
      </c>
      <c r="H12" s="13">
        <f>VLOOKUP(B12,'Base Cobertura'!$A:$C,2,FALSE)</f>
        <v>20</v>
      </c>
      <c r="I12" s="34">
        <f t="shared" si="2"/>
        <v>69.25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0.41153846153846152</v>
      </c>
      <c r="E13" s="13">
        <v>144</v>
      </c>
      <c r="F13" s="12">
        <f t="shared" si="1"/>
        <v>-37</v>
      </c>
      <c r="G13" s="13">
        <f>VLOOKUP(B13,'Base Cobertura'!$A:$C,3,FALSE)</f>
        <v>260</v>
      </c>
      <c r="H13" s="13">
        <f>VLOOKUP(B13,'Base Cobertura'!$A:$C,2,FALSE)</f>
        <v>107</v>
      </c>
      <c r="I13" s="17">
        <f t="shared" si="2"/>
        <v>114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0.38461538461538464</v>
      </c>
      <c r="E14" s="13">
        <v>85</v>
      </c>
      <c r="F14" s="12">
        <f t="shared" si="1"/>
        <v>-15</v>
      </c>
      <c r="G14" s="13">
        <f>VLOOKUP(B14,'Base Cobertura'!$A:$C,3,FALSE)</f>
        <v>182</v>
      </c>
      <c r="H14" s="13">
        <f>VLOOKUP(B14,'Base Cobertura'!$A:$C,2,FALSE)</f>
        <v>70</v>
      </c>
      <c r="I14" s="17">
        <f t="shared" si="2"/>
        <v>84.699999999999989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-27</v>
      </c>
      <c r="G15" s="8">
        <f>+SUM(G2:G14)</f>
        <v>2234</v>
      </c>
      <c r="H15" s="8">
        <f>+SUM(H2:H14)</f>
        <v>852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BARTSCHAT EMILIANO NAHUEL</v>
      </c>
      <c r="D16" s="22">
        <f t="shared" si="0"/>
        <v>0.49689440993788819</v>
      </c>
      <c r="E16" s="13">
        <v>90</v>
      </c>
      <c r="F16" s="12">
        <f t="shared" si="1"/>
        <v>-10</v>
      </c>
      <c r="G16" s="13">
        <f>VLOOKUP(B16,'Base Cobertura'!$A:$C,3,FALSE)</f>
        <v>161</v>
      </c>
      <c r="H16" s="13">
        <f>VLOOKUP(B16,'Base Cobertura'!$A:$C,2,FALSE)</f>
        <v>80</v>
      </c>
      <c r="I16" s="17">
        <f t="shared" si="2"/>
        <v>56.849999999999994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CAÑETE DIEGO</v>
      </c>
      <c r="D17" s="22">
        <f t="shared" si="0"/>
        <v>0.33663366336633666</v>
      </c>
      <c r="E17" s="13">
        <v>92</v>
      </c>
      <c r="F17" s="12">
        <f t="shared" si="1"/>
        <v>-24</v>
      </c>
      <c r="G17" s="13">
        <f>VLOOKUP(B17,'Base Cobertura'!$A:$C,3,FALSE)</f>
        <v>202</v>
      </c>
      <c r="H17" s="13">
        <f>VLOOKUP(B17,'Base Cobertura'!$A:$C,2,FALSE)</f>
        <v>68</v>
      </c>
      <c r="I17" s="17">
        <f t="shared" si="2"/>
        <v>103.69999999999999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0.53529411764705881</v>
      </c>
      <c r="E18" s="13">
        <v>88</v>
      </c>
      <c r="F18" s="12">
        <f t="shared" si="1"/>
        <v>3</v>
      </c>
      <c r="G18" s="13">
        <f>VLOOKUP(B18,'Base Cobertura'!$A:$C,3,FALSE)</f>
        <v>170</v>
      </c>
      <c r="H18" s="13">
        <f>VLOOKUP(B18,'Base Cobertura'!$A:$C,2,FALSE)</f>
        <v>91</v>
      </c>
      <c r="I18" s="17">
        <f t="shared" si="2"/>
        <v>53.5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0.55625000000000002</v>
      </c>
      <c r="E19" s="13">
        <v>95</v>
      </c>
      <c r="F19" s="12">
        <f t="shared" si="1"/>
        <v>-6</v>
      </c>
      <c r="G19" s="13">
        <f>VLOOKUP(B19,'Base Cobertura'!$A:$C,3,FALSE)</f>
        <v>160</v>
      </c>
      <c r="H19" s="13">
        <f>VLOOKUP(B19,'Base Cobertura'!$A:$C,2,FALSE)</f>
        <v>89</v>
      </c>
      <c r="I19" s="17">
        <f t="shared" si="2"/>
        <v>47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0.50847457627118642</v>
      </c>
      <c r="E20" s="13">
        <v>83</v>
      </c>
      <c r="F20" s="12">
        <f t="shared" si="1"/>
        <v>7</v>
      </c>
      <c r="G20" s="13">
        <f>VLOOKUP(B20,'Base Cobertura'!$A:$C,3,FALSE)</f>
        <v>177</v>
      </c>
      <c r="H20" s="13">
        <f>VLOOKUP(B20,'Base Cobertura'!$A:$C,2,FALSE)</f>
        <v>90</v>
      </c>
      <c r="I20" s="17">
        <f t="shared" si="2"/>
        <v>60.449999999999989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0.47928994082840237</v>
      </c>
      <c r="E21" s="13">
        <v>64</v>
      </c>
      <c r="F21" s="12">
        <f t="shared" si="1"/>
        <v>17</v>
      </c>
      <c r="G21" s="13">
        <f>VLOOKUP(B21,'Base Cobertura'!$A:$C,3,FALSE)</f>
        <v>169</v>
      </c>
      <c r="H21" s="13">
        <f>VLOOKUP(B21,'Base Cobertura'!$A:$C,2,FALSE)</f>
        <v>81</v>
      </c>
      <c r="I21" s="17">
        <f t="shared" si="2"/>
        <v>62.650000000000006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0.20707070707070707</v>
      </c>
      <c r="E22" s="13">
        <v>66</v>
      </c>
      <c r="F22" s="12">
        <f t="shared" si="1"/>
        <v>-25</v>
      </c>
      <c r="G22" s="13">
        <f>VLOOKUP(B22,'Base Cobertura'!$A:$C,3,FALSE)</f>
        <v>198</v>
      </c>
      <c r="H22" s="13">
        <f>VLOOKUP(B22,'Base Cobertura'!$A:$C,2,FALSE)</f>
        <v>41</v>
      </c>
      <c r="I22" s="17">
        <f t="shared" si="2"/>
        <v>127.29999999999998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0.43478260869565216</v>
      </c>
      <c r="E23" s="13">
        <v>70</v>
      </c>
      <c r="F23" s="12">
        <f t="shared" si="1"/>
        <v>-10</v>
      </c>
      <c r="G23" s="13">
        <f>VLOOKUP(B23,'Base Cobertura'!$A:$C,3,FALSE)</f>
        <v>138</v>
      </c>
      <c r="H23" s="13">
        <f>VLOOKUP(B23,'Base Cobertura'!$A:$C,2,FALSE)</f>
        <v>60</v>
      </c>
      <c r="I23" s="17">
        <f t="shared" si="2"/>
        <v>57.3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0.48823529411764705</v>
      </c>
      <c r="E24" s="13">
        <v>79</v>
      </c>
      <c r="F24" s="12">
        <f t="shared" si="1"/>
        <v>4</v>
      </c>
      <c r="G24" s="13">
        <f>VLOOKUP(B24,'Base Cobertura'!$A:$C,3,FALSE)</f>
        <v>170</v>
      </c>
      <c r="H24" s="13">
        <f>VLOOKUP(B24,'Base Cobertura'!$A:$C,2,FALSE)</f>
        <v>83</v>
      </c>
      <c r="I24" s="17">
        <f t="shared" si="2"/>
        <v>61.5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-44</v>
      </c>
      <c r="G25" s="8">
        <f>+SUM(G16:G24)</f>
        <v>1545</v>
      </c>
      <c r="H25" s="8">
        <f>+SUM(H16:H24)</f>
        <v>683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0.30357142857142855</v>
      </c>
      <c r="E26" s="13">
        <v>20</v>
      </c>
      <c r="F26" s="12">
        <f>+H26-E26</f>
        <v>-3</v>
      </c>
      <c r="G26" s="13">
        <f>VLOOKUP(B26,'Base Cobertura'!$A:$C,3,FALSE)</f>
        <v>56</v>
      </c>
      <c r="H26" s="13">
        <f>VLOOKUP(B26,'Base Cobertura'!$A:$C,2,FALSE)</f>
        <v>17</v>
      </c>
      <c r="I26" s="17">
        <f t="shared" si="2"/>
        <v>30.6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0.41666666666666669</v>
      </c>
      <c r="E27" s="13">
        <v>68</v>
      </c>
      <c r="F27" s="12">
        <f t="shared" si="1"/>
        <v>-3</v>
      </c>
      <c r="G27" s="13">
        <f>VLOOKUP(B27,'Base Cobertura'!$A:$C,3,FALSE)</f>
        <v>156</v>
      </c>
      <c r="H27" s="13">
        <f>VLOOKUP(B27,'Base Cobertura'!$A:$C,2,FALSE)</f>
        <v>65</v>
      </c>
      <c r="I27" s="17">
        <f t="shared" si="2"/>
        <v>67.599999999999994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0.36645962732919257</v>
      </c>
      <c r="E28" s="13">
        <v>80</v>
      </c>
      <c r="F28" s="12">
        <f t="shared" si="1"/>
        <v>-21</v>
      </c>
      <c r="G28" s="13">
        <f>VLOOKUP(B28,'Base Cobertura'!$A:$C,3,FALSE)</f>
        <v>161</v>
      </c>
      <c r="H28" s="13">
        <f>VLOOKUP(B28,'Base Cobertura'!$A:$C,2,FALSE)</f>
        <v>59</v>
      </c>
      <c r="I28" s="17">
        <f t="shared" si="2"/>
        <v>77.849999999999994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0.20481927710843373</v>
      </c>
      <c r="E29" s="13">
        <v>68</v>
      </c>
      <c r="F29" s="12">
        <f t="shared" si="1"/>
        <v>-17</v>
      </c>
      <c r="G29" s="13">
        <f>VLOOKUP(B29,'Base Cobertura'!$A:$C,3,FALSE)</f>
        <v>249</v>
      </c>
      <c r="H29" s="13">
        <f>VLOOKUP(B29,'Base Cobertura'!$A:$C,2,FALSE)</f>
        <v>51</v>
      </c>
      <c r="I29" s="17">
        <f t="shared" si="2"/>
        <v>160.65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0.51428571428571423</v>
      </c>
      <c r="E30" s="13">
        <v>73</v>
      </c>
      <c r="F30" s="12">
        <f t="shared" si="1"/>
        <v>-1</v>
      </c>
      <c r="G30" s="13">
        <f>VLOOKUP(B30,'Base Cobertura'!$A:$C,3,FALSE)</f>
        <v>140</v>
      </c>
      <c r="H30" s="13">
        <f>VLOOKUP(B30,'Base Cobertura'!$A:$C,2,FALSE)</f>
        <v>72</v>
      </c>
      <c r="I30" s="17">
        <f t="shared" si="2"/>
        <v>47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0.2983425414364641</v>
      </c>
      <c r="E31" s="13">
        <v>40</v>
      </c>
      <c r="F31" s="12">
        <f t="shared" si="1"/>
        <v>14</v>
      </c>
      <c r="G31" s="13">
        <f>VLOOKUP(B31,'Base Cobertura'!$A:$C,3,FALSE)</f>
        <v>181</v>
      </c>
      <c r="H31" s="13">
        <f>VLOOKUP(B31,'Base Cobertura'!$A:$C,2,FALSE)</f>
        <v>54</v>
      </c>
      <c r="I31" s="17">
        <f t="shared" si="2"/>
        <v>99.85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0.35119047619047616</v>
      </c>
      <c r="E32" s="13">
        <v>67</v>
      </c>
      <c r="F32" s="12">
        <f t="shared" si="1"/>
        <v>-8</v>
      </c>
      <c r="G32" s="13">
        <f>VLOOKUP(B32,'Base Cobertura'!$A:$C,3,FALSE)</f>
        <v>168</v>
      </c>
      <c r="H32" s="13">
        <f>VLOOKUP(B32,'Base Cobertura'!$A:$C,2,FALSE)</f>
        <v>59</v>
      </c>
      <c r="I32" s="17">
        <f t="shared" si="2"/>
        <v>83.799999999999983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0.39534883720930231</v>
      </c>
      <c r="E33" s="13">
        <v>66</v>
      </c>
      <c r="F33" s="12">
        <f t="shared" si="1"/>
        <v>2</v>
      </c>
      <c r="G33" s="13">
        <f>VLOOKUP(B33,'Base Cobertura'!$A:$C,3,FALSE)</f>
        <v>172</v>
      </c>
      <c r="H33" s="13">
        <f>VLOOKUP(B33,'Base Cobertura'!$A:$C,2,FALSE)</f>
        <v>68</v>
      </c>
      <c r="I33" s="17">
        <f t="shared" si="2"/>
        <v>78.199999999999989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0.19718309859154928</v>
      </c>
      <c r="E34" s="13">
        <v>82</v>
      </c>
      <c r="F34" s="12">
        <f t="shared" si="1"/>
        <v>-54</v>
      </c>
      <c r="G34" s="13">
        <f>VLOOKUP(B34,'Base Cobertura'!$A:$C,3,FALSE)</f>
        <v>142</v>
      </c>
      <c r="H34" s="13">
        <f>VLOOKUP(B34,'Base Cobertura'!$A:$C,2,FALSE)</f>
        <v>28</v>
      </c>
      <c r="I34" s="17">
        <f t="shared" si="2"/>
        <v>92.7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0.398876404494382</v>
      </c>
      <c r="E35" s="13">
        <v>81</v>
      </c>
      <c r="F35" s="12">
        <f t="shared" si="1"/>
        <v>-10</v>
      </c>
      <c r="G35" s="13">
        <f>VLOOKUP(B35,'Base Cobertura'!$A:$C,3,FALSE)</f>
        <v>178</v>
      </c>
      <c r="H35" s="13">
        <f>VLOOKUP(B35,'Base Cobertura'!$A:$C,2,FALSE)</f>
        <v>71</v>
      </c>
      <c r="I35" s="17">
        <f t="shared" si="2"/>
        <v>80.299999999999983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2.6548672566371681E-2</v>
      </c>
      <c r="E36" s="13">
        <v>0</v>
      </c>
      <c r="F36" s="12">
        <f t="shared" si="1"/>
        <v>3</v>
      </c>
      <c r="G36" s="13">
        <f>VLOOKUP(B36,'Base Cobertura'!$A:$C,3,FALSE)</f>
        <v>113</v>
      </c>
      <c r="H36" s="13">
        <f>VLOOKUP(B36,'Base Cobertura'!$A:$C,2,FALSE)</f>
        <v>3</v>
      </c>
      <c r="I36" s="17">
        <f t="shared" si="2"/>
        <v>93.05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3.8461538461538464E-2</v>
      </c>
      <c r="E37" s="13">
        <v>17</v>
      </c>
      <c r="F37" s="12">
        <f t="shared" si="1"/>
        <v>-13</v>
      </c>
      <c r="G37" s="13">
        <f>VLOOKUP(B37,'Base Cobertura'!$A:$C,3,FALSE)</f>
        <v>104</v>
      </c>
      <c r="H37" s="13">
        <f>VLOOKUP(B37,'Base Cobertura'!$A:$C,2,FALSE)</f>
        <v>4</v>
      </c>
      <c r="I37" s="17">
        <f t="shared" si="2"/>
        <v>84.399999999999991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0.47244094488188976</v>
      </c>
      <c r="E38" s="13">
        <v>60</v>
      </c>
      <c r="F38" s="12">
        <f t="shared" si="1"/>
        <v>0</v>
      </c>
      <c r="G38" s="13">
        <f>VLOOKUP(B38,'Base Cobertura'!$A:$C,3,FALSE)</f>
        <v>127</v>
      </c>
      <c r="H38" s="13">
        <f>VLOOKUP(B38,'Base Cobertura'!$A:$C,2,FALSE)</f>
        <v>60</v>
      </c>
      <c r="I38" s="17">
        <f t="shared" si="2"/>
        <v>47.95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-111</v>
      </c>
      <c r="G39" s="8">
        <f>+SUM(G26:G38)</f>
        <v>1947</v>
      </c>
      <c r="H39" s="8">
        <f>+SUM(H26:H38)</f>
        <v>611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-182</v>
      </c>
      <c r="G40" s="8">
        <f>+G15+G25+G39</f>
        <v>5726</v>
      </c>
      <c r="H40" s="8">
        <f>+H15+H25+H39</f>
        <v>2146</v>
      </c>
      <c r="I40" s="8"/>
      <c r="L40" s="1">
        <f>+H40/G40</f>
        <v>0.37478169752008383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</v>
      </c>
      <c r="E41" s="13">
        <v>60</v>
      </c>
      <c r="F41" s="12">
        <f t="shared" ref="F41:F42" si="5">+H41-E41</f>
        <v>-60</v>
      </c>
      <c r="G41" s="13">
        <f>VLOOKUP(B41,'Base Cobertura'!$A:$C,3,FALSE)</f>
        <v>120</v>
      </c>
      <c r="H41" s="13">
        <f>VLOOKUP(B41,'Base Cobertura'!$A:$C,2,FALSE)</f>
        <v>0</v>
      </c>
      <c r="I41" s="17">
        <f t="shared" ref="I41:I42" si="6">(+G41*$M$2)-H41</f>
        <v>102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8.3333333333333332E-3</v>
      </c>
      <c r="E42" s="13">
        <v>60</v>
      </c>
      <c r="F42" s="12">
        <f t="shared" si="5"/>
        <v>-59</v>
      </c>
      <c r="G42" s="13">
        <f>VLOOKUP(B42,'Base Cobertura'!$A:$C,3,FALSE)</f>
        <v>120</v>
      </c>
      <c r="H42" s="13">
        <f>VLOOKUP(B42,'Base Cobertura'!$A:$C,2,FALSE)</f>
        <v>1</v>
      </c>
      <c r="I42" s="17">
        <f t="shared" si="6"/>
        <v>101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2</v>
      </c>
      <c r="C3" s="51">
        <v>3408</v>
      </c>
      <c r="G3" t="s">
        <v>222</v>
      </c>
      <c r="H3" s="51">
        <v>1</v>
      </c>
      <c r="I3" s="51">
        <v>3408</v>
      </c>
    </row>
    <row r="4" spans="1:9" x14ac:dyDescent="0.25">
      <c r="A4">
        <v>1</v>
      </c>
      <c r="B4" s="51">
        <v>60</v>
      </c>
      <c r="C4" s="51">
        <v>127</v>
      </c>
      <c r="G4" t="s">
        <v>223</v>
      </c>
      <c r="H4">
        <v>1</v>
      </c>
      <c r="I4" s="51">
        <v>3408</v>
      </c>
    </row>
    <row r="5" spans="1:9" x14ac:dyDescent="0.25">
      <c r="A5">
        <v>10</v>
      </c>
      <c r="B5" s="51">
        <v>54</v>
      </c>
      <c r="C5" s="51">
        <v>181</v>
      </c>
      <c r="G5" t="s">
        <v>224</v>
      </c>
      <c r="H5" s="51"/>
      <c r="I5" s="51">
        <v>3408</v>
      </c>
    </row>
    <row r="6" spans="1:9" x14ac:dyDescent="0.25">
      <c r="A6">
        <v>100</v>
      </c>
      <c r="B6" s="51">
        <v>21</v>
      </c>
      <c r="C6" s="51">
        <v>2025</v>
      </c>
      <c r="G6" t="s">
        <v>225</v>
      </c>
      <c r="H6" s="51"/>
      <c r="I6" s="51">
        <v>3408</v>
      </c>
    </row>
    <row r="7" spans="1:9" x14ac:dyDescent="0.25">
      <c r="A7">
        <v>11</v>
      </c>
      <c r="B7" s="51">
        <v>72</v>
      </c>
      <c r="C7" s="51">
        <v>169</v>
      </c>
      <c r="G7" t="s">
        <v>226</v>
      </c>
      <c r="H7" s="51">
        <v>1</v>
      </c>
      <c r="I7" s="51">
        <v>3408</v>
      </c>
    </row>
    <row r="8" spans="1:9" x14ac:dyDescent="0.25">
      <c r="A8">
        <v>12</v>
      </c>
      <c r="B8" s="51">
        <v>93</v>
      </c>
      <c r="C8" s="51">
        <v>214</v>
      </c>
      <c r="G8" t="s">
        <v>227</v>
      </c>
      <c r="H8" s="51">
        <v>1</v>
      </c>
      <c r="I8" s="51">
        <v>3408</v>
      </c>
    </row>
    <row r="9" spans="1:9" x14ac:dyDescent="0.25">
      <c r="A9">
        <v>123</v>
      </c>
      <c r="B9" s="51">
        <v>22</v>
      </c>
      <c r="C9" s="51">
        <v>489</v>
      </c>
      <c r="G9" t="s">
        <v>228</v>
      </c>
      <c r="H9" s="51">
        <v>1</v>
      </c>
      <c r="I9" s="51">
        <v>3408</v>
      </c>
    </row>
    <row r="10" spans="1:9" x14ac:dyDescent="0.25">
      <c r="A10">
        <v>15</v>
      </c>
      <c r="B10" s="51">
        <v>27</v>
      </c>
      <c r="C10" s="51">
        <v>65</v>
      </c>
      <c r="G10" t="s">
        <v>229</v>
      </c>
      <c r="H10">
        <v>1</v>
      </c>
      <c r="I10" s="51">
        <v>3408</v>
      </c>
    </row>
    <row r="11" spans="1:9" x14ac:dyDescent="0.25">
      <c r="A11">
        <v>16</v>
      </c>
      <c r="B11" s="51">
        <v>64</v>
      </c>
      <c r="C11" s="51">
        <v>198</v>
      </c>
      <c r="G11" t="s">
        <v>230</v>
      </c>
      <c r="H11" s="51"/>
      <c r="I11" s="51">
        <v>3408</v>
      </c>
    </row>
    <row r="12" spans="1:9" x14ac:dyDescent="0.25">
      <c r="A12">
        <v>18</v>
      </c>
      <c r="B12" s="51">
        <v>90</v>
      </c>
      <c r="C12" s="51">
        <v>177</v>
      </c>
      <c r="E12">
        <f>+F12</f>
        <v>1</v>
      </c>
      <c r="F12">
        <v>1</v>
      </c>
      <c r="G12" t="s">
        <v>222</v>
      </c>
      <c r="H12">
        <v>27</v>
      </c>
      <c r="I12" s="51">
        <v>127</v>
      </c>
    </row>
    <row r="13" spans="1:9" x14ac:dyDescent="0.25">
      <c r="A13">
        <v>19</v>
      </c>
      <c r="B13" s="51">
        <v>105</v>
      </c>
      <c r="C13" s="51">
        <v>207</v>
      </c>
      <c r="E13">
        <f>+$E$12</f>
        <v>1</v>
      </c>
      <c r="G13" t="s">
        <v>223</v>
      </c>
      <c r="H13" s="51">
        <v>20</v>
      </c>
      <c r="I13" s="51">
        <v>127</v>
      </c>
    </row>
    <row r="14" spans="1:9" x14ac:dyDescent="0.25">
      <c r="A14">
        <v>2</v>
      </c>
      <c r="B14" s="51">
        <v>60</v>
      </c>
      <c r="C14" s="51">
        <v>138</v>
      </c>
      <c r="E14">
        <f t="shared" ref="E14:E20" si="0">+$E$12</f>
        <v>1</v>
      </c>
      <c r="G14" t="s">
        <v>224</v>
      </c>
      <c r="H14" s="51">
        <v>36</v>
      </c>
      <c r="I14" s="51">
        <v>127</v>
      </c>
    </row>
    <row r="15" spans="1:9" x14ac:dyDescent="0.25">
      <c r="A15">
        <v>20</v>
      </c>
      <c r="B15" s="51">
        <v>119</v>
      </c>
      <c r="C15" s="51">
        <v>227</v>
      </c>
      <c r="E15">
        <f t="shared" si="0"/>
        <v>1</v>
      </c>
      <c r="G15" t="s">
        <v>225</v>
      </c>
      <c r="H15" s="51">
        <v>23</v>
      </c>
      <c r="I15" s="51">
        <v>127</v>
      </c>
    </row>
    <row r="16" spans="1:9" x14ac:dyDescent="0.25">
      <c r="A16">
        <v>21</v>
      </c>
      <c r="B16" s="51">
        <v>91</v>
      </c>
      <c r="C16" s="51">
        <v>170</v>
      </c>
      <c r="E16">
        <f t="shared" si="0"/>
        <v>1</v>
      </c>
      <c r="G16" t="s">
        <v>226</v>
      </c>
      <c r="H16" s="51">
        <v>40</v>
      </c>
      <c r="I16" s="51">
        <v>127</v>
      </c>
    </row>
    <row r="17" spans="1:9" x14ac:dyDescent="0.25">
      <c r="A17">
        <v>22</v>
      </c>
      <c r="B17" s="51">
        <v>37</v>
      </c>
      <c r="C17" s="51">
        <v>72</v>
      </c>
      <c r="E17">
        <f t="shared" si="0"/>
        <v>1</v>
      </c>
      <c r="G17" t="s">
        <v>227</v>
      </c>
      <c r="H17" s="51">
        <v>38</v>
      </c>
      <c r="I17" s="51">
        <v>127</v>
      </c>
    </row>
    <row r="18" spans="1:9" x14ac:dyDescent="0.25">
      <c r="A18">
        <v>23</v>
      </c>
      <c r="B18" s="51">
        <v>89</v>
      </c>
      <c r="C18" s="51">
        <v>160</v>
      </c>
      <c r="E18">
        <f t="shared" si="0"/>
        <v>1</v>
      </c>
      <c r="G18" t="s">
        <v>228</v>
      </c>
      <c r="H18" s="51">
        <v>12</v>
      </c>
      <c r="I18" s="51">
        <v>127</v>
      </c>
    </row>
    <row r="19" spans="1:9" x14ac:dyDescent="0.25">
      <c r="A19">
        <v>24</v>
      </c>
      <c r="B19" s="51">
        <v>71</v>
      </c>
      <c r="C19" s="51">
        <v>178</v>
      </c>
      <c r="E19">
        <f t="shared" si="0"/>
        <v>1</v>
      </c>
      <c r="G19" t="s">
        <v>229</v>
      </c>
      <c r="H19" s="51">
        <v>13</v>
      </c>
      <c r="I19" s="51">
        <v>127</v>
      </c>
    </row>
    <row r="20" spans="1:9" x14ac:dyDescent="0.25">
      <c r="A20">
        <v>25</v>
      </c>
      <c r="B20" s="51">
        <v>57</v>
      </c>
      <c r="C20" s="51">
        <v>172</v>
      </c>
      <c r="E20">
        <f t="shared" si="0"/>
        <v>1</v>
      </c>
      <c r="G20" t="s">
        <v>230</v>
      </c>
      <c r="H20">
        <v>11</v>
      </c>
      <c r="I20" s="51">
        <v>127</v>
      </c>
    </row>
    <row r="21" spans="1:9" x14ac:dyDescent="0.25">
      <c r="A21">
        <v>26</v>
      </c>
      <c r="B21" s="51">
        <v>31</v>
      </c>
      <c r="C21" s="51">
        <v>164</v>
      </c>
      <c r="E21">
        <f>+$F$21</f>
        <v>10</v>
      </c>
      <c r="F21">
        <v>10</v>
      </c>
      <c r="G21" t="s">
        <v>222</v>
      </c>
      <c r="H21" s="51">
        <v>8</v>
      </c>
      <c r="I21" s="51">
        <v>181</v>
      </c>
    </row>
    <row r="22" spans="1:9" x14ac:dyDescent="0.25">
      <c r="A22">
        <v>27</v>
      </c>
      <c r="B22" s="51">
        <v>72</v>
      </c>
      <c r="C22" s="51">
        <v>140</v>
      </c>
      <c r="E22">
        <f t="shared" ref="E22:E29" si="1">+$F$21</f>
        <v>10</v>
      </c>
      <c r="G22" t="s">
        <v>223</v>
      </c>
      <c r="H22" s="51">
        <v>1</v>
      </c>
      <c r="I22" s="51">
        <v>181</v>
      </c>
    </row>
    <row r="23" spans="1:9" x14ac:dyDescent="0.25">
      <c r="A23">
        <v>28</v>
      </c>
      <c r="B23" s="51">
        <v>59</v>
      </c>
      <c r="C23" s="51">
        <v>168</v>
      </c>
      <c r="E23">
        <f t="shared" si="1"/>
        <v>10</v>
      </c>
      <c r="G23" t="s">
        <v>224</v>
      </c>
      <c r="H23" s="51">
        <v>20</v>
      </c>
      <c r="I23" s="51">
        <v>181</v>
      </c>
    </row>
    <row r="24" spans="1:9" x14ac:dyDescent="0.25">
      <c r="A24">
        <v>3</v>
      </c>
      <c r="B24" s="51">
        <v>83</v>
      </c>
      <c r="C24" s="51">
        <v>170</v>
      </c>
      <c r="E24">
        <f t="shared" si="1"/>
        <v>10</v>
      </c>
      <c r="G24" t="s">
        <v>225</v>
      </c>
      <c r="H24" s="51">
        <v>12</v>
      </c>
      <c r="I24" s="51">
        <v>181</v>
      </c>
    </row>
    <row r="25" spans="1:9" x14ac:dyDescent="0.25">
      <c r="A25">
        <v>30</v>
      </c>
      <c r="B25" s="51">
        <v>12</v>
      </c>
      <c r="C25" s="51">
        <v>139</v>
      </c>
      <c r="E25">
        <f t="shared" si="1"/>
        <v>10</v>
      </c>
      <c r="G25" t="s">
        <v>226</v>
      </c>
      <c r="H25" s="51">
        <v>24</v>
      </c>
      <c r="I25" s="51">
        <v>181</v>
      </c>
    </row>
    <row r="26" spans="1:9" x14ac:dyDescent="0.25">
      <c r="A26">
        <v>31</v>
      </c>
      <c r="B26" s="51">
        <v>80</v>
      </c>
      <c r="C26" s="51">
        <v>161</v>
      </c>
      <c r="E26">
        <f t="shared" si="1"/>
        <v>10</v>
      </c>
      <c r="G26" t="s">
        <v>227</v>
      </c>
      <c r="H26" s="51">
        <v>14</v>
      </c>
      <c r="I26" s="51">
        <v>181</v>
      </c>
    </row>
    <row r="27" spans="1:9" x14ac:dyDescent="0.25">
      <c r="A27">
        <v>32</v>
      </c>
      <c r="B27" s="51">
        <v>17</v>
      </c>
      <c r="C27" s="51">
        <v>56</v>
      </c>
      <c r="E27">
        <f t="shared" si="1"/>
        <v>10</v>
      </c>
      <c r="G27" t="s">
        <v>228</v>
      </c>
      <c r="H27" s="51">
        <v>4</v>
      </c>
      <c r="I27" s="51">
        <v>181</v>
      </c>
    </row>
    <row r="28" spans="1:9" x14ac:dyDescent="0.25">
      <c r="A28">
        <v>33</v>
      </c>
      <c r="B28" s="51">
        <v>68</v>
      </c>
      <c r="C28" s="51">
        <v>172</v>
      </c>
      <c r="E28">
        <f t="shared" si="1"/>
        <v>10</v>
      </c>
      <c r="G28" t="s">
        <v>229</v>
      </c>
      <c r="H28" s="51">
        <v>3</v>
      </c>
      <c r="I28" s="51">
        <v>181</v>
      </c>
    </row>
    <row r="29" spans="1:9" x14ac:dyDescent="0.25">
      <c r="A29">
        <v>36</v>
      </c>
      <c r="B29" s="51">
        <v>65</v>
      </c>
      <c r="C29" s="51">
        <v>156</v>
      </c>
      <c r="E29">
        <f t="shared" si="1"/>
        <v>10</v>
      </c>
      <c r="G29" t="s">
        <v>230</v>
      </c>
      <c r="H29" s="51">
        <v>3</v>
      </c>
      <c r="I29" s="51">
        <v>181</v>
      </c>
    </row>
    <row r="30" spans="1:9" x14ac:dyDescent="0.25">
      <c r="A30">
        <v>37</v>
      </c>
      <c r="B30" s="51">
        <v>28</v>
      </c>
      <c r="C30" s="51">
        <v>142</v>
      </c>
      <c r="E30">
        <f>+$F$30</f>
        <v>100</v>
      </c>
      <c r="F30">
        <v>100</v>
      </c>
      <c r="G30" t="s">
        <v>222</v>
      </c>
      <c r="H30" s="51">
        <v>10</v>
      </c>
      <c r="I30" s="51">
        <v>2025</v>
      </c>
    </row>
    <row r="31" spans="1:9" x14ac:dyDescent="0.25">
      <c r="A31">
        <v>4</v>
      </c>
      <c r="B31" s="51">
        <v>70</v>
      </c>
      <c r="C31" s="51">
        <v>182</v>
      </c>
      <c r="E31">
        <f t="shared" ref="E31:E38" si="2">+$F$30</f>
        <v>100</v>
      </c>
      <c r="G31" t="s">
        <v>223</v>
      </c>
      <c r="H31" s="51">
        <v>5</v>
      </c>
      <c r="I31" s="51">
        <v>2025</v>
      </c>
    </row>
    <row r="32" spans="1:9" x14ac:dyDescent="0.25">
      <c r="A32">
        <v>40</v>
      </c>
      <c r="B32" s="51">
        <v>51</v>
      </c>
      <c r="C32" s="51">
        <v>249</v>
      </c>
      <c r="E32">
        <f t="shared" si="2"/>
        <v>100</v>
      </c>
      <c r="G32" t="s">
        <v>224</v>
      </c>
      <c r="H32" s="51">
        <v>8</v>
      </c>
      <c r="I32" s="51">
        <v>2025</v>
      </c>
    </row>
    <row r="33" spans="1:9" x14ac:dyDescent="0.25">
      <c r="A33">
        <v>42</v>
      </c>
      <c r="B33" s="51">
        <v>4</v>
      </c>
      <c r="C33" s="51">
        <v>52</v>
      </c>
      <c r="E33">
        <f t="shared" si="2"/>
        <v>100</v>
      </c>
      <c r="G33" t="s">
        <v>225</v>
      </c>
      <c r="H33" s="51">
        <v>6</v>
      </c>
      <c r="I33" s="51">
        <v>2025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226</v>
      </c>
      <c r="H34" s="51">
        <v>11</v>
      </c>
      <c r="I34" s="51">
        <v>2025</v>
      </c>
    </row>
    <row r="35" spans="1:9" x14ac:dyDescent="0.25">
      <c r="A35">
        <v>44</v>
      </c>
      <c r="B35" s="51">
        <v>81</v>
      </c>
      <c r="C35" s="51">
        <v>169</v>
      </c>
      <c r="E35">
        <f t="shared" si="2"/>
        <v>100</v>
      </c>
      <c r="G35" t="s">
        <v>227</v>
      </c>
      <c r="H35" s="51">
        <v>8</v>
      </c>
      <c r="I35" s="51">
        <v>2025</v>
      </c>
    </row>
    <row r="36" spans="1:9" x14ac:dyDescent="0.25">
      <c r="A36">
        <v>49</v>
      </c>
      <c r="B36" s="51">
        <v>53</v>
      </c>
      <c r="C36" s="51">
        <v>239</v>
      </c>
      <c r="E36">
        <f t="shared" si="2"/>
        <v>100</v>
      </c>
      <c r="G36" t="s">
        <v>228</v>
      </c>
      <c r="H36" s="51">
        <v>9</v>
      </c>
      <c r="I36" s="51">
        <v>2025</v>
      </c>
    </row>
    <row r="37" spans="1:9" x14ac:dyDescent="0.25">
      <c r="A37">
        <v>5</v>
      </c>
      <c r="B37" s="51">
        <v>107</v>
      </c>
      <c r="C37" s="51">
        <v>260</v>
      </c>
      <c r="E37">
        <f t="shared" si="2"/>
        <v>100</v>
      </c>
      <c r="G37" t="s">
        <v>229</v>
      </c>
      <c r="H37" s="51">
        <v>5</v>
      </c>
      <c r="I37" s="51">
        <v>2025</v>
      </c>
    </row>
    <row r="38" spans="1:9" x14ac:dyDescent="0.25">
      <c r="A38">
        <v>52</v>
      </c>
      <c r="B38" s="51">
        <v>17</v>
      </c>
      <c r="C38" s="51">
        <v>101</v>
      </c>
      <c r="E38">
        <f t="shared" si="2"/>
        <v>100</v>
      </c>
      <c r="G38" t="s">
        <v>230</v>
      </c>
      <c r="H38" s="51"/>
      <c r="I38" s="51">
        <v>2025</v>
      </c>
    </row>
    <row r="39" spans="1:9" x14ac:dyDescent="0.25">
      <c r="A39">
        <v>53</v>
      </c>
      <c r="B39" s="51">
        <v>20</v>
      </c>
      <c r="C39" s="51">
        <v>105</v>
      </c>
      <c r="E39">
        <f>+$F$39</f>
        <v>11</v>
      </c>
      <c r="F39">
        <v>11</v>
      </c>
      <c r="G39" t="s">
        <v>222</v>
      </c>
      <c r="H39" s="51">
        <v>8</v>
      </c>
      <c r="I39" s="51">
        <v>169</v>
      </c>
    </row>
    <row r="40" spans="1:9" x14ac:dyDescent="0.25">
      <c r="A40">
        <v>54</v>
      </c>
      <c r="B40" s="51">
        <v>68</v>
      </c>
      <c r="C40" s="51">
        <v>202</v>
      </c>
      <c r="E40">
        <f t="shared" ref="E40:E47" si="3">+$F$39</f>
        <v>11</v>
      </c>
      <c r="G40" t="s">
        <v>223</v>
      </c>
      <c r="H40" s="51">
        <v>8</v>
      </c>
      <c r="I40" s="51">
        <v>169</v>
      </c>
    </row>
    <row r="41" spans="1:9" x14ac:dyDescent="0.25">
      <c r="A41">
        <v>56</v>
      </c>
      <c r="B41">
        <v>41</v>
      </c>
      <c r="C41" s="51">
        <v>198</v>
      </c>
      <c r="E41">
        <f t="shared" si="3"/>
        <v>11</v>
      </c>
      <c r="G41" t="s">
        <v>224</v>
      </c>
      <c r="H41" s="51">
        <v>27</v>
      </c>
      <c r="I41" s="51">
        <v>169</v>
      </c>
    </row>
    <row r="42" spans="1:9" x14ac:dyDescent="0.25">
      <c r="A42">
        <v>57</v>
      </c>
      <c r="B42" s="51">
        <v>4</v>
      </c>
      <c r="C42" s="51">
        <v>104</v>
      </c>
      <c r="E42">
        <f t="shared" si="3"/>
        <v>11</v>
      </c>
      <c r="G42" t="s">
        <v>225</v>
      </c>
      <c r="H42" s="51">
        <v>21</v>
      </c>
      <c r="I42" s="51">
        <v>169</v>
      </c>
    </row>
    <row r="43" spans="1:9" x14ac:dyDescent="0.25">
      <c r="A43">
        <v>58</v>
      </c>
      <c r="B43" s="51"/>
      <c r="C43" s="51">
        <v>120</v>
      </c>
      <c r="E43">
        <f t="shared" si="3"/>
        <v>11</v>
      </c>
      <c r="G43" t="s">
        <v>226</v>
      </c>
      <c r="H43" s="51">
        <v>40</v>
      </c>
      <c r="I43" s="51">
        <v>169</v>
      </c>
    </row>
    <row r="44" spans="1:9" x14ac:dyDescent="0.25">
      <c r="A44">
        <v>59</v>
      </c>
      <c r="B44" s="51">
        <v>1</v>
      </c>
      <c r="C44" s="51">
        <v>120</v>
      </c>
      <c r="E44">
        <f t="shared" si="3"/>
        <v>11</v>
      </c>
      <c r="G44" t="s">
        <v>227</v>
      </c>
      <c r="H44" s="51">
        <v>29</v>
      </c>
      <c r="I44" s="51">
        <v>169</v>
      </c>
    </row>
    <row r="45" spans="1:9" x14ac:dyDescent="0.25">
      <c r="A45">
        <v>7</v>
      </c>
      <c r="B45" s="51">
        <v>3</v>
      </c>
      <c r="C45" s="51">
        <v>113</v>
      </c>
      <c r="E45">
        <f t="shared" si="3"/>
        <v>11</v>
      </c>
      <c r="G45" t="s">
        <v>228</v>
      </c>
      <c r="H45" s="51">
        <v>5</v>
      </c>
      <c r="I45" s="51">
        <v>169</v>
      </c>
    </row>
    <row r="46" spans="1:9" x14ac:dyDescent="0.25">
      <c r="A46">
        <v>8</v>
      </c>
      <c r="B46" s="51">
        <v>68</v>
      </c>
      <c r="C46" s="51">
        <v>195</v>
      </c>
      <c r="E46">
        <f t="shared" si="3"/>
        <v>11</v>
      </c>
      <c r="G46" t="s">
        <v>229</v>
      </c>
      <c r="H46" s="51">
        <v>8</v>
      </c>
      <c r="I46" s="51">
        <v>169</v>
      </c>
    </row>
    <row r="47" spans="1:9" x14ac:dyDescent="0.25">
      <c r="A47">
        <v>9</v>
      </c>
      <c r="B47" s="51">
        <v>59</v>
      </c>
      <c r="C47" s="51">
        <v>161</v>
      </c>
      <c r="E47">
        <f t="shared" si="3"/>
        <v>11</v>
      </c>
      <c r="G47" t="s">
        <v>230</v>
      </c>
      <c r="H47" s="51">
        <v>5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18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15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28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13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37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39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9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5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5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13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7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11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1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14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/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9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2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/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14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10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9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14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11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4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4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12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5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24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14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33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25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2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10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9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30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16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19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14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54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32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13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8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15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22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10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36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26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73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44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6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11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13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8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23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13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14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28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16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4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6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8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32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20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39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33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59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50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9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12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14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25</v>
      </c>
      <c r="I120" s="51">
        <v>170</v>
      </c>
    </row>
    <row r="121" spans="5:9" x14ac:dyDescent="0.25">
      <c r="E121">
        <f t="shared" ref="E121:E128" si="12">+$F$120</f>
        <v>21</v>
      </c>
      <c r="G121" t="s">
        <v>223</v>
      </c>
      <c r="H121" s="51">
        <v>17</v>
      </c>
      <c r="I121" s="51">
        <v>170</v>
      </c>
    </row>
    <row r="122" spans="5:9" x14ac:dyDescent="0.25">
      <c r="E122">
        <f t="shared" si="12"/>
        <v>21</v>
      </c>
      <c r="G122" t="s">
        <v>224</v>
      </c>
      <c r="H122" s="51">
        <v>41</v>
      </c>
      <c r="I122" s="51">
        <v>170</v>
      </c>
    </row>
    <row r="123" spans="5:9" x14ac:dyDescent="0.25">
      <c r="E123">
        <f t="shared" si="12"/>
        <v>21</v>
      </c>
      <c r="G123" t="s">
        <v>225</v>
      </c>
      <c r="H123" s="51">
        <v>23</v>
      </c>
      <c r="I123" s="51">
        <v>170</v>
      </c>
    </row>
    <row r="124" spans="5:9" x14ac:dyDescent="0.25">
      <c r="E124">
        <f t="shared" si="12"/>
        <v>21</v>
      </c>
      <c r="G124" t="s">
        <v>226</v>
      </c>
      <c r="H124">
        <v>63</v>
      </c>
      <c r="I124" s="51">
        <v>170</v>
      </c>
    </row>
    <row r="125" spans="5:9" x14ac:dyDescent="0.25">
      <c r="E125">
        <f t="shared" si="12"/>
        <v>21</v>
      </c>
      <c r="G125" t="s">
        <v>227</v>
      </c>
      <c r="H125" s="51">
        <v>47</v>
      </c>
      <c r="I125" s="51">
        <v>170</v>
      </c>
    </row>
    <row r="126" spans="5:9" x14ac:dyDescent="0.25">
      <c r="E126">
        <f t="shared" si="12"/>
        <v>21</v>
      </c>
      <c r="G126" t="s">
        <v>228</v>
      </c>
      <c r="H126" s="51">
        <v>13</v>
      </c>
      <c r="I126" s="51">
        <v>170</v>
      </c>
    </row>
    <row r="127" spans="5:9" x14ac:dyDescent="0.25">
      <c r="E127">
        <f t="shared" si="12"/>
        <v>21</v>
      </c>
      <c r="G127" t="s">
        <v>229</v>
      </c>
      <c r="H127" s="51">
        <v>16</v>
      </c>
      <c r="I127" s="51">
        <v>170</v>
      </c>
    </row>
    <row r="128" spans="5:9" x14ac:dyDescent="0.25">
      <c r="E128">
        <f t="shared" si="12"/>
        <v>21</v>
      </c>
      <c r="G128" t="s">
        <v>230</v>
      </c>
      <c r="H128" s="51">
        <v>10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19</v>
      </c>
      <c r="I129" s="51">
        <v>72</v>
      </c>
    </row>
    <row r="130" spans="5:9" x14ac:dyDescent="0.25">
      <c r="E130">
        <f t="shared" ref="E130:E137" si="13">+$F$129</f>
        <v>22</v>
      </c>
      <c r="G130" t="s">
        <v>223</v>
      </c>
      <c r="H130" s="51">
        <v>12</v>
      </c>
      <c r="I130" s="51">
        <v>72</v>
      </c>
    </row>
    <row r="131" spans="5:9" x14ac:dyDescent="0.25">
      <c r="E131">
        <f t="shared" si="13"/>
        <v>22</v>
      </c>
      <c r="G131" t="s">
        <v>224</v>
      </c>
      <c r="H131" s="51">
        <v>18</v>
      </c>
      <c r="I131" s="51">
        <v>72</v>
      </c>
    </row>
    <row r="132" spans="5:9" x14ac:dyDescent="0.25">
      <c r="E132">
        <f t="shared" si="13"/>
        <v>22</v>
      </c>
      <c r="G132" t="s">
        <v>225</v>
      </c>
      <c r="H132" s="51">
        <v>14</v>
      </c>
      <c r="I132" s="51">
        <v>72</v>
      </c>
    </row>
    <row r="133" spans="5:9" x14ac:dyDescent="0.25">
      <c r="E133">
        <f t="shared" si="13"/>
        <v>22</v>
      </c>
      <c r="G133" t="s">
        <v>226</v>
      </c>
      <c r="H133" s="51">
        <v>26</v>
      </c>
      <c r="I133" s="51">
        <v>72</v>
      </c>
    </row>
    <row r="134" spans="5:9" x14ac:dyDescent="0.25">
      <c r="E134">
        <f t="shared" si="13"/>
        <v>22</v>
      </c>
      <c r="G134" t="s">
        <v>227</v>
      </c>
      <c r="H134" s="51">
        <v>14</v>
      </c>
      <c r="I134" s="51">
        <v>72</v>
      </c>
    </row>
    <row r="135" spans="5:9" x14ac:dyDescent="0.25">
      <c r="E135">
        <f t="shared" si="13"/>
        <v>22</v>
      </c>
      <c r="G135" t="s">
        <v>228</v>
      </c>
      <c r="H135" s="51">
        <v>24</v>
      </c>
      <c r="I135" s="51">
        <v>72</v>
      </c>
    </row>
    <row r="136" spans="5:9" x14ac:dyDescent="0.25">
      <c r="E136">
        <f t="shared" si="13"/>
        <v>22</v>
      </c>
      <c r="G136" t="s">
        <v>229</v>
      </c>
      <c r="H136" s="51">
        <v>7</v>
      </c>
      <c r="I136" s="51">
        <v>72</v>
      </c>
    </row>
    <row r="137" spans="5:9" x14ac:dyDescent="0.25">
      <c r="E137">
        <f t="shared" si="13"/>
        <v>22</v>
      </c>
      <c r="G137" t="s">
        <v>230</v>
      </c>
      <c r="H137" s="51">
        <v>12</v>
      </c>
      <c r="I137" s="51">
        <v>72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22</v>
      </c>
      <c r="I138" s="51">
        <v>160</v>
      </c>
    </row>
    <row r="139" spans="5:9" x14ac:dyDescent="0.25">
      <c r="E139">
        <f t="shared" ref="E139:E146" si="14">+$F$138</f>
        <v>23</v>
      </c>
      <c r="G139" t="s">
        <v>223</v>
      </c>
      <c r="H139" s="51">
        <v>17</v>
      </c>
      <c r="I139" s="51">
        <v>160</v>
      </c>
    </row>
    <row r="140" spans="5:9" x14ac:dyDescent="0.25">
      <c r="E140">
        <f t="shared" si="14"/>
        <v>23</v>
      </c>
      <c r="G140" t="s">
        <v>224</v>
      </c>
      <c r="H140">
        <v>41</v>
      </c>
      <c r="I140" s="51">
        <v>160</v>
      </c>
    </row>
    <row r="141" spans="5:9" x14ac:dyDescent="0.25">
      <c r="E141">
        <f t="shared" si="14"/>
        <v>23</v>
      </c>
      <c r="G141" t="s">
        <v>225</v>
      </c>
      <c r="H141" s="51">
        <v>13</v>
      </c>
      <c r="I141" s="51">
        <v>160</v>
      </c>
    </row>
    <row r="142" spans="5:9" x14ac:dyDescent="0.25">
      <c r="E142">
        <f t="shared" si="14"/>
        <v>23</v>
      </c>
      <c r="G142" t="s">
        <v>226</v>
      </c>
      <c r="H142" s="51">
        <v>62</v>
      </c>
      <c r="I142" s="51">
        <v>160</v>
      </c>
    </row>
    <row r="143" spans="5:9" x14ac:dyDescent="0.25">
      <c r="E143">
        <f t="shared" si="14"/>
        <v>23</v>
      </c>
      <c r="G143" t="s">
        <v>227</v>
      </c>
      <c r="H143" s="51">
        <v>41</v>
      </c>
      <c r="I143" s="51">
        <v>160</v>
      </c>
    </row>
    <row r="144" spans="5:9" x14ac:dyDescent="0.25">
      <c r="E144">
        <f t="shared" si="14"/>
        <v>23</v>
      </c>
      <c r="G144" t="s">
        <v>228</v>
      </c>
      <c r="H144" s="51">
        <v>6</v>
      </c>
      <c r="I144" s="51">
        <v>160</v>
      </c>
    </row>
    <row r="145" spans="5:9" x14ac:dyDescent="0.25">
      <c r="E145">
        <f t="shared" si="14"/>
        <v>23</v>
      </c>
      <c r="G145" t="s">
        <v>229</v>
      </c>
      <c r="H145" s="51">
        <v>9</v>
      </c>
      <c r="I145" s="51">
        <v>160</v>
      </c>
    </row>
    <row r="146" spans="5:9" x14ac:dyDescent="0.25">
      <c r="E146">
        <f t="shared" si="14"/>
        <v>23</v>
      </c>
      <c r="G146" t="s">
        <v>230</v>
      </c>
      <c r="H146" s="51">
        <v>5</v>
      </c>
      <c r="I146" s="51">
        <v>160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16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5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44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17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33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21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6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18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14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17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27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36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30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30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10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9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12</v>
      </c>
      <c r="I165" s="51">
        <v>164</v>
      </c>
    </row>
    <row r="166" spans="5:9" x14ac:dyDescent="0.25">
      <c r="E166">
        <f t="shared" ref="E166:E173" si="17">+$F$165</f>
        <v>26</v>
      </c>
      <c r="G166" t="s">
        <v>223</v>
      </c>
      <c r="H166" s="51">
        <v>6</v>
      </c>
      <c r="I166" s="51">
        <v>164</v>
      </c>
    </row>
    <row r="167" spans="5:9" x14ac:dyDescent="0.25">
      <c r="E167">
        <f t="shared" si="17"/>
        <v>26</v>
      </c>
      <c r="G167" t="s">
        <v>224</v>
      </c>
      <c r="H167" s="51">
        <v>3</v>
      </c>
      <c r="I167" s="51">
        <v>164</v>
      </c>
    </row>
    <row r="168" spans="5:9" x14ac:dyDescent="0.25">
      <c r="E168">
        <f t="shared" si="17"/>
        <v>26</v>
      </c>
      <c r="G168" t="s">
        <v>225</v>
      </c>
      <c r="H168" s="51">
        <v>15</v>
      </c>
      <c r="I168" s="51">
        <v>164</v>
      </c>
    </row>
    <row r="169" spans="5:9" x14ac:dyDescent="0.25">
      <c r="E169">
        <f t="shared" si="17"/>
        <v>26</v>
      </c>
      <c r="G169" t="s">
        <v>226</v>
      </c>
      <c r="H169" s="51">
        <v>11</v>
      </c>
      <c r="I169" s="51">
        <v>164</v>
      </c>
    </row>
    <row r="170" spans="5:9" x14ac:dyDescent="0.25">
      <c r="E170">
        <f t="shared" si="17"/>
        <v>26</v>
      </c>
      <c r="G170" t="s">
        <v>227</v>
      </c>
      <c r="H170" s="51">
        <v>12</v>
      </c>
      <c r="I170" s="51">
        <v>164</v>
      </c>
    </row>
    <row r="171" spans="5:9" x14ac:dyDescent="0.25">
      <c r="E171">
        <f t="shared" si="17"/>
        <v>26</v>
      </c>
      <c r="G171" t="s">
        <v>228</v>
      </c>
      <c r="H171" s="51">
        <v>16</v>
      </c>
      <c r="I171" s="51">
        <v>164</v>
      </c>
    </row>
    <row r="172" spans="5:9" x14ac:dyDescent="0.25">
      <c r="E172">
        <f t="shared" si="17"/>
        <v>26</v>
      </c>
      <c r="G172" t="s">
        <v>229</v>
      </c>
      <c r="H172" s="51">
        <v>6</v>
      </c>
      <c r="I172" s="51">
        <v>164</v>
      </c>
    </row>
    <row r="173" spans="5:9" x14ac:dyDescent="0.25">
      <c r="E173">
        <f t="shared" si="17"/>
        <v>26</v>
      </c>
      <c r="G173" t="s">
        <v>230</v>
      </c>
      <c r="H173" s="51">
        <v>11</v>
      </c>
      <c r="I173" s="51">
        <v>164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18</v>
      </c>
      <c r="I174" s="51">
        <v>140</v>
      </c>
    </row>
    <row r="175" spans="5:9" x14ac:dyDescent="0.25">
      <c r="E175">
        <f t="shared" ref="E175:E182" si="18">+$F$174</f>
        <v>27</v>
      </c>
      <c r="G175" t="s">
        <v>223</v>
      </c>
      <c r="H175" s="51">
        <v>8</v>
      </c>
      <c r="I175" s="51">
        <v>140</v>
      </c>
    </row>
    <row r="176" spans="5:9" x14ac:dyDescent="0.25">
      <c r="E176">
        <f t="shared" si="18"/>
        <v>27</v>
      </c>
      <c r="G176" t="s">
        <v>224</v>
      </c>
      <c r="H176" s="51">
        <v>25</v>
      </c>
      <c r="I176" s="51">
        <v>140</v>
      </c>
    </row>
    <row r="177" spans="5:9" x14ac:dyDescent="0.25">
      <c r="E177">
        <f t="shared" si="18"/>
        <v>27</v>
      </c>
      <c r="G177" t="s">
        <v>225</v>
      </c>
      <c r="H177" s="51">
        <v>13</v>
      </c>
      <c r="I177" s="51">
        <v>140</v>
      </c>
    </row>
    <row r="178" spans="5:9" x14ac:dyDescent="0.25">
      <c r="E178">
        <f t="shared" si="18"/>
        <v>27</v>
      </c>
      <c r="G178" t="s">
        <v>226</v>
      </c>
      <c r="H178" s="51">
        <v>40</v>
      </c>
      <c r="I178" s="51">
        <v>140</v>
      </c>
    </row>
    <row r="179" spans="5:9" x14ac:dyDescent="0.25">
      <c r="E179">
        <f t="shared" si="18"/>
        <v>27</v>
      </c>
      <c r="G179" t="s">
        <v>227</v>
      </c>
      <c r="H179" s="51">
        <v>35</v>
      </c>
      <c r="I179" s="51">
        <v>140</v>
      </c>
    </row>
    <row r="180" spans="5:9" x14ac:dyDescent="0.25">
      <c r="E180">
        <f t="shared" si="18"/>
        <v>27</v>
      </c>
      <c r="G180" t="s">
        <v>228</v>
      </c>
      <c r="H180">
        <v>12</v>
      </c>
      <c r="I180" s="51">
        <v>140</v>
      </c>
    </row>
    <row r="181" spans="5:9" x14ac:dyDescent="0.25">
      <c r="E181">
        <f t="shared" si="18"/>
        <v>27</v>
      </c>
      <c r="G181" t="s">
        <v>229</v>
      </c>
      <c r="H181" s="51">
        <v>12</v>
      </c>
      <c r="I181" s="51">
        <v>140</v>
      </c>
    </row>
    <row r="182" spans="5:9" x14ac:dyDescent="0.25">
      <c r="E182">
        <f t="shared" si="18"/>
        <v>27</v>
      </c>
      <c r="G182" t="s">
        <v>230</v>
      </c>
      <c r="H182" s="51">
        <v>6</v>
      </c>
      <c r="I182" s="51">
        <v>140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15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6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11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12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35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27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3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4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3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15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10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33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14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44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31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9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8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4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1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3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/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3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/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8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24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9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28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18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56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32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11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18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6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9</v>
      </c>
      <c r="I219" s="51">
        <v>56</v>
      </c>
    </row>
    <row r="220" spans="5:9" x14ac:dyDescent="0.25">
      <c r="E220">
        <f t="shared" ref="E220:E227" si="23">+$F$219</f>
        <v>32</v>
      </c>
      <c r="G220" t="s">
        <v>223</v>
      </c>
      <c r="H220" s="51">
        <v>2</v>
      </c>
      <c r="I220" s="51">
        <v>56</v>
      </c>
    </row>
    <row r="221" spans="5:9" x14ac:dyDescent="0.25">
      <c r="E221">
        <f t="shared" si="23"/>
        <v>32</v>
      </c>
      <c r="G221" t="s">
        <v>224</v>
      </c>
      <c r="H221" s="51">
        <v>7</v>
      </c>
      <c r="I221" s="51">
        <v>56</v>
      </c>
    </row>
    <row r="222" spans="5:9" x14ac:dyDescent="0.25">
      <c r="E222">
        <f t="shared" si="23"/>
        <v>32</v>
      </c>
      <c r="G222" t="s">
        <v>225</v>
      </c>
      <c r="H222" s="51">
        <v>8</v>
      </c>
      <c r="I222" s="51">
        <v>56</v>
      </c>
    </row>
    <row r="223" spans="5:9" x14ac:dyDescent="0.25">
      <c r="E223">
        <f t="shared" si="23"/>
        <v>32</v>
      </c>
      <c r="G223" t="s">
        <v>226</v>
      </c>
      <c r="H223" s="51">
        <v>15</v>
      </c>
      <c r="I223" s="51">
        <v>56</v>
      </c>
    </row>
    <row r="224" spans="5:9" x14ac:dyDescent="0.25">
      <c r="E224">
        <f t="shared" si="23"/>
        <v>32</v>
      </c>
      <c r="G224" t="s">
        <v>227</v>
      </c>
      <c r="H224" s="51">
        <v>9</v>
      </c>
      <c r="I224" s="51">
        <v>56</v>
      </c>
    </row>
    <row r="225" spans="5:9" x14ac:dyDescent="0.25">
      <c r="E225">
        <f t="shared" si="23"/>
        <v>32</v>
      </c>
      <c r="G225" t="s">
        <v>228</v>
      </c>
      <c r="H225" s="51">
        <v>11</v>
      </c>
      <c r="I225" s="51">
        <v>56</v>
      </c>
    </row>
    <row r="226" spans="5:9" x14ac:dyDescent="0.25">
      <c r="E226">
        <f t="shared" si="23"/>
        <v>32</v>
      </c>
      <c r="G226" t="s">
        <v>229</v>
      </c>
      <c r="H226" s="51">
        <v>8</v>
      </c>
      <c r="I226" s="51">
        <v>56</v>
      </c>
    </row>
    <row r="227" spans="5:9" x14ac:dyDescent="0.25">
      <c r="E227">
        <f t="shared" si="23"/>
        <v>32</v>
      </c>
      <c r="G227" t="s">
        <v>230</v>
      </c>
      <c r="H227" s="51">
        <v>9</v>
      </c>
      <c r="I227" s="51">
        <v>56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13</v>
      </c>
      <c r="I228" s="51">
        <v>172</v>
      </c>
    </row>
    <row r="229" spans="5:9" x14ac:dyDescent="0.25">
      <c r="E229">
        <f t="shared" ref="E229:E236" si="24">+$F$228</f>
        <v>33</v>
      </c>
      <c r="G229" t="s">
        <v>223</v>
      </c>
      <c r="H229" s="51">
        <v>15</v>
      </c>
      <c r="I229" s="51">
        <v>172</v>
      </c>
    </row>
    <row r="230" spans="5:9" x14ac:dyDescent="0.25">
      <c r="E230">
        <f t="shared" si="24"/>
        <v>33</v>
      </c>
      <c r="G230" t="s">
        <v>224</v>
      </c>
      <c r="H230" s="51">
        <v>22</v>
      </c>
      <c r="I230" s="51">
        <v>172</v>
      </c>
    </row>
    <row r="231" spans="5:9" x14ac:dyDescent="0.25">
      <c r="E231">
        <f t="shared" si="24"/>
        <v>33</v>
      </c>
      <c r="G231" t="s">
        <v>225</v>
      </c>
      <c r="H231" s="51">
        <v>13</v>
      </c>
      <c r="I231" s="51">
        <v>172</v>
      </c>
    </row>
    <row r="232" spans="5:9" x14ac:dyDescent="0.25">
      <c r="E232">
        <f t="shared" si="24"/>
        <v>33</v>
      </c>
      <c r="G232" t="s">
        <v>226</v>
      </c>
      <c r="H232" s="51">
        <v>30</v>
      </c>
      <c r="I232" s="51">
        <v>172</v>
      </c>
    </row>
    <row r="233" spans="5:9" x14ac:dyDescent="0.25">
      <c r="E233">
        <f t="shared" si="24"/>
        <v>33</v>
      </c>
      <c r="G233" t="s">
        <v>227</v>
      </c>
      <c r="H233" s="51">
        <v>25</v>
      </c>
      <c r="I233" s="51">
        <v>172</v>
      </c>
    </row>
    <row r="234" spans="5:9" x14ac:dyDescent="0.25">
      <c r="E234">
        <f t="shared" si="24"/>
        <v>33</v>
      </c>
      <c r="G234" t="s">
        <v>228</v>
      </c>
      <c r="H234" s="51">
        <v>2</v>
      </c>
      <c r="I234" s="51">
        <v>172</v>
      </c>
    </row>
    <row r="235" spans="5:9" x14ac:dyDescent="0.25">
      <c r="E235">
        <f t="shared" si="24"/>
        <v>33</v>
      </c>
      <c r="G235" t="s">
        <v>229</v>
      </c>
      <c r="H235" s="51">
        <v>6</v>
      </c>
      <c r="I235" s="51">
        <v>172</v>
      </c>
    </row>
    <row r="236" spans="5:9" x14ac:dyDescent="0.25">
      <c r="E236">
        <f t="shared" si="24"/>
        <v>33</v>
      </c>
      <c r="G236" t="s">
        <v>230</v>
      </c>
      <c r="H236">
        <v>6</v>
      </c>
      <c r="I236" s="51">
        <v>172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10</v>
      </c>
      <c r="I237" s="51">
        <v>156</v>
      </c>
    </row>
    <row r="238" spans="5:9" x14ac:dyDescent="0.25">
      <c r="E238">
        <f t="shared" ref="E238:E245" si="25">+$F$237</f>
        <v>36</v>
      </c>
      <c r="G238" t="s">
        <v>223</v>
      </c>
      <c r="H238" s="51">
        <v>6</v>
      </c>
      <c r="I238" s="51">
        <v>156</v>
      </c>
    </row>
    <row r="239" spans="5:9" x14ac:dyDescent="0.25">
      <c r="E239">
        <f t="shared" si="25"/>
        <v>36</v>
      </c>
      <c r="G239" t="s">
        <v>224</v>
      </c>
      <c r="H239" s="51">
        <v>21</v>
      </c>
      <c r="I239" s="51">
        <v>156</v>
      </c>
    </row>
    <row r="240" spans="5:9" x14ac:dyDescent="0.25">
      <c r="E240">
        <f t="shared" si="25"/>
        <v>36</v>
      </c>
      <c r="G240" t="s">
        <v>225</v>
      </c>
      <c r="H240" s="51">
        <v>15</v>
      </c>
      <c r="I240" s="51">
        <v>156</v>
      </c>
    </row>
    <row r="241" spans="5:9" x14ac:dyDescent="0.25">
      <c r="E241">
        <f t="shared" si="25"/>
        <v>36</v>
      </c>
      <c r="G241" t="s">
        <v>226</v>
      </c>
      <c r="H241" s="51">
        <v>40</v>
      </c>
      <c r="I241" s="51">
        <v>156</v>
      </c>
    </row>
    <row r="242" spans="5:9" x14ac:dyDescent="0.25">
      <c r="E242">
        <f t="shared" si="25"/>
        <v>36</v>
      </c>
      <c r="G242" t="s">
        <v>227</v>
      </c>
      <c r="H242" s="51">
        <v>23</v>
      </c>
      <c r="I242" s="51">
        <v>156</v>
      </c>
    </row>
    <row r="243" spans="5:9" x14ac:dyDescent="0.25">
      <c r="E243">
        <f t="shared" si="25"/>
        <v>36</v>
      </c>
      <c r="G243" t="s">
        <v>228</v>
      </c>
      <c r="H243" s="51">
        <v>8</v>
      </c>
      <c r="I243" s="51">
        <v>156</v>
      </c>
    </row>
    <row r="244" spans="5:9" x14ac:dyDescent="0.25">
      <c r="E244">
        <f t="shared" si="25"/>
        <v>36</v>
      </c>
      <c r="G244" t="s">
        <v>229</v>
      </c>
      <c r="H244">
        <v>3</v>
      </c>
      <c r="I244" s="51">
        <v>156</v>
      </c>
    </row>
    <row r="245" spans="5:9" x14ac:dyDescent="0.25">
      <c r="E245">
        <f t="shared" si="25"/>
        <v>36</v>
      </c>
      <c r="G245" t="s">
        <v>230</v>
      </c>
      <c r="H245" s="51">
        <v>5</v>
      </c>
      <c r="I245" s="51">
        <v>156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3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5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5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15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14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7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8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4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11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10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21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21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47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24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9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10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10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11</v>
      </c>
      <c r="I264" s="51">
        <v>249</v>
      </c>
    </row>
    <row r="265" spans="5:9" x14ac:dyDescent="0.25">
      <c r="E265">
        <f t="shared" ref="E265:E272" si="28">+$F$264</f>
        <v>40</v>
      </c>
      <c r="G265" t="s">
        <v>223</v>
      </c>
      <c r="H265">
        <v>2</v>
      </c>
      <c r="I265" s="51">
        <v>249</v>
      </c>
    </row>
    <row r="266" spans="5:9" x14ac:dyDescent="0.25">
      <c r="E266">
        <f t="shared" si="28"/>
        <v>40</v>
      </c>
      <c r="G266" t="s">
        <v>224</v>
      </c>
      <c r="H266" s="51">
        <v>14</v>
      </c>
      <c r="I266" s="51">
        <v>249</v>
      </c>
    </row>
    <row r="267" spans="5:9" x14ac:dyDescent="0.25">
      <c r="E267">
        <f t="shared" si="28"/>
        <v>40</v>
      </c>
      <c r="G267" t="s">
        <v>225</v>
      </c>
      <c r="H267" s="51">
        <v>15</v>
      </c>
      <c r="I267" s="51">
        <v>249</v>
      </c>
    </row>
    <row r="268" spans="5:9" x14ac:dyDescent="0.25">
      <c r="E268">
        <f t="shared" si="28"/>
        <v>40</v>
      </c>
      <c r="G268" t="s">
        <v>226</v>
      </c>
      <c r="H268">
        <v>34</v>
      </c>
      <c r="I268" s="51">
        <v>249</v>
      </c>
    </row>
    <row r="269" spans="5:9" x14ac:dyDescent="0.25">
      <c r="E269">
        <f t="shared" si="28"/>
        <v>40</v>
      </c>
      <c r="G269" t="s">
        <v>227</v>
      </c>
      <c r="H269" s="51">
        <v>25</v>
      </c>
      <c r="I269" s="51">
        <v>249</v>
      </c>
    </row>
    <row r="270" spans="5:9" x14ac:dyDescent="0.25">
      <c r="E270">
        <f t="shared" si="28"/>
        <v>40</v>
      </c>
      <c r="G270" t="s">
        <v>228</v>
      </c>
      <c r="H270" s="51">
        <v>10</v>
      </c>
      <c r="I270" s="51">
        <v>249</v>
      </c>
    </row>
    <row r="271" spans="5:9" x14ac:dyDescent="0.25">
      <c r="E271">
        <f t="shared" si="28"/>
        <v>40</v>
      </c>
      <c r="G271" t="s">
        <v>229</v>
      </c>
      <c r="H271" s="51">
        <v>6</v>
      </c>
      <c r="I271" s="51">
        <v>249</v>
      </c>
    </row>
    <row r="272" spans="5:9" x14ac:dyDescent="0.25">
      <c r="E272">
        <f t="shared" si="28"/>
        <v>40</v>
      </c>
      <c r="G272" t="s">
        <v>230</v>
      </c>
      <c r="H272" s="51">
        <v>4</v>
      </c>
      <c r="I272" s="51">
        <v>249</v>
      </c>
    </row>
    <row r="273" spans="5:9" x14ac:dyDescent="0.25">
      <c r="E273">
        <f>+$F$273</f>
        <v>42</v>
      </c>
      <c r="F273">
        <v>42</v>
      </c>
      <c r="G273" t="s">
        <v>222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/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/>
      <c r="I275" s="51">
        <v>52</v>
      </c>
    </row>
    <row r="276" spans="5:9" x14ac:dyDescent="0.25">
      <c r="E276">
        <f t="shared" si="29"/>
        <v>42</v>
      </c>
      <c r="G276" t="s">
        <v>225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3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4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1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14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13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35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15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53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41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8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10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5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8</v>
      </c>
      <c r="I300" s="51">
        <v>239</v>
      </c>
    </row>
    <row r="301" spans="5:9" x14ac:dyDescent="0.25">
      <c r="E301">
        <f t="shared" ref="E301:E308" si="32">+$F$300</f>
        <v>49</v>
      </c>
      <c r="G301" t="s">
        <v>223</v>
      </c>
      <c r="H301" s="51">
        <v>8</v>
      </c>
      <c r="I301" s="51">
        <v>239</v>
      </c>
    </row>
    <row r="302" spans="5:9" x14ac:dyDescent="0.25">
      <c r="E302">
        <f t="shared" si="32"/>
        <v>49</v>
      </c>
      <c r="G302" t="s">
        <v>224</v>
      </c>
      <c r="H302" s="51">
        <v>24</v>
      </c>
      <c r="I302" s="51">
        <v>239</v>
      </c>
    </row>
    <row r="303" spans="5:9" x14ac:dyDescent="0.25">
      <c r="E303">
        <f t="shared" si="32"/>
        <v>49</v>
      </c>
      <c r="G303" t="s">
        <v>225</v>
      </c>
      <c r="H303" s="51">
        <v>6</v>
      </c>
      <c r="I303" s="51">
        <v>239</v>
      </c>
    </row>
    <row r="304" spans="5:9" x14ac:dyDescent="0.25">
      <c r="E304">
        <f t="shared" si="32"/>
        <v>49</v>
      </c>
      <c r="G304" t="s">
        <v>226</v>
      </c>
      <c r="H304" s="51">
        <v>19</v>
      </c>
      <c r="I304" s="51">
        <v>239</v>
      </c>
    </row>
    <row r="305" spans="5:9" x14ac:dyDescent="0.25">
      <c r="E305">
        <f t="shared" si="32"/>
        <v>49</v>
      </c>
      <c r="G305" t="s">
        <v>227</v>
      </c>
      <c r="H305" s="51">
        <v>11</v>
      </c>
      <c r="I305" s="51">
        <v>239</v>
      </c>
    </row>
    <row r="306" spans="5:9" x14ac:dyDescent="0.25">
      <c r="E306">
        <f t="shared" si="32"/>
        <v>49</v>
      </c>
      <c r="G306" t="s">
        <v>228</v>
      </c>
      <c r="H306" s="51">
        <v>19</v>
      </c>
      <c r="I306" s="51">
        <v>239</v>
      </c>
    </row>
    <row r="307" spans="5:9" x14ac:dyDescent="0.25">
      <c r="E307">
        <f t="shared" si="32"/>
        <v>49</v>
      </c>
      <c r="G307" t="s">
        <v>229</v>
      </c>
      <c r="H307">
        <v>7</v>
      </c>
      <c r="I307" s="51">
        <v>239</v>
      </c>
    </row>
    <row r="308" spans="5:9" x14ac:dyDescent="0.25">
      <c r="E308">
        <f t="shared" si="32"/>
        <v>49</v>
      </c>
      <c r="G308" t="s">
        <v>230</v>
      </c>
      <c r="H308">
        <v>8</v>
      </c>
      <c r="I308" s="51">
        <v>239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31</v>
      </c>
      <c r="I309" s="51">
        <v>260</v>
      </c>
    </row>
    <row r="310" spans="5:9" x14ac:dyDescent="0.25">
      <c r="E310">
        <f t="shared" ref="E310:E317" si="33">+$F$309</f>
        <v>5</v>
      </c>
      <c r="G310" t="s">
        <v>223</v>
      </c>
      <c r="H310">
        <v>13</v>
      </c>
      <c r="I310" s="51">
        <v>260</v>
      </c>
    </row>
    <row r="311" spans="5:9" x14ac:dyDescent="0.25">
      <c r="E311">
        <f t="shared" si="33"/>
        <v>5</v>
      </c>
      <c r="G311" t="s">
        <v>224</v>
      </c>
      <c r="H311">
        <v>39</v>
      </c>
      <c r="I311" s="51">
        <v>260</v>
      </c>
    </row>
    <row r="312" spans="5:9" x14ac:dyDescent="0.25">
      <c r="E312">
        <f t="shared" si="33"/>
        <v>5</v>
      </c>
      <c r="G312" t="s">
        <v>225</v>
      </c>
      <c r="H312">
        <v>17</v>
      </c>
      <c r="I312" s="51">
        <v>260</v>
      </c>
    </row>
    <row r="313" spans="5:9" x14ac:dyDescent="0.25">
      <c r="E313">
        <f t="shared" si="33"/>
        <v>5</v>
      </c>
      <c r="G313" t="s">
        <v>226</v>
      </c>
      <c r="H313">
        <v>61</v>
      </c>
      <c r="I313" s="51">
        <v>260</v>
      </c>
    </row>
    <row r="314" spans="5:9" x14ac:dyDescent="0.25">
      <c r="E314">
        <f t="shared" si="33"/>
        <v>5</v>
      </c>
      <c r="G314" t="s">
        <v>227</v>
      </c>
      <c r="H314">
        <v>40</v>
      </c>
      <c r="I314" s="51">
        <v>260</v>
      </c>
    </row>
    <row r="315" spans="5:9" x14ac:dyDescent="0.25">
      <c r="E315">
        <f t="shared" si="33"/>
        <v>5</v>
      </c>
      <c r="G315" t="s">
        <v>228</v>
      </c>
      <c r="H315" s="51">
        <v>15</v>
      </c>
      <c r="I315" s="51">
        <v>260</v>
      </c>
    </row>
    <row r="316" spans="5:9" x14ac:dyDescent="0.25">
      <c r="E316">
        <f t="shared" si="33"/>
        <v>5</v>
      </c>
      <c r="G316" t="s">
        <v>229</v>
      </c>
      <c r="H316">
        <v>12</v>
      </c>
      <c r="I316" s="51">
        <v>260</v>
      </c>
    </row>
    <row r="317" spans="5:9" x14ac:dyDescent="0.25">
      <c r="E317">
        <f t="shared" si="33"/>
        <v>5</v>
      </c>
      <c r="G317" t="s">
        <v>230</v>
      </c>
      <c r="H317" s="51">
        <v>10</v>
      </c>
      <c r="I317" s="51">
        <v>260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2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17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20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11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10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28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24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37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29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6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7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16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8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17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6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14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6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18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4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2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/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4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/>
      <c r="I363" s="51">
        <v>120</v>
      </c>
    </row>
    <row r="364" spans="5:9" x14ac:dyDescent="0.25">
      <c r="E364">
        <f t="shared" ref="E364:E371" si="39">+$F$363</f>
        <v>58</v>
      </c>
      <c r="G364" t="s">
        <v>223</v>
      </c>
      <c r="H364" s="51"/>
      <c r="I364" s="51">
        <v>120</v>
      </c>
    </row>
    <row r="365" spans="5:9" x14ac:dyDescent="0.25">
      <c r="E365">
        <f t="shared" si="39"/>
        <v>58</v>
      </c>
      <c r="G365" t="s">
        <v>224</v>
      </c>
      <c r="H365" s="51"/>
      <c r="I365" s="51">
        <v>120</v>
      </c>
    </row>
    <row r="366" spans="5:9" x14ac:dyDescent="0.25">
      <c r="E366">
        <f t="shared" si="39"/>
        <v>58</v>
      </c>
      <c r="G366" t="s">
        <v>225</v>
      </c>
      <c r="H366" s="51"/>
      <c r="I366" s="51">
        <v>120</v>
      </c>
    </row>
    <row r="367" spans="5:9" x14ac:dyDescent="0.25">
      <c r="E367">
        <f t="shared" si="39"/>
        <v>58</v>
      </c>
      <c r="G367" t="s">
        <v>226</v>
      </c>
      <c r="H367" s="51"/>
      <c r="I367" s="51">
        <v>120</v>
      </c>
    </row>
    <row r="368" spans="5:9" x14ac:dyDescent="0.25">
      <c r="E368">
        <f t="shared" si="39"/>
        <v>58</v>
      </c>
      <c r="G368" t="s">
        <v>227</v>
      </c>
      <c r="H368" s="51"/>
      <c r="I368" s="51">
        <v>120</v>
      </c>
    </row>
    <row r="369" spans="5:9" x14ac:dyDescent="0.25">
      <c r="E369">
        <f t="shared" si="39"/>
        <v>58</v>
      </c>
      <c r="G369" t="s">
        <v>228</v>
      </c>
      <c r="H369" s="51"/>
      <c r="I369" s="51">
        <v>120</v>
      </c>
    </row>
    <row r="370" spans="5:9" x14ac:dyDescent="0.25">
      <c r="E370">
        <f t="shared" si="39"/>
        <v>58</v>
      </c>
      <c r="G370" t="s">
        <v>229</v>
      </c>
      <c r="H370" s="51"/>
      <c r="I370" s="51">
        <v>120</v>
      </c>
    </row>
    <row r="371" spans="5:9" x14ac:dyDescent="0.25">
      <c r="E371">
        <f t="shared" si="39"/>
        <v>58</v>
      </c>
      <c r="G371" t="s">
        <v>230</v>
      </c>
      <c r="H371" s="35"/>
      <c r="I371" s="35">
        <v>120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1</v>
      </c>
      <c r="I372">
        <v>120</v>
      </c>
    </row>
    <row r="373" spans="5:9" x14ac:dyDescent="0.25">
      <c r="E373">
        <f t="shared" ref="E373:E380" si="40">+$F$372</f>
        <v>59</v>
      </c>
      <c r="G373" t="s">
        <v>223</v>
      </c>
      <c r="I373">
        <v>120</v>
      </c>
    </row>
    <row r="374" spans="5:9" x14ac:dyDescent="0.25">
      <c r="E374">
        <f t="shared" si="40"/>
        <v>59</v>
      </c>
      <c r="G374" t="s">
        <v>224</v>
      </c>
      <c r="I374">
        <v>120</v>
      </c>
    </row>
    <row r="375" spans="5:9" x14ac:dyDescent="0.25">
      <c r="E375">
        <f t="shared" si="40"/>
        <v>59</v>
      </c>
      <c r="G375" t="s">
        <v>225</v>
      </c>
      <c r="I375">
        <v>120</v>
      </c>
    </row>
    <row r="376" spans="5:9" x14ac:dyDescent="0.25">
      <c r="E376">
        <f t="shared" si="40"/>
        <v>59</v>
      </c>
      <c r="G376" t="s">
        <v>226</v>
      </c>
      <c r="I376">
        <v>120</v>
      </c>
    </row>
    <row r="377" spans="5:9" x14ac:dyDescent="0.25">
      <c r="E377">
        <f t="shared" si="40"/>
        <v>59</v>
      </c>
      <c r="G377" t="s">
        <v>227</v>
      </c>
      <c r="I377">
        <v>120</v>
      </c>
    </row>
    <row r="378" spans="5:9" x14ac:dyDescent="0.25">
      <c r="E378">
        <f t="shared" si="40"/>
        <v>59</v>
      </c>
      <c r="G378" t="s">
        <v>228</v>
      </c>
      <c r="I378">
        <v>120</v>
      </c>
    </row>
    <row r="379" spans="5:9" x14ac:dyDescent="0.25">
      <c r="E379">
        <f t="shared" si="40"/>
        <v>59</v>
      </c>
      <c r="G379" t="s">
        <v>229</v>
      </c>
      <c r="I379">
        <v>120</v>
      </c>
    </row>
    <row r="380" spans="5:9" x14ac:dyDescent="0.25">
      <c r="E380">
        <f t="shared" si="40"/>
        <v>59</v>
      </c>
      <c r="G380" t="s">
        <v>230</v>
      </c>
      <c r="I380">
        <v>120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1</v>
      </c>
      <c r="I381">
        <v>113</v>
      </c>
    </row>
    <row r="382" spans="5:9" x14ac:dyDescent="0.25">
      <c r="E382">
        <f t="shared" ref="E382:E389" si="41">+$F$381</f>
        <v>7</v>
      </c>
      <c r="G382" t="s">
        <v>223</v>
      </c>
      <c r="I382">
        <v>113</v>
      </c>
    </row>
    <row r="383" spans="5:9" x14ac:dyDescent="0.25">
      <c r="E383">
        <f t="shared" si="41"/>
        <v>7</v>
      </c>
      <c r="G383" t="s">
        <v>224</v>
      </c>
      <c r="H383">
        <v>2</v>
      </c>
      <c r="I383">
        <v>113</v>
      </c>
    </row>
    <row r="384" spans="5:9" x14ac:dyDescent="0.25">
      <c r="E384">
        <f t="shared" si="41"/>
        <v>7</v>
      </c>
      <c r="G384" t="s">
        <v>225</v>
      </c>
      <c r="I384">
        <v>113</v>
      </c>
    </row>
    <row r="385" spans="5:9" x14ac:dyDescent="0.25">
      <c r="E385">
        <f t="shared" si="41"/>
        <v>7</v>
      </c>
      <c r="G385" t="s">
        <v>226</v>
      </c>
      <c r="H385">
        <v>1</v>
      </c>
      <c r="I385">
        <v>113</v>
      </c>
    </row>
    <row r="386" spans="5:9" x14ac:dyDescent="0.25">
      <c r="E386">
        <f t="shared" si="41"/>
        <v>7</v>
      </c>
      <c r="G386" t="s">
        <v>227</v>
      </c>
      <c r="H386">
        <v>1</v>
      </c>
      <c r="I386">
        <v>113</v>
      </c>
    </row>
    <row r="387" spans="5:9" x14ac:dyDescent="0.25">
      <c r="E387">
        <f t="shared" si="41"/>
        <v>7</v>
      </c>
      <c r="G387" t="s">
        <v>228</v>
      </c>
      <c r="H387">
        <v>1</v>
      </c>
      <c r="I387">
        <v>113</v>
      </c>
    </row>
    <row r="388" spans="5:9" x14ac:dyDescent="0.25">
      <c r="E388">
        <f t="shared" si="41"/>
        <v>7</v>
      </c>
      <c r="G388" t="s">
        <v>229</v>
      </c>
      <c r="I388">
        <v>113</v>
      </c>
    </row>
    <row r="389" spans="5:9" x14ac:dyDescent="0.25">
      <c r="E389">
        <f t="shared" si="41"/>
        <v>7</v>
      </c>
      <c r="G389" t="s">
        <v>230</v>
      </c>
      <c r="I389">
        <v>113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18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22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10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34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29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9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14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18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17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15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24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27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2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10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7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COMISIONES</vt:lpstr>
      <vt:lpstr>AVANCE</vt:lpstr>
      <vt:lpstr>COBERTURA</vt:lpstr>
      <vt:lpstr>Venta C</vt:lpstr>
      <vt:lpstr>Base Cobertura</vt:lpstr>
      <vt:lpstr>Base venta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2026-06-05T17:59:52Z</dcterms:modified>
</cp:coreProperties>
</file>