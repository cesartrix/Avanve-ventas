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13_ncr:1_{7E8FB413-BC47-441C-98E4-6E7E8738172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  <sheet name="Historico Julio" sheetId="20" r:id="rId14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" i="3" l="1"/>
  <c r="P45" i="3"/>
  <c r="P44" i="3"/>
  <c r="P43" i="3"/>
  <c r="P41" i="3"/>
  <c r="P40" i="3"/>
  <c r="P39" i="3"/>
  <c r="P47" i="3" s="1"/>
  <c r="P42" i="3"/>
  <c r="P23" i="3"/>
  <c r="P22" i="3"/>
  <c r="P21" i="3"/>
  <c r="P20" i="3"/>
  <c r="P19" i="3"/>
  <c r="P18" i="3"/>
  <c r="P17" i="3"/>
  <c r="P16" i="3"/>
  <c r="P38" i="3"/>
  <c r="P24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2" i="3"/>
  <c r="E416" i="9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P48" i="3" l="1"/>
  <c r="I3" i="6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<sst xmlns="http://schemas.openxmlformats.org/spreadsheetml/2006/main" count="1612" uniqueCount="285">
  <si>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</si>
  <si>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</si>
  <si>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</si>
  <si>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</si>
  <si>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</si>
  <si>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</si>
  <si>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</si>
  <si>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</si>
  <si>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</si>
  <si>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</si>
  <si>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</si>
  <si>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</si>
  <si>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</si>
  <si>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</si>
  <si>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</si>
  <si>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</si>
  <si>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</si>
  <si>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</si>
  <si>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</si>
  <si>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</si>
  <si>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</si>
  <si>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</si>
  <si>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</si>
  <si>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</si>
  <si>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</si>
  <si>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</si>
  <si>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</si>
  <si>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</si>
  <si>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</si>
  <si>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</si>
  <si>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</si>
  <si>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</si>
  <si>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</si>
  <si>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</si>
  <si>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</si>
  <si>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</si>
  <si>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</si>
  <si>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</si>
  <si>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</si>
  <si>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</si>
  <si>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</si>
  <si>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</si>
  <si>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</si>
  <si>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</si>
  <si>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</si>
  <si>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</si>
  <si>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</si>
  <si>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</si>
  <si>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</si>
  <si>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</si>
  <si>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</si>
  <si>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</si>
  <si>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</si>
  <si>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</si>
  <si>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</si>
  <si>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</si>
  <si>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</si>
  <si>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</si>
  <si>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</si>
  <si>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</si>
  <si>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</si>
  <si>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</si>
  <si>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</si>
  <si>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</si>
  <si>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</si>
  <si>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</si>
  <si>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</si>
  <si>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</si>
  <si>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</si>
  <si>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</si>
  <si>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</si>
  <si>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</si>
  <si>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</si>
  <si>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</si>
  <si>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</si>
  <si>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</si>
  <si>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</si>
  <si>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</si>
  <si>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</si>
  <si>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</si>
  <si>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</si>
  <si>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</si>
  <si>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</si>
  <si>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</si>
  <si>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</si>
  <si>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</si>
  <si>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</si>
  <si>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</si>
  <si>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</si>
  <si>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</si>
  <si>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</si>
  <si>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</si>
  <si>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</si>
  <si>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</si>
  <si>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</si>
  <si>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</si>
  <si>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</si>
  <si>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</si>
  <si>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</si>
  <si>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</si>
  <si>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</si>
  <si>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</si>
  <si>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</si>
  <si>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</si>
  <si>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</si>
  <si>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</si>
  <si>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</si>
  <si>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</si>
  <si>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</si>
  <si>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</si>
  <si>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</si>
  <si>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</si>
  <si>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</si>
  <si>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</si>
  <si>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</si>
  <si>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</si>
  <si>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</si>
  <si>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</si>
  <si>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</si>
  <si>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</si>
  <si>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</si>
  <si>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</si>
  <si>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</si>
  <si>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</si>
  <si>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</si>
  <si>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</si>
  <si>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</si>
  <si>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</si>
  <si>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</si>
  <si>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</si>
  <si>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</si>
  <si>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</si>
  <si>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</si>
  <si>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</si>
  <si>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</si>
  <si>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</si>
  <si>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</si>
  <si>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</si>
  <si>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</si>
  <si>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</si>
  <si>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</si>
  <si>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</si>
  <si>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</si>
  <si>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</si>
  <si>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</si>
  <si>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</si>
  <si>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</si>
  <si>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</si>
  <si>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</si>
  <si>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</si>
  <si>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</si>
  <si>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</si>
  <si>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</si>
  <si>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</si>
  <si>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</si>
  <si>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</si>
  <si>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</si>
  <si>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</si>
  <si>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</si>
  <si>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</si>
  <si>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</si>
  <si>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</si>
  <si>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</si>
  <si>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</si>
  <si>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</si>
  <si>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</si>
  <si>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</si>
  <si>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</si>
  <si>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</si>
  <si>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</si>
  <si>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</si>
  <si>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</si>
  <si>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</si>
  <si>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</si>
  <si>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</si>
  <si>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</si>
  <si>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</si>
  <si>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</si>
  <si>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</si>
  <si>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</si>
  <si>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</si>
  <si>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</si>
  <si>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</si>
  <si>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</si>
  <si>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</si>
  <si>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</si>
  <si>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</si>
  <si>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</si>
  <si>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</si>
  <si>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</si>
  <si>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</si>
  <si>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</si>
  <si>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</si>
  <si>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</si>
  <si>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</si>
  <si>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</si>
  <si>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</si>
  <si>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</si>
  <si>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</si>
  <si>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</si>
  <si>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</si>
  <si>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</si>
  <si>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</si>
  <si>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</si>
  <si>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</si>
  <si>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</si>
  <si>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</si>
  <si>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</si>
  <si>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</si>
  <si>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</si>
  <si>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</si>
  <si>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</si>
  <si>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</si>
  <si>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</si>
  <si>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</si>
  <si>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</si>
  <si>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</si>
  <si>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</si>
  <si>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</si>
  <si>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</si>
  <si>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</si>
  <si>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</si>
  <si>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</si>
  <si>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</si>
  <si>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</si>
  <si>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</si>
  <si>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</si>
  <si>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</si>
  <si>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</si>
  <si>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</si>
  <si>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</si>
  <si>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</si>
  <si>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</si>
  <si>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</si>
  <si>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</si>
  <si>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</si>
  <si>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</si>
  <si>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</si>
  <si>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</si>
  <si>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</si>
  <si>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</si>
  <si>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</si>
  <si>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</si>
  <si>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</si>
  <si>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</si>
  <si>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</si>
  <si>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</si>
  <si>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</si>
  <si>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</si>
  <si>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</si>
  <si>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</si>
  <si>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</si>
  <si>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</si>
  <si>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</si>
  <si>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</si>
  <si>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</si>
  <si>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</si>
  <si>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</si>
  <si>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</si>
  <si>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</si>
  <si>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</si>
  <si>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</si>
  <si>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</si>
  <si>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</si>
  <si>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</si>
  <si>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</si>
  <si>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</si>
  <si>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</si>
  <si>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</si>
  <si>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</si>
  <si>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</si>
  <si>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</si>
  <si>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</si>
  <si>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</si>
  <si>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</si>
  <si>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142 - ALMACEN</t>
  </si>
  <si>
    <t>142 - Articulos Sin Asociar Agrupacion</t>
  </si>
  <si>
    <t>142 - BEBIDAS</t>
  </si>
  <si>
    <t>142 - CHOCOLATE</t>
  </si>
  <si>
    <t>142 - GALLETITAS</t>
  </si>
  <si>
    <t>142 - GOLOSINAS</t>
  </si>
  <si>
    <t>142 - MASCOTAS</t>
  </si>
  <si>
    <t>142 - NO PERECEDEROS</t>
  </si>
  <si>
    <t>142 - PILAS</t>
  </si>
  <si>
    <t>57 - FEDERRATH MARTIN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</si>
</sst>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  <numFmt numFmtId="170" formatCode="&quot;$&quot;#,##0.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3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23" fillId="38" borderId="18" xfId="0" applyFont="1" applyFill="1" applyBorder="1" applyAlignment="1">
      <alignment horizontal="left" vertical="center"/>
    </xf>
    <xf numFmtId="170" fontId="0" fillId="0" borderId="0" xfId="0" applyNumberFormat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3"/>
  <sheetViews>
    <sheetView workbookViewId="0">
      <selection sqref="A1:H43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42" t="s">
        <v>75</v>
      </c>
      <c r="B1" s="142" t="s">
        <v>146</v>
      </c>
      <c r="C1" s="142" t="s">
        <v>147</v>
      </c>
      <c r="D1" s="142" t="s">
        <v>148</v>
      </c>
      <c r="E1" s="142" t="s">
        <v>149</v>
      </c>
      <c r="F1" s="142" t="s">
        <v>150</v>
      </c>
      <c r="G1" s="142" t="s">
        <v>151</v>
      </c>
      <c r="H1" s="142" t="s">
        <v>152</v>
      </c>
    </row>
    <row r="2" spans="1:8" x14ac:dyDescent="0.25">
      <c r="A2" t="s">
        <v>153</v>
      </c>
      <c r="B2">
        <v>0</v>
      </c>
      <c r="C2">
        <v>8907.0003214249991</v>
      </c>
      <c r="D2">
        <v>38221.612931586496</v>
      </c>
      <c r="E2">
        <v>178407324.83706194</v>
      </c>
      <c r="F2">
        <v>0</v>
      </c>
      <c r="G2">
        <v>99286.209765210093</v>
      </c>
      <c r="H2">
        <v>99286.21</v>
      </c>
    </row>
    <row r="3" spans="1:8" x14ac:dyDescent="0.25">
      <c r="A3" t="s">
        <v>80</v>
      </c>
      <c r="B3">
        <v>1</v>
      </c>
      <c r="C3">
        <v>124.6792658728</v>
      </c>
      <c r="D3">
        <v>284.0434077415</v>
      </c>
      <c r="E3">
        <v>3309540.3255070136</v>
      </c>
      <c r="F3">
        <v>0</v>
      </c>
      <c r="G3">
        <v>99286.209765210093</v>
      </c>
      <c r="H3">
        <v>99286.21</v>
      </c>
    </row>
    <row r="4" spans="1:8" x14ac:dyDescent="0.25">
      <c r="A4" t="s">
        <v>81</v>
      </c>
      <c r="B4">
        <v>1</v>
      </c>
      <c r="C4">
        <v>117.48323412729999</v>
      </c>
      <c r="D4">
        <v>109.5187500044</v>
      </c>
      <c r="E4">
        <v>2005760.5287147206</v>
      </c>
      <c r="F4">
        <v>0</v>
      </c>
      <c r="G4">
        <v>0</v>
      </c>
      <c r="H4">
        <v>0</v>
      </c>
    </row>
    <row r="5" spans="1:8" x14ac:dyDescent="0.25">
      <c r="A5" t="s">
        <v>82</v>
      </c>
      <c r="B5">
        <v>1</v>
      </c>
      <c r="C5">
        <v>92.435119046799997</v>
      </c>
      <c r="D5">
        <v>252.537678567</v>
      </c>
      <c r="E5">
        <v>2539763.9949347642</v>
      </c>
      <c r="F5">
        <v>0</v>
      </c>
      <c r="G5">
        <v>0</v>
      </c>
      <c r="H5">
        <v>0</v>
      </c>
    </row>
    <row r="6" spans="1:8" x14ac:dyDescent="0.25">
      <c r="A6" t="s">
        <v>83</v>
      </c>
      <c r="B6">
        <v>1</v>
      </c>
      <c r="C6">
        <v>157.22708333329999</v>
      </c>
      <c r="D6">
        <v>270.30892857549998</v>
      </c>
      <c r="E6">
        <v>3800749.2921959595</v>
      </c>
      <c r="F6">
        <v>0</v>
      </c>
      <c r="G6">
        <v>0</v>
      </c>
      <c r="H6">
        <v>0</v>
      </c>
    </row>
    <row r="7" spans="1:8" x14ac:dyDescent="0.25">
      <c r="A7" t="s">
        <v>84</v>
      </c>
      <c r="B7">
        <v>1</v>
      </c>
      <c r="C7">
        <v>131.4931746032</v>
      </c>
      <c r="D7">
        <v>382.04000000740001</v>
      </c>
      <c r="E7">
        <v>2481925.7966806726</v>
      </c>
      <c r="F7">
        <v>0</v>
      </c>
      <c r="G7">
        <v>0</v>
      </c>
      <c r="H7">
        <v>0</v>
      </c>
    </row>
    <row r="8" spans="1:8" x14ac:dyDescent="0.25">
      <c r="A8" t="s">
        <v>110</v>
      </c>
      <c r="B8">
        <v>1</v>
      </c>
      <c r="C8">
        <v>395.4166666667</v>
      </c>
      <c r="D8">
        <v>1224.2700000003999</v>
      </c>
      <c r="E8">
        <v>13251421.94303805</v>
      </c>
      <c r="F8">
        <v>0</v>
      </c>
      <c r="G8">
        <v>0</v>
      </c>
      <c r="H8">
        <v>0</v>
      </c>
    </row>
    <row r="9" spans="1:8" x14ac:dyDescent="0.25">
      <c r="A9" t="s">
        <v>269</v>
      </c>
      <c r="B9">
        <v>1</v>
      </c>
      <c r="C9">
        <v>80.383531745699997</v>
      </c>
      <c r="D9">
        <v>195.78750000060001</v>
      </c>
      <c r="E9">
        <v>1423105.3891924161</v>
      </c>
      <c r="F9">
        <v>0</v>
      </c>
      <c r="G9">
        <v>0</v>
      </c>
      <c r="H9">
        <v>0</v>
      </c>
    </row>
    <row r="10" spans="1:8" x14ac:dyDescent="0.25">
      <c r="A10" t="s">
        <v>86</v>
      </c>
      <c r="B10">
        <v>1</v>
      </c>
      <c r="C10">
        <v>103.77355158749999</v>
      </c>
      <c r="D10">
        <v>163.01655952600001</v>
      </c>
      <c r="E10">
        <v>2138310.9760203827</v>
      </c>
      <c r="F10">
        <v>0</v>
      </c>
      <c r="G10">
        <v>0</v>
      </c>
      <c r="H10">
        <v>0</v>
      </c>
    </row>
    <row r="11" spans="1:8" x14ac:dyDescent="0.25">
      <c r="A11" t="s">
        <v>210</v>
      </c>
      <c r="B11">
        <v>1</v>
      </c>
      <c r="C11">
        <v>74.415178571400006</v>
      </c>
      <c r="D11">
        <v>47.449583337100002</v>
      </c>
      <c r="E11">
        <v>1515047.2062076211</v>
      </c>
      <c r="F11">
        <v>0</v>
      </c>
      <c r="G11">
        <v>0</v>
      </c>
      <c r="H11">
        <v>0</v>
      </c>
    </row>
    <row r="12" spans="1:8" x14ac:dyDescent="0.25">
      <c r="A12" t="s">
        <v>209</v>
      </c>
      <c r="B12">
        <v>1</v>
      </c>
      <c r="C12">
        <v>125.8107142859</v>
      </c>
      <c r="D12">
        <v>220.5050000016</v>
      </c>
      <c r="E12">
        <v>2286206.0618880419</v>
      </c>
      <c r="F12">
        <v>0</v>
      </c>
      <c r="G12">
        <v>0</v>
      </c>
      <c r="H12">
        <v>0</v>
      </c>
    </row>
    <row r="13" spans="1:8" x14ac:dyDescent="0.25">
      <c r="A13" t="s">
        <v>89</v>
      </c>
      <c r="B13">
        <v>1</v>
      </c>
      <c r="C13">
        <v>94.447202380899995</v>
      </c>
      <c r="D13">
        <v>390.88910714090002</v>
      </c>
      <c r="E13">
        <v>2636534.0707976553</v>
      </c>
      <c r="F13">
        <v>0</v>
      </c>
      <c r="G13">
        <v>0</v>
      </c>
      <c r="H13">
        <v>0</v>
      </c>
    </row>
    <row r="14" spans="1:8" x14ac:dyDescent="0.25">
      <c r="A14" t="s">
        <v>90</v>
      </c>
      <c r="B14">
        <v>1</v>
      </c>
      <c r="C14">
        <v>605.17976190479999</v>
      </c>
      <c r="D14">
        <v>1881.7242857128001</v>
      </c>
      <c r="E14">
        <v>10658290.360380379</v>
      </c>
      <c r="F14">
        <v>0</v>
      </c>
      <c r="G14">
        <v>0</v>
      </c>
      <c r="H14">
        <v>0</v>
      </c>
    </row>
    <row r="15" spans="1:8" x14ac:dyDescent="0.25">
      <c r="A15" t="s">
        <v>91</v>
      </c>
      <c r="B15">
        <v>1</v>
      </c>
      <c r="C15">
        <v>139.63034127029999</v>
      </c>
      <c r="D15">
        <v>384.60125000030001</v>
      </c>
      <c r="E15">
        <v>2791922.5290083173</v>
      </c>
      <c r="F15">
        <v>0</v>
      </c>
      <c r="G15">
        <v>0</v>
      </c>
      <c r="H15">
        <v>0</v>
      </c>
    </row>
    <row r="16" spans="1:8" x14ac:dyDescent="0.25">
      <c r="A16" t="s">
        <v>92</v>
      </c>
      <c r="B16">
        <v>1</v>
      </c>
      <c r="C16">
        <v>92.551984126799994</v>
      </c>
      <c r="D16">
        <v>344.79000000259998</v>
      </c>
      <c r="E16">
        <v>2809522.8802084369</v>
      </c>
      <c r="F16">
        <v>0</v>
      </c>
      <c r="G16">
        <v>0</v>
      </c>
      <c r="H16">
        <v>0</v>
      </c>
    </row>
    <row r="17" spans="1:8" x14ac:dyDescent="0.25">
      <c r="A17" t="s">
        <v>93</v>
      </c>
      <c r="B17">
        <v>1</v>
      </c>
      <c r="C17">
        <v>143.76990079300001</v>
      </c>
      <c r="D17">
        <v>495.05308333549999</v>
      </c>
      <c r="E17">
        <v>3294868.3641239931</v>
      </c>
      <c r="F17">
        <v>0</v>
      </c>
      <c r="G17">
        <v>0</v>
      </c>
      <c r="H17">
        <v>0</v>
      </c>
    </row>
    <row r="18" spans="1:8" x14ac:dyDescent="0.25">
      <c r="A18" t="s">
        <v>94</v>
      </c>
      <c r="B18">
        <v>1</v>
      </c>
      <c r="C18">
        <v>336.93230158699998</v>
      </c>
      <c r="D18">
        <v>896.64666666319999</v>
      </c>
      <c r="E18">
        <v>5972410.1615108997</v>
      </c>
      <c r="F18">
        <v>0</v>
      </c>
      <c r="G18">
        <v>0</v>
      </c>
      <c r="H18">
        <v>0</v>
      </c>
    </row>
    <row r="19" spans="1:8" x14ac:dyDescent="0.25">
      <c r="A19" t="s">
        <v>95</v>
      </c>
      <c r="B19">
        <v>1</v>
      </c>
      <c r="C19">
        <v>231.45453042369999</v>
      </c>
      <c r="D19">
        <v>526.76249999779998</v>
      </c>
      <c r="E19">
        <v>4496479.3262617178</v>
      </c>
      <c r="F19">
        <v>0</v>
      </c>
      <c r="G19">
        <v>0</v>
      </c>
      <c r="H19">
        <v>0</v>
      </c>
    </row>
    <row r="20" spans="1:8" x14ac:dyDescent="0.25">
      <c r="A20" t="s">
        <v>96</v>
      </c>
      <c r="B20">
        <v>1</v>
      </c>
      <c r="C20">
        <v>1296.1371031744</v>
      </c>
      <c r="D20">
        <v>2515.2180952368999</v>
      </c>
      <c r="E20">
        <v>15952320.537641706</v>
      </c>
      <c r="F20">
        <v>0</v>
      </c>
      <c r="G20">
        <v>0</v>
      </c>
      <c r="H20">
        <v>0</v>
      </c>
    </row>
    <row r="21" spans="1:8" x14ac:dyDescent="0.25">
      <c r="A21" t="s">
        <v>97</v>
      </c>
      <c r="B21">
        <v>1</v>
      </c>
      <c r="C21">
        <v>117.5143055555</v>
      </c>
      <c r="D21">
        <v>373.41016666989998</v>
      </c>
      <c r="E21">
        <v>2639381.27863609</v>
      </c>
      <c r="F21">
        <v>0</v>
      </c>
      <c r="G21">
        <v>0</v>
      </c>
      <c r="H21">
        <v>0</v>
      </c>
    </row>
    <row r="22" spans="1:8" x14ac:dyDescent="0.25">
      <c r="A22" t="s">
        <v>274</v>
      </c>
      <c r="B22">
        <v>1</v>
      </c>
      <c r="C22">
        <v>87.730277777200001</v>
      </c>
      <c r="D22">
        <v>167.514999999</v>
      </c>
      <c r="E22">
        <v>2209452.8796649785</v>
      </c>
      <c r="F22">
        <v>0</v>
      </c>
      <c r="G22">
        <v>0</v>
      </c>
      <c r="H22">
        <v>0</v>
      </c>
    </row>
    <row r="23" spans="1:8" x14ac:dyDescent="0.25">
      <c r="A23" t="s">
        <v>266</v>
      </c>
      <c r="B23">
        <v>1</v>
      </c>
      <c r="C23">
        <v>114.88833333319999</v>
      </c>
      <c r="D23">
        <v>261.0049999986</v>
      </c>
      <c r="E23">
        <v>2923678.1117493762</v>
      </c>
      <c r="F23">
        <v>0</v>
      </c>
      <c r="G23">
        <v>0</v>
      </c>
      <c r="H23">
        <v>0</v>
      </c>
    </row>
    <row r="24" spans="1:8" x14ac:dyDescent="0.25">
      <c r="A24" t="s">
        <v>265</v>
      </c>
      <c r="B24">
        <v>1</v>
      </c>
      <c r="C24">
        <v>1044.7236111113</v>
      </c>
      <c r="D24">
        <v>8912.2326071470998</v>
      </c>
      <c r="E24">
        <v>22371341.880147766</v>
      </c>
      <c r="F24">
        <v>0</v>
      </c>
      <c r="G24">
        <v>0</v>
      </c>
      <c r="H24">
        <v>0</v>
      </c>
    </row>
    <row r="25" spans="1:8" x14ac:dyDescent="0.25">
      <c r="A25" t="s">
        <v>98</v>
      </c>
      <c r="B25">
        <v>1</v>
      </c>
      <c r="C25">
        <v>54.4203373016</v>
      </c>
      <c r="D25">
        <v>179.26250000159999</v>
      </c>
      <c r="E25">
        <v>1166677.533230609</v>
      </c>
      <c r="F25">
        <v>0</v>
      </c>
      <c r="G25">
        <v>0</v>
      </c>
      <c r="H25">
        <v>0</v>
      </c>
    </row>
    <row r="26" spans="1:8" x14ac:dyDescent="0.25">
      <c r="A26" t="s">
        <v>99</v>
      </c>
      <c r="B26">
        <v>1</v>
      </c>
      <c r="C26">
        <v>86.549603174200001</v>
      </c>
      <c r="D26">
        <v>85.518999996999995</v>
      </c>
      <c r="E26">
        <v>1531376.1832633617</v>
      </c>
      <c r="F26">
        <v>0</v>
      </c>
      <c r="G26">
        <v>0</v>
      </c>
      <c r="H26">
        <v>0</v>
      </c>
    </row>
    <row r="27" spans="1:8" x14ac:dyDescent="0.25">
      <c r="A27" t="s">
        <v>218</v>
      </c>
      <c r="B27">
        <v>1</v>
      </c>
      <c r="C27">
        <v>156.9344444445</v>
      </c>
      <c r="D27">
        <v>448.30392857449999</v>
      </c>
      <c r="E27">
        <v>3344638.0010631969</v>
      </c>
      <c r="F27">
        <v>0</v>
      </c>
      <c r="G27">
        <v>0</v>
      </c>
      <c r="H27">
        <v>0</v>
      </c>
    </row>
    <row r="28" spans="1:8" x14ac:dyDescent="0.25">
      <c r="A28" t="s">
        <v>211</v>
      </c>
      <c r="B28">
        <v>1</v>
      </c>
      <c r="C28">
        <v>197.22175925920001</v>
      </c>
      <c r="D28">
        <v>781.30500000170002</v>
      </c>
      <c r="E28">
        <v>3813088.6969673904</v>
      </c>
      <c r="F28">
        <v>0</v>
      </c>
      <c r="G28">
        <v>0</v>
      </c>
      <c r="H28">
        <v>0</v>
      </c>
    </row>
    <row r="29" spans="1:8" x14ac:dyDescent="0.25">
      <c r="A29" t="s">
        <v>138</v>
      </c>
      <c r="B29">
        <v>1</v>
      </c>
      <c r="C29">
        <v>47.449999999399999</v>
      </c>
      <c r="D29">
        <v>93.757499999999993</v>
      </c>
      <c r="E29">
        <v>1155215.0172623193</v>
      </c>
      <c r="F29">
        <v>0</v>
      </c>
      <c r="G29">
        <v>0</v>
      </c>
      <c r="H29">
        <v>0</v>
      </c>
    </row>
    <row r="30" spans="1:8" x14ac:dyDescent="0.25">
      <c r="A30" t="s">
        <v>213</v>
      </c>
      <c r="B30">
        <v>1</v>
      </c>
      <c r="C30">
        <v>111.85297619000001</v>
      </c>
      <c r="D30">
        <v>114.2525000004</v>
      </c>
      <c r="E30">
        <v>1882261.6002979665</v>
      </c>
      <c r="F30">
        <v>0</v>
      </c>
      <c r="G30">
        <v>0</v>
      </c>
      <c r="H30">
        <v>0</v>
      </c>
    </row>
    <row r="31" spans="1:8" x14ac:dyDescent="0.25">
      <c r="A31" t="s">
        <v>272</v>
      </c>
      <c r="B31">
        <v>1</v>
      </c>
      <c r="C31">
        <v>143.3835317457</v>
      </c>
      <c r="D31">
        <v>53.505000000400003</v>
      </c>
      <c r="E31">
        <v>1831514.0723396542</v>
      </c>
      <c r="F31">
        <v>0</v>
      </c>
      <c r="G31">
        <v>0</v>
      </c>
      <c r="H31">
        <v>0</v>
      </c>
    </row>
    <row r="32" spans="1:8" x14ac:dyDescent="0.25">
      <c r="A32" t="s">
        <v>212</v>
      </c>
      <c r="B32">
        <v>1</v>
      </c>
      <c r="C32">
        <v>133.04894841300001</v>
      </c>
      <c r="D32">
        <v>565.13666666730001</v>
      </c>
      <c r="E32">
        <v>2561364.7764617526</v>
      </c>
      <c r="F32">
        <v>0</v>
      </c>
      <c r="G32">
        <v>0</v>
      </c>
      <c r="H32">
        <v>0</v>
      </c>
    </row>
    <row r="33" spans="1:8" x14ac:dyDescent="0.25">
      <c r="A33" t="s">
        <v>267</v>
      </c>
      <c r="B33">
        <v>1</v>
      </c>
      <c r="C33">
        <v>208.45833333339999</v>
      </c>
      <c r="D33">
        <v>1299.8599999999999</v>
      </c>
      <c r="E33">
        <v>3242995.6574940565</v>
      </c>
      <c r="F33">
        <v>0</v>
      </c>
      <c r="G33">
        <v>0</v>
      </c>
      <c r="H33">
        <v>0</v>
      </c>
    </row>
    <row r="34" spans="1:8" x14ac:dyDescent="0.25">
      <c r="A34" t="s">
        <v>160</v>
      </c>
      <c r="B34">
        <v>1</v>
      </c>
      <c r="C34">
        <v>75.267460316500006</v>
      </c>
      <c r="D34">
        <v>176.25749999959999</v>
      </c>
      <c r="E34">
        <v>1765164.2460201115</v>
      </c>
      <c r="F34">
        <v>0</v>
      </c>
      <c r="G34">
        <v>0</v>
      </c>
      <c r="H34">
        <v>0</v>
      </c>
    </row>
    <row r="35" spans="1:8" x14ac:dyDescent="0.25">
      <c r="A35" t="s">
        <v>106</v>
      </c>
      <c r="B35">
        <v>1</v>
      </c>
      <c r="C35">
        <v>380.40910714310002</v>
      </c>
      <c r="D35">
        <v>1995.6685833337001</v>
      </c>
      <c r="E35">
        <v>10831777.123155374</v>
      </c>
      <c r="F35">
        <v>0</v>
      </c>
      <c r="G35">
        <v>0</v>
      </c>
      <c r="H35">
        <v>0</v>
      </c>
    </row>
    <row r="36" spans="1:8" x14ac:dyDescent="0.25">
      <c r="A36" t="s">
        <v>270</v>
      </c>
      <c r="B36">
        <v>1</v>
      </c>
      <c r="C36">
        <v>362.70833333320002</v>
      </c>
      <c r="D36">
        <v>3861.7599999989998</v>
      </c>
      <c r="E36">
        <v>9198857.9277629387</v>
      </c>
      <c r="F36">
        <v>0</v>
      </c>
      <c r="G36">
        <v>0</v>
      </c>
      <c r="H36">
        <v>0</v>
      </c>
    </row>
    <row r="37" spans="1:8" x14ac:dyDescent="0.25">
      <c r="A37" t="s">
        <v>107</v>
      </c>
      <c r="B37">
        <v>1</v>
      </c>
      <c r="C37">
        <v>290.66666666660001</v>
      </c>
      <c r="D37">
        <v>3440.3999999988</v>
      </c>
      <c r="E37">
        <v>6609956.6165299807</v>
      </c>
      <c r="F37">
        <v>0</v>
      </c>
      <c r="G37">
        <v>0</v>
      </c>
      <c r="H37">
        <v>0</v>
      </c>
    </row>
    <row r="38" spans="1:8" x14ac:dyDescent="0.25">
      <c r="A38" t="s">
        <v>219</v>
      </c>
      <c r="B38">
        <v>1</v>
      </c>
      <c r="C38">
        <v>100.6576388886</v>
      </c>
      <c r="D38">
        <v>294.83125000410001</v>
      </c>
      <c r="E38">
        <v>2716546.2402552781</v>
      </c>
      <c r="F38">
        <v>0</v>
      </c>
      <c r="G38">
        <v>0</v>
      </c>
      <c r="H38">
        <v>0</v>
      </c>
    </row>
    <row r="39" spans="1:8" x14ac:dyDescent="0.25">
      <c r="A39" t="s">
        <v>139</v>
      </c>
      <c r="B39">
        <v>1</v>
      </c>
      <c r="C39">
        <v>454.80555555569998</v>
      </c>
      <c r="D39">
        <v>981.2525000004</v>
      </c>
      <c r="E39">
        <v>3672776.0578550007</v>
      </c>
      <c r="F39">
        <v>0</v>
      </c>
      <c r="G39">
        <v>0</v>
      </c>
      <c r="H39">
        <v>0</v>
      </c>
    </row>
    <row r="40" spans="1:8" x14ac:dyDescent="0.25">
      <c r="A40" t="s">
        <v>284</v>
      </c>
      <c r="B40">
        <v>1</v>
      </c>
      <c r="C40">
        <v>188</v>
      </c>
      <c r="D40">
        <v>2319.36</v>
      </c>
      <c r="E40">
        <v>4904802.4244999997</v>
      </c>
      <c r="F40">
        <v>0</v>
      </c>
      <c r="G40">
        <v>0</v>
      </c>
      <c r="H40">
        <v>0</v>
      </c>
    </row>
    <row r="41" spans="1:8" x14ac:dyDescent="0.25">
      <c r="A41" t="s">
        <v>144</v>
      </c>
      <c r="B41">
        <v>1</v>
      </c>
      <c r="C41">
        <v>129.9555555556</v>
      </c>
      <c r="D41">
        <v>615.17583333410005</v>
      </c>
      <c r="E41">
        <v>2871011.5105904969</v>
      </c>
      <c r="F41">
        <v>0</v>
      </c>
      <c r="G41">
        <v>0</v>
      </c>
      <c r="H41">
        <v>0</v>
      </c>
    </row>
    <row r="42" spans="1:8" x14ac:dyDescent="0.25">
      <c r="A42" t="s">
        <v>154</v>
      </c>
      <c r="B42">
        <v>1</v>
      </c>
      <c r="C42">
        <v>74.985674603800007</v>
      </c>
      <c r="D42">
        <v>612.6800000078</v>
      </c>
      <c r="E42">
        <v>1774996.8552969089</v>
      </c>
      <c r="F42">
        <v>0</v>
      </c>
      <c r="G42">
        <v>0</v>
      </c>
      <c r="H42">
        <v>0</v>
      </c>
    </row>
    <row r="43" spans="1:8" x14ac:dyDescent="0.25">
      <c r="A43" t="s">
        <v>217</v>
      </c>
      <c r="B43">
        <v>1</v>
      </c>
      <c r="C43">
        <v>2.1472222221999999</v>
      </c>
      <c r="D43">
        <v>4</v>
      </c>
      <c r="E43">
        <v>24270.4022045936</v>
      </c>
      <c r="F43">
        <v>0</v>
      </c>
      <c r="G43">
        <v>0</v>
      </c>
      <c r="H4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Q48"/>
  <sheetViews>
    <sheetView tabSelected="1" zoomScale="80" zoomScaleNormal="80" workbookViewId="0">
      <selection activeCell="O7" sqref="O7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  <col min="16" max="16" width="17.42578125" style="143" bestFit="1" customWidth="1"/>
  </cols>
  <sheetData>
    <row r="1" spans="1:17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7" ht="16.5" thickBot="1" x14ac:dyDescent="0.3">
      <c r="A2" s="144" t="s">
        <v>206</v>
      </c>
      <c r="B2" s="57" t="s">
        <v>94</v>
      </c>
      <c r="C2" s="58">
        <v>32924658.171015769</v>
      </c>
      <c r="D2" s="59">
        <f>IFERROR(+VLOOKUP(B2,COMISIONES!A:E,5,FALSE),"0")*1</f>
        <v>5972410.1615108997</v>
      </c>
      <c r="E2" s="59">
        <v>3427183.6519469963</v>
      </c>
      <c r="F2" s="59">
        <f t="shared" ref="F2:F9" si="0">+D2-E2</f>
        <v>2545226.5095639033</v>
      </c>
      <c r="G2" s="60">
        <f t="shared" ref="G2:G47" si="1">+D2/C2</f>
        <v>0.18139626933981448</v>
      </c>
      <c r="H2" s="59">
        <f>+D2/$N$3*$N$4</f>
        <v>49770084.679257497</v>
      </c>
      <c r="I2" s="60">
        <f t="shared" ref="I2:I48" si="2">+H2/C2</f>
        <v>1.5116355778317871</v>
      </c>
      <c r="J2" s="59">
        <f>+D2/$N$3</f>
        <v>1990803.3871702999</v>
      </c>
      <c r="K2" s="59">
        <f t="shared" ref="K2:K38" si="3">+(C2-D2)/$N$2</f>
        <v>1225102.1822502213</v>
      </c>
      <c r="L2" s="61" cm="1">
        <f t="array" ref="L2">+_xlfn.IFS(I2&gt;114%,H2*0.02,I2&gt;109%,H2*0.015,I2&gt;104%,H2*0.0125,I2&gt;99%,H2*0.01,I2&lt;99%,H2*0)</f>
        <v>995401.69358514994</v>
      </c>
      <c r="M2" s="53" t="s">
        <v>36</v>
      </c>
      <c r="N2">
        <v>22</v>
      </c>
      <c r="P2" s="143">
        <f>+C2*1.02</f>
        <v>33583151.334436089</v>
      </c>
    </row>
    <row r="3" spans="1:17" ht="16.5" thickBot="1" x14ac:dyDescent="0.3">
      <c r="A3" s="145"/>
      <c r="B3" s="36" t="s">
        <v>93</v>
      </c>
      <c r="C3" s="62">
        <v>31602382.742460921</v>
      </c>
      <c r="D3" s="4">
        <f>IFERROR(+VLOOKUP(B3,COMISIONES!A:E,5,FALSE),"0")*1</f>
        <v>3294868.3641239931</v>
      </c>
      <c r="E3" s="4">
        <v>1604179.0453674351</v>
      </c>
      <c r="F3" s="59">
        <f t="shared" si="0"/>
        <v>1690689.318756558</v>
      </c>
      <c r="G3" s="5">
        <f t="shared" si="1"/>
        <v>0.1042601246549999</v>
      </c>
      <c r="H3" s="4">
        <f t="shared" ref="H3:H38" si="4">+D3/$N$3*$N$4</f>
        <v>27457236.36769994</v>
      </c>
      <c r="I3" s="5">
        <f t="shared" si="2"/>
        <v>0.86883437212499903</v>
      </c>
      <c r="J3" s="4">
        <f t="shared" ref="J3:J38" si="5">+D3/$N$3</f>
        <v>1098289.4547079976</v>
      </c>
      <c r="K3" s="4">
        <f t="shared" si="3"/>
        <v>1286705.1990153149</v>
      </c>
      <c r="L3" s="63" cm="1">
        <f t="array" ref="L3">+_xlfn.IFS(I3&gt;114%,H3*0.02,I3&gt;109%,H3*0.015,I3&gt;104%,H3*0.0125,I3&gt;99%,H3*0.01,I3&lt;99%,H3*0)</f>
        <v>0</v>
      </c>
      <c r="M3" s="53" t="s">
        <v>40</v>
      </c>
      <c r="N3">
        <f>N4-N2</f>
        <v>3</v>
      </c>
      <c r="P3" s="143">
        <f t="shared" ref="P3:P23" si="6">+C3*1.02</f>
        <v>32234430.397310141</v>
      </c>
    </row>
    <row r="4" spans="1:17" ht="16.5" thickBot="1" x14ac:dyDescent="0.3">
      <c r="A4" s="145"/>
      <c r="B4" s="36" t="s">
        <v>91</v>
      </c>
      <c r="C4" s="62">
        <v>28957831.885351218</v>
      </c>
      <c r="D4" s="4">
        <f>IFERROR(+VLOOKUP(B4,COMISIONES!A:E,5,FALSE),"0")*1</f>
        <v>2791922.5290083173</v>
      </c>
      <c r="E4" s="4">
        <v>1858513.0383553384</v>
      </c>
      <c r="F4" s="59">
        <f t="shared" si="0"/>
        <v>933409.49065297889</v>
      </c>
      <c r="G4" s="5">
        <f t="shared" si="1"/>
        <v>9.6413382744329548E-2</v>
      </c>
      <c r="H4" s="4">
        <f t="shared" si="4"/>
        <v>23266021.075069312</v>
      </c>
      <c r="I4" s="5">
        <f t="shared" si="2"/>
        <v>0.8034448562027463</v>
      </c>
      <c r="J4" s="4">
        <f t="shared" si="5"/>
        <v>930640.84300277242</v>
      </c>
      <c r="K4" s="4">
        <f t="shared" si="3"/>
        <v>1189359.5161974046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25</v>
      </c>
      <c r="P4" s="143">
        <f t="shared" si="6"/>
        <v>29536988.523058243</v>
      </c>
    </row>
    <row r="5" spans="1:17" ht="16.5" thickBot="1" x14ac:dyDescent="0.3">
      <c r="A5" s="145"/>
      <c r="B5" s="36" t="s">
        <v>89</v>
      </c>
      <c r="C5" s="62">
        <v>28957831.885351218</v>
      </c>
      <c r="D5" s="4">
        <f>IFERROR(+VLOOKUP(B5,COMISIONES!A:E,5,FALSE),"0")*1</f>
        <v>2636534.0707976553</v>
      </c>
      <c r="E5" s="4">
        <v>1538011.4166135034</v>
      </c>
      <c r="F5" s="59">
        <f t="shared" si="0"/>
        <v>1098522.6541841519</v>
      </c>
      <c r="G5" s="5">
        <f t="shared" si="1"/>
        <v>9.1047357455355221E-2</v>
      </c>
      <c r="H5" s="4">
        <f t="shared" si="4"/>
        <v>21971117.256647129</v>
      </c>
      <c r="I5" s="5">
        <f t="shared" si="2"/>
        <v>0.75872797879462683</v>
      </c>
      <c r="J5" s="4">
        <f t="shared" si="5"/>
        <v>878844.69026588509</v>
      </c>
      <c r="K5" s="4">
        <f t="shared" si="3"/>
        <v>1196422.6279342528</v>
      </c>
      <c r="L5" s="63" cm="1">
        <f t="array" ref="L5">+_xlfn.IFS(I5&gt;114%,H5*0.02,I5&gt;109%,H5*0.015,I5&gt;104%,H5*0.0125,I5&gt;99%,H5*0.01,I5&lt;99%,H5*0)</f>
        <v>0</v>
      </c>
      <c r="P5" s="143">
        <f t="shared" si="6"/>
        <v>29536988.523058243</v>
      </c>
    </row>
    <row r="6" spans="1:17" ht="16.5" thickBot="1" x14ac:dyDescent="0.3">
      <c r="A6" s="145"/>
      <c r="B6" s="36" t="s">
        <v>209</v>
      </c>
      <c r="C6" s="62">
        <v>23999299.028270528</v>
      </c>
      <c r="D6" s="4">
        <f>IFERROR(+VLOOKUP(B6,COMISIONES!A:E,5,FALSE),"0")*1</f>
        <v>2286206.0618880419</v>
      </c>
      <c r="E6" s="4">
        <v>997735.93391817692</v>
      </c>
      <c r="F6" s="59">
        <f t="shared" si="0"/>
        <v>1288470.127969865</v>
      </c>
      <c r="G6" s="5">
        <f t="shared" si="1"/>
        <v>9.5261368225586618E-2</v>
      </c>
      <c r="H6" s="4">
        <f t="shared" si="4"/>
        <v>19051717.18240035</v>
      </c>
      <c r="I6" s="5">
        <f t="shared" si="2"/>
        <v>0.79384473521322185</v>
      </c>
      <c r="J6" s="4">
        <f t="shared" si="5"/>
        <v>762068.68729601393</v>
      </c>
      <c r="K6" s="4">
        <f t="shared" si="3"/>
        <v>986958.77119920391</v>
      </c>
      <c r="L6" s="63" cm="1">
        <f t="array" ref="L6">+_xlfn.IFS(I6&gt;114%,H6*0.02,I6&gt;109%,H6*0.015,I6&gt;104%,H6*0.0125,I6&gt;99%,H6*0.01,I6&lt;99%,H6*0)</f>
        <v>0</v>
      </c>
      <c r="P6" s="143">
        <f t="shared" si="6"/>
        <v>24479285.008835938</v>
      </c>
    </row>
    <row r="7" spans="1:17" ht="16.5" thickBot="1" x14ac:dyDescent="0.3">
      <c r="A7" s="145"/>
      <c r="B7" s="36" t="s">
        <v>269</v>
      </c>
      <c r="C7" s="62">
        <v>28296694.171073794</v>
      </c>
      <c r="D7" s="4">
        <f>IFERROR(+VLOOKUP(B7,COMISIONES!A:E,5,FALSE),"0")*1</f>
        <v>1423105.3891924161</v>
      </c>
      <c r="E7" s="4">
        <v>672308.06487198186</v>
      </c>
      <c r="F7" s="59">
        <f t="shared" si="0"/>
        <v>750797.32432043424</v>
      </c>
      <c r="G7" s="5">
        <f t="shared" si="1"/>
        <v>5.0292284342076291E-2</v>
      </c>
      <c r="H7" s="4">
        <f t="shared" si="4"/>
        <v>11859211.576603469</v>
      </c>
      <c r="I7" s="5">
        <f t="shared" si="2"/>
        <v>0.41910236951730245</v>
      </c>
      <c r="J7" s="4">
        <f t="shared" si="5"/>
        <v>474368.46306413872</v>
      </c>
      <c r="K7" s="4">
        <f t="shared" si="3"/>
        <v>1221526.7628127898</v>
      </c>
      <c r="L7" s="63" cm="1">
        <f t="array" ref="L7">+_xlfn.IFS(I7&gt;114%,H7*0.02,I7&gt;109%,H7*0.015,I7&gt;104%,H7*0.0125,I7&gt;99%,H7*0.01,I7&lt;99%,H7*0)</f>
        <v>0</v>
      </c>
      <c r="P7" s="143">
        <f t="shared" si="6"/>
        <v>28862628.054495271</v>
      </c>
    </row>
    <row r="8" spans="1:17" ht="16.5" thickBot="1" x14ac:dyDescent="0.3">
      <c r="A8" s="145"/>
      <c r="B8" s="36" t="s">
        <v>84</v>
      </c>
      <c r="C8" s="62">
        <v>36547692.84525606</v>
      </c>
      <c r="D8" s="4">
        <f>IFERROR(+VLOOKUP(B8,COMISIONES!A:E,5,FALSE),"0")*1</f>
        <v>2481925.7966806726</v>
      </c>
      <c r="E8" s="4">
        <v>1267645.9661689589</v>
      </c>
      <c r="F8" s="59">
        <f t="shared" si="0"/>
        <v>1214279.8305117136</v>
      </c>
      <c r="G8" s="5">
        <f t="shared" si="1"/>
        <v>6.7909233209034969E-2</v>
      </c>
      <c r="H8" s="4">
        <f t="shared" si="4"/>
        <v>20682714.972338937</v>
      </c>
      <c r="I8" s="5">
        <f t="shared" si="2"/>
        <v>0.56591027674195804</v>
      </c>
      <c r="J8" s="4">
        <f t="shared" si="5"/>
        <v>827308.59889355756</v>
      </c>
      <c r="K8" s="4">
        <f t="shared" si="3"/>
        <v>1548443.9567534267</v>
      </c>
      <c r="L8" s="63" cm="1">
        <f t="array" ref="L8">+_xlfn.IFS(I8&gt;114%,H8*0.02,I8&gt;109%,H8*0.015,I8&gt;104%,H8*0.0125,I8&gt;99%,H8*0.01,I8&lt;99%,H8*0)</f>
        <v>0</v>
      </c>
      <c r="P8" s="143">
        <f t="shared" si="6"/>
        <v>37278646.702161185</v>
      </c>
    </row>
    <row r="9" spans="1:17" ht="15.75" x14ac:dyDescent="0.25">
      <c r="A9" s="145"/>
      <c r="B9" s="36" t="s">
        <v>83</v>
      </c>
      <c r="C9" s="62">
        <v>36547692.84525606</v>
      </c>
      <c r="D9" s="4">
        <f>IFERROR(+VLOOKUP(B9,COMISIONES!A:E,5,FALSE),"0")*1</f>
        <v>3800749.2921959595</v>
      </c>
      <c r="E9" s="4">
        <v>2717001.447312105</v>
      </c>
      <c r="F9" s="59">
        <f t="shared" si="0"/>
        <v>1083747.8448838545</v>
      </c>
      <c r="G9" s="5">
        <f t="shared" si="1"/>
        <v>0.10399423318698767</v>
      </c>
      <c r="H9" s="4">
        <f t="shared" si="4"/>
        <v>31672910.768299662</v>
      </c>
      <c r="I9" s="5">
        <f t="shared" si="2"/>
        <v>0.86661860989156392</v>
      </c>
      <c r="J9" s="4">
        <f t="shared" si="5"/>
        <v>1266916.4307319864</v>
      </c>
      <c r="K9" s="4">
        <f t="shared" si="3"/>
        <v>1488497.4342300044</v>
      </c>
      <c r="L9" s="63" cm="1">
        <f t="array" ref="L9">+_xlfn.IFS(I9&gt;114%,H9*0.02,I9&gt;109%,H9*0.015,I9&gt;104%,H9*0.0125,I9&gt;99%,H9*0.01,I9&lt;99%,H9*0)</f>
        <v>0</v>
      </c>
      <c r="P9" s="143">
        <f t="shared" si="6"/>
        <v>37278646.702161185</v>
      </c>
    </row>
    <row r="10" spans="1:17" ht="16.5" thickBot="1" x14ac:dyDescent="0.3">
      <c r="A10" s="146"/>
      <c r="B10" s="3"/>
      <c r="C10" s="64">
        <v>247834083.57403553</v>
      </c>
      <c r="D10" s="64">
        <f>+SUM(D2:D9)</f>
        <v>24687721.665397961</v>
      </c>
      <c r="E10" s="64">
        <v>14082578.564554496</v>
      </c>
      <c r="F10" s="66">
        <f>+D10-E10</f>
        <v>10605143.100843465</v>
      </c>
      <c r="G10" s="65">
        <f t="shared" si="1"/>
        <v>9.9613908262230572E-2</v>
      </c>
      <c r="H10" s="64">
        <f t="shared" si="4"/>
        <v>205731013.87831634</v>
      </c>
      <c r="I10" s="65">
        <f t="shared" si="2"/>
        <v>0.83011590218525477</v>
      </c>
      <c r="J10" s="64">
        <f t="shared" si="5"/>
        <v>8229240.5551326536</v>
      </c>
      <c r="K10" s="66">
        <f t="shared" si="3"/>
        <v>10143016.450392617</v>
      </c>
      <c r="L10" s="67"/>
      <c r="P10" s="143">
        <f t="shared" si="6"/>
        <v>252790765.24551624</v>
      </c>
    </row>
    <row r="11" spans="1:17" ht="16.5" thickBot="1" x14ac:dyDescent="0.3">
      <c r="A11" s="144" t="s">
        <v>207</v>
      </c>
      <c r="B11" s="57" t="s">
        <v>96</v>
      </c>
      <c r="C11" s="58">
        <v>98911387.449740261</v>
      </c>
      <c r="D11" s="59">
        <f>IFERROR(+VLOOKUP(B11,COMISIONES!A:E,5,FALSE),"0")*1</f>
        <v>15952320.537641706</v>
      </c>
      <c r="E11" s="59">
        <v>13588811.020324076</v>
      </c>
      <c r="F11" s="59">
        <f t="shared" ref="F11:F14" si="7">+D11-E11</f>
        <v>2363509.5173176304</v>
      </c>
      <c r="G11" s="60">
        <f t="shared" si="1"/>
        <v>0.16127890780773388</v>
      </c>
      <c r="H11" s="59">
        <f t="shared" si="4"/>
        <v>132936004.48034754</v>
      </c>
      <c r="I11" s="60">
        <f t="shared" si="2"/>
        <v>1.3439908983977824</v>
      </c>
      <c r="J11" s="59">
        <f t="shared" si="5"/>
        <v>5317440.179213902</v>
      </c>
      <c r="K11" s="59">
        <f t="shared" si="3"/>
        <v>3770866.6778226616</v>
      </c>
      <c r="L11" s="61" cm="1">
        <f t="array" ref="L11">+_xlfn.IFS(I11&gt;114%,H11*0.0125,I11&gt;109%,H11*0.01,I11&gt;104%,H11*0.0075,I11&gt;99%,H11*0.005,I11&lt;99%,H11*0)</f>
        <v>1661700.0560043445</v>
      </c>
      <c r="P11" s="143">
        <f t="shared" si="6"/>
        <v>100889615.19873507</v>
      </c>
    </row>
    <row r="12" spans="1:17" ht="16.5" thickBot="1" x14ac:dyDescent="0.3">
      <c r="A12" s="145"/>
      <c r="B12" s="36" t="s">
        <v>90</v>
      </c>
      <c r="C12" s="62">
        <v>130931194.39611749</v>
      </c>
      <c r="D12" s="4">
        <f>IFERROR(+VLOOKUP(B12,COMISIONES!A:E,5,FALSE),"0")*1</f>
        <v>10658290.360380379</v>
      </c>
      <c r="E12" s="4">
        <v>4906706.1394920228</v>
      </c>
      <c r="F12" s="59">
        <f t="shared" si="7"/>
        <v>5751584.2208883567</v>
      </c>
      <c r="G12" s="5">
        <f t="shared" si="1"/>
        <v>8.1403751104071734E-2</v>
      </c>
      <c r="H12" s="4">
        <f t="shared" si="4"/>
        <v>88819086.336503163</v>
      </c>
      <c r="I12" s="5">
        <f t="shared" si="2"/>
        <v>0.67836459253393111</v>
      </c>
      <c r="J12" s="4">
        <f t="shared" si="5"/>
        <v>3552763.4534601266</v>
      </c>
      <c r="K12" s="4">
        <f t="shared" si="3"/>
        <v>5466950.1834425963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  <c r="P12" s="143">
        <f t="shared" si="6"/>
        <v>133549818.28403984</v>
      </c>
    </row>
    <row r="13" spans="1:17" ht="16.5" thickBot="1" x14ac:dyDescent="0.3">
      <c r="A13" s="145"/>
      <c r="B13" s="36" t="s">
        <v>270</v>
      </c>
      <c r="C13" s="62">
        <v>43298038.5428745</v>
      </c>
      <c r="D13" s="4">
        <f>IFERROR(+VLOOKUP(B13,COMISIONES!A:E,5,FALSE),"0")*1</f>
        <v>9198857.9277629387</v>
      </c>
      <c r="E13" s="4">
        <v>590660.753040471</v>
      </c>
      <c r="F13" s="59">
        <f t="shared" si="7"/>
        <v>8608197.1747224685</v>
      </c>
      <c r="G13" s="5">
        <f t="shared" si="1"/>
        <v>0.21245437985958796</v>
      </c>
      <c r="H13" s="4">
        <f t="shared" si="4"/>
        <v>76657149.398024485</v>
      </c>
      <c r="I13" s="5">
        <f t="shared" si="2"/>
        <v>1.7704531654965661</v>
      </c>
      <c r="J13" s="4">
        <f t="shared" si="5"/>
        <v>3066285.9759209794</v>
      </c>
      <c r="K13" s="4">
        <f t="shared" si="3"/>
        <v>1549962.7552323437</v>
      </c>
      <c r="L13" s="63" cm="1">
        <f t="array" ref="L13">+_xlfn.IFS(I13&gt;109%,H13*0.015,I13&gt;104%,H13*0.0125,I13&gt;99%,H13*0.01,I13&lt;99%,H13*0)</f>
        <v>1149857.2409703673</v>
      </c>
      <c r="N13" s="28"/>
      <c r="P13" s="143">
        <f t="shared" si="6"/>
        <v>44163999.313731991</v>
      </c>
    </row>
    <row r="14" spans="1:17" ht="15.75" x14ac:dyDescent="0.25">
      <c r="A14" s="145"/>
      <c r="B14" s="36" t="s">
        <v>107</v>
      </c>
      <c r="C14" s="62">
        <v>43298038.5428745</v>
      </c>
      <c r="D14" s="4">
        <f>IFERROR(+VLOOKUP(B14,COMISIONES!A:E,5,FALSE),"0")*1</f>
        <v>6609956.6165299807</v>
      </c>
      <c r="E14" s="4">
        <v>1533623.4238</v>
      </c>
      <c r="F14" s="59">
        <f t="shared" si="7"/>
        <v>5076333.1927299807</v>
      </c>
      <c r="G14" s="5">
        <f t="shared" si="1"/>
        <v>0.15266180268153909</v>
      </c>
      <c r="H14" s="4">
        <f t="shared" si="4"/>
        <v>55082971.804416507</v>
      </c>
      <c r="I14" s="5">
        <f t="shared" si="2"/>
        <v>1.2721816890128257</v>
      </c>
      <c r="J14" s="4">
        <f t="shared" si="5"/>
        <v>2203318.8721766602</v>
      </c>
      <c r="K14" s="4">
        <f t="shared" si="3"/>
        <v>1667640.0875611147</v>
      </c>
      <c r="L14" s="63" cm="1">
        <f t="array" ref="L14">+_xlfn.IFS(I14&gt;109%,H14*0.015,I14&gt;104%,H14*0.0125,I14&gt;99%,H14*0.01,I14&lt;99%,H14*0)</f>
        <v>826244.57706624758</v>
      </c>
      <c r="P14" s="143">
        <f t="shared" si="6"/>
        <v>44163999.313731991</v>
      </c>
    </row>
    <row r="15" spans="1:17" ht="16.5" thickBot="1" x14ac:dyDescent="0.3">
      <c r="A15" s="146"/>
      <c r="B15" s="3"/>
      <c r="C15" s="64">
        <v>348702179.38834512</v>
      </c>
      <c r="D15" s="64">
        <f>+SUM(D11:D14)</f>
        <v>42419425.442315005</v>
      </c>
      <c r="E15" s="64">
        <v>20619801.336656567</v>
      </c>
      <c r="F15" s="66">
        <f>+D15-E15</f>
        <v>21799624.105658438</v>
      </c>
      <c r="G15" s="65">
        <f t="shared" si="1"/>
        <v>0.12164944170042895</v>
      </c>
      <c r="H15" s="64">
        <f t="shared" si="4"/>
        <v>353495212.0192917</v>
      </c>
      <c r="I15" s="65">
        <f t="shared" si="2"/>
        <v>1.0137453475035745</v>
      </c>
      <c r="J15" s="64">
        <f t="shared" si="5"/>
        <v>14139808.480771668</v>
      </c>
      <c r="K15" s="66">
        <f t="shared" si="3"/>
        <v>13921943.361183189</v>
      </c>
      <c r="L15" s="67"/>
      <c r="P15" s="143">
        <f t="shared" si="6"/>
        <v>355676222.97611201</v>
      </c>
      <c r="Q15" s="27"/>
    </row>
    <row r="16" spans="1:17" ht="16.5" thickBot="1" x14ac:dyDescent="0.3">
      <c r="A16" s="147" t="s">
        <v>208</v>
      </c>
      <c r="B16" s="68" t="s">
        <v>81</v>
      </c>
      <c r="C16" s="69">
        <v>28998600</v>
      </c>
      <c r="D16" s="59">
        <f>IFERROR(+VLOOKUP(B16,COMISIONES!A:E,5,FALSE),"0")*1</f>
        <v>2005760.5287147206</v>
      </c>
      <c r="E16" s="59">
        <v>1121079.8303882154</v>
      </c>
      <c r="F16" s="59">
        <f t="shared" ref="F16:F46" si="8">+D16-E16</f>
        <v>884680.69832650525</v>
      </c>
      <c r="G16" s="60">
        <f t="shared" si="1"/>
        <v>6.9167495283038519E-2</v>
      </c>
      <c r="H16" s="59">
        <f t="shared" si="4"/>
        <v>16714671.072622672</v>
      </c>
      <c r="I16" s="60">
        <f t="shared" si="2"/>
        <v>0.57639579402532093</v>
      </c>
      <c r="J16" s="59">
        <f t="shared" si="5"/>
        <v>668586.84290490684</v>
      </c>
      <c r="K16" s="59">
        <f t="shared" si="3"/>
        <v>1226947.2486947854</v>
      </c>
      <c r="L16" s="61" cm="1">
        <f t="array" ref="L16">+_xlfn.IFS(I16&gt;114%,H16*0.02,I16&gt;109%,H16*0.015,I16&gt;104%,H16*0.0125,I16&gt;99%,H16*0.01,I16&lt;99%,H16*0)</f>
        <v>0</v>
      </c>
      <c r="P16" s="143">
        <f t="shared" si="6"/>
        <v>29578572</v>
      </c>
    </row>
    <row r="17" spans="1:16" ht="16.5" thickBot="1" x14ac:dyDescent="0.3">
      <c r="A17" s="148"/>
      <c r="B17" s="19" t="s">
        <v>82</v>
      </c>
      <c r="C17" s="70">
        <v>25500000</v>
      </c>
      <c r="D17" s="4">
        <f>IFERROR(+VLOOKUP(B17,COMISIONES!A:E,5,FALSE),"0")*1</f>
        <v>2539763.9949347642</v>
      </c>
      <c r="E17" s="4">
        <v>1597792.8281569632</v>
      </c>
      <c r="F17" s="59">
        <f t="shared" si="8"/>
        <v>941971.166777801</v>
      </c>
      <c r="G17" s="5">
        <f t="shared" si="1"/>
        <v>9.9598588036657415E-2</v>
      </c>
      <c r="H17" s="4">
        <f t="shared" si="4"/>
        <v>21164699.9577897</v>
      </c>
      <c r="I17" s="5">
        <f t="shared" si="2"/>
        <v>0.8299882336388118</v>
      </c>
      <c r="J17" s="4">
        <f t="shared" si="5"/>
        <v>846587.99831158808</v>
      </c>
      <c r="K17" s="4">
        <f t="shared" si="3"/>
        <v>1043647.0911393289</v>
      </c>
      <c r="L17" s="63" cm="1">
        <f t="array" ref="L17">+_xlfn.IFS(I17&gt;114%,H17*0.02,I17&gt;109%,H17*0.015,I17&gt;104%,H17*0.0125,I17&gt;99%,H17*0.01,I17&lt;99%,H17*0)</f>
        <v>0</v>
      </c>
      <c r="P17" s="143">
        <f t="shared" si="6"/>
        <v>26010000</v>
      </c>
    </row>
    <row r="18" spans="1:16" ht="16.5" thickBot="1" x14ac:dyDescent="0.3">
      <c r="A18" s="148"/>
      <c r="B18" s="19" t="s">
        <v>92</v>
      </c>
      <c r="C18" s="70">
        <v>26010000</v>
      </c>
      <c r="D18" s="4">
        <f>IFERROR(+VLOOKUP(B18,COMISIONES!A:E,5,FALSE),"0")*1</f>
        <v>2809522.8802084369</v>
      </c>
      <c r="E18" s="4">
        <v>1688184.5882674011</v>
      </c>
      <c r="F18" s="59">
        <f t="shared" si="8"/>
        <v>1121338.2919410358</v>
      </c>
      <c r="G18" s="5">
        <f t="shared" si="1"/>
        <v>0.10801702730520711</v>
      </c>
      <c r="H18" s="4">
        <f t="shared" si="4"/>
        <v>23412690.66840364</v>
      </c>
      <c r="I18" s="5">
        <f t="shared" si="2"/>
        <v>0.90014189421005919</v>
      </c>
      <c r="J18" s="4">
        <f t="shared" si="5"/>
        <v>936507.62673614558</v>
      </c>
      <c r="K18" s="4">
        <f t="shared" si="3"/>
        <v>1054567.1418087075</v>
      </c>
      <c r="L18" s="63" cm="1">
        <f t="array" ref="L18">+_xlfn.IFS(I18&gt;114%,H18*0.02,I18&gt;109%,H18*0.015,I18&gt;104%,H18*0.0125,I18&gt;99%,H18*0.01,I18&lt;99%,H18*0)</f>
        <v>0</v>
      </c>
      <c r="P18" s="143">
        <f t="shared" si="6"/>
        <v>26530200</v>
      </c>
    </row>
    <row r="19" spans="1:16" ht="16.5" thickBot="1" x14ac:dyDescent="0.3">
      <c r="A19" s="148"/>
      <c r="B19" s="19" t="s">
        <v>95</v>
      </c>
      <c r="C19" s="70">
        <v>35904000</v>
      </c>
      <c r="D19" s="4">
        <f>IFERROR(+VLOOKUP(B19,COMISIONES!A:E,5,FALSE),"0")*1</f>
        <v>4496479.3262617178</v>
      </c>
      <c r="E19" s="4">
        <v>2881112.7021410628</v>
      </c>
      <c r="F19" s="59">
        <f t="shared" si="8"/>
        <v>1615366.624120655</v>
      </c>
      <c r="G19" s="5">
        <f t="shared" si="1"/>
        <v>0.12523616661825193</v>
      </c>
      <c r="H19" s="4">
        <f t="shared" si="4"/>
        <v>37470661.052180983</v>
      </c>
      <c r="I19" s="5">
        <f t="shared" si="2"/>
        <v>1.0436347218187663</v>
      </c>
      <c r="J19" s="4">
        <f t="shared" si="5"/>
        <v>1498826.4420872394</v>
      </c>
      <c r="K19" s="4">
        <f t="shared" si="3"/>
        <v>1427614.5760790128</v>
      </c>
      <c r="L19" s="63" cm="1">
        <f t="array" ref="L19">+_xlfn.IFS(I19&gt;114%,H19*0.02,I19&gt;109%,H19*0.015,I19&gt;104%,H19*0.0125,I19&gt;99%,H19*0.01,I19&lt;99%,H19*0)</f>
        <v>468383.26315226231</v>
      </c>
      <c r="P19" s="143">
        <f t="shared" si="6"/>
        <v>36622080</v>
      </c>
    </row>
    <row r="20" spans="1:16" ht="16.5" thickBot="1" x14ac:dyDescent="0.3">
      <c r="A20" s="148"/>
      <c r="B20" s="19" t="s">
        <v>97</v>
      </c>
      <c r="C20" s="70">
        <v>26622000</v>
      </c>
      <c r="D20" s="4">
        <f>IFERROR(+VLOOKUP(B20,COMISIONES!A:E,5,FALSE),"0")*1</f>
        <v>2639381.27863609</v>
      </c>
      <c r="E20" s="4">
        <v>1586181.5449831183</v>
      </c>
      <c r="F20" s="59">
        <f t="shared" si="8"/>
        <v>1053199.7336529717</v>
      </c>
      <c r="G20" s="5">
        <f t="shared" si="1"/>
        <v>9.9142862243110585E-2</v>
      </c>
      <c r="H20" s="4">
        <f t="shared" si="4"/>
        <v>21994843.988634083</v>
      </c>
      <c r="I20" s="5">
        <f t="shared" si="2"/>
        <v>0.82619051869258819</v>
      </c>
      <c r="J20" s="4">
        <f t="shared" si="5"/>
        <v>879793.75954536337</v>
      </c>
      <c r="K20" s="4">
        <f t="shared" si="3"/>
        <v>1090119.0327892685</v>
      </c>
      <c r="L20" s="63" cm="1">
        <f t="array" ref="L20">+_xlfn.IFS(I20&gt;114%,H20*0.02,I20&gt;109%,H20*0.015,I20&gt;104%,H20*0.0125,I20&gt;99%,H20*0.01,I20&lt;99%,H20*0)</f>
        <v>0</v>
      </c>
      <c r="P20" s="143">
        <f t="shared" si="6"/>
        <v>27154440</v>
      </c>
    </row>
    <row r="21" spans="1:16" ht="16.5" thickBot="1" x14ac:dyDescent="0.3">
      <c r="A21" s="148"/>
      <c r="B21" s="19" t="s">
        <v>218</v>
      </c>
      <c r="C21" s="70">
        <v>33252000</v>
      </c>
      <c r="D21" s="4">
        <f>IFERROR(+VLOOKUP(B21,COMISIONES!A:E,5,FALSE),"0")*1</f>
        <v>3344638.0010631969</v>
      </c>
      <c r="E21" s="4">
        <v>1578186.0693778156</v>
      </c>
      <c r="F21" s="59">
        <f t="shared" si="8"/>
        <v>1766451.9316853813</v>
      </c>
      <c r="G21" s="5">
        <f t="shared" si="1"/>
        <v>0.10058456637384809</v>
      </c>
      <c r="H21" s="4">
        <f t="shared" si="4"/>
        <v>27871983.342193305</v>
      </c>
      <c r="I21" s="5">
        <f t="shared" si="2"/>
        <v>0.83820471978206745</v>
      </c>
      <c r="J21" s="4">
        <f t="shared" si="5"/>
        <v>1114879.3336877322</v>
      </c>
      <c r="K21" s="4">
        <f t="shared" si="3"/>
        <v>1359425.5454062184</v>
      </c>
      <c r="L21" s="63" cm="1">
        <f t="array" ref="L21">+_xlfn.IFS(I21&gt;114%,H21*0.02,I21&gt;109%,H21*0.015,I21&gt;104%,H21*0.0125,I21&gt;99%,H21*0.01,I21&lt;99%,H21*0)</f>
        <v>0</v>
      </c>
      <c r="P21" s="143">
        <f t="shared" si="6"/>
        <v>33917040</v>
      </c>
    </row>
    <row r="22" spans="1:16" ht="16.5" thickBot="1" x14ac:dyDescent="0.3">
      <c r="A22" s="148"/>
      <c r="B22" s="19" t="s">
        <v>160</v>
      </c>
      <c r="C22" s="70">
        <v>28764000</v>
      </c>
      <c r="D22" s="4">
        <f>IFERROR(+VLOOKUP(B22,COMISIONES!A:E,5,FALSE),"0")*1</f>
        <v>1765164.2460201115</v>
      </c>
      <c r="E22" s="4">
        <v>1105197.504105523</v>
      </c>
      <c r="F22" s="59">
        <f t="shared" si="8"/>
        <v>659966.74191458849</v>
      </c>
      <c r="G22" s="5">
        <f t="shared" si="1"/>
        <v>6.1367134126690009E-2</v>
      </c>
      <c r="H22" s="4">
        <f t="shared" si="4"/>
        <v>14709702.050167596</v>
      </c>
      <c r="I22" s="5">
        <f t="shared" si="2"/>
        <v>0.51139278438908342</v>
      </c>
      <c r="J22" s="4">
        <f t="shared" si="5"/>
        <v>588388.08200670383</v>
      </c>
      <c r="K22" s="4">
        <f t="shared" si="3"/>
        <v>1227219.8069990857</v>
      </c>
      <c r="L22" s="63" cm="1">
        <f t="array" ref="L22">+_xlfn.IFS(I22&gt;114%,H22*0.02,I22&gt;109%,H22*0.015,I22&gt;104%,H22*0.0125,I22&gt;99%,H22*0.01,I22&lt;99%,H22*0)</f>
        <v>0</v>
      </c>
      <c r="P22" s="143">
        <f t="shared" si="6"/>
        <v>29339280</v>
      </c>
    </row>
    <row r="23" spans="1:16" ht="15.75" x14ac:dyDescent="0.25">
      <c r="A23" s="148"/>
      <c r="B23" s="19" t="s">
        <v>219</v>
      </c>
      <c r="C23" s="70">
        <v>37332000</v>
      </c>
      <c r="D23" s="4">
        <f>IFERROR(+VLOOKUP(B23,COMISIONES!A:E,5,FALSE),"0")*1</f>
        <v>2716546.2402552781</v>
      </c>
      <c r="E23" s="4">
        <v>1000527.96582367</v>
      </c>
      <c r="F23" s="59">
        <f t="shared" si="8"/>
        <v>1716018.2744316082</v>
      </c>
      <c r="G23" s="5">
        <f t="shared" si="1"/>
        <v>7.2767230265061558E-2</v>
      </c>
      <c r="H23" s="4">
        <f t="shared" si="4"/>
        <v>22637885.335460652</v>
      </c>
      <c r="I23" s="5">
        <f t="shared" si="2"/>
        <v>0.6063935855421797</v>
      </c>
      <c r="J23" s="4">
        <f t="shared" si="5"/>
        <v>905515.41341842606</v>
      </c>
      <c r="K23" s="4">
        <f t="shared" si="3"/>
        <v>1573429.7163520327</v>
      </c>
      <c r="L23" s="63" cm="1">
        <f t="array" ref="L23">+_xlfn.IFS(I23&gt;114%,H23*0.02,I23&gt;109%,H23*0.015,I23&gt;104%,H23*0.0125,I23&gt;99%,H23*0.01,I23&lt;99%,H23*0)</f>
        <v>0</v>
      </c>
      <c r="P23" s="143">
        <f t="shared" si="6"/>
        <v>38078640</v>
      </c>
    </row>
    <row r="24" spans="1:16" ht="16.5" thickBot="1" x14ac:dyDescent="0.3">
      <c r="A24" s="149"/>
      <c r="B24" s="71"/>
      <c r="C24" s="66">
        <v>242382600</v>
      </c>
      <c r="D24" s="66">
        <f>+SUM(D16:D23)</f>
        <v>22317256.496094316</v>
      </c>
      <c r="E24" s="66">
        <v>12558263.03324377</v>
      </c>
      <c r="F24" s="66">
        <f>+D24-E24</f>
        <v>9758993.4628505465</v>
      </c>
      <c r="G24" s="65">
        <f t="shared" si="1"/>
        <v>9.2074499143479427E-2</v>
      </c>
      <c r="H24" s="64">
        <f t="shared" si="4"/>
        <v>185977137.46745262</v>
      </c>
      <c r="I24" s="65">
        <f t="shared" si="2"/>
        <v>0.76728749286232845</v>
      </c>
      <c r="J24" s="64">
        <f t="shared" si="5"/>
        <v>7439085.4986981051</v>
      </c>
      <c r="K24" s="66">
        <f t="shared" si="3"/>
        <v>10002970.159268441</v>
      </c>
      <c r="L24" s="67"/>
      <c r="P24" s="143">
        <f t="shared" ref="P24" si="9">+C24*1.02</f>
        <v>247230252</v>
      </c>
    </row>
    <row r="25" spans="1:16" ht="16.5" thickBot="1" x14ac:dyDescent="0.3">
      <c r="A25" s="144" t="s">
        <v>216</v>
      </c>
      <c r="B25" s="57" t="s">
        <v>211</v>
      </c>
      <c r="C25" s="72">
        <v>86547956.260000005</v>
      </c>
      <c r="D25" s="59">
        <f>IFERROR(+VLOOKUP(B25,COMISIONES!A:E,5,FALSE),"0")*1</f>
        <v>3813088.6969673904</v>
      </c>
      <c r="E25" s="59">
        <v>1602365.7621198092</v>
      </c>
      <c r="F25" s="59">
        <f t="shared" si="8"/>
        <v>2210722.9348475812</v>
      </c>
      <c r="G25" s="60">
        <f t="shared" si="1"/>
        <v>4.4057524426254893E-2</v>
      </c>
      <c r="H25" s="59">
        <f t="shared" si="4"/>
        <v>31775739.141394921</v>
      </c>
      <c r="I25" s="60">
        <f t="shared" si="2"/>
        <v>0.36714603688545744</v>
      </c>
      <c r="J25" s="59">
        <f t="shared" si="5"/>
        <v>1271029.5656557968</v>
      </c>
      <c r="K25" s="59">
        <f t="shared" si="3"/>
        <v>3760675.7983196643</v>
      </c>
      <c r="L25" s="61" cm="1">
        <f t="array" ref="L25">+_xlfn.IFS(I25&gt;114%,H25*0.0125,I25&gt;109%,H25*0.01,I25&gt;104%,H25*0.0075,I25&gt;99%,H25*0.005,I25&lt;99%,H25*0)</f>
        <v>0</v>
      </c>
      <c r="P25" s="143">
        <v>86547956.260000005</v>
      </c>
    </row>
    <row r="26" spans="1:16" ht="16.5" thickBot="1" x14ac:dyDescent="0.3">
      <c r="A26" s="145"/>
      <c r="B26" s="36" t="s">
        <v>213</v>
      </c>
      <c r="C26" s="73">
        <v>24010803.390000001</v>
      </c>
      <c r="D26" s="4">
        <f>IFERROR(+VLOOKUP(B26,COMISIONES!A:E,5,FALSE),"0")*1</f>
        <v>1882261.6002979665</v>
      </c>
      <c r="E26" s="4">
        <v>1358896.7781463198</v>
      </c>
      <c r="F26" s="59">
        <f t="shared" si="8"/>
        <v>523364.82215164672</v>
      </c>
      <c r="G26" s="5">
        <f t="shared" si="1"/>
        <v>7.8392279080586255E-2</v>
      </c>
      <c r="H26" s="4">
        <f t="shared" si="4"/>
        <v>15685513.335816387</v>
      </c>
      <c r="I26" s="5">
        <f t="shared" si="2"/>
        <v>0.65326899233821878</v>
      </c>
      <c r="J26" s="4">
        <f t="shared" si="5"/>
        <v>627420.5334326555</v>
      </c>
      <c r="K26" s="4">
        <f t="shared" si="3"/>
        <v>1005842.8086228198</v>
      </c>
      <c r="L26" s="63" cm="1">
        <f t="array" ref="L26">+_xlfn.IFS(I26&gt;114%,H26*0.02,I26&gt;109%,H26*0.015,I26&gt;104%,H26*0.0125,I26&gt;99%,H26*0.01,I26&lt;99%,H26*0)</f>
        <v>0</v>
      </c>
      <c r="P26" s="143">
        <v>24010803.390000001</v>
      </c>
    </row>
    <row r="27" spans="1:16" ht="16.5" thickBot="1" x14ac:dyDescent="0.3">
      <c r="A27" s="145"/>
      <c r="B27" s="36" t="s">
        <v>86</v>
      </c>
      <c r="C27" s="73">
        <v>26910856.350000001</v>
      </c>
      <c r="D27" s="4">
        <f>IFERROR(+VLOOKUP(B27,COMISIONES!A:E,5,FALSE),"0")*1</f>
        <v>2138310.9760203827</v>
      </c>
      <c r="E27" s="4">
        <v>1043663.7735990683</v>
      </c>
      <c r="F27" s="59">
        <f t="shared" si="8"/>
        <v>1094647.2024213145</v>
      </c>
      <c r="G27" s="5">
        <f t="shared" si="1"/>
        <v>7.945904612657867E-2</v>
      </c>
      <c r="H27" s="4">
        <f t="shared" si="4"/>
        <v>17819258.133503191</v>
      </c>
      <c r="I27" s="5">
        <f t="shared" si="2"/>
        <v>0.66215871772148904</v>
      </c>
      <c r="J27" s="4">
        <f t="shared" si="5"/>
        <v>712770.32534012757</v>
      </c>
      <c r="K27" s="4">
        <f t="shared" si="3"/>
        <v>1126024.7897263465</v>
      </c>
      <c r="L27" s="63" cm="1">
        <f t="array" ref="L27">+_xlfn.IFS(I27&gt;114%,H27*0.02,I27&gt;109%,H27*0.015,I27&gt;104%,H27*0.0125,I27&gt;99%,H27*0.01,I27&lt;99%,H27*0)</f>
        <v>0</v>
      </c>
      <c r="M27" s="27"/>
      <c r="P27" s="143">
        <v>26910856.350000001</v>
      </c>
    </row>
    <row r="28" spans="1:16" ht="16.5" thickBot="1" x14ac:dyDescent="0.3">
      <c r="A28" s="145"/>
      <c r="B28" s="36" t="s">
        <v>212</v>
      </c>
      <c r="C28" s="73">
        <v>39189035</v>
      </c>
      <c r="D28" s="4">
        <f>IFERROR(+VLOOKUP(B28,COMISIONES!A:E,5,FALSE),"0")*1</f>
        <v>2561364.7764617526</v>
      </c>
      <c r="E28" s="4">
        <v>1719778.1499583379</v>
      </c>
      <c r="F28" s="59">
        <f t="shared" si="8"/>
        <v>841586.62650341471</v>
      </c>
      <c r="G28" s="5">
        <f t="shared" si="1"/>
        <v>6.5359220416163669E-2</v>
      </c>
      <c r="H28" s="4">
        <f t="shared" si="4"/>
        <v>21344706.470514603</v>
      </c>
      <c r="I28" s="5">
        <f t="shared" si="2"/>
        <v>0.54466017013469714</v>
      </c>
      <c r="J28" s="4">
        <f t="shared" si="5"/>
        <v>853788.25882058416</v>
      </c>
      <c r="K28" s="4">
        <f t="shared" si="3"/>
        <v>1664894.1010699205</v>
      </c>
      <c r="L28" s="63" cm="1">
        <f t="array" ref="L28">+_xlfn.IFS(I28&gt;114%,H28*0.02,I28&gt;109%,H28*0.015,I28&gt;104%,H28*0.0125,I28&gt;99%,H28*0.01,I28&lt;99%,H28*0)</f>
        <v>0</v>
      </c>
      <c r="M28" s="26"/>
      <c r="P28" s="143">
        <v>39189035</v>
      </c>
    </row>
    <row r="29" spans="1:16" ht="16.5" thickBot="1" x14ac:dyDescent="0.3">
      <c r="A29" s="145"/>
      <c r="B29" s="36" t="s">
        <v>98</v>
      </c>
      <c r="C29" s="73">
        <v>26900000</v>
      </c>
      <c r="D29" s="4">
        <f>IFERROR(+VLOOKUP(B29,COMISIONES!A:E,5,FALSE),"0")*1</f>
        <v>1166677.533230609</v>
      </c>
      <c r="E29" s="4">
        <v>756921.35079500126</v>
      </c>
      <c r="F29" s="59">
        <f t="shared" si="8"/>
        <v>409756.18243560777</v>
      </c>
      <c r="G29" s="5">
        <f t="shared" si="1"/>
        <v>4.3370912016007769E-2</v>
      </c>
      <c r="H29" s="4">
        <f t="shared" si="4"/>
        <v>9722312.7769217417</v>
      </c>
      <c r="I29" s="5">
        <f t="shared" si="2"/>
        <v>0.36142426680006473</v>
      </c>
      <c r="J29" s="4">
        <f t="shared" si="5"/>
        <v>388892.51107686968</v>
      </c>
      <c r="K29" s="4">
        <f t="shared" si="3"/>
        <v>1169696.475762245</v>
      </c>
      <c r="L29" s="63" cm="1">
        <f t="array" ref="L29">+_xlfn.IFS(I29&gt;114%,H29*0.02,I29&gt;109%,H29*0.015,I29&gt;104%,H29*0.0125,I29&gt;99%,H29*0.01,I29&lt;99%,H29*0)</f>
        <v>0</v>
      </c>
      <c r="M29" s="27"/>
      <c r="P29" s="143">
        <v>26900000</v>
      </c>
    </row>
    <row r="30" spans="1:16" ht="16.5" thickBot="1" x14ac:dyDescent="0.3">
      <c r="A30" s="145"/>
      <c r="B30" s="36" t="s">
        <v>210</v>
      </c>
      <c r="C30" s="73">
        <v>25830000</v>
      </c>
      <c r="D30" s="4">
        <f>IFERROR(+VLOOKUP(B30,COMISIONES!A:E,5,FALSE),"0")*1</f>
        <v>1515047.2062076211</v>
      </c>
      <c r="E30" s="4">
        <v>992522.82807529054</v>
      </c>
      <c r="F30" s="59">
        <f t="shared" si="8"/>
        <v>522524.3781323306</v>
      </c>
      <c r="G30" s="5">
        <f t="shared" si="1"/>
        <v>5.865455695732176E-2</v>
      </c>
      <c r="H30" s="4">
        <f t="shared" si="4"/>
        <v>12625393.385063509</v>
      </c>
      <c r="I30" s="5">
        <f t="shared" si="2"/>
        <v>0.48878797464434798</v>
      </c>
      <c r="J30" s="4">
        <f t="shared" si="5"/>
        <v>505015.73540254036</v>
      </c>
      <c r="K30" s="4">
        <f t="shared" si="3"/>
        <v>1105225.1269905625</v>
      </c>
      <c r="L30" s="63" cm="1">
        <f t="array" ref="L30">+_xlfn.IFS(I30&gt;114%,H30*0.02,I30&gt;109%,H30*0.015,I30&gt;104%,H30*0.0125,I30&gt;99%,H30*0.01,I30&lt;99%,H30*0)</f>
        <v>0</v>
      </c>
      <c r="M30" s="26"/>
      <c r="P30" s="143">
        <v>25830000</v>
      </c>
    </row>
    <row r="31" spans="1:16" ht="16.5" thickBot="1" x14ac:dyDescent="0.3">
      <c r="A31" s="145"/>
      <c r="B31" s="36" t="s">
        <v>99</v>
      </c>
      <c r="C31" s="73">
        <v>27702000</v>
      </c>
      <c r="D31" s="4">
        <f>IFERROR(+VLOOKUP(B31,COMISIONES!A:E,5,FALSE),"0")*1</f>
        <v>1531376.1832633617</v>
      </c>
      <c r="E31" s="4">
        <v>677113.07117469213</v>
      </c>
      <c r="F31" s="59">
        <f t="shared" si="8"/>
        <v>854263.11208866956</v>
      </c>
      <c r="G31" s="5">
        <f t="shared" si="1"/>
        <v>5.5280347385147706E-2</v>
      </c>
      <c r="H31" s="4">
        <f t="shared" si="4"/>
        <v>12761468.193861347</v>
      </c>
      <c r="I31" s="5">
        <f t="shared" si="2"/>
        <v>0.46066956154289751</v>
      </c>
      <c r="J31" s="4">
        <f t="shared" si="5"/>
        <v>510458.7277544539</v>
      </c>
      <c r="K31" s="4">
        <f t="shared" si="3"/>
        <v>1189573.8098516653</v>
      </c>
      <c r="L31" s="63" cm="1">
        <f t="array" ref="L31">+_xlfn.IFS(I31&gt;114%,H31*0.02,I31&gt;109%,H31*0.015,I31&gt;104%,H31*0.0125,I31&gt;99%,H31*0.01,I31&lt;99%,H31*0)</f>
        <v>0</v>
      </c>
      <c r="P31" s="143">
        <v>27702000</v>
      </c>
    </row>
    <row r="32" spans="1:16" ht="16.5" thickBot="1" x14ac:dyDescent="0.3">
      <c r="A32" s="145"/>
      <c r="B32" s="36" t="s">
        <v>138</v>
      </c>
      <c r="C32" s="73">
        <v>24010803.390000001</v>
      </c>
      <c r="D32" s="4">
        <f>IFERROR(+VLOOKUP(B32,COMISIONES!A:E,5,FALSE),"0")*1</f>
        <v>1155215.0172623193</v>
      </c>
      <c r="E32" s="4">
        <v>776349.53606287704</v>
      </c>
      <c r="F32" s="59">
        <f t="shared" si="8"/>
        <v>378865.48119944229</v>
      </c>
      <c r="G32" s="5">
        <f t="shared" si="1"/>
        <v>4.8112301720959587E-2</v>
      </c>
      <c r="H32" s="4">
        <f t="shared" si="4"/>
        <v>9626791.8105193283</v>
      </c>
      <c r="I32" s="5">
        <f t="shared" si="2"/>
        <v>0.40093584767466328</v>
      </c>
      <c r="J32" s="4">
        <f t="shared" si="5"/>
        <v>385071.67242077313</v>
      </c>
      <c r="K32" s="4">
        <f t="shared" si="3"/>
        <v>1038890.3805789854</v>
      </c>
      <c r="L32" s="63" cm="1">
        <f t="array" ref="L32">+_xlfn.IFS(I32&gt;114%,H32*0.02,I32&gt;109%,H32*0.015,I32&gt;104%,H32*0.0125,I32&gt;99%,H32*0.01,I32&lt;99%,H32*0)</f>
        <v>0</v>
      </c>
      <c r="P32" s="143">
        <v>24010803.390000001</v>
      </c>
    </row>
    <row r="33" spans="1:16" ht="16.5" thickBot="1" x14ac:dyDescent="0.3">
      <c r="A33" s="145"/>
      <c r="B33" s="19" t="s">
        <v>272</v>
      </c>
      <c r="C33" s="73">
        <v>25780148</v>
      </c>
      <c r="D33" s="4">
        <f>IFERROR(+VLOOKUP(B33,COMISIONES!A:E,5,FALSE),"0")*1</f>
        <v>1831514.0723396542</v>
      </c>
      <c r="E33" s="4">
        <v>509332.29081850679</v>
      </c>
      <c r="F33" s="59">
        <f t="shared" si="8"/>
        <v>1322181.7815211473</v>
      </c>
      <c r="G33" s="5">
        <f t="shared" si="1"/>
        <v>7.1043582540319561E-2</v>
      </c>
      <c r="H33" s="4">
        <f t="shared" si="4"/>
        <v>15262617.269497117</v>
      </c>
      <c r="I33" s="5">
        <f t="shared" si="2"/>
        <v>0.59202985450266299</v>
      </c>
      <c r="J33" s="4">
        <f t="shared" si="5"/>
        <v>610504.6907798847</v>
      </c>
      <c r="K33" s="4">
        <f t="shared" si="3"/>
        <v>1088574.2694391066</v>
      </c>
      <c r="L33" s="63" cm="1">
        <f t="array" ref="L33">+_xlfn.IFS(I33&gt;114%,H33*0.02,I33&gt;109%,H33*0.015,I33&gt;104%,H33*0.0125,I33&gt;99%,H33*0.01,I33&lt;99%,H33*0)</f>
        <v>0</v>
      </c>
      <c r="P33" s="143">
        <v>25780148</v>
      </c>
    </row>
    <row r="34" spans="1:16" ht="16.5" thickBot="1" x14ac:dyDescent="0.3">
      <c r="A34" s="145"/>
      <c r="B34" s="36" t="s">
        <v>274</v>
      </c>
      <c r="C34" s="73">
        <v>26383192</v>
      </c>
      <c r="D34" s="4">
        <f>IFERROR(+VLOOKUP(B34,COMISIONES!A:E,5,FALSE),"0")*1</f>
        <v>2209452.8796649785</v>
      </c>
      <c r="E34" s="4">
        <v>1477710.926713676</v>
      </c>
      <c r="F34" s="59">
        <f t="shared" si="8"/>
        <v>731741.95295130252</v>
      </c>
      <c r="G34" s="5">
        <f t="shared" si="1"/>
        <v>8.3744714425190797E-2</v>
      </c>
      <c r="H34" s="4">
        <f t="shared" si="4"/>
        <v>18412107.330541488</v>
      </c>
      <c r="I34" s="5">
        <f t="shared" si="2"/>
        <v>0.69787262020992336</v>
      </c>
      <c r="J34" s="4">
        <f t="shared" si="5"/>
        <v>736484.29322165949</v>
      </c>
      <c r="K34" s="4">
        <f t="shared" si="3"/>
        <v>1098806.3236515918</v>
      </c>
      <c r="L34" s="63" cm="1">
        <f t="array" ref="L34">+_xlfn.IFS(I34&gt;114%,H34*0.02,I34&gt;109%,H34*0.015,I34&gt;104%,H34*0.0125,I34&gt;99%,H34*0.01,I34&lt;99%,H34*0)</f>
        <v>0</v>
      </c>
      <c r="P34" s="143">
        <v>26383192</v>
      </c>
    </row>
    <row r="35" spans="1:16" ht="16.5" thickBot="1" x14ac:dyDescent="0.3">
      <c r="A35" s="145"/>
      <c r="B35" s="36" t="s">
        <v>110</v>
      </c>
      <c r="C35" s="73">
        <v>125062043.75</v>
      </c>
      <c r="D35" s="4">
        <f>IFERROR(+VLOOKUP(B35,COMISIONES!A:E,5,FALSE),"0")*1</f>
        <v>13251421.94303805</v>
      </c>
      <c r="E35" s="4">
        <v>-191735.01</v>
      </c>
      <c r="F35" s="59">
        <f t="shared" si="8"/>
        <v>13443156.95303805</v>
      </c>
      <c r="G35" s="5">
        <f t="shared" si="1"/>
        <v>0.10595878290241079</v>
      </c>
      <c r="H35" s="4">
        <f t="shared" si="4"/>
        <v>110428516.19198376</v>
      </c>
      <c r="I35" s="5">
        <f t="shared" si="2"/>
        <v>0.88298985752008996</v>
      </c>
      <c r="J35" s="4">
        <f t="shared" si="5"/>
        <v>4417140.6476793503</v>
      </c>
      <c r="K35" s="4">
        <f t="shared" si="3"/>
        <v>5082300.9912255434</v>
      </c>
      <c r="L35" s="63" cm="1">
        <f t="array" ref="L35">+_xlfn.IFS(I35&gt;114%,H35*0.0125,I35&gt;109%,H35*0.01,I35&gt;104%,H35*0.0075,I35&gt;99%,H35*0.005,I35&lt;99%,H35*0)</f>
        <v>0</v>
      </c>
      <c r="P35" s="143">
        <v>125062043.75</v>
      </c>
    </row>
    <row r="36" spans="1:16" ht="16.5" thickBot="1" x14ac:dyDescent="0.3">
      <c r="A36" s="145"/>
      <c r="B36" s="36" t="s">
        <v>284</v>
      </c>
      <c r="C36" s="73">
        <v>36592500</v>
      </c>
      <c r="D36" s="4">
        <f>IFERROR(+VLOOKUP(B36,COMISIONES!A:E,5,FALSE),"0")*1</f>
        <v>4904802.4244999997</v>
      </c>
      <c r="E36" s="4">
        <v>832900.83240188414</v>
      </c>
      <c r="F36" s="59">
        <f t="shared" si="8"/>
        <v>4071901.5920981155</v>
      </c>
      <c r="G36" s="5">
        <f t="shared" si="1"/>
        <v>0.13403846210288992</v>
      </c>
      <c r="H36" s="4">
        <f t="shared" si="4"/>
        <v>40873353.537499994</v>
      </c>
      <c r="I36" s="5">
        <f t="shared" si="2"/>
        <v>1.1169871841907493</v>
      </c>
      <c r="J36" s="4">
        <f t="shared" si="5"/>
        <v>1634934.1414999999</v>
      </c>
      <c r="K36" s="4">
        <f t="shared" si="3"/>
        <v>1440349.8897954545</v>
      </c>
      <c r="L36" s="63" cm="1">
        <f t="array" ref="L36">+_xlfn.IFS(I36&gt;109%,H36*0.015,I36&gt;104%,H36*0.0125,I36&gt;99%,H36*0.01,I36&lt;99%,H36*0)</f>
        <v>613100.30306249985</v>
      </c>
      <c r="P36" s="143">
        <v>36592500</v>
      </c>
    </row>
    <row r="37" spans="1:16" ht="15.75" x14ac:dyDescent="0.25">
      <c r="A37" s="145"/>
      <c r="B37" s="36" t="s">
        <v>80</v>
      </c>
      <c r="C37" s="73">
        <v>37270463.43</v>
      </c>
      <c r="D37" s="4">
        <f>IFERROR(+VLOOKUP(B37,COMISIONES!A:E,5,FALSE),"0")*1</f>
        <v>3309540.3255070136</v>
      </c>
      <c r="E37" s="4">
        <v>1641794.184056751</v>
      </c>
      <c r="F37" s="59">
        <f t="shared" si="8"/>
        <v>1667746.1414502626</v>
      </c>
      <c r="G37" s="5">
        <f t="shared" si="1"/>
        <v>8.8797938660539311E-2</v>
      </c>
      <c r="H37" s="4">
        <f t="shared" si="4"/>
        <v>27579502.712558448</v>
      </c>
      <c r="I37" s="5">
        <f t="shared" si="2"/>
        <v>0.73998282217116096</v>
      </c>
      <c r="J37" s="4">
        <f t="shared" si="5"/>
        <v>1103180.1085023379</v>
      </c>
      <c r="K37" s="4">
        <f t="shared" si="3"/>
        <v>1543678.3229314992</v>
      </c>
      <c r="L37" s="63" cm="1">
        <f t="array" ref="L37">+_xlfn.IFS(I37&gt;114%,H37*0.02,I37&gt;109%,H37*0.015,I37&gt;104%,H37*0.0125,I37&gt;99%,H37*0.01,I37&lt;99%,H37*0)</f>
        <v>0</v>
      </c>
      <c r="P37" s="143">
        <v>37270463.43</v>
      </c>
    </row>
    <row r="38" spans="1:16" ht="16.5" thickBot="1" x14ac:dyDescent="0.3">
      <c r="A38" s="146"/>
      <c r="B38" s="3"/>
      <c r="C38" s="74">
        <v>532189801.57085186</v>
      </c>
      <c r="D38" s="66">
        <f>+SUM(D25:D37)</f>
        <v>41270073.634761102</v>
      </c>
      <c r="E38" s="66">
        <v>13197614.473922215</v>
      </c>
      <c r="F38" s="66">
        <f>+D38-E38</f>
        <v>28072459.160838887</v>
      </c>
      <c r="G38" s="65">
        <f t="shared" si="1"/>
        <v>7.7547659712653677E-2</v>
      </c>
      <c r="H38" s="64">
        <f t="shared" si="4"/>
        <v>343917280.28967583</v>
      </c>
      <c r="I38" s="65">
        <f t="shared" si="2"/>
        <v>0.64623049760544726</v>
      </c>
      <c r="J38" s="64">
        <f t="shared" si="5"/>
        <v>13756691.211587034</v>
      </c>
      <c r="K38" s="66">
        <f t="shared" si="3"/>
        <v>22314533.088004127</v>
      </c>
      <c r="L38" s="67"/>
      <c r="P38" s="143">
        <f t="shared" ref="P38" si="10">+C38*1.02</f>
        <v>542833597.60226893</v>
      </c>
    </row>
    <row r="39" spans="1:16" ht="16.5" thickBot="1" x14ac:dyDescent="0.3">
      <c r="A39" s="144" t="s">
        <v>264</v>
      </c>
      <c r="B39" s="136" t="s">
        <v>144</v>
      </c>
      <c r="C39" s="4">
        <v>35000000</v>
      </c>
      <c r="D39" s="4">
        <f>IFERROR(+VLOOKUP(B39,COMISIONES!A:E,5,FALSE),"0")*1</f>
        <v>2871011.5105904969</v>
      </c>
      <c r="E39" s="4">
        <v>2871011.5105904969</v>
      </c>
      <c r="F39" s="59">
        <f t="shared" si="8"/>
        <v>0</v>
      </c>
      <c r="G39" s="5">
        <f t="shared" si="1"/>
        <v>8.2028900302585625E-2</v>
      </c>
      <c r="H39" s="4">
        <f t="shared" ref="H39:H47" si="11">+D39/$N$3*$N$4</f>
        <v>23925095.921587475</v>
      </c>
      <c r="I39" s="5">
        <f t="shared" ref="I39:I47" si="12">+H39/C39</f>
        <v>0.68357416918821357</v>
      </c>
      <c r="J39" s="4">
        <f t="shared" ref="J39:J47" si="13">+D39/$N$3</f>
        <v>957003.83686349902</v>
      </c>
      <c r="K39" s="4">
        <f t="shared" ref="K39:K47" si="14">+(C39-D39)/$N$2</f>
        <v>1460408.5677004319</v>
      </c>
      <c r="L39" s="63" cm="1">
        <f t="array" ref="L39">+_xlfn.IFS(I39&gt;114%,H39*0.02,I39&gt;109%,H39*0.015,I39&gt;104%,H39*0.0125,I39&gt;99%,H39*0.01,I39&lt;99%,H39*0)</f>
        <v>0</v>
      </c>
      <c r="P39" s="143">
        <f>+C39</f>
        <v>35000000</v>
      </c>
    </row>
    <row r="40" spans="1:16" ht="16.5" thickBot="1" x14ac:dyDescent="0.3">
      <c r="A40" s="145"/>
      <c r="B40" s="136" t="s">
        <v>145</v>
      </c>
      <c r="C40" s="4">
        <v>30000000</v>
      </c>
      <c r="D40" s="4">
        <f>IFERROR(+VLOOKUP(B40,COMISIONES!A:E,5,FALSE),"0")*1</f>
        <v>0</v>
      </c>
      <c r="E40" s="4">
        <v>0</v>
      </c>
      <c r="F40" s="59">
        <f t="shared" si="8"/>
        <v>0</v>
      </c>
      <c r="G40" s="5">
        <f t="shared" si="1"/>
        <v>0</v>
      </c>
      <c r="H40" s="4">
        <f t="shared" si="11"/>
        <v>0</v>
      </c>
      <c r="I40" s="5">
        <f t="shared" si="12"/>
        <v>0</v>
      </c>
      <c r="J40" s="4">
        <f t="shared" si="13"/>
        <v>0</v>
      </c>
      <c r="K40" s="4">
        <f t="shared" si="14"/>
        <v>1363636.3636363635</v>
      </c>
      <c r="L40" s="63" cm="1">
        <f t="array" ref="L40">+_xlfn.IFS(I40&gt;114%,H40*0.02,I40&gt;109%,H40*0.015,I40&gt;104%,H40*0.0125,I40&gt;99%,H40*0.01,I40&lt;99%,H40*0)</f>
        <v>0</v>
      </c>
      <c r="P40" s="143">
        <f>+C40</f>
        <v>30000000</v>
      </c>
    </row>
    <row r="41" spans="1:16" ht="16.5" thickBot="1" x14ac:dyDescent="0.3">
      <c r="A41" s="145"/>
      <c r="B41" s="136" t="s">
        <v>106</v>
      </c>
      <c r="C41" s="4">
        <v>32421674.968781177</v>
      </c>
      <c r="D41" s="4">
        <f>IFERROR(+VLOOKUP(B41,COMISIONES!A:E,5,FALSE),"0")*1</f>
        <v>10831777.123155374</v>
      </c>
      <c r="E41" s="4">
        <v>10831777.123155374</v>
      </c>
      <c r="F41" s="59">
        <f t="shared" si="8"/>
        <v>0</v>
      </c>
      <c r="G41" s="5">
        <f t="shared" si="1"/>
        <v>0.3340906086309634</v>
      </c>
      <c r="H41" s="4">
        <f t="shared" si="11"/>
        <v>90264809.359628111</v>
      </c>
      <c r="I41" s="5">
        <f t="shared" si="12"/>
        <v>2.7840884052580281</v>
      </c>
      <c r="J41" s="4">
        <f t="shared" si="13"/>
        <v>3610592.3743851245</v>
      </c>
      <c r="K41" s="4">
        <f t="shared" si="14"/>
        <v>981358.99298299104</v>
      </c>
      <c r="L41" s="63" cm="1">
        <f t="array" ref="L41">+_xlfn.IFS(I41&gt;114%,H41*0.02,I41&gt;109%,H41*0.015,I41&gt;104%,H41*0.0125,I41&gt;99%,H41*0.01,I41&lt;99%,H41*0)</f>
        <v>1805296.1871925623</v>
      </c>
      <c r="P41" s="143">
        <f>+C41</f>
        <v>32421674.968781177</v>
      </c>
    </row>
    <row r="42" spans="1:16" ht="16.5" thickBot="1" x14ac:dyDescent="0.3">
      <c r="A42" s="145"/>
      <c r="B42" s="137" t="s">
        <v>139</v>
      </c>
      <c r="C42" s="4">
        <v>56524908.220357507</v>
      </c>
      <c r="D42" s="4">
        <f>IFERROR(+VLOOKUP(B42,COMISIONES!A:E,5,FALSE),"0")*1</f>
        <v>3672776.0578550007</v>
      </c>
      <c r="E42" s="4">
        <v>3672776.0578550007</v>
      </c>
      <c r="F42" s="59">
        <f t="shared" si="8"/>
        <v>0</v>
      </c>
      <c r="G42" s="5">
        <f t="shared" si="1"/>
        <v>6.4976240979233407E-2</v>
      </c>
      <c r="H42" s="4">
        <f t="shared" si="11"/>
        <v>30606467.148791671</v>
      </c>
      <c r="I42" s="5">
        <f t="shared" si="12"/>
        <v>0.54146867482694505</v>
      </c>
      <c r="J42" s="4">
        <f t="shared" si="13"/>
        <v>1224258.6859516669</v>
      </c>
      <c r="K42" s="4">
        <f t="shared" si="14"/>
        <v>2402369.6437501139</v>
      </c>
      <c r="L42" s="63" cm="1">
        <f t="array" ref="L42">+_xlfn.IFS(I42&gt;114%,H42*0.02,I42&gt;109%,H42*0.015,I42&gt;104%,H42*0.0125,I42&gt;99%,H42*0.01,I42&lt;99%,H42*0)</f>
        <v>0</v>
      </c>
      <c r="P42" s="143">
        <f>+C42*1.02</f>
        <v>57655406.384764656</v>
      </c>
    </row>
    <row r="43" spans="1:16" ht="16.5" thickBot="1" x14ac:dyDescent="0.3">
      <c r="A43" s="145"/>
      <c r="B43" s="138" t="s">
        <v>265</v>
      </c>
      <c r="C43" s="4">
        <v>100000000</v>
      </c>
      <c r="D43" s="4">
        <f>IFERROR(+VLOOKUP(B43,COMISIONES!A:E,5,FALSE),"0")*1</f>
        <v>22371341.880147766</v>
      </c>
      <c r="E43" s="4">
        <v>0</v>
      </c>
      <c r="F43" s="59">
        <f t="shared" si="8"/>
        <v>22371341.880147766</v>
      </c>
      <c r="G43" s="5">
        <f t="shared" si="1"/>
        <v>0.22371341880147766</v>
      </c>
      <c r="H43" s="4">
        <f t="shared" si="11"/>
        <v>186427849.0012314</v>
      </c>
      <c r="I43" s="5">
        <f t="shared" si="12"/>
        <v>1.8642784900123139</v>
      </c>
      <c r="J43" s="4">
        <f t="shared" si="13"/>
        <v>7457113.9600492558</v>
      </c>
      <c r="K43" s="4">
        <f t="shared" si="14"/>
        <v>3528575.3690841924</v>
      </c>
      <c r="L43" s="63" cm="1">
        <f t="array" ref="L43">+_xlfn.IFS(I43&gt;114%,H43*0.02,I43&gt;109%,H43*0.015,I43&gt;104%,H43*0.0125,I43&gt;99%,H43*0.01,I43&lt;99%,H43*0)</f>
        <v>3728556.9800246283</v>
      </c>
      <c r="P43" s="143">
        <f t="shared" ref="P43:P46" si="15">+C43</f>
        <v>100000000</v>
      </c>
    </row>
    <row r="44" spans="1:16" ht="16.5" thickBot="1" x14ac:dyDescent="0.3">
      <c r="A44" s="145"/>
      <c r="B44" s="138" t="s">
        <v>266</v>
      </c>
      <c r="C44" s="4">
        <v>100000000</v>
      </c>
      <c r="D44" s="4">
        <f>IFERROR(+VLOOKUP(B44,COMISIONES!A:E,5,FALSE),"0")*1</f>
        <v>2923678.1117493762</v>
      </c>
      <c r="E44" s="4">
        <v>2923678.1117493762</v>
      </c>
      <c r="F44" s="59">
        <f t="shared" si="8"/>
        <v>0</v>
      </c>
      <c r="G44" s="5">
        <f t="shared" si="1"/>
        <v>2.9236781117493761E-2</v>
      </c>
      <c r="H44" s="4">
        <f t="shared" si="11"/>
        <v>24363984.264578134</v>
      </c>
      <c r="I44" s="5">
        <f t="shared" si="12"/>
        <v>0.24363984264578134</v>
      </c>
      <c r="J44" s="4">
        <f t="shared" si="13"/>
        <v>974559.37058312539</v>
      </c>
      <c r="K44" s="4">
        <f t="shared" si="14"/>
        <v>4412560.0858295737</v>
      </c>
      <c r="L44" s="63" cm="1">
        <f t="array" ref="L44">+_xlfn.IFS(I44&gt;114%,H44*0.02,I44&gt;109%,H44*0.015,I44&gt;104%,H44*0.0125,I44&gt;99%,H44*0.01,I44&lt;99%,H44*0)</f>
        <v>0</v>
      </c>
      <c r="P44" s="143">
        <f t="shared" si="15"/>
        <v>100000000</v>
      </c>
    </row>
    <row r="45" spans="1:16" ht="16.5" thickBot="1" x14ac:dyDescent="0.3">
      <c r="A45" s="145"/>
      <c r="B45" s="138" t="s">
        <v>273</v>
      </c>
      <c r="C45" s="4">
        <v>25000000</v>
      </c>
      <c r="D45" s="4">
        <f>IFERROR(+VLOOKUP(B45,COMISIONES!A:E,5,FALSE),"0")*1</f>
        <v>0</v>
      </c>
      <c r="E45" s="4">
        <v>0</v>
      </c>
      <c r="F45" s="59">
        <f t="shared" si="8"/>
        <v>0</v>
      </c>
      <c r="G45" s="5">
        <f t="shared" si="1"/>
        <v>0</v>
      </c>
      <c r="H45" s="4">
        <f t="shared" si="11"/>
        <v>0</v>
      </c>
      <c r="I45" s="5">
        <f t="shared" si="12"/>
        <v>0</v>
      </c>
      <c r="J45" s="4">
        <f t="shared" si="13"/>
        <v>0</v>
      </c>
      <c r="K45" s="4">
        <f t="shared" si="14"/>
        <v>1136363.6363636365</v>
      </c>
      <c r="L45" s="63" cm="1">
        <f t="array" ref="L45">+_xlfn.IFS(I45&gt;114%,H45*0.02,I45&gt;109%,H45*0.015,I45&gt;104%,H45*0.0125,I45&gt;99%,H45*0.01,I45&lt;99%,H45*0)</f>
        <v>0</v>
      </c>
      <c r="P45" s="143">
        <f t="shared" si="15"/>
        <v>25000000</v>
      </c>
    </row>
    <row r="46" spans="1:16" ht="15.75" x14ac:dyDescent="0.25">
      <c r="A46" s="145"/>
      <c r="B46" s="138" t="s">
        <v>267</v>
      </c>
      <c r="C46" s="4">
        <v>100000000</v>
      </c>
      <c r="D46" s="4">
        <f>IFERROR(+VLOOKUP(B46,COMISIONES!A:E,5,FALSE),"0")*1</f>
        <v>3242995.6574940565</v>
      </c>
      <c r="E46" s="4">
        <v>3242995.6574940565</v>
      </c>
      <c r="F46" s="59">
        <f t="shared" si="8"/>
        <v>0</v>
      </c>
      <c r="G46" s="5">
        <f t="shared" si="1"/>
        <v>3.2429956574940563E-2</v>
      </c>
      <c r="H46" s="4">
        <f t="shared" si="11"/>
        <v>27024963.812450472</v>
      </c>
      <c r="I46" s="5">
        <f t="shared" si="12"/>
        <v>0.2702496381245047</v>
      </c>
      <c r="J46" s="4">
        <f t="shared" si="13"/>
        <v>1080998.5524980188</v>
      </c>
      <c r="K46" s="4">
        <f t="shared" si="14"/>
        <v>4398045.6519320887</v>
      </c>
      <c r="L46" s="63" cm="1">
        <f t="array" ref="L46">+_xlfn.IFS(I46&gt;114%,H46*0.02,I46&gt;109%,H46*0.015,I46&gt;104%,H46*0.0125,I46&gt;99%,H46*0.01,I46&lt;99%,H46*0)</f>
        <v>0</v>
      </c>
      <c r="P46" s="143">
        <f t="shared" si="15"/>
        <v>100000000</v>
      </c>
    </row>
    <row r="47" spans="1:16" ht="16.5" thickBot="1" x14ac:dyDescent="0.3">
      <c r="A47" s="146"/>
      <c r="B47" s="135"/>
      <c r="C47" s="66">
        <v>478946583.18913865</v>
      </c>
      <c r="D47" s="66">
        <f>SUM(D39:D46)</f>
        <v>45913580.340992071</v>
      </c>
      <c r="E47" s="66">
        <v>23542238.460844308</v>
      </c>
      <c r="F47" s="66">
        <f>+SUM(F39:F46)</f>
        <v>22371341.880147766</v>
      </c>
      <c r="G47" s="65">
        <f t="shared" si="1"/>
        <v>9.5863676561318209E-2</v>
      </c>
      <c r="H47" s="64">
        <f t="shared" si="11"/>
        <v>382613169.50826722</v>
      </c>
      <c r="I47" s="65">
        <f t="shared" si="12"/>
        <v>0.7988639713443183</v>
      </c>
      <c r="J47" s="64">
        <f t="shared" si="13"/>
        <v>15304526.78033069</v>
      </c>
      <c r="K47" s="66">
        <f t="shared" si="14"/>
        <v>19683318.31127939</v>
      </c>
      <c r="L47" s="67"/>
      <c r="P47" s="143">
        <f>SUM(P39:P46)</f>
        <v>480077081.35354584</v>
      </c>
    </row>
    <row r="48" spans="1:16" ht="16.5" thickBot="1" x14ac:dyDescent="0.3">
      <c r="A48" s="75" t="s">
        <v>271</v>
      </c>
      <c r="B48" s="76"/>
      <c r="C48" s="77">
        <v>1850055247.7223711</v>
      </c>
      <c r="D48" s="77">
        <f>+D38+D24+D10+D15+D47</f>
        <v>176608057.57956046</v>
      </c>
      <c r="E48" s="77">
        <v>84000495.869221359</v>
      </c>
      <c r="F48" s="77">
        <f>+D48-E48</f>
        <v>92607561.710339099</v>
      </c>
      <c r="G48" s="78">
        <f>+D48/C48</f>
        <v>9.5460964096604747E-2</v>
      </c>
      <c r="H48" s="77">
        <f>+D48/$N$3*$N$4</f>
        <v>1471733813.1630039</v>
      </c>
      <c r="I48" s="140">
        <f t="shared" si="2"/>
        <v>0.7955080341383729</v>
      </c>
      <c r="J48" s="77">
        <f>+D48/$N$3</f>
        <v>58869352.526520155</v>
      </c>
      <c r="K48" s="77">
        <f>+(C48-D48)/$N$2</f>
        <v>76065781.370127752</v>
      </c>
      <c r="L48" s="79"/>
      <c r="P48" s="143">
        <f>+P10+P15+P24+P38+P47</f>
        <v>1878607919.177443</v>
      </c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0.13924050632911392</v>
      </c>
      <c r="E2" s="13">
        <v>33</v>
      </c>
      <c r="F2" s="12">
        <f>+H2-E2</f>
        <v>-22</v>
      </c>
      <c r="G2" s="13">
        <f>VLOOKUP(B2,'Base Cobertura'!$A:$C,3,FALSE)</f>
        <v>79</v>
      </c>
      <c r="H2" s="13">
        <f>VLOOKUP(B2,'Base Cobertura'!$A:$C,2,FALSE)</f>
        <v>11</v>
      </c>
      <c r="I2" s="17">
        <f>(+G2*$M$2)-H2</f>
        <v>56.149999999999991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0.15789473684210525</v>
      </c>
      <c r="E3" s="13">
        <v>126</v>
      </c>
      <c r="F3" s="12">
        <f t="shared" ref="F3:F13" si="1">+H3-E3</f>
        <v>-90</v>
      </c>
      <c r="G3" s="13">
        <f>VLOOKUP(B3,'Base Cobertura'!$A:$C,3,FALSE)</f>
        <v>228</v>
      </c>
      <c r="H3" s="13">
        <f>VLOOKUP(B3,'Base Cobertura'!$A:$C,2,FALSE)</f>
        <v>36</v>
      </c>
      <c r="I3" s="17">
        <f t="shared" ref="I3:I13" si="2">(+G3*$M$2)-H3</f>
        <v>157.79999999999998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142 - ALMACEN</v>
      </c>
      <c r="S3" s="12">
        <v>7</v>
      </c>
      <c r="T3" s="12">
        <v>174</v>
      </c>
      <c r="U3" s="41">
        <f>+S3/T3</f>
        <v>4.0229885057471264E-2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0.15384615384615385</v>
      </c>
      <c r="E4" s="13">
        <v>21</v>
      </c>
      <c r="F4" s="12">
        <f t="shared" si="1"/>
        <v>-11</v>
      </c>
      <c r="G4" s="13">
        <f>VLOOKUP(B4,'Base Cobertura'!$A:$C,3,FALSE)</f>
        <v>65</v>
      </c>
      <c r="H4" s="13">
        <f>VLOOKUP(B4,'Base Cobertura'!$A:$C,2,FALSE)</f>
        <v>10</v>
      </c>
      <c r="I4" s="17">
        <f t="shared" si="2"/>
        <v>45.25</v>
      </c>
      <c r="J4" t="s">
        <v>57</v>
      </c>
      <c r="K4" t="s">
        <v>64</v>
      </c>
      <c r="P4" s="13">
        <v>25</v>
      </c>
      <c r="Q4" s="13">
        <v>0</v>
      </c>
      <c r="R4" s="13" t="str">
        <v>142 - Articulos Sin Asociar Agrupacion</v>
      </c>
      <c r="S4" s="13">
        <v>3</v>
      </c>
      <c r="T4" s="13">
        <v>174</v>
      </c>
      <c r="U4" s="5">
        <f t="shared" ref="U4:U11" si="3">+S4/T4</f>
        <v>1.7241379310344827E-2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0.17224880382775121</v>
      </c>
      <c r="E5" s="13">
        <v>100</v>
      </c>
      <c r="F5" s="12">
        <f t="shared" si="1"/>
        <v>-64</v>
      </c>
      <c r="G5" s="13">
        <f>VLOOKUP(B5,'Base Cobertura'!$A:$C,3,FALSE)</f>
        <v>209</v>
      </c>
      <c r="H5" s="13">
        <f>VLOOKUP(B5,'Base Cobertura'!$A:$C,2,FALSE)</f>
        <v>36</v>
      </c>
      <c r="I5" s="17">
        <f t="shared" si="2"/>
        <v>141.65</v>
      </c>
      <c r="K5" t="s">
        <v>64</v>
      </c>
      <c r="P5" s="13">
        <v>25</v>
      </c>
      <c r="Q5" s="13">
        <v>0</v>
      </c>
      <c r="R5" s="13" t="str">
        <v>142 - BEBIDAS</v>
      </c>
      <c r="S5" s="13">
        <v>7</v>
      </c>
      <c r="T5" s="13">
        <v>174</v>
      </c>
      <c r="U5" s="5">
        <f t="shared" si="3"/>
        <v>4.0229885057471264E-2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0.16500000000000001</v>
      </c>
      <c r="E6" s="13">
        <v>81</v>
      </c>
      <c r="F6" s="12">
        <f t="shared" si="1"/>
        <v>-48</v>
      </c>
      <c r="G6" s="13">
        <f>VLOOKUP(B6,'Base Cobertura'!$A:$C,3,FALSE)</f>
        <v>200</v>
      </c>
      <c r="H6" s="13">
        <f>VLOOKUP(B6,'Base Cobertura'!$A:$C,2,FALSE)</f>
        <v>33</v>
      </c>
      <c r="I6" s="17">
        <f t="shared" si="2"/>
        <v>137</v>
      </c>
      <c r="J6" t="s">
        <v>58</v>
      </c>
      <c r="K6" t="s">
        <v>58</v>
      </c>
      <c r="P6" s="13">
        <v>25</v>
      </c>
      <c r="Q6" s="13">
        <v>0</v>
      </c>
      <c r="R6" s="13" t="str">
        <v>142 - CHOCOLATE</v>
      </c>
      <c r="S6" s="13">
        <v>3</v>
      </c>
      <c r="T6" s="13">
        <v>174</v>
      </c>
      <c r="U6" s="5">
        <f t="shared" si="3"/>
        <v>1.7241379310344827E-2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0.17674418604651163</v>
      </c>
      <c r="E7" s="13">
        <v>89</v>
      </c>
      <c r="F7" s="12">
        <f t="shared" si="1"/>
        <v>-51</v>
      </c>
      <c r="G7" s="13">
        <f>VLOOKUP(B7,'Base Cobertura'!$A:$C,3,FALSE)</f>
        <v>215</v>
      </c>
      <c r="H7" s="13">
        <f>VLOOKUP(B7,'Base Cobertura'!$A:$C,2,FALSE)</f>
        <v>38</v>
      </c>
      <c r="I7" s="17">
        <f t="shared" si="2"/>
        <v>144.75</v>
      </c>
      <c r="J7" t="s">
        <v>58</v>
      </c>
      <c r="K7" t="s">
        <v>58</v>
      </c>
      <c r="P7" s="13">
        <v>25</v>
      </c>
      <c r="Q7" s="13">
        <v>0</v>
      </c>
      <c r="R7" s="13" t="str">
        <v>142 - GALLETITAS</v>
      </c>
      <c r="S7" s="13">
        <v>7</v>
      </c>
      <c r="T7" s="13">
        <v>174</v>
      </c>
      <c r="U7" s="5">
        <f t="shared" si="3"/>
        <v>4.0229885057471264E-2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0.12941176470588237</v>
      </c>
      <c r="E8" s="13">
        <v>92</v>
      </c>
      <c r="F8" s="12">
        <f t="shared" si="1"/>
        <v>-70</v>
      </c>
      <c r="G8" s="13">
        <f>VLOOKUP(B8,'Base Cobertura'!$A:$C,3,FALSE)</f>
        <v>170</v>
      </c>
      <c r="H8" s="13">
        <f>VLOOKUP(B8,'Base Cobertura'!$A:$C,2,FALSE)</f>
        <v>22</v>
      </c>
      <c r="I8" s="17">
        <f t="shared" si="2"/>
        <v>122.5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142 - GOLOSINAS</v>
      </c>
      <c r="S8" s="13">
        <v>4</v>
      </c>
      <c r="T8" s="13">
        <v>174</v>
      </c>
      <c r="U8" s="5">
        <f t="shared" si="3"/>
        <v>2.2988505747126436E-2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9.5477386934673364E-2</v>
      </c>
      <c r="E9" s="13">
        <v>64</v>
      </c>
      <c r="F9" s="12">
        <f t="shared" si="1"/>
        <v>-45</v>
      </c>
      <c r="G9" s="13">
        <f>VLOOKUP(B9,'Base Cobertura'!$A:$C,3,FALSE)</f>
        <v>199</v>
      </c>
      <c r="H9" s="13">
        <f>VLOOKUP(B9,'Base Cobertura'!$A:$C,2,FALSE)</f>
        <v>19</v>
      </c>
      <c r="I9" s="17">
        <f t="shared" si="2"/>
        <v>150.15</v>
      </c>
      <c r="J9" t="s">
        <v>55</v>
      </c>
      <c r="K9" t="s">
        <v>65</v>
      </c>
      <c r="P9" s="13">
        <v>25</v>
      </c>
      <c r="Q9" s="13">
        <v>0</v>
      </c>
      <c r="R9" s="13" t="str">
        <v>142 - MASCOTAS</v>
      </c>
      <c r="S9" s="13">
        <v>6</v>
      </c>
      <c r="T9" s="13">
        <v>174</v>
      </c>
      <c r="U9" s="5">
        <f t="shared" si="3"/>
        <v>3.4482758620689655E-2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3.8461538461538464E-2</v>
      </c>
      <c r="E10" s="31">
        <v>19</v>
      </c>
      <c r="F10" s="33">
        <f t="shared" si="1"/>
        <v>-15</v>
      </c>
      <c r="G10" s="13">
        <f>VLOOKUP(B10,'Base Cobertura'!$A:$C,3,FALSE)</f>
        <v>104</v>
      </c>
      <c r="H10" s="13">
        <f>VLOOKUP(B10,'Base Cobertura'!$A:$C,2,FALSE)</f>
        <v>4</v>
      </c>
      <c r="I10" s="34">
        <f t="shared" si="2"/>
        <v>84.399999999999991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142 - NO PERECEDEROS</v>
      </c>
      <c r="S10" s="13">
        <v>5</v>
      </c>
      <c r="T10" s="13">
        <v>174</v>
      </c>
      <c r="U10" s="5">
        <f t="shared" si="3"/>
        <v>2.8735632183908046E-2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5.7142857142857141E-2</v>
      </c>
      <c r="E11" s="31">
        <v>24</v>
      </c>
      <c r="F11" s="33">
        <f t="shared" si="1"/>
        <v>-18</v>
      </c>
      <c r="G11" s="13">
        <f>VLOOKUP(B11,'Base Cobertura'!$A:$C,3,FALSE)</f>
        <v>105</v>
      </c>
      <c r="H11" s="13">
        <f>VLOOKUP(B11,'Base Cobertura'!$A:$C,2,FALSE)</f>
        <v>6</v>
      </c>
      <c r="I11" s="34">
        <f t="shared" si="2"/>
        <v>83.25</v>
      </c>
      <c r="J11" t="s">
        <v>59</v>
      </c>
      <c r="P11" s="13">
        <v>25</v>
      </c>
      <c r="Q11" s="13">
        <v>0</v>
      </c>
      <c r="R11" s="13" t="str">
        <v>142 - PILAS</v>
      </c>
      <c r="S11" s="13">
        <v>2</v>
      </c>
      <c r="T11" s="13">
        <v>174</v>
      </c>
      <c r="U11" s="5">
        <f t="shared" si="3"/>
        <v>1.1494252873563218E-2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0.15209125475285171</v>
      </c>
      <c r="E12" s="13">
        <v>144</v>
      </c>
      <c r="F12" s="12">
        <f t="shared" si="1"/>
        <v>-104</v>
      </c>
      <c r="G12" s="13">
        <f>VLOOKUP(B12,'Base Cobertura'!$A:$C,3,FALSE)</f>
        <v>263</v>
      </c>
      <c r="H12" s="13">
        <f>VLOOKUP(B12,'Base Cobertura'!$A:$C,2,FALSE)</f>
        <v>40</v>
      </c>
      <c r="I12" s="17">
        <f t="shared" si="2"/>
        <v>183.54999999999998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0.17582417582417584</v>
      </c>
      <c r="E13" s="13">
        <v>85</v>
      </c>
      <c r="F13" s="12">
        <f t="shared" si="1"/>
        <v>-53</v>
      </c>
      <c r="G13" s="13">
        <f>VLOOKUP(B13,'Base Cobertura'!$A:$C,3,FALSE)</f>
        <v>182</v>
      </c>
      <c r="H13" s="13">
        <f>VLOOKUP(B13,'Base Cobertura'!$A:$C,2,FALSE)</f>
        <v>32</v>
      </c>
      <c r="I13" s="17">
        <f t="shared" si="2"/>
        <v>122.69999999999999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-591</v>
      </c>
      <c r="G14" s="8">
        <f>+SUM(G1:G13)</f>
        <v>2019</v>
      </c>
      <c r="H14" s="8">
        <f>+SUM(H1:H13)</f>
        <v>287</v>
      </c>
      <c r="I14" s="8"/>
      <c r="J14" t="s">
        <v>55</v>
      </c>
      <c r="K14" t="s">
        <v>64</v>
      </c>
    </row>
    <row r="15" spans="1:21" x14ac:dyDescent="0.25">
      <c r="A15" s="150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0.14634146341463414</v>
      </c>
      <c r="E15" s="13">
        <v>90</v>
      </c>
      <c r="F15" s="12">
        <f t="shared" ref="F15:F36" si="6">+H15-E15</f>
        <v>-66</v>
      </c>
      <c r="G15" s="13">
        <f>VLOOKUP(B15,'Base Cobertura'!$A:$C,3,FALSE)</f>
        <v>164</v>
      </c>
      <c r="H15" s="13">
        <f>VLOOKUP(B15,'Base Cobertura'!$A:$C,2,FALSE)</f>
        <v>24</v>
      </c>
      <c r="I15" s="17">
        <f t="shared" ref="I15:I36" si="7">(+G15*$M$2)-H15</f>
        <v>115.4</v>
      </c>
      <c r="J15" t="s">
        <v>55</v>
      </c>
      <c r="K15" t="s">
        <v>55</v>
      </c>
    </row>
    <row r="16" spans="1:21" x14ac:dyDescent="0.25">
      <c r="A16" s="151"/>
      <c r="B16">
        <v>54</v>
      </c>
      <c r="C16" s="13" t="str">
        <f>+AVANCE!B23</f>
        <v>54 - BARTSCHAT EMILIANO NAHUEL</v>
      </c>
      <c r="D16" s="22">
        <f t="shared" si="5"/>
        <v>0.11442786069651742</v>
      </c>
      <c r="E16" s="13">
        <v>92</v>
      </c>
      <c r="F16" s="12">
        <f t="shared" si="6"/>
        <v>-69</v>
      </c>
      <c r="G16" s="13">
        <f>VLOOKUP(B16,'Base Cobertura'!$A:$C,3,FALSE)</f>
        <v>201</v>
      </c>
      <c r="H16" s="13">
        <f>VLOOKUP(B16,'Base Cobertura'!$A:$C,2,FALSE)</f>
        <v>23</v>
      </c>
      <c r="I16" s="17">
        <f t="shared" si="7"/>
        <v>147.85</v>
      </c>
      <c r="J16" t="s">
        <v>55</v>
      </c>
      <c r="K16" t="s">
        <v>63</v>
      </c>
    </row>
    <row r="17" spans="1:11" x14ac:dyDescent="0.25">
      <c r="A17" s="151"/>
      <c r="B17">
        <v>21</v>
      </c>
      <c r="C17" s="13" t="str">
        <f>+AVANCE!B19</f>
        <v>21 - CATAN MATIAS</v>
      </c>
      <c r="D17" s="22">
        <f t="shared" si="5"/>
        <v>0.2289156626506024</v>
      </c>
      <c r="E17" s="13">
        <v>88</v>
      </c>
      <c r="F17" s="12">
        <f t="shared" si="6"/>
        <v>-50</v>
      </c>
      <c r="G17" s="13">
        <f>VLOOKUP(B17,'Base Cobertura'!$A:$C,3,FALSE)</f>
        <v>166</v>
      </c>
      <c r="H17" s="13">
        <f>VLOOKUP(B17,'Base Cobertura'!$A:$C,2,FALSE)</f>
        <v>38</v>
      </c>
      <c r="I17" s="17">
        <f t="shared" si="7"/>
        <v>103.1</v>
      </c>
      <c r="J17" t="s">
        <v>58</v>
      </c>
      <c r="K17" t="s">
        <v>55</v>
      </c>
    </row>
    <row r="18" spans="1:11" x14ac:dyDescent="0.25">
      <c r="A18" s="151"/>
      <c r="B18">
        <v>23</v>
      </c>
      <c r="C18" s="13" t="str">
        <f>+AVANCE!B20</f>
        <v>23 - DELGADO JOSÉ</v>
      </c>
      <c r="D18" s="22">
        <f t="shared" si="5"/>
        <v>0.19108280254777071</v>
      </c>
      <c r="E18" s="13">
        <v>95</v>
      </c>
      <c r="F18" s="12">
        <f t="shared" si="6"/>
        <v>-65</v>
      </c>
      <c r="G18" s="13">
        <f>VLOOKUP(B18,'Base Cobertura'!$A:$C,3,FALSE)</f>
        <v>157</v>
      </c>
      <c r="H18" s="13">
        <f>VLOOKUP(B18,'Base Cobertura'!$A:$C,2,FALSE)</f>
        <v>30</v>
      </c>
      <c r="I18" s="17">
        <f t="shared" si="7"/>
        <v>103.44999999999999</v>
      </c>
      <c r="J18" t="s">
        <v>58</v>
      </c>
      <c r="K18" t="s">
        <v>64</v>
      </c>
    </row>
    <row r="19" spans="1:11" x14ac:dyDescent="0.25">
      <c r="A19" s="151"/>
      <c r="B19">
        <v>18</v>
      </c>
      <c r="C19" s="13" t="str">
        <f>+AVANCE!B18</f>
        <v>18 - HERRERA PABLO</v>
      </c>
      <c r="D19" s="22">
        <f t="shared" si="5"/>
        <v>0.19337016574585636</v>
      </c>
      <c r="E19" s="13">
        <v>83</v>
      </c>
      <c r="F19" s="12">
        <f t="shared" si="6"/>
        <v>-48</v>
      </c>
      <c r="G19" s="13">
        <f>VLOOKUP(B19,'Base Cobertura'!$A:$C,3,FALSE)</f>
        <v>181</v>
      </c>
      <c r="H19" s="13">
        <f>VLOOKUP(B19,'Base Cobertura'!$A:$C,2,FALSE)</f>
        <v>35</v>
      </c>
      <c r="I19" s="17">
        <f t="shared" si="7"/>
        <v>118.85</v>
      </c>
      <c r="J19" t="s">
        <v>55</v>
      </c>
      <c r="K19" t="s">
        <v>55</v>
      </c>
    </row>
    <row r="20" spans="1:11" x14ac:dyDescent="0.25">
      <c r="A20" s="151"/>
      <c r="B20">
        <v>44</v>
      </c>
      <c r="C20" s="13" t="str">
        <f>+AVANCE!B22</f>
        <v>44 - MONGES CESAR LUIS</v>
      </c>
      <c r="D20" s="22">
        <f t="shared" si="5"/>
        <v>0.19883040935672514</v>
      </c>
      <c r="E20" s="13">
        <v>64</v>
      </c>
      <c r="F20" s="12">
        <f t="shared" si="6"/>
        <v>-30</v>
      </c>
      <c r="G20" s="13">
        <f>VLOOKUP(B20,'Base Cobertura'!$A:$C,3,FALSE)</f>
        <v>171</v>
      </c>
      <c r="H20" s="13">
        <f>VLOOKUP(B20,'Base Cobertura'!$A:$C,2,FALSE)</f>
        <v>34</v>
      </c>
      <c r="I20" s="17">
        <f t="shared" si="7"/>
        <v>111.35</v>
      </c>
      <c r="J20" t="s">
        <v>58</v>
      </c>
      <c r="K20" t="s">
        <v>64</v>
      </c>
    </row>
    <row r="21" spans="1:11" x14ac:dyDescent="0.25">
      <c r="A21" s="151"/>
      <c r="B21">
        <v>2</v>
      </c>
      <c r="C21" s="13" t="str">
        <f>+AVANCE!B16</f>
        <v>2 - OJEDA NORBERTO</v>
      </c>
      <c r="D21" s="22">
        <f t="shared" si="5"/>
        <v>0.17499999999999999</v>
      </c>
      <c r="E21" s="13">
        <v>70</v>
      </c>
      <c r="F21" s="12">
        <f t="shared" si="6"/>
        <v>-49</v>
      </c>
      <c r="G21" s="13">
        <f>VLOOKUP(B21,'Base Cobertura'!$A:$C,3,FALSE)</f>
        <v>120</v>
      </c>
      <c r="H21" s="13">
        <f>VLOOKUP(B21,'Base Cobertura'!$A:$C,2,FALSE)</f>
        <v>21</v>
      </c>
      <c r="I21" s="17">
        <f t="shared" si="7"/>
        <v>81</v>
      </c>
      <c r="J21" t="s">
        <v>58</v>
      </c>
      <c r="K21" t="s">
        <v>66</v>
      </c>
    </row>
    <row r="22" spans="1:11" ht="15.75" thickBot="1" x14ac:dyDescent="0.3">
      <c r="A22" s="151"/>
      <c r="B22">
        <v>3</v>
      </c>
      <c r="C22" s="10" t="str">
        <f>+AVANCE!B17</f>
        <v>3 - VIDAL NAHUEL</v>
      </c>
      <c r="D22" s="22">
        <f t="shared" si="5"/>
        <v>0.16860465116279069</v>
      </c>
      <c r="E22" s="13">
        <v>79</v>
      </c>
      <c r="F22" s="12">
        <f t="shared" si="6"/>
        <v>-50</v>
      </c>
      <c r="G22" s="13">
        <f>VLOOKUP(B22,'Base Cobertura'!$A:$C,3,FALSE)</f>
        <v>172</v>
      </c>
      <c r="H22" s="13">
        <f>VLOOKUP(B22,'Base Cobertura'!$A:$C,2,FALSE)</f>
        <v>29</v>
      </c>
      <c r="I22" s="17">
        <f t="shared" si="7"/>
        <v>117.19999999999999</v>
      </c>
      <c r="J22" t="s">
        <v>60</v>
      </c>
      <c r="K22" t="s">
        <v>64</v>
      </c>
    </row>
    <row r="23" spans="1:11" ht="15.75" thickBot="1" x14ac:dyDescent="0.3">
      <c r="A23" s="152"/>
      <c r="C23" s="9"/>
      <c r="D23" s="23"/>
      <c r="E23" s="14"/>
      <c r="F23" s="16">
        <f>+SUM(F15:F22)</f>
        <v>-427</v>
      </c>
      <c r="G23" s="8">
        <f>+SUM(G15:G22)</f>
        <v>1332</v>
      </c>
      <c r="H23" s="8">
        <f>+SUM(H15:H22)</f>
        <v>234</v>
      </c>
      <c r="I23" s="8"/>
    </row>
    <row r="24" spans="1:11" x14ac:dyDescent="0.25">
      <c r="A24" s="150" t="s">
        <v>215</v>
      </c>
      <c r="B24">
        <v>32</v>
      </c>
      <c r="C24" s="12" t="str">
        <f>+AVANCE!B25</f>
        <v>32 - CABRAL GONZALO</v>
      </c>
      <c r="D24" s="22">
        <f t="shared" si="5"/>
        <v>8.6206896551724144E-2</v>
      </c>
      <c r="E24" s="13">
        <v>20</v>
      </c>
      <c r="F24" s="12">
        <f>+H24-E24</f>
        <v>-15</v>
      </c>
      <c r="G24" s="13">
        <f>VLOOKUP(B24,'Base Cobertura'!$A:$C,3,FALSE)</f>
        <v>58</v>
      </c>
      <c r="H24" s="13">
        <f>VLOOKUP(B24,'Base Cobertura'!$A:$C,2,FALSE)</f>
        <v>5</v>
      </c>
      <c r="I24" s="17">
        <f t="shared" si="7"/>
        <v>44.3</v>
      </c>
      <c r="J24" t="s">
        <v>55</v>
      </c>
      <c r="K24" t="s">
        <v>66</v>
      </c>
    </row>
    <row r="25" spans="1:11" x14ac:dyDescent="0.25">
      <c r="A25" s="151"/>
      <c r="B25">
        <v>36</v>
      </c>
      <c r="C25" s="12" t="str">
        <f>+AVANCE!B26</f>
        <v>36 - COSARINSKI DIEGO</v>
      </c>
      <c r="D25" s="22">
        <f t="shared" si="5"/>
        <v>0.16352201257861634</v>
      </c>
      <c r="E25" s="13">
        <v>68</v>
      </c>
      <c r="F25" s="12">
        <f t="shared" si="6"/>
        <v>-42</v>
      </c>
      <c r="G25" s="13">
        <f>VLOOKUP(B25,'Base Cobertura'!$A:$C,3,FALSE)</f>
        <v>159</v>
      </c>
      <c r="H25" s="13">
        <f>VLOOKUP(B25,'Base Cobertura'!$A:$C,2,FALSE)</f>
        <v>26</v>
      </c>
      <c r="I25" s="17">
        <f t="shared" si="7"/>
        <v>109.15</v>
      </c>
      <c r="J25" t="s">
        <v>58</v>
      </c>
      <c r="K25" t="s">
        <v>66</v>
      </c>
    </row>
    <row r="26" spans="1:11" x14ac:dyDescent="0.25">
      <c r="A26" s="151"/>
      <c r="B26">
        <v>9</v>
      </c>
      <c r="C26" s="12" t="str">
        <f>+AVANCE!B27</f>
        <v>9 - ESTIGARRIBIA DAVID</v>
      </c>
      <c r="D26" s="22">
        <f t="shared" si="5"/>
        <v>0.18471337579617833</v>
      </c>
      <c r="E26" s="13">
        <v>80</v>
      </c>
      <c r="F26" s="12">
        <f t="shared" si="6"/>
        <v>-51</v>
      </c>
      <c r="G26" s="13">
        <f>VLOOKUP(B26,'Base Cobertura'!$A:$C,3,FALSE)</f>
        <v>157</v>
      </c>
      <c r="H26" s="13">
        <f>VLOOKUP(B26,'Base Cobertura'!$A:$C,2,FALSE)</f>
        <v>29</v>
      </c>
      <c r="I26" s="17">
        <f t="shared" si="7"/>
        <v>104.44999999999999</v>
      </c>
      <c r="J26" t="s">
        <v>58</v>
      </c>
      <c r="K26" t="s">
        <v>55</v>
      </c>
    </row>
    <row r="27" spans="1:11" x14ac:dyDescent="0.25">
      <c r="A27" s="151"/>
      <c r="B27">
        <v>40</v>
      </c>
      <c r="C27" s="12" t="str">
        <f>+AVANCE!B28</f>
        <v>40 - IBARROLA JORGE</v>
      </c>
      <c r="D27" s="22">
        <f t="shared" si="5"/>
        <v>8.1081081081081086E-2</v>
      </c>
      <c r="E27" s="13">
        <v>68</v>
      </c>
      <c r="F27" s="12">
        <f t="shared" si="6"/>
        <v>-50</v>
      </c>
      <c r="G27" s="13">
        <f>VLOOKUP(B27,'Base Cobertura'!$A:$C,3,FALSE)</f>
        <v>222</v>
      </c>
      <c r="H27" s="13">
        <f>VLOOKUP(B27,'Base Cobertura'!$A:$C,2,FALSE)</f>
        <v>18</v>
      </c>
      <c r="I27" s="17">
        <f t="shared" si="7"/>
        <v>170.7</v>
      </c>
      <c r="J27" t="s">
        <v>58</v>
      </c>
      <c r="K27" t="s">
        <v>66</v>
      </c>
    </row>
    <row r="28" spans="1:11" x14ac:dyDescent="0.25">
      <c r="A28" s="151"/>
      <c r="B28">
        <v>27</v>
      </c>
      <c r="C28" s="12" t="str">
        <f>+AVANCE!B29</f>
        <v>27 - GOMEZ ADRIÁN</v>
      </c>
      <c r="D28" s="22">
        <f t="shared" si="5"/>
        <v>0.18320610687022901</v>
      </c>
      <c r="E28" s="13">
        <v>73</v>
      </c>
      <c r="F28" s="12">
        <f t="shared" si="6"/>
        <v>-49</v>
      </c>
      <c r="G28" s="13">
        <f>VLOOKUP(B28,'Base Cobertura'!$A:$C,3,FALSE)</f>
        <v>131</v>
      </c>
      <c r="H28" s="13">
        <f>VLOOKUP(B28,'Base Cobertura'!$A:$C,2,FALSE)</f>
        <v>24</v>
      </c>
      <c r="I28" s="17">
        <f t="shared" si="7"/>
        <v>87.35</v>
      </c>
      <c r="J28" t="s">
        <v>55</v>
      </c>
      <c r="K28" t="s">
        <v>66</v>
      </c>
    </row>
    <row r="29" spans="1:11" x14ac:dyDescent="0.25">
      <c r="A29" s="151"/>
      <c r="B29">
        <v>10</v>
      </c>
      <c r="C29" s="12" t="str">
        <f>+AVANCE!B30</f>
        <v>10 - BRITEZ EMMANUEL</v>
      </c>
      <c r="D29" s="22">
        <f t="shared" si="5"/>
        <v>8.6021505376344093E-2</v>
      </c>
      <c r="E29" s="13">
        <v>40</v>
      </c>
      <c r="F29" s="12">
        <f t="shared" si="6"/>
        <v>-24</v>
      </c>
      <c r="G29" s="13">
        <f>VLOOKUP(B29,'Base Cobertura'!$A:$C,3,FALSE)</f>
        <v>186</v>
      </c>
      <c r="H29" s="13">
        <f>VLOOKUP(B29,'Base Cobertura'!$A:$C,2,FALSE)</f>
        <v>16</v>
      </c>
      <c r="I29" s="17">
        <f t="shared" si="7"/>
        <v>142.1</v>
      </c>
      <c r="J29" t="s">
        <v>58</v>
      </c>
      <c r="K29" t="s">
        <v>66</v>
      </c>
    </row>
    <row r="30" spans="1:11" x14ac:dyDescent="0.25">
      <c r="A30" s="151"/>
      <c r="B30">
        <v>28</v>
      </c>
      <c r="C30" s="12" t="str">
        <f>+AVANCE!B31</f>
        <v>28 - GOMEZ PABLO</v>
      </c>
      <c r="D30" s="22">
        <f t="shared" si="5"/>
        <v>8.8757396449704137E-2</v>
      </c>
      <c r="E30" s="13">
        <v>67</v>
      </c>
      <c r="F30" s="12">
        <f t="shared" si="6"/>
        <v>-52</v>
      </c>
      <c r="G30" s="13">
        <f>VLOOKUP(B30,'Base Cobertura'!$A:$C,3,FALSE)</f>
        <v>169</v>
      </c>
      <c r="H30" s="13">
        <f>VLOOKUP(B30,'Base Cobertura'!$A:$C,2,FALSE)</f>
        <v>15</v>
      </c>
      <c r="I30" s="17">
        <f t="shared" si="7"/>
        <v>128.65</v>
      </c>
      <c r="J30" t="s">
        <v>58</v>
      </c>
      <c r="K30" t="s">
        <v>66</v>
      </c>
    </row>
    <row r="31" spans="1:11" x14ac:dyDescent="0.25">
      <c r="A31" s="151"/>
      <c r="B31">
        <v>33</v>
      </c>
      <c r="C31" s="12" t="str">
        <f>+AVANCE!B32</f>
        <v>33 - NICOLAS AZULA</v>
      </c>
      <c r="D31" s="22">
        <f t="shared" si="5"/>
        <v>0.11904761904761904</v>
      </c>
      <c r="E31" s="13">
        <v>66</v>
      </c>
      <c r="F31" s="12">
        <f t="shared" si="6"/>
        <v>-46</v>
      </c>
      <c r="G31" s="13">
        <f>VLOOKUP(B31,'Base Cobertura'!$A:$C,3,FALSE)</f>
        <v>168</v>
      </c>
      <c r="H31" s="13">
        <f>VLOOKUP(B31,'Base Cobertura'!$A:$C,2,FALSE)</f>
        <v>20</v>
      </c>
      <c r="I31" s="17">
        <f t="shared" si="7"/>
        <v>122.79999999999998</v>
      </c>
      <c r="J31" t="s">
        <v>58</v>
      </c>
      <c r="K31" t="s">
        <v>66</v>
      </c>
    </row>
    <row r="32" spans="1:11" x14ac:dyDescent="0.25">
      <c r="A32" s="151"/>
      <c r="B32">
        <v>37</v>
      </c>
      <c r="C32" s="12" t="str">
        <f>+AVANCE!B33</f>
        <v>37 - SALAJ EMILIO</v>
      </c>
      <c r="D32" s="22">
        <f t="shared" si="5"/>
        <v>9.5890410958904104E-2</v>
      </c>
      <c r="E32" s="13">
        <v>82</v>
      </c>
      <c r="F32" s="12">
        <f t="shared" si="6"/>
        <v>-68</v>
      </c>
      <c r="G32" s="13">
        <f>VLOOKUP(B32,'Base Cobertura'!$A:$C,3,FALSE)</f>
        <v>146</v>
      </c>
      <c r="H32" s="13">
        <f>VLOOKUP(B32,'Base Cobertura'!$A:$C,2,FALSE)</f>
        <v>14</v>
      </c>
      <c r="I32" s="17">
        <f t="shared" si="7"/>
        <v>110.1</v>
      </c>
      <c r="J32" t="s">
        <v>55</v>
      </c>
      <c r="K32" t="s">
        <v>66</v>
      </c>
    </row>
    <row r="33" spans="1:12" x14ac:dyDescent="0.25">
      <c r="A33" s="151"/>
      <c r="B33">
        <v>24</v>
      </c>
      <c r="C33" s="12" t="str">
        <f>+AVANCE!B34</f>
        <v>24 - SOLIS EMMANUEL</v>
      </c>
      <c r="D33" s="22">
        <f t="shared" si="5"/>
        <v>9.2391304347826081E-2</v>
      </c>
      <c r="E33" s="13">
        <v>81</v>
      </c>
      <c r="F33" s="12">
        <f t="shared" si="6"/>
        <v>-64</v>
      </c>
      <c r="G33" s="13">
        <f>VLOOKUP(B33,'Base Cobertura'!$A:$C,3,FALSE)</f>
        <v>184</v>
      </c>
      <c r="H33" s="13">
        <f>VLOOKUP(B33,'Base Cobertura'!$A:$C,2,FALSE)</f>
        <v>17</v>
      </c>
      <c r="I33" s="17">
        <f t="shared" si="7"/>
        <v>139.4</v>
      </c>
      <c r="J33" t="s">
        <v>58</v>
      </c>
      <c r="K33" t="s">
        <v>66</v>
      </c>
    </row>
    <row r="34" spans="1:12" x14ac:dyDescent="0.25">
      <c r="A34" s="151"/>
      <c r="B34">
        <v>7</v>
      </c>
      <c r="C34" s="12" t="str">
        <f>+AVANCE!B35</f>
        <v>7 - VALLEJOS EDUARDO</v>
      </c>
      <c r="D34" s="22">
        <f t="shared" si="5"/>
        <v>0</v>
      </c>
      <c r="E34" s="13">
        <v>0</v>
      </c>
      <c r="F34" s="12">
        <f t="shared" si="6"/>
        <v>0</v>
      </c>
      <c r="G34" s="13">
        <f>VLOOKUP(B34,'Base Cobertura'!$A:$C,3,FALSE)</f>
        <v>117</v>
      </c>
      <c r="H34" s="13">
        <f>VLOOKUP(B34,'Base Cobertura'!$A:$C,2,FALSE)</f>
        <v>0</v>
      </c>
      <c r="I34" s="17">
        <f t="shared" si="7"/>
        <v>99.45</v>
      </c>
      <c r="J34" t="s">
        <v>58</v>
      </c>
    </row>
    <row r="35" spans="1:12" x14ac:dyDescent="0.25">
      <c r="A35" s="151"/>
      <c r="B35">
        <v>57</v>
      </c>
      <c r="C35" s="12" t="str">
        <f>+AVANCE!B36</f>
        <v>57 - FEDERRATH MARTIN</v>
      </c>
      <c r="D35" s="22">
        <f t="shared" si="5"/>
        <v>5.8252427184466021E-2</v>
      </c>
      <c r="E35" s="13">
        <v>17</v>
      </c>
      <c r="F35" s="12">
        <f t="shared" si="6"/>
        <v>-11</v>
      </c>
      <c r="G35" s="13">
        <f>VLOOKUP(B35,'Base Cobertura'!$A:$C,3,FALSE)</f>
        <v>103</v>
      </c>
      <c r="H35" s="13">
        <f>VLOOKUP(B35,'Base Cobertura'!$A:$C,2,FALSE)</f>
        <v>6</v>
      </c>
      <c r="I35" s="17">
        <f t="shared" si="7"/>
        <v>81.55</v>
      </c>
      <c r="J35" t="s">
        <v>59</v>
      </c>
    </row>
    <row r="36" spans="1:12" ht="15.75" thickBot="1" x14ac:dyDescent="0.3">
      <c r="A36" s="151"/>
      <c r="B36">
        <v>1</v>
      </c>
      <c r="C36" s="12" t="str">
        <f>+AVANCE!B37</f>
        <v>1 - VERA ERNESTO</v>
      </c>
      <c r="D36" s="22">
        <f t="shared" si="5"/>
        <v>0.19491525423728814</v>
      </c>
      <c r="E36" s="13">
        <v>60</v>
      </c>
      <c r="F36" s="12">
        <f t="shared" si="6"/>
        <v>-37</v>
      </c>
      <c r="G36" s="13">
        <f>VLOOKUP(B36,'Base Cobertura'!$A:$C,3,FALSE)</f>
        <v>118</v>
      </c>
      <c r="H36" s="13">
        <f>VLOOKUP(B36,'Base Cobertura'!$A:$C,2,FALSE)</f>
        <v>23</v>
      </c>
      <c r="I36" s="17">
        <f t="shared" si="7"/>
        <v>77.3</v>
      </c>
      <c r="J36" t="s">
        <v>55</v>
      </c>
      <c r="K36" t="s">
        <v>55</v>
      </c>
    </row>
    <row r="37" spans="1:12" ht="15.75" thickBot="1" x14ac:dyDescent="0.3">
      <c r="A37" s="152"/>
      <c r="C37" s="9"/>
      <c r="D37" s="23"/>
      <c r="E37" s="14"/>
      <c r="F37" s="8">
        <f>+SUM(F24:F36)</f>
        <v>-509</v>
      </c>
      <c r="G37" s="8">
        <f>+SUM(G24:G36)</f>
        <v>1918</v>
      </c>
      <c r="H37" s="8">
        <f>+SUM(H24:H36)</f>
        <v>213</v>
      </c>
      <c r="I37" s="8"/>
    </row>
    <row r="38" spans="1:12" x14ac:dyDescent="0.25">
      <c r="A38" s="150" t="s">
        <v>268</v>
      </c>
      <c r="B38">
        <v>58</v>
      </c>
      <c r="C38" t="str">
        <f>+AVANCE!B39</f>
        <v>58 - BLADIMIR LEZCANO</v>
      </c>
      <c r="D38" s="22">
        <f t="shared" ref="D38:D45" si="8">H38/G38</f>
        <v>1.2048192771084338E-2</v>
      </c>
      <c r="E38" s="13">
        <v>60</v>
      </c>
      <c r="F38" s="12">
        <f t="shared" ref="F38:F45" si="9">+H38-E38</f>
        <v>-59</v>
      </c>
      <c r="G38" s="13">
        <f>VLOOKUP(B38,'Base Cobertura'!$A:$C,3,FALSE)</f>
        <v>83</v>
      </c>
      <c r="H38" s="13">
        <f>VLOOKUP(B38,'Base Cobertura'!$A:$C,2,FALSE)</f>
        <v>1</v>
      </c>
      <c r="I38" s="17">
        <f t="shared" ref="I38:I45" si="10">(+G38*$M$2)-H38</f>
        <v>69.55</v>
      </c>
    </row>
    <row r="39" spans="1:12" x14ac:dyDescent="0.25">
      <c r="A39" s="151"/>
      <c r="B39">
        <v>59</v>
      </c>
      <c r="C39" t="str">
        <f>+AVANCE!B40</f>
        <v>59 - LEIVA SILVIO</v>
      </c>
      <c r="D39" s="22">
        <f t="shared" si="8"/>
        <v>0</v>
      </c>
      <c r="E39" s="13">
        <v>60</v>
      </c>
      <c r="F39" s="12">
        <f t="shared" si="9"/>
        <v>-60</v>
      </c>
      <c r="G39" s="13">
        <f>VLOOKUP(B39,'Base Cobertura'!$A:$C,3,FALSE)</f>
        <v>126</v>
      </c>
      <c r="H39" s="13">
        <f>VLOOKUP(B39,'Base Cobertura'!$A:$C,2,FALSE)</f>
        <v>0</v>
      </c>
      <c r="I39" s="17">
        <f t="shared" si="10"/>
        <v>107.1</v>
      </c>
    </row>
    <row r="40" spans="1:12" x14ac:dyDescent="0.25">
      <c r="A40" s="151"/>
      <c r="B40">
        <v>49</v>
      </c>
      <c r="C40" t="str">
        <f>+AVANCE!B41</f>
        <v>49 - ESCOBAR RAÚL</v>
      </c>
      <c r="D40" s="22">
        <f t="shared" si="8"/>
        <v>0.24489795918367346</v>
      </c>
      <c r="E40" s="13">
        <v>60</v>
      </c>
      <c r="F40" s="12">
        <f t="shared" si="9"/>
        <v>0</v>
      </c>
      <c r="G40" s="13">
        <f>VLOOKUP(B40,'Base Cobertura'!$A:$C,3,FALSE)</f>
        <v>245</v>
      </c>
      <c r="H40" s="13">
        <f>VLOOKUP(B40,'Base Cobertura'!$A:$C,2,FALSE)</f>
        <v>60</v>
      </c>
      <c r="I40" s="17">
        <f t="shared" si="10"/>
        <v>148.25</v>
      </c>
    </row>
    <row r="41" spans="1:12" x14ac:dyDescent="0.25">
      <c r="A41" s="151"/>
      <c r="B41">
        <v>56</v>
      </c>
      <c r="C41" t="str">
        <f>+AVANCE!B42</f>
        <v>56 - JUAN ANDRES SANCHEZ</v>
      </c>
      <c r="D41" s="22">
        <f t="shared" si="8"/>
        <v>2.5000000000000001E-2</v>
      </c>
      <c r="E41" s="13">
        <v>60</v>
      </c>
      <c r="F41" s="12">
        <f t="shared" si="9"/>
        <v>-55</v>
      </c>
      <c r="G41" s="13">
        <f>VLOOKUP(B41,'Base Cobertura'!$A:$C,3,FALSE)</f>
        <v>200</v>
      </c>
      <c r="H41" s="13">
        <f>VLOOKUP(B41,'Base Cobertura'!$A:$C,2,FALSE)</f>
        <v>5</v>
      </c>
      <c r="I41" s="17">
        <f t="shared" si="10"/>
        <v>165</v>
      </c>
    </row>
    <row r="42" spans="1:12" x14ac:dyDescent="0.25">
      <c r="A42" s="151"/>
      <c r="B42">
        <v>26</v>
      </c>
      <c r="C42" t="str">
        <f>+AVANCE!B43</f>
        <v>26 - PUJOL ERNESTO</v>
      </c>
      <c r="D42" s="22">
        <f t="shared" si="8"/>
        <v>0</v>
      </c>
      <c r="E42" s="13">
        <v>60</v>
      </c>
      <c r="F42" s="12">
        <f t="shared" si="9"/>
        <v>-60</v>
      </c>
      <c r="G42" s="13">
        <f>VLOOKUP(B42,'Base Cobertura'!$A:$C,3,FALSE)</f>
        <v>169</v>
      </c>
      <c r="H42" s="13">
        <f>VLOOKUP(B42,'Base Cobertura'!$A:$C,2,FALSE)</f>
        <v>0</v>
      </c>
      <c r="I42" s="17">
        <f t="shared" si="10"/>
        <v>143.65</v>
      </c>
    </row>
    <row r="43" spans="1:12" x14ac:dyDescent="0.25">
      <c r="A43" s="151"/>
      <c r="B43">
        <v>25</v>
      </c>
      <c r="C43" t="str">
        <f>+AVANCE!B44</f>
        <v>25 - KALATAKI GUSTAVO</v>
      </c>
      <c r="D43" s="22">
        <f t="shared" si="8"/>
        <v>9.1954022988505746E-2</v>
      </c>
      <c r="E43" s="13">
        <v>60</v>
      </c>
      <c r="F43" s="12">
        <f t="shared" si="9"/>
        <v>-44</v>
      </c>
      <c r="G43" s="13">
        <f>VLOOKUP(B43,'Base Cobertura'!$A:$C,3,FALSE)</f>
        <v>174</v>
      </c>
      <c r="H43" s="13">
        <f>VLOOKUP(B43,'Base Cobertura'!$A:$C,2,FALSE)</f>
        <v>16</v>
      </c>
      <c r="I43" s="17">
        <f t="shared" si="10"/>
        <v>131.9</v>
      </c>
    </row>
    <row r="44" spans="1:12" x14ac:dyDescent="0.25">
      <c r="A44" s="151"/>
      <c r="B44">
        <v>60</v>
      </c>
      <c r="C44" t="str">
        <f>+AVANCE!B45</f>
        <v>60 - SILVA ADRIAN</v>
      </c>
      <c r="D44" s="22">
        <f t="shared" ref="D44" si="11">H44/G44</f>
        <v>0</v>
      </c>
      <c r="E44" s="13">
        <v>61</v>
      </c>
      <c r="F44" s="12">
        <f t="shared" ref="F44" si="12">+H44-E44</f>
        <v>-61</v>
      </c>
      <c r="G44" s="13">
        <f>VLOOKUP(B44,'Base Cobertura'!$A:$C,3,FALSE)</f>
        <v>69</v>
      </c>
      <c r="H44" s="13">
        <f>VLOOKUP(B44,'Base Cobertura'!$A:$C,2,FALSE)</f>
        <v>0</v>
      </c>
      <c r="I44" s="17">
        <f t="shared" ref="I44" si="13">(+G44*$M$2)-H44</f>
        <v>58.65</v>
      </c>
    </row>
    <row r="45" spans="1:12" ht="15.75" thickBot="1" x14ac:dyDescent="0.3">
      <c r="A45" s="151"/>
      <c r="B45">
        <v>43</v>
      </c>
      <c r="C45" t="str">
        <f>+AVANCE!B46</f>
        <v>43 - COLHER DIEGO</v>
      </c>
      <c r="D45" s="22">
        <f t="shared" si="8"/>
        <v>6.4516129032258063E-2</v>
      </c>
      <c r="E45" s="13">
        <v>60</v>
      </c>
      <c r="F45" s="12">
        <f t="shared" si="9"/>
        <v>-54</v>
      </c>
      <c r="G45" s="13">
        <f>VLOOKUP(B45,'Base Cobertura'!$A:$C,3,FALSE)</f>
        <v>93</v>
      </c>
      <c r="H45" s="13">
        <f>VLOOKUP(B45,'Base Cobertura'!$A:$C,2,FALSE)</f>
        <v>6</v>
      </c>
      <c r="I45" s="17">
        <f t="shared" si="10"/>
        <v>73.05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3745</v>
      </c>
      <c r="H46" s="8">
        <f>+SUM(H32:H45)</f>
        <v>361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9014</v>
      </c>
      <c r="H47" s="8">
        <f>+H46+H23+H37+H14</f>
        <v>1095</v>
      </c>
      <c r="I47" s="8"/>
      <c r="L47" s="1">
        <f>+H47/G47</f>
        <v>0.12147770135345019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1</v>
      </c>
      <c r="C3" s="51">
        <v>3619</v>
      </c>
      <c r="G3" t="s">
        <v>275</v>
      </c>
      <c r="H3" s="51"/>
      <c r="I3" s="51">
        <v>3619</v>
      </c>
    </row>
    <row r="4" spans="1:9" x14ac:dyDescent="0.25">
      <c r="A4">
        <v>1</v>
      </c>
      <c r="B4" s="51">
        <v>23</v>
      </c>
      <c r="C4" s="51">
        <v>118</v>
      </c>
      <c r="G4" t="s">
        <v>276</v>
      </c>
      <c r="I4" s="51">
        <v>3619</v>
      </c>
    </row>
    <row r="5" spans="1:9" x14ac:dyDescent="0.25">
      <c r="A5">
        <v>10</v>
      </c>
      <c r="B5" s="51">
        <v>16</v>
      </c>
      <c r="C5" s="51">
        <v>186</v>
      </c>
      <c r="G5" t="s">
        <v>277</v>
      </c>
      <c r="H5" s="51"/>
      <c r="I5" s="51">
        <v>3619</v>
      </c>
    </row>
    <row r="6" spans="1:9" x14ac:dyDescent="0.25">
      <c r="A6">
        <v>100</v>
      </c>
      <c r="B6" s="51">
        <v>14</v>
      </c>
      <c r="C6" s="51">
        <v>2033</v>
      </c>
      <c r="G6" t="s">
        <v>278</v>
      </c>
      <c r="H6" s="51">
        <v>1</v>
      </c>
      <c r="I6" s="51">
        <v>3619</v>
      </c>
    </row>
    <row r="7" spans="1:9" x14ac:dyDescent="0.25">
      <c r="A7">
        <v>11</v>
      </c>
      <c r="B7" s="51">
        <v>22</v>
      </c>
      <c r="C7" s="51">
        <v>170</v>
      </c>
      <c r="G7" t="s">
        <v>279</v>
      </c>
      <c r="H7" s="51">
        <v>1</v>
      </c>
      <c r="I7" s="51">
        <v>3619</v>
      </c>
    </row>
    <row r="8" spans="1:9" x14ac:dyDescent="0.25">
      <c r="A8">
        <v>12</v>
      </c>
      <c r="B8" s="51">
        <v>38</v>
      </c>
      <c r="C8" s="51">
        <v>215</v>
      </c>
      <c r="G8" t="s">
        <v>280</v>
      </c>
      <c r="H8" s="51">
        <v>1</v>
      </c>
      <c r="I8" s="51">
        <v>3619</v>
      </c>
    </row>
    <row r="9" spans="1:9" x14ac:dyDescent="0.25">
      <c r="A9">
        <v>123</v>
      </c>
      <c r="B9" s="51">
        <v>13</v>
      </c>
      <c r="C9" s="51">
        <v>488</v>
      </c>
      <c r="G9" t="s">
        <v>281</v>
      </c>
      <c r="H9" s="51"/>
      <c r="I9" s="51">
        <v>3619</v>
      </c>
    </row>
    <row r="10" spans="1:9" x14ac:dyDescent="0.25">
      <c r="A10">
        <v>15</v>
      </c>
      <c r="B10" s="51">
        <v>10</v>
      </c>
      <c r="C10" s="51">
        <v>65</v>
      </c>
      <c r="G10" t="s">
        <v>282</v>
      </c>
      <c r="I10" s="51">
        <v>3619</v>
      </c>
    </row>
    <row r="11" spans="1:9" x14ac:dyDescent="0.25">
      <c r="A11">
        <v>16</v>
      </c>
      <c r="B11" s="51">
        <v>33</v>
      </c>
      <c r="C11" s="51">
        <v>200</v>
      </c>
      <c r="G11" t="s">
        <v>283</v>
      </c>
      <c r="H11" s="51"/>
      <c r="I11" s="51">
        <v>3619</v>
      </c>
    </row>
    <row r="12" spans="1:9" x14ac:dyDescent="0.25">
      <c r="A12">
        <v>18</v>
      </c>
      <c r="B12" s="51">
        <v>35</v>
      </c>
      <c r="C12" s="51">
        <v>181</v>
      </c>
      <c r="E12">
        <f>+F12</f>
        <v>1</v>
      </c>
      <c r="F12">
        <v>1</v>
      </c>
      <c r="G12" t="s">
        <v>275</v>
      </c>
      <c r="H12">
        <v>8</v>
      </c>
      <c r="I12" s="51">
        <v>118</v>
      </c>
    </row>
    <row r="13" spans="1:9" x14ac:dyDescent="0.25">
      <c r="A13">
        <v>19</v>
      </c>
      <c r="B13" s="51">
        <v>36</v>
      </c>
      <c r="C13" s="51">
        <v>209</v>
      </c>
      <c r="E13">
        <f>+$E$12</f>
        <v>1</v>
      </c>
      <c r="G13" t="s">
        <v>276</v>
      </c>
      <c r="H13" s="51">
        <v>4</v>
      </c>
      <c r="I13" s="51">
        <v>118</v>
      </c>
    </row>
    <row r="14" spans="1:9" x14ac:dyDescent="0.25">
      <c r="A14">
        <v>2</v>
      </c>
      <c r="B14" s="51">
        <v>21</v>
      </c>
      <c r="C14" s="51">
        <v>120</v>
      </c>
      <c r="E14">
        <f t="shared" ref="E14:E20" si="0">+$E$12</f>
        <v>1</v>
      </c>
      <c r="G14" t="s">
        <v>277</v>
      </c>
      <c r="H14" s="51">
        <v>17</v>
      </c>
      <c r="I14" s="51">
        <v>118</v>
      </c>
    </row>
    <row r="15" spans="1:9" x14ac:dyDescent="0.25">
      <c r="A15">
        <v>20</v>
      </c>
      <c r="B15" s="51">
        <v>36</v>
      </c>
      <c r="C15" s="51">
        <v>228</v>
      </c>
      <c r="E15">
        <f t="shared" si="0"/>
        <v>1</v>
      </c>
      <c r="G15" t="s">
        <v>278</v>
      </c>
      <c r="H15" s="51">
        <v>6</v>
      </c>
      <c r="I15" s="51">
        <v>118</v>
      </c>
    </row>
    <row r="16" spans="1:9" x14ac:dyDescent="0.25">
      <c r="A16">
        <v>21</v>
      </c>
      <c r="B16" s="51">
        <v>38</v>
      </c>
      <c r="C16" s="51">
        <v>166</v>
      </c>
      <c r="E16">
        <f t="shared" si="0"/>
        <v>1</v>
      </c>
      <c r="G16" t="s">
        <v>279</v>
      </c>
      <c r="H16" s="51">
        <v>12</v>
      </c>
      <c r="I16" s="51">
        <v>118</v>
      </c>
    </row>
    <row r="17" spans="1:9" x14ac:dyDescent="0.25">
      <c r="A17">
        <v>22</v>
      </c>
      <c r="B17" s="51">
        <v>11</v>
      </c>
      <c r="C17" s="51">
        <v>79</v>
      </c>
      <c r="E17">
        <f t="shared" si="0"/>
        <v>1</v>
      </c>
      <c r="G17" t="s">
        <v>280</v>
      </c>
      <c r="H17" s="51">
        <v>16</v>
      </c>
      <c r="I17" s="51">
        <v>118</v>
      </c>
    </row>
    <row r="18" spans="1:9" x14ac:dyDescent="0.25">
      <c r="A18">
        <v>23</v>
      </c>
      <c r="B18" s="51">
        <v>30</v>
      </c>
      <c r="C18" s="51">
        <v>157</v>
      </c>
      <c r="E18">
        <f t="shared" si="0"/>
        <v>1</v>
      </c>
      <c r="G18" t="s">
        <v>281</v>
      </c>
      <c r="H18" s="51">
        <v>6</v>
      </c>
      <c r="I18" s="51">
        <v>118</v>
      </c>
    </row>
    <row r="19" spans="1:9" x14ac:dyDescent="0.25">
      <c r="A19">
        <v>24</v>
      </c>
      <c r="B19" s="51">
        <v>17</v>
      </c>
      <c r="C19" s="51">
        <v>184</v>
      </c>
      <c r="E19">
        <f t="shared" si="0"/>
        <v>1</v>
      </c>
      <c r="G19" t="s">
        <v>282</v>
      </c>
      <c r="H19" s="51">
        <v>10</v>
      </c>
      <c r="I19" s="51">
        <v>118</v>
      </c>
    </row>
    <row r="20" spans="1:9" x14ac:dyDescent="0.25">
      <c r="A20">
        <v>25</v>
      </c>
      <c r="B20" s="51">
        <v>16</v>
      </c>
      <c r="C20" s="51">
        <v>174</v>
      </c>
      <c r="E20">
        <f t="shared" si="0"/>
        <v>1</v>
      </c>
      <c r="G20" t="s">
        <v>283</v>
      </c>
      <c r="H20">
        <v>4</v>
      </c>
      <c r="I20" s="51">
        <v>118</v>
      </c>
    </row>
    <row r="21" spans="1:9" x14ac:dyDescent="0.25">
      <c r="A21">
        <v>26</v>
      </c>
      <c r="B21" s="51"/>
      <c r="C21" s="51">
        <v>169</v>
      </c>
      <c r="E21">
        <f>+$F$21</f>
        <v>10</v>
      </c>
      <c r="F21">
        <v>10</v>
      </c>
      <c r="G21" t="s">
        <v>275</v>
      </c>
      <c r="H21" s="51">
        <v>4</v>
      </c>
      <c r="I21" s="51">
        <v>186</v>
      </c>
    </row>
    <row r="22" spans="1:9" x14ac:dyDescent="0.25">
      <c r="A22">
        <v>27</v>
      </c>
      <c r="B22" s="51">
        <v>24</v>
      </c>
      <c r="C22" s="51">
        <v>131</v>
      </c>
      <c r="E22">
        <f t="shared" ref="E22:E29" si="1">+$F$21</f>
        <v>10</v>
      </c>
      <c r="G22" t="s">
        <v>276</v>
      </c>
      <c r="H22" s="51">
        <v>1</v>
      </c>
      <c r="I22" s="51">
        <v>186</v>
      </c>
    </row>
    <row r="23" spans="1:9" x14ac:dyDescent="0.25">
      <c r="A23">
        <v>28</v>
      </c>
      <c r="B23" s="51">
        <v>15</v>
      </c>
      <c r="C23" s="51">
        <v>169</v>
      </c>
      <c r="E23">
        <f t="shared" si="1"/>
        <v>10</v>
      </c>
      <c r="G23" t="s">
        <v>277</v>
      </c>
      <c r="H23" s="51">
        <v>5</v>
      </c>
      <c r="I23" s="51">
        <v>186</v>
      </c>
    </row>
    <row r="24" spans="1:9" x14ac:dyDescent="0.25">
      <c r="A24">
        <v>3</v>
      </c>
      <c r="B24" s="51">
        <v>29</v>
      </c>
      <c r="C24" s="51">
        <v>172</v>
      </c>
      <c r="E24">
        <f t="shared" si="1"/>
        <v>10</v>
      </c>
      <c r="G24" t="s">
        <v>278</v>
      </c>
      <c r="H24" s="51">
        <v>3</v>
      </c>
      <c r="I24" s="51">
        <v>186</v>
      </c>
    </row>
    <row r="25" spans="1:9" x14ac:dyDescent="0.25">
      <c r="A25">
        <v>30</v>
      </c>
      <c r="B25" s="51"/>
      <c r="C25" s="51">
        <v>122</v>
      </c>
      <c r="E25">
        <f t="shared" si="1"/>
        <v>10</v>
      </c>
      <c r="G25" t="s">
        <v>279</v>
      </c>
      <c r="H25" s="51">
        <v>6</v>
      </c>
      <c r="I25" s="51">
        <v>186</v>
      </c>
    </row>
    <row r="26" spans="1:9" x14ac:dyDescent="0.25">
      <c r="A26">
        <v>31</v>
      </c>
      <c r="B26" s="51">
        <v>24</v>
      </c>
      <c r="C26" s="51">
        <v>164</v>
      </c>
      <c r="E26">
        <f t="shared" si="1"/>
        <v>10</v>
      </c>
      <c r="G26" t="s">
        <v>280</v>
      </c>
      <c r="H26" s="51">
        <v>5</v>
      </c>
      <c r="I26" s="51">
        <v>186</v>
      </c>
    </row>
    <row r="27" spans="1:9" x14ac:dyDescent="0.25">
      <c r="A27">
        <v>32</v>
      </c>
      <c r="B27" s="51">
        <v>5</v>
      </c>
      <c r="C27" s="51">
        <v>58</v>
      </c>
      <c r="E27">
        <f t="shared" si="1"/>
        <v>10</v>
      </c>
      <c r="G27" t="s">
        <v>281</v>
      </c>
      <c r="H27" s="51"/>
      <c r="I27" s="51">
        <v>186</v>
      </c>
    </row>
    <row r="28" spans="1:9" x14ac:dyDescent="0.25">
      <c r="A28">
        <v>33</v>
      </c>
      <c r="B28" s="51">
        <v>20</v>
      </c>
      <c r="C28" s="51">
        <v>168</v>
      </c>
      <c r="E28">
        <f t="shared" si="1"/>
        <v>10</v>
      </c>
      <c r="G28" t="s">
        <v>282</v>
      </c>
      <c r="H28" s="51">
        <v>2</v>
      </c>
      <c r="I28" s="51">
        <v>186</v>
      </c>
    </row>
    <row r="29" spans="1:9" x14ac:dyDescent="0.25">
      <c r="A29">
        <v>36</v>
      </c>
      <c r="B29" s="51">
        <v>26</v>
      </c>
      <c r="C29" s="51">
        <v>159</v>
      </c>
      <c r="E29">
        <f t="shared" si="1"/>
        <v>10</v>
      </c>
      <c r="G29" t="s">
        <v>283</v>
      </c>
      <c r="H29" s="51">
        <v>2</v>
      </c>
      <c r="I29" s="51">
        <v>186</v>
      </c>
    </row>
    <row r="30" spans="1:9" x14ac:dyDescent="0.25">
      <c r="A30">
        <v>37</v>
      </c>
      <c r="B30" s="51">
        <v>14</v>
      </c>
      <c r="C30" s="51">
        <v>146</v>
      </c>
      <c r="E30">
        <f>+$F$30</f>
        <v>100</v>
      </c>
      <c r="F30">
        <v>100</v>
      </c>
      <c r="G30" t="s">
        <v>275</v>
      </c>
      <c r="H30" s="51">
        <v>6</v>
      </c>
      <c r="I30" s="51">
        <v>2033</v>
      </c>
    </row>
    <row r="31" spans="1:9" x14ac:dyDescent="0.25">
      <c r="A31">
        <v>4</v>
      </c>
      <c r="B31" s="51">
        <v>32</v>
      </c>
      <c r="C31" s="51">
        <v>182</v>
      </c>
      <c r="E31">
        <f t="shared" ref="E31:E38" si="2">+$F$30</f>
        <v>100</v>
      </c>
      <c r="G31" t="s">
        <v>276</v>
      </c>
      <c r="H31" s="51">
        <v>5</v>
      </c>
      <c r="I31" s="51">
        <v>2033</v>
      </c>
    </row>
    <row r="32" spans="1:9" x14ac:dyDescent="0.25">
      <c r="A32">
        <v>40</v>
      </c>
      <c r="B32" s="51">
        <v>18</v>
      </c>
      <c r="C32" s="51">
        <v>222</v>
      </c>
      <c r="E32">
        <f t="shared" si="2"/>
        <v>100</v>
      </c>
      <c r="G32" t="s">
        <v>277</v>
      </c>
      <c r="H32" s="51">
        <v>5</v>
      </c>
      <c r="I32" s="51">
        <v>2033</v>
      </c>
    </row>
    <row r="33" spans="1:9" x14ac:dyDescent="0.25">
      <c r="A33">
        <v>42</v>
      </c>
      <c r="B33" s="51"/>
      <c r="C33" s="51">
        <v>52</v>
      </c>
      <c r="E33">
        <f t="shared" si="2"/>
        <v>100</v>
      </c>
      <c r="G33" t="s">
        <v>278</v>
      </c>
      <c r="H33" s="51">
        <v>3</v>
      </c>
      <c r="I33" s="51">
        <v>2033</v>
      </c>
    </row>
    <row r="34" spans="1:9" x14ac:dyDescent="0.25">
      <c r="A34">
        <v>43</v>
      </c>
      <c r="B34" s="51">
        <v>6</v>
      </c>
      <c r="C34" s="51">
        <v>93</v>
      </c>
      <c r="E34">
        <f t="shared" si="2"/>
        <v>100</v>
      </c>
      <c r="G34" t="s">
        <v>279</v>
      </c>
      <c r="H34" s="51">
        <v>7</v>
      </c>
      <c r="I34" s="51">
        <v>2033</v>
      </c>
    </row>
    <row r="35" spans="1:9" x14ac:dyDescent="0.25">
      <c r="A35">
        <v>44</v>
      </c>
      <c r="B35" s="51">
        <v>34</v>
      </c>
      <c r="C35" s="51">
        <v>171</v>
      </c>
      <c r="E35">
        <f t="shared" si="2"/>
        <v>100</v>
      </c>
      <c r="G35" t="s">
        <v>280</v>
      </c>
      <c r="H35" s="51">
        <v>7</v>
      </c>
      <c r="I35" s="51">
        <v>2033</v>
      </c>
    </row>
    <row r="36" spans="1:9" x14ac:dyDescent="0.25">
      <c r="A36">
        <v>49</v>
      </c>
      <c r="B36" s="51">
        <v>60</v>
      </c>
      <c r="C36" s="51">
        <v>245</v>
      </c>
      <c r="E36">
        <f t="shared" si="2"/>
        <v>100</v>
      </c>
      <c r="G36" t="s">
        <v>281</v>
      </c>
      <c r="H36" s="51">
        <v>5</v>
      </c>
      <c r="I36" s="51">
        <v>2033</v>
      </c>
    </row>
    <row r="37" spans="1:9" x14ac:dyDescent="0.25">
      <c r="A37">
        <v>5</v>
      </c>
      <c r="B37" s="51">
        <v>40</v>
      </c>
      <c r="C37" s="51">
        <v>263</v>
      </c>
      <c r="E37">
        <f t="shared" si="2"/>
        <v>100</v>
      </c>
      <c r="G37" t="s">
        <v>282</v>
      </c>
      <c r="H37" s="51">
        <v>2</v>
      </c>
      <c r="I37" s="51">
        <v>2033</v>
      </c>
    </row>
    <row r="38" spans="1:9" x14ac:dyDescent="0.25">
      <c r="A38">
        <v>52</v>
      </c>
      <c r="B38" s="51">
        <v>4</v>
      </c>
      <c r="C38" s="51">
        <v>104</v>
      </c>
      <c r="E38">
        <f t="shared" si="2"/>
        <v>100</v>
      </c>
      <c r="G38" t="s">
        <v>283</v>
      </c>
      <c r="H38" s="51">
        <v>3</v>
      </c>
      <c r="I38" s="51">
        <v>2033</v>
      </c>
    </row>
    <row r="39" spans="1:9" x14ac:dyDescent="0.25">
      <c r="A39">
        <v>53</v>
      </c>
      <c r="B39" s="51">
        <v>6</v>
      </c>
      <c r="C39" s="51">
        <v>105</v>
      </c>
      <c r="E39">
        <f>+$F$39</f>
        <v>11</v>
      </c>
      <c r="F39">
        <v>11</v>
      </c>
      <c r="G39" t="s">
        <v>275</v>
      </c>
      <c r="H39" s="51">
        <v>4</v>
      </c>
      <c r="I39" s="51">
        <v>170</v>
      </c>
    </row>
    <row r="40" spans="1:9" x14ac:dyDescent="0.25">
      <c r="A40">
        <v>54</v>
      </c>
      <c r="B40" s="51">
        <v>23</v>
      </c>
      <c r="C40" s="51">
        <v>201</v>
      </c>
      <c r="E40">
        <f t="shared" ref="E40:E47" si="3">+$F$39</f>
        <v>11</v>
      </c>
      <c r="G40" t="s">
        <v>276</v>
      </c>
      <c r="H40" s="51">
        <v>5</v>
      </c>
      <c r="I40" s="51">
        <v>170</v>
      </c>
    </row>
    <row r="41" spans="1:9" x14ac:dyDescent="0.25">
      <c r="A41">
        <v>56</v>
      </c>
      <c r="B41">
        <v>5</v>
      </c>
      <c r="C41" s="51">
        <v>200</v>
      </c>
      <c r="E41">
        <f t="shared" si="3"/>
        <v>11</v>
      </c>
      <c r="G41" t="s">
        <v>277</v>
      </c>
      <c r="H41" s="51">
        <v>13</v>
      </c>
      <c r="I41" s="51">
        <v>170</v>
      </c>
    </row>
    <row r="42" spans="1:9" x14ac:dyDescent="0.25">
      <c r="A42">
        <v>57</v>
      </c>
      <c r="B42" s="51">
        <v>6</v>
      </c>
      <c r="C42" s="51">
        <v>103</v>
      </c>
      <c r="E42">
        <f t="shared" si="3"/>
        <v>11</v>
      </c>
      <c r="G42" t="s">
        <v>278</v>
      </c>
      <c r="H42" s="51">
        <v>5</v>
      </c>
      <c r="I42" s="51">
        <v>170</v>
      </c>
    </row>
    <row r="43" spans="1:9" x14ac:dyDescent="0.25">
      <c r="A43">
        <v>58</v>
      </c>
      <c r="B43" s="51">
        <v>1</v>
      </c>
      <c r="C43" s="51">
        <v>83</v>
      </c>
      <c r="E43">
        <f t="shared" si="3"/>
        <v>11</v>
      </c>
      <c r="G43" t="s">
        <v>279</v>
      </c>
      <c r="H43" s="51">
        <v>11</v>
      </c>
      <c r="I43" s="51">
        <v>170</v>
      </c>
    </row>
    <row r="44" spans="1:9" x14ac:dyDescent="0.25">
      <c r="A44">
        <v>59</v>
      </c>
      <c r="B44" s="51"/>
      <c r="C44" s="51">
        <v>126</v>
      </c>
      <c r="E44">
        <f t="shared" si="3"/>
        <v>11</v>
      </c>
      <c r="G44" t="s">
        <v>280</v>
      </c>
      <c r="H44" s="51">
        <v>8</v>
      </c>
      <c r="I44" s="51">
        <v>170</v>
      </c>
    </row>
    <row r="45" spans="1:9" x14ac:dyDescent="0.25">
      <c r="A45">
        <v>60</v>
      </c>
      <c r="B45" s="51"/>
      <c r="C45" s="51">
        <v>69</v>
      </c>
      <c r="E45">
        <f t="shared" si="3"/>
        <v>11</v>
      </c>
      <c r="G45" t="s">
        <v>281</v>
      </c>
      <c r="H45" s="51">
        <v>1</v>
      </c>
      <c r="I45" s="51">
        <v>170</v>
      </c>
    </row>
    <row r="46" spans="1:9" x14ac:dyDescent="0.25">
      <c r="A46">
        <v>7</v>
      </c>
      <c r="B46" s="51"/>
      <c r="C46" s="51">
        <v>117</v>
      </c>
      <c r="E46">
        <f t="shared" si="3"/>
        <v>11</v>
      </c>
      <c r="G46" t="s">
        <v>282</v>
      </c>
      <c r="H46" s="51">
        <v>1</v>
      </c>
      <c r="I46" s="51">
        <v>170</v>
      </c>
    </row>
    <row r="47" spans="1:9" x14ac:dyDescent="0.25">
      <c r="A47">
        <v>8</v>
      </c>
      <c r="B47" s="51">
        <v>19</v>
      </c>
      <c r="C47" s="51">
        <v>199</v>
      </c>
      <c r="E47">
        <f t="shared" si="3"/>
        <v>11</v>
      </c>
      <c r="G47" t="s">
        <v>283</v>
      </c>
      <c r="H47" s="51"/>
      <c r="I47" s="51">
        <v>170</v>
      </c>
    </row>
    <row r="48" spans="1:9" x14ac:dyDescent="0.25">
      <c r="A48">
        <v>9</v>
      </c>
      <c r="B48" s="51">
        <v>29</v>
      </c>
      <c r="C48" s="51">
        <v>157</v>
      </c>
      <c r="E48">
        <f>+$F$48</f>
        <v>12</v>
      </c>
      <c r="F48">
        <v>12</v>
      </c>
      <c r="G48" t="s">
        <v>275</v>
      </c>
      <c r="H48" s="51">
        <v>5</v>
      </c>
      <c r="I48" s="51">
        <v>215</v>
      </c>
    </row>
    <row r="49" spans="2:9" x14ac:dyDescent="0.25">
      <c r="B49" s="35"/>
      <c r="C49" s="35"/>
      <c r="E49">
        <f t="shared" ref="E49:E56" si="4">+$F$48</f>
        <v>12</v>
      </c>
      <c r="G49" t="s">
        <v>276</v>
      </c>
      <c r="H49" s="51">
        <v>7</v>
      </c>
      <c r="I49" s="51">
        <v>215</v>
      </c>
    </row>
    <row r="50" spans="2:9" x14ac:dyDescent="0.25">
      <c r="E50">
        <f t="shared" si="4"/>
        <v>12</v>
      </c>
      <c r="G50" t="s">
        <v>277</v>
      </c>
      <c r="H50" s="51">
        <v>14</v>
      </c>
      <c r="I50" s="51">
        <v>215</v>
      </c>
    </row>
    <row r="51" spans="2:9" x14ac:dyDescent="0.25">
      <c r="E51">
        <f t="shared" si="4"/>
        <v>12</v>
      </c>
      <c r="G51" t="s">
        <v>278</v>
      </c>
      <c r="H51" s="51">
        <v>11</v>
      </c>
      <c r="I51" s="51">
        <v>215</v>
      </c>
    </row>
    <row r="52" spans="2:9" x14ac:dyDescent="0.25">
      <c r="E52">
        <f t="shared" si="4"/>
        <v>12</v>
      </c>
      <c r="G52" t="s">
        <v>279</v>
      </c>
      <c r="H52" s="51">
        <v>13</v>
      </c>
      <c r="I52" s="51">
        <v>215</v>
      </c>
    </row>
    <row r="53" spans="2:9" x14ac:dyDescent="0.25">
      <c r="E53">
        <f t="shared" si="4"/>
        <v>12</v>
      </c>
      <c r="G53" t="s">
        <v>280</v>
      </c>
      <c r="H53" s="51">
        <v>9</v>
      </c>
      <c r="I53" s="51">
        <v>215</v>
      </c>
    </row>
    <row r="54" spans="2:9" x14ac:dyDescent="0.25">
      <c r="E54">
        <f t="shared" si="4"/>
        <v>12</v>
      </c>
      <c r="G54" t="s">
        <v>281</v>
      </c>
      <c r="H54" s="51">
        <v>7</v>
      </c>
      <c r="I54" s="51">
        <v>215</v>
      </c>
    </row>
    <row r="55" spans="2:9" x14ac:dyDescent="0.25">
      <c r="E55">
        <f t="shared" si="4"/>
        <v>12</v>
      </c>
      <c r="G55" t="s">
        <v>282</v>
      </c>
      <c r="H55" s="51"/>
      <c r="I55" s="51">
        <v>215</v>
      </c>
    </row>
    <row r="56" spans="2:9" x14ac:dyDescent="0.25">
      <c r="E56">
        <f t="shared" si="4"/>
        <v>12</v>
      </c>
      <c r="G56" t="s">
        <v>283</v>
      </c>
      <c r="H56" s="51">
        <v>2</v>
      </c>
      <c r="I56" s="51">
        <v>215</v>
      </c>
    </row>
    <row r="57" spans="2:9" x14ac:dyDescent="0.25">
      <c r="E57">
        <f>+$F$57</f>
        <v>123</v>
      </c>
      <c r="F57">
        <v>123</v>
      </c>
      <c r="G57" t="s">
        <v>275</v>
      </c>
      <c r="H57" s="51">
        <v>10</v>
      </c>
      <c r="I57" s="51">
        <v>488</v>
      </c>
    </row>
    <row r="58" spans="2:9" x14ac:dyDescent="0.25">
      <c r="E58">
        <f t="shared" ref="E58:E65" si="5">+$F$57</f>
        <v>123</v>
      </c>
      <c r="G58" t="s">
        <v>276</v>
      </c>
      <c r="H58" s="51">
        <v>4</v>
      </c>
      <c r="I58" s="51">
        <v>488</v>
      </c>
    </row>
    <row r="59" spans="2:9" x14ac:dyDescent="0.25">
      <c r="E59">
        <f t="shared" si="5"/>
        <v>123</v>
      </c>
      <c r="G59" t="s">
        <v>277</v>
      </c>
      <c r="H59" s="51">
        <v>6</v>
      </c>
      <c r="I59" s="51">
        <v>488</v>
      </c>
    </row>
    <row r="60" spans="2:9" x14ac:dyDescent="0.25">
      <c r="E60">
        <f t="shared" si="5"/>
        <v>123</v>
      </c>
      <c r="G60" t="s">
        <v>278</v>
      </c>
      <c r="H60" s="51">
        <v>1</v>
      </c>
      <c r="I60" s="51">
        <v>488</v>
      </c>
    </row>
    <row r="61" spans="2:9" x14ac:dyDescent="0.25">
      <c r="E61">
        <f t="shared" si="5"/>
        <v>123</v>
      </c>
      <c r="G61" t="s">
        <v>279</v>
      </c>
      <c r="H61" s="51">
        <v>9</v>
      </c>
      <c r="I61" s="51">
        <v>488</v>
      </c>
    </row>
    <row r="62" spans="2:9" x14ac:dyDescent="0.25">
      <c r="E62">
        <f t="shared" si="5"/>
        <v>123</v>
      </c>
      <c r="G62" t="s">
        <v>280</v>
      </c>
      <c r="H62" s="51">
        <v>3</v>
      </c>
      <c r="I62" s="51">
        <v>488</v>
      </c>
    </row>
    <row r="63" spans="2:9" x14ac:dyDescent="0.25">
      <c r="E63">
        <f t="shared" si="5"/>
        <v>123</v>
      </c>
      <c r="G63" t="s">
        <v>281</v>
      </c>
      <c r="H63" s="51">
        <v>4</v>
      </c>
      <c r="I63" s="51">
        <v>488</v>
      </c>
    </row>
    <row r="64" spans="2:9" x14ac:dyDescent="0.25">
      <c r="E64">
        <f t="shared" si="5"/>
        <v>123</v>
      </c>
      <c r="G64" t="s">
        <v>282</v>
      </c>
      <c r="H64" s="51">
        <v>1</v>
      </c>
      <c r="I64" s="51">
        <v>488</v>
      </c>
    </row>
    <row r="65" spans="5:9" x14ac:dyDescent="0.25">
      <c r="E65">
        <f t="shared" si="5"/>
        <v>123</v>
      </c>
      <c r="G65" t="s">
        <v>283</v>
      </c>
      <c r="H65" s="51">
        <v>2</v>
      </c>
      <c r="I65" s="51">
        <v>488</v>
      </c>
    </row>
    <row r="66" spans="5:9" x14ac:dyDescent="0.25">
      <c r="E66">
        <f>+$F$66</f>
        <v>15</v>
      </c>
      <c r="F66">
        <v>15</v>
      </c>
      <c r="G66" t="s">
        <v>275</v>
      </c>
      <c r="H66" s="51">
        <v>5</v>
      </c>
      <c r="I66" s="51">
        <v>65</v>
      </c>
    </row>
    <row r="67" spans="5:9" x14ac:dyDescent="0.25">
      <c r="E67">
        <f t="shared" ref="E67:E74" si="6">+$F$66</f>
        <v>15</v>
      </c>
      <c r="G67" t="s">
        <v>276</v>
      </c>
      <c r="H67" s="51">
        <v>4</v>
      </c>
      <c r="I67" s="51">
        <v>65</v>
      </c>
    </row>
    <row r="68" spans="5:9" x14ac:dyDescent="0.25">
      <c r="E68">
        <f t="shared" si="6"/>
        <v>15</v>
      </c>
      <c r="G68" t="s">
        <v>277</v>
      </c>
      <c r="H68" s="51">
        <v>4</v>
      </c>
      <c r="I68" s="51">
        <v>65</v>
      </c>
    </row>
    <row r="69" spans="5:9" x14ac:dyDescent="0.25">
      <c r="E69">
        <f t="shared" si="6"/>
        <v>15</v>
      </c>
      <c r="G69" t="s">
        <v>278</v>
      </c>
      <c r="H69" s="51">
        <v>4</v>
      </c>
      <c r="I69" s="51">
        <v>65</v>
      </c>
    </row>
    <row r="70" spans="5:9" x14ac:dyDescent="0.25">
      <c r="E70">
        <f t="shared" si="6"/>
        <v>15</v>
      </c>
      <c r="G70" t="s">
        <v>279</v>
      </c>
      <c r="H70" s="51">
        <v>6</v>
      </c>
      <c r="I70" s="51">
        <v>65</v>
      </c>
    </row>
    <row r="71" spans="5:9" x14ac:dyDescent="0.25">
      <c r="E71">
        <f t="shared" si="6"/>
        <v>15</v>
      </c>
      <c r="G71" t="s">
        <v>280</v>
      </c>
      <c r="H71" s="51">
        <v>2</v>
      </c>
      <c r="I71" s="51">
        <v>65</v>
      </c>
    </row>
    <row r="72" spans="5:9" x14ac:dyDescent="0.25">
      <c r="E72">
        <f t="shared" si="6"/>
        <v>15</v>
      </c>
      <c r="G72" t="s">
        <v>281</v>
      </c>
      <c r="H72" s="51">
        <v>7</v>
      </c>
      <c r="I72" s="51">
        <v>65</v>
      </c>
    </row>
    <row r="73" spans="5:9" x14ac:dyDescent="0.25">
      <c r="E73">
        <f t="shared" si="6"/>
        <v>15</v>
      </c>
      <c r="G73" t="s">
        <v>282</v>
      </c>
      <c r="H73" s="51">
        <v>2</v>
      </c>
      <c r="I73" s="51">
        <v>65</v>
      </c>
    </row>
    <row r="74" spans="5:9" x14ac:dyDescent="0.25">
      <c r="E74">
        <f t="shared" si="6"/>
        <v>15</v>
      </c>
      <c r="G74" t="s">
        <v>283</v>
      </c>
      <c r="H74" s="51">
        <v>2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275</v>
      </c>
      <c r="H75" s="51">
        <v>3</v>
      </c>
      <c r="I75" s="51">
        <v>200</v>
      </c>
    </row>
    <row r="76" spans="5:9" x14ac:dyDescent="0.25">
      <c r="E76">
        <f t="shared" ref="E76:E83" si="7">+$F$75</f>
        <v>16</v>
      </c>
      <c r="G76" t="s">
        <v>276</v>
      </c>
      <c r="H76">
        <v>3</v>
      </c>
      <c r="I76" s="51">
        <v>200</v>
      </c>
    </row>
    <row r="77" spans="5:9" x14ac:dyDescent="0.25">
      <c r="E77">
        <f t="shared" si="7"/>
        <v>16</v>
      </c>
      <c r="G77" t="s">
        <v>277</v>
      </c>
      <c r="H77" s="51">
        <v>10</v>
      </c>
      <c r="I77" s="51">
        <v>200</v>
      </c>
    </row>
    <row r="78" spans="5:9" x14ac:dyDescent="0.25">
      <c r="E78">
        <f t="shared" si="7"/>
        <v>16</v>
      </c>
      <c r="G78" t="s">
        <v>278</v>
      </c>
      <c r="H78" s="51">
        <v>4</v>
      </c>
      <c r="I78" s="51">
        <v>200</v>
      </c>
    </row>
    <row r="79" spans="5:9" x14ac:dyDescent="0.25">
      <c r="E79">
        <f t="shared" si="7"/>
        <v>16</v>
      </c>
      <c r="G79" t="s">
        <v>279</v>
      </c>
      <c r="H79" s="51">
        <v>17</v>
      </c>
      <c r="I79" s="51">
        <v>200</v>
      </c>
    </row>
    <row r="80" spans="5:9" x14ac:dyDescent="0.25">
      <c r="E80">
        <f t="shared" si="7"/>
        <v>16</v>
      </c>
      <c r="G80" t="s">
        <v>280</v>
      </c>
      <c r="H80" s="51">
        <v>14</v>
      </c>
      <c r="I80" s="51">
        <v>200</v>
      </c>
    </row>
    <row r="81" spans="5:9" x14ac:dyDescent="0.25">
      <c r="E81">
        <f t="shared" si="7"/>
        <v>16</v>
      </c>
      <c r="G81" t="s">
        <v>281</v>
      </c>
      <c r="H81" s="51">
        <v>1</v>
      </c>
      <c r="I81" s="51">
        <v>200</v>
      </c>
    </row>
    <row r="82" spans="5:9" x14ac:dyDescent="0.25">
      <c r="E82">
        <f t="shared" si="7"/>
        <v>16</v>
      </c>
      <c r="G82" t="s">
        <v>282</v>
      </c>
      <c r="H82" s="51">
        <v>5</v>
      </c>
      <c r="I82" s="51">
        <v>200</v>
      </c>
    </row>
    <row r="83" spans="5:9" x14ac:dyDescent="0.25">
      <c r="E83">
        <f t="shared" si="7"/>
        <v>16</v>
      </c>
      <c r="G83" t="s">
        <v>283</v>
      </c>
      <c r="H83" s="51">
        <v>4</v>
      </c>
      <c r="I83" s="51">
        <v>200</v>
      </c>
    </row>
    <row r="84" spans="5:9" x14ac:dyDescent="0.25">
      <c r="E84">
        <f>+$F$84</f>
        <v>18</v>
      </c>
      <c r="F84">
        <v>18</v>
      </c>
      <c r="G84" t="s">
        <v>275</v>
      </c>
      <c r="H84" s="51">
        <v>5</v>
      </c>
      <c r="I84" s="51">
        <v>181</v>
      </c>
    </row>
    <row r="85" spans="5:9" x14ac:dyDescent="0.25">
      <c r="E85">
        <f t="shared" ref="E85:E92" si="8">+$F$84</f>
        <v>18</v>
      </c>
      <c r="G85" t="s">
        <v>276</v>
      </c>
      <c r="H85" s="51">
        <v>5</v>
      </c>
      <c r="I85" s="51">
        <v>181</v>
      </c>
    </row>
    <row r="86" spans="5:9" x14ac:dyDescent="0.25">
      <c r="E86">
        <f t="shared" si="8"/>
        <v>18</v>
      </c>
      <c r="G86" t="s">
        <v>277</v>
      </c>
      <c r="H86" s="51">
        <v>13</v>
      </c>
      <c r="I86" s="51">
        <v>181</v>
      </c>
    </row>
    <row r="87" spans="5:9" x14ac:dyDescent="0.25">
      <c r="E87">
        <f t="shared" si="8"/>
        <v>18</v>
      </c>
      <c r="G87" t="s">
        <v>278</v>
      </c>
      <c r="H87" s="51">
        <v>7</v>
      </c>
      <c r="I87" s="51">
        <v>181</v>
      </c>
    </row>
    <row r="88" spans="5:9" x14ac:dyDescent="0.25">
      <c r="E88">
        <f t="shared" si="8"/>
        <v>18</v>
      </c>
      <c r="G88" t="s">
        <v>279</v>
      </c>
      <c r="H88" s="51">
        <v>21</v>
      </c>
      <c r="I88" s="51">
        <v>181</v>
      </c>
    </row>
    <row r="89" spans="5:9" x14ac:dyDescent="0.25">
      <c r="E89">
        <f t="shared" si="8"/>
        <v>18</v>
      </c>
      <c r="G89" t="s">
        <v>280</v>
      </c>
      <c r="H89" s="51">
        <v>8</v>
      </c>
      <c r="I89" s="51">
        <v>181</v>
      </c>
    </row>
    <row r="90" spans="5:9" x14ac:dyDescent="0.25">
      <c r="E90">
        <f t="shared" si="8"/>
        <v>18</v>
      </c>
      <c r="G90" t="s">
        <v>281</v>
      </c>
      <c r="H90" s="51">
        <v>2</v>
      </c>
      <c r="I90" s="51">
        <v>181</v>
      </c>
    </row>
    <row r="91" spans="5:9" x14ac:dyDescent="0.25">
      <c r="E91">
        <f t="shared" si="8"/>
        <v>18</v>
      </c>
      <c r="G91" t="s">
        <v>282</v>
      </c>
      <c r="H91" s="51">
        <v>8</v>
      </c>
      <c r="I91" s="51">
        <v>181</v>
      </c>
    </row>
    <row r="92" spans="5:9" x14ac:dyDescent="0.25">
      <c r="E92">
        <f t="shared" si="8"/>
        <v>18</v>
      </c>
      <c r="G92" t="s">
        <v>283</v>
      </c>
      <c r="H92" s="51">
        <v>4</v>
      </c>
      <c r="I92" s="51">
        <v>181</v>
      </c>
    </row>
    <row r="93" spans="5:9" x14ac:dyDescent="0.25">
      <c r="E93">
        <f>+$F$93</f>
        <v>19</v>
      </c>
      <c r="F93">
        <v>19</v>
      </c>
      <c r="G93" t="s">
        <v>275</v>
      </c>
      <c r="H93" s="51">
        <v>11</v>
      </c>
      <c r="I93" s="51">
        <v>209</v>
      </c>
    </row>
    <row r="94" spans="5:9" x14ac:dyDescent="0.25">
      <c r="E94">
        <f t="shared" ref="E94:E101" si="9">+$F$93</f>
        <v>19</v>
      </c>
      <c r="G94" t="s">
        <v>276</v>
      </c>
      <c r="H94" s="51">
        <v>2</v>
      </c>
      <c r="I94" s="51">
        <v>209</v>
      </c>
    </row>
    <row r="95" spans="5:9" x14ac:dyDescent="0.25">
      <c r="E95">
        <f t="shared" si="9"/>
        <v>19</v>
      </c>
      <c r="G95" t="s">
        <v>277</v>
      </c>
      <c r="H95" s="51">
        <v>18</v>
      </c>
      <c r="I95" s="51">
        <v>209</v>
      </c>
    </row>
    <row r="96" spans="5:9" x14ac:dyDescent="0.25">
      <c r="E96">
        <f t="shared" si="9"/>
        <v>19</v>
      </c>
      <c r="G96" t="s">
        <v>278</v>
      </c>
      <c r="H96" s="51">
        <v>4</v>
      </c>
      <c r="I96" s="51">
        <v>209</v>
      </c>
    </row>
    <row r="97" spans="5:9" x14ac:dyDescent="0.25">
      <c r="E97">
        <f t="shared" si="9"/>
        <v>19</v>
      </c>
      <c r="G97" t="s">
        <v>279</v>
      </c>
      <c r="H97" s="51">
        <v>15</v>
      </c>
      <c r="I97" s="51">
        <v>209</v>
      </c>
    </row>
    <row r="98" spans="5:9" x14ac:dyDescent="0.25">
      <c r="E98">
        <f t="shared" si="9"/>
        <v>19</v>
      </c>
      <c r="G98" t="s">
        <v>280</v>
      </c>
      <c r="H98" s="51">
        <v>12</v>
      </c>
      <c r="I98" s="51">
        <v>209</v>
      </c>
    </row>
    <row r="99" spans="5:9" x14ac:dyDescent="0.25">
      <c r="E99">
        <f t="shared" si="9"/>
        <v>19</v>
      </c>
      <c r="G99" t="s">
        <v>281</v>
      </c>
      <c r="H99" s="51">
        <v>3</v>
      </c>
      <c r="I99" s="51">
        <v>209</v>
      </c>
    </row>
    <row r="100" spans="5:9" x14ac:dyDescent="0.25">
      <c r="E100">
        <f t="shared" si="9"/>
        <v>19</v>
      </c>
      <c r="G100" t="s">
        <v>282</v>
      </c>
      <c r="H100" s="51">
        <v>4</v>
      </c>
      <c r="I100" s="51">
        <v>209</v>
      </c>
    </row>
    <row r="101" spans="5:9" x14ac:dyDescent="0.25">
      <c r="E101">
        <f t="shared" si="9"/>
        <v>19</v>
      </c>
      <c r="G101" t="s">
        <v>283</v>
      </c>
      <c r="H101" s="51">
        <v>3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275</v>
      </c>
      <c r="H102" s="51">
        <v>2</v>
      </c>
      <c r="I102" s="51">
        <v>120</v>
      </c>
    </row>
    <row r="103" spans="5:9" x14ac:dyDescent="0.25">
      <c r="E103">
        <f t="shared" ref="E103:E110" si="10">+$F$102</f>
        <v>2</v>
      </c>
      <c r="G103" t="s">
        <v>276</v>
      </c>
      <c r="H103" s="51">
        <v>3</v>
      </c>
      <c r="I103" s="51">
        <v>120</v>
      </c>
    </row>
    <row r="104" spans="5:9" x14ac:dyDescent="0.25">
      <c r="E104">
        <f t="shared" si="10"/>
        <v>2</v>
      </c>
      <c r="G104" t="s">
        <v>277</v>
      </c>
      <c r="H104" s="51">
        <v>6</v>
      </c>
      <c r="I104" s="51">
        <v>120</v>
      </c>
    </row>
    <row r="105" spans="5:9" x14ac:dyDescent="0.25">
      <c r="E105">
        <f t="shared" si="10"/>
        <v>2</v>
      </c>
      <c r="G105" t="s">
        <v>278</v>
      </c>
      <c r="H105" s="51">
        <v>6</v>
      </c>
      <c r="I105" s="51">
        <v>120</v>
      </c>
    </row>
    <row r="106" spans="5:9" x14ac:dyDescent="0.25">
      <c r="E106">
        <f t="shared" si="10"/>
        <v>2</v>
      </c>
      <c r="G106" t="s">
        <v>279</v>
      </c>
      <c r="H106" s="51">
        <v>9</v>
      </c>
      <c r="I106" s="51">
        <v>120</v>
      </c>
    </row>
    <row r="107" spans="5:9" x14ac:dyDescent="0.25">
      <c r="E107">
        <f t="shared" si="10"/>
        <v>2</v>
      </c>
      <c r="G107" t="s">
        <v>280</v>
      </c>
      <c r="H107" s="51">
        <v>4</v>
      </c>
      <c r="I107" s="51">
        <v>120</v>
      </c>
    </row>
    <row r="108" spans="5:9" x14ac:dyDescent="0.25">
      <c r="E108">
        <f t="shared" si="10"/>
        <v>2</v>
      </c>
      <c r="G108" t="s">
        <v>281</v>
      </c>
      <c r="H108" s="51">
        <v>1</v>
      </c>
      <c r="I108" s="51">
        <v>120</v>
      </c>
    </row>
    <row r="109" spans="5:9" x14ac:dyDescent="0.25">
      <c r="E109">
        <f t="shared" si="10"/>
        <v>2</v>
      </c>
      <c r="G109" t="s">
        <v>282</v>
      </c>
      <c r="H109" s="51">
        <v>1</v>
      </c>
      <c r="I109" s="51">
        <v>120</v>
      </c>
    </row>
    <row r="110" spans="5:9" x14ac:dyDescent="0.25">
      <c r="E110">
        <f t="shared" si="10"/>
        <v>2</v>
      </c>
      <c r="G110" t="s">
        <v>283</v>
      </c>
      <c r="H110" s="51">
        <v>8</v>
      </c>
      <c r="I110" s="51">
        <v>120</v>
      </c>
    </row>
    <row r="111" spans="5:9" x14ac:dyDescent="0.25">
      <c r="E111">
        <f>+$F$111</f>
        <v>20</v>
      </c>
      <c r="F111">
        <v>20</v>
      </c>
      <c r="G111" t="s">
        <v>275</v>
      </c>
      <c r="H111" s="51">
        <v>7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276</v>
      </c>
      <c r="H112" s="51">
        <v>5</v>
      </c>
      <c r="I112" s="51">
        <v>228</v>
      </c>
    </row>
    <row r="113" spans="5:9" x14ac:dyDescent="0.25">
      <c r="E113">
        <f t="shared" si="11"/>
        <v>20</v>
      </c>
      <c r="G113" t="s">
        <v>277</v>
      </c>
      <c r="H113" s="51">
        <v>14</v>
      </c>
      <c r="I113" s="51">
        <v>228</v>
      </c>
    </row>
    <row r="114" spans="5:9" x14ac:dyDescent="0.25">
      <c r="E114">
        <f t="shared" si="11"/>
        <v>20</v>
      </c>
      <c r="G114" t="s">
        <v>278</v>
      </c>
      <c r="H114" s="51">
        <v>11</v>
      </c>
      <c r="I114" s="51">
        <v>228</v>
      </c>
    </row>
    <row r="115" spans="5:9" x14ac:dyDescent="0.25">
      <c r="E115">
        <f t="shared" si="11"/>
        <v>20</v>
      </c>
      <c r="G115" t="s">
        <v>279</v>
      </c>
      <c r="H115" s="51">
        <v>20</v>
      </c>
      <c r="I115" s="51">
        <v>228</v>
      </c>
    </row>
    <row r="116" spans="5:9" x14ac:dyDescent="0.25">
      <c r="E116">
        <f t="shared" si="11"/>
        <v>20</v>
      </c>
      <c r="G116" t="s">
        <v>280</v>
      </c>
      <c r="H116">
        <v>14</v>
      </c>
      <c r="I116" s="51">
        <v>228</v>
      </c>
    </row>
    <row r="117" spans="5:9" x14ac:dyDescent="0.25">
      <c r="E117">
        <f t="shared" si="11"/>
        <v>20</v>
      </c>
      <c r="G117" t="s">
        <v>281</v>
      </c>
      <c r="H117" s="51">
        <v>1</v>
      </c>
      <c r="I117" s="51">
        <v>228</v>
      </c>
    </row>
    <row r="118" spans="5:9" x14ac:dyDescent="0.25">
      <c r="E118">
        <f t="shared" si="11"/>
        <v>20</v>
      </c>
      <c r="G118" t="s">
        <v>282</v>
      </c>
      <c r="H118" s="51">
        <v>3</v>
      </c>
      <c r="I118" s="51">
        <v>228</v>
      </c>
    </row>
    <row r="119" spans="5:9" x14ac:dyDescent="0.25">
      <c r="E119">
        <f t="shared" si="11"/>
        <v>20</v>
      </c>
      <c r="G119" t="s">
        <v>283</v>
      </c>
      <c r="H119" s="51">
        <v>3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275</v>
      </c>
      <c r="H120" s="51">
        <v>9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276</v>
      </c>
      <c r="H121" s="51">
        <v>4</v>
      </c>
      <c r="I121" s="51">
        <v>166</v>
      </c>
    </row>
    <row r="122" spans="5:9" x14ac:dyDescent="0.25">
      <c r="E122">
        <f t="shared" si="12"/>
        <v>21</v>
      </c>
      <c r="G122" t="s">
        <v>277</v>
      </c>
      <c r="H122" s="51">
        <v>13</v>
      </c>
      <c r="I122" s="51">
        <v>166</v>
      </c>
    </row>
    <row r="123" spans="5:9" x14ac:dyDescent="0.25">
      <c r="E123">
        <f t="shared" si="12"/>
        <v>21</v>
      </c>
      <c r="G123" t="s">
        <v>278</v>
      </c>
      <c r="H123" s="51">
        <v>5</v>
      </c>
      <c r="I123" s="51">
        <v>166</v>
      </c>
    </row>
    <row r="124" spans="5:9" x14ac:dyDescent="0.25">
      <c r="E124">
        <f t="shared" si="12"/>
        <v>21</v>
      </c>
      <c r="G124" t="s">
        <v>279</v>
      </c>
      <c r="H124">
        <v>29</v>
      </c>
      <c r="I124" s="51">
        <v>166</v>
      </c>
    </row>
    <row r="125" spans="5:9" x14ac:dyDescent="0.25">
      <c r="E125">
        <f t="shared" si="12"/>
        <v>21</v>
      </c>
      <c r="G125" t="s">
        <v>280</v>
      </c>
      <c r="H125" s="51">
        <v>17</v>
      </c>
      <c r="I125" s="51">
        <v>166</v>
      </c>
    </row>
    <row r="126" spans="5:9" x14ac:dyDescent="0.25">
      <c r="E126">
        <f t="shared" si="12"/>
        <v>21</v>
      </c>
      <c r="G126" t="s">
        <v>281</v>
      </c>
      <c r="H126" s="51">
        <v>2</v>
      </c>
      <c r="I126" s="51">
        <v>166</v>
      </c>
    </row>
    <row r="127" spans="5:9" x14ac:dyDescent="0.25">
      <c r="E127">
        <f t="shared" si="12"/>
        <v>21</v>
      </c>
      <c r="G127" t="s">
        <v>282</v>
      </c>
      <c r="H127" s="51">
        <v>2</v>
      </c>
      <c r="I127" s="51">
        <v>166</v>
      </c>
    </row>
    <row r="128" spans="5:9" x14ac:dyDescent="0.25">
      <c r="E128">
        <f t="shared" si="12"/>
        <v>21</v>
      </c>
      <c r="G128" t="s">
        <v>283</v>
      </c>
      <c r="H128" s="51">
        <v>3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275</v>
      </c>
      <c r="H129" s="51">
        <v>9</v>
      </c>
      <c r="I129" s="51">
        <v>79</v>
      </c>
    </row>
    <row r="130" spans="5:9" x14ac:dyDescent="0.25">
      <c r="E130">
        <f t="shared" ref="E130:E137" si="13">+$F$129</f>
        <v>22</v>
      </c>
      <c r="G130" t="s">
        <v>276</v>
      </c>
      <c r="H130" s="51">
        <v>5</v>
      </c>
      <c r="I130" s="51">
        <v>79</v>
      </c>
    </row>
    <row r="131" spans="5:9" x14ac:dyDescent="0.25">
      <c r="E131">
        <f t="shared" si="13"/>
        <v>22</v>
      </c>
      <c r="G131" t="s">
        <v>277</v>
      </c>
      <c r="H131" s="51">
        <v>4</v>
      </c>
      <c r="I131" s="51">
        <v>79</v>
      </c>
    </row>
    <row r="132" spans="5:9" x14ac:dyDescent="0.25">
      <c r="E132">
        <f t="shared" si="13"/>
        <v>22</v>
      </c>
      <c r="G132" t="s">
        <v>278</v>
      </c>
      <c r="H132" s="51">
        <v>1</v>
      </c>
      <c r="I132" s="51">
        <v>79</v>
      </c>
    </row>
    <row r="133" spans="5:9" x14ac:dyDescent="0.25">
      <c r="E133">
        <f t="shared" si="13"/>
        <v>22</v>
      </c>
      <c r="G133" t="s">
        <v>279</v>
      </c>
      <c r="H133" s="51">
        <v>5</v>
      </c>
      <c r="I133" s="51">
        <v>79</v>
      </c>
    </row>
    <row r="134" spans="5:9" x14ac:dyDescent="0.25">
      <c r="E134">
        <f t="shared" si="13"/>
        <v>22</v>
      </c>
      <c r="G134" t="s">
        <v>280</v>
      </c>
      <c r="H134" s="51">
        <v>3</v>
      </c>
      <c r="I134" s="51">
        <v>79</v>
      </c>
    </row>
    <row r="135" spans="5:9" x14ac:dyDescent="0.25">
      <c r="E135">
        <f t="shared" si="13"/>
        <v>22</v>
      </c>
      <c r="G135" t="s">
        <v>281</v>
      </c>
      <c r="H135" s="51">
        <v>5</v>
      </c>
      <c r="I135" s="51">
        <v>79</v>
      </c>
    </row>
    <row r="136" spans="5:9" x14ac:dyDescent="0.25">
      <c r="E136">
        <f t="shared" si="13"/>
        <v>22</v>
      </c>
      <c r="G136" t="s">
        <v>282</v>
      </c>
      <c r="H136" s="51">
        <v>2</v>
      </c>
      <c r="I136" s="51">
        <v>79</v>
      </c>
    </row>
    <row r="137" spans="5:9" x14ac:dyDescent="0.25">
      <c r="E137">
        <f t="shared" si="13"/>
        <v>22</v>
      </c>
      <c r="G137" t="s">
        <v>283</v>
      </c>
      <c r="H137" s="51">
        <v>1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275</v>
      </c>
      <c r="H138" s="51">
        <v>6</v>
      </c>
      <c r="I138" s="51">
        <v>157</v>
      </c>
    </row>
    <row r="139" spans="5:9" x14ac:dyDescent="0.25">
      <c r="E139">
        <f t="shared" ref="E139:E146" si="14">+$F$138</f>
        <v>23</v>
      </c>
      <c r="G139" t="s">
        <v>276</v>
      </c>
      <c r="H139" s="51">
        <v>1</v>
      </c>
      <c r="I139" s="51">
        <v>157</v>
      </c>
    </row>
    <row r="140" spans="5:9" x14ac:dyDescent="0.25">
      <c r="E140">
        <f t="shared" si="14"/>
        <v>23</v>
      </c>
      <c r="G140" t="s">
        <v>277</v>
      </c>
      <c r="H140">
        <v>16</v>
      </c>
      <c r="I140" s="51">
        <v>157</v>
      </c>
    </row>
    <row r="141" spans="5:9" x14ac:dyDescent="0.25">
      <c r="E141">
        <f t="shared" si="14"/>
        <v>23</v>
      </c>
      <c r="G141" t="s">
        <v>278</v>
      </c>
      <c r="H141" s="51">
        <v>7</v>
      </c>
      <c r="I141" s="51">
        <v>157</v>
      </c>
    </row>
    <row r="142" spans="5:9" x14ac:dyDescent="0.25">
      <c r="E142">
        <f t="shared" si="14"/>
        <v>23</v>
      </c>
      <c r="G142" t="s">
        <v>279</v>
      </c>
      <c r="H142" s="51">
        <v>17</v>
      </c>
      <c r="I142" s="51">
        <v>157</v>
      </c>
    </row>
    <row r="143" spans="5:9" x14ac:dyDescent="0.25">
      <c r="E143">
        <f t="shared" si="14"/>
        <v>23</v>
      </c>
      <c r="G143" t="s">
        <v>280</v>
      </c>
      <c r="H143" s="51">
        <v>8</v>
      </c>
      <c r="I143" s="51">
        <v>157</v>
      </c>
    </row>
    <row r="144" spans="5:9" x14ac:dyDescent="0.25">
      <c r="E144">
        <f t="shared" si="14"/>
        <v>23</v>
      </c>
      <c r="G144" t="s">
        <v>281</v>
      </c>
      <c r="H144" s="51">
        <v>3</v>
      </c>
      <c r="I144" s="51">
        <v>157</v>
      </c>
    </row>
    <row r="145" spans="5:9" x14ac:dyDescent="0.25">
      <c r="E145">
        <f t="shared" si="14"/>
        <v>23</v>
      </c>
      <c r="G145" t="s">
        <v>282</v>
      </c>
      <c r="H145" s="51">
        <v>7</v>
      </c>
      <c r="I145" s="51">
        <v>157</v>
      </c>
    </row>
    <row r="146" spans="5:9" x14ac:dyDescent="0.25">
      <c r="E146">
        <f t="shared" si="14"/>
        <v>23</v>
      </c>
      <c r="G146" t="s">
        <v>283</v>
      </c>
      <c r="H146" s="51">
        <v>2</v>
      </c>
      <c r="I146" s="51">
        <v>157</v>
      </c>
    </row>
    <row r="147" spans="5:9" x14ac:dyDescent="0.25">
      <c r="E147">
        <f>+$F$147</f>
        <v>24</v>
      </c>
      <c r="F147">
        <v>24</v>
      </c>
      <c r="G147" t="s">
        <v>275</v>
      </c>
      <c r="H147" s="51">
        <v>6</v>
      </c>
      <c r="I147" s="51">
        <v>184</v>
      </c>
    </row>
    <row r="148" spans="5:9" x14ac:dyDescent="0.25">
      <c r="E148">
        <f t="shared" ref="E148:E155" si="15">+$F$147</f>
        <v>24</v>
      </c>
      <c r="G148" t="s">
        <v>276</v>
      </c>
      <c r="H148">
        <v>3</v>
      </c>
      <c r="I148" s="51">
        <v>184</v>
      </c>
    </row>
    <row r="149" spans="5:9" x14ac:dyDescent="0.25">
      <c r="E149">
        <f t="shared" si="15"/>
        <v>24</v>
      </c>
      <c r="G149" t="s">
        <v>277</v>
      </c>
      <c r="H149" s="51">
        <v>5</v>
      </c>
      <c r="I149" s="51">
        <v>184</v>
      </c>
    </row>
    <row r="150" spans="5:9" x14ac:dyDescent="0.25">
      <c r="E150">
        <f t="shared" si="15"/>
        <v>24</v>
      </c>
      <c r="G150" t="s">
        <v>278</v>
      </c>
      <c r="H150" s="51">
        <v>4</v>
      </c>
      <c r="I150" s="51">
        <v>184</v>
      </c>
    </row>
    <row r="151" spans="5:9" x14ac:dyDescent="0.25">
      <c r="E151">
        <f t="shared" si="15"/>
        <v>24</v>
      </c>
      <c r="G151" t="s">
        <v>279</v>
      </c>
      <c r="H151" s="51">
        <v>12</v>
      </c>
      <c r="I151" s="51">
        <v>184</v>
      </c>
    </row>
    <row r="152" spans="5:9" x14ac:dyDescent="0.25">
      <c r="E152">
        <f t="shared" si="15"/>
        <v>24</v>
      </c>
      <c r="G152" t="s">
        <v>280</v>
      </c>
      <c r="H152" s="51">
        <v>6</v>
      </c>
      <c r="I152" s="51">
        <v>184</v>
      </c>
    </row>
    <row r="153" spans="5:9" x14ac:dyDescent="0.25">
      <c r="E153">
        <f t="shared" si="15"/>
        <v>24</v>
      </c>
      <c r="G153" t="s">
        <v>281</v>
      </c>
      <c r="H153" s="51">
        <v>2</v>
      </c>
      <c r="I153" s="51">
        <v>184</v>
      </c>
    </row>
    <row r="154" spans="5:9" x14ac:dyDescent="0.25">
      <c r="E154">
        <f t="shared" si="15"/>
        <v>24</v>
      </c>
      <c r="G154" t="s">
        <v>282</v>
      </c>
      <c r="H154" s="51">
        <v>6</v>
      </c>
      <c r="I154" s="51">
        <v>184</v>
      </c>
    </row>
    <row r="155" spans="5:9" x14ac:dyDescent="0.25">
      <c r="E155">
        <f t="shared" si="15"/>
        <v>24</v>
      </c>
      <c r="G155" t="s">
        <v>283</v>
      </c>
      <c r="H155" s="51">
        <v>1</v>
      </c>
      <c r="I155" s="51">
        <v>184</v>
      </c>
    </row>
    <row r="156" spans="5:9" x14ac:dyDescent="0.25">
      <c r="E156">
        <f>+$F$156</f>
        <v>25</v>
      </c>
      <c r="F156">
        <v>25</v>
      </c>
      <c r="G156" t="s">
        <v>275</v>
      </c>
      <c r="H156" s="51">
        <v>7</v>
      </c>
      <c r="I156" s="51">
        <v>174</v>
      </c>
    </row>
    <row r="157" spans="5:9" x14ac:dyDescent="0.25">
      <c r="E157">
        <f t="shared" ref="E157:E164" si="16">+$F$156</f>
        <v>25</v>
      </c>
      <c r="G157" t="s">
        <v>276</v>
      </c>
      <c r="H157" s="51">
        <v>3</v>
      </c>
      <c r="I157" s="51">
        <v>174</v>
      </c>
    </row>
    <row r="158" spans="5:9" x14ac:dyDescent="0.25">
      <c r="E158">
        <f t="shared" si="16"/>
        <v>25</v>
      </c>
      <c r="G158" t="s">
        <v>277</v>
      </c>
      <c r="H158" s="51">
        <v>7</v>
      </c>
      <c r="I158" s="51">
        <v>174</v>
      </c>
    </row>
    <row r="159" spans="5:9" x14ac:dyDescent="0.25">
      <c r="E159">
        <f t="shared" si="16"/>
        <v>25</v>
      </c>
      <c r="G159" t="s">
        <v>278</v>
      </c>
      <c r="H159" s="51">
        <v>3</v>
      </c>
      <c r="I159" s="51">
        <v>174</v>
      </c>
    </row>
    <row r="160" spans="5:9" x14ac:dyDescent="0.25">
      <c r="E160">
        <f t="shared" si="16"/>
        <v>25</v>
      </c>
      <c r="G160" t="s">
        <v>279</v>
      </c>
      <c r="H160" s="51">
        <v>7</v>
      </c>
      <c r="I160" s="51">
        <v>174</v>
      </c>
    </row>
    <row r="161" spans="5:9" x14ac:dyDescent="0.25">
      <c r="E161">
        <f t="shared" si="16"/>
        <v>25</v>
      </c>
      <c r="G161" t="s">
        <v>280</v>
      </c>
      <c r="H161" s="51">
        <v>4</v>
      </c>
      <c r="I161" s="51">
        <v>174</v>
      </c>
    </row>
    <row r="162" spans="5:9" x14ac:dyDescent="0.25">
      <c r="E162">
        <f t="shared" si="16"/>
        <v>25</v>
      </c>
      <c r="G162" t="s">
        <v>281</v>
      </c>
      <c r="H162" s="51">
        <v>6</v>
      </c>
      <c r="I162" s="51">
        <v>174</v>
      </c>
    </row>
    <row r="163" spans="5:9" x14ac:dyDescent="0.25">
      <c r="E163">
        <f t="shared" si="16"/>
        <v>25</v>
      </c>
      <c r="G163" t="s">
        <v>282</v>
      </c>
      <c r="H163" s="51">
        <v>5</v>
      </c>
      <c r="I163" s="51">
        <v>174</v>
      </c>
    </row>
    <row r="164" spans="5:9" x14ac:dyDescent="0.25">
      <c r="E164">
        <f t="shared" si="16"/>
        <v>25</v>
      </c>
      <c r="G164" t="s">
        <v>283</v>
      </c>
      <c r="H164">
        <v>2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275</v>
      </c>
      <c r="H165" s="51"/>
      <c r="I165" s="51">
        <v>169</v>
      </c>
    </row>
    <row r="166" spans="5:9" x14ac:dyDescent="0.25">
      <c r="E166">
        <f t="shared" ref="E166:E173" si="17">+$F$165</f>
        <v>26</v>
      </c>
      <c r="G166" t="s">
        <v>276</v>
      </c>
      <c r="H166" s="51"/>
      <c r="I166" s="51">
        <v>169</v>
      </c>
    </row>
    <row r="167" spans="5:9" x14ac:dyDescent="0.25">
      <c r="E167">
        <f t="shared" si="17"/>
        <v>26</v>
      </c>
      <c r="G167" t="s">
        <v>277</v>
      </c>
      <c r="H167" s="51"/>
      <c r="I167" s="51">
        <v>169</v>
      </c>
    </row>
    <row r="168" spans="5:9" x14ac:dyDescent="0.25">
      <c r="E168">
        <f t="shared" si="17"/>
        <v>26</v>
      </c>
      <c r="G168" t="s">
        <v>278</v>
      </c>
      <c r="H168" s="51"/>
      <c r="I168" s="51">
        <v>169</v>
      </c>
    </row>
    <row r="169" spans="5:9" x14ac:dyDescent="0.25">
      <c r="E169">
        <f t="shared" si="17"/>
        <v>26</v>
      </c>
      <c r="G169" t="s">
        <v>279</v>
      </c>
      <c r="H169" s="51"/>
      <c r="I169" s="51">
        <v>169</v>
      </c>
    </row>
    <row r="170" spans="5:9" x14ac:dyDescent="0.25">
      <c r="E170">
        <f t="shared" si="17"/>
        <v>26</v>
      </c>
      <c r="G170" t="s">
        <v>280</v>
      </c>
      <c r="H170" s="51"/>
      <c r="I170" s="51">
        <v>169</v>
      </c>
    </row>
    <row r="171" spans="5:9" x14ac:dyDescent="0.25">
      <c r="E171">
        <f t="shared" si="17"/>
        <v>26</v>
      </c>
      <c r="G171" t="s">
        <v>281</v>
      </c>
      <c r="H171" s="51"/>
      <c r="I171" s="51">
        <v>169</v>
      </c>
    </row>
    <row r="172" spans="5:9" x14ac:dyDescent="0.25">
      <c r="E172">
        <f t="shared" si="17"/>
        <v>26</v>
      </c>
      <c r="G172" t="s">
        <v>282</v>
      </c>
      <c r="H172" s="51"/>
      <c r="I172" s="51">
        <v>169</v>
      </c>
    </row>
    <row r="173" spans="5:9" x14ac:dyDescent="0.25">
      <c r="E173">
        <f t="shared" si="17"/>
        <v>26</v>
      </c>
      <c r="G173" t="s">
        <v>283</v>
      </c>
      <c r="H173" s="51"/>
      <c r="I173" s="51">
        <v>169</v>
      </c>
    </row>
    <row r="174" spans="5:9" x14ac:dyDescent="0.25">
      <c r="E174">
        <f>+$F$174</f>
        <v>27</v>
      </c>
      <c r="F174">
        <v>27</v>
      </c>
      <c r="G174" t="s">
        <v>275</v>
      </c>
      <c r="H174" s="51">
        <v>3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276</v>
      </c>
      <c r="H175" s="51">
        <v>1</v>
      </c>
      <c r="I175" s="51">
        <v>131</v>
      </c>
    </row>
    <row r="176" spans="5:9" x14ac:dyDescent="0.25">
      <c r="E176">
        <f t="shared" si="18"/>
        <v>27</v>
      </c>
      <c r="G176" t="s">
        <v>277</v>
      </c>
      <c r="H176" s="51">
        <v>5</v>
      </c>
      <c r="I176" s="51">
        <v>131</v>
      </c>
    </row>
    <row r="177" spans="5:9" x14ac:dyDescent="0.25">
      <c r="E177">
        <f t="shared" si="18"/>
        <v>27</v>
      </c>
      <c r="G177" t="s">
        <v>278</v>
      </c>
      <c r="H177" s="51">
        <v>6</v>
      </c>
      <c r="I177" s="51">
        <v>131</v>
      </c>
    </row>
    <row r="178" spans="5:9" x14ac:dyDescent="0.25">
      <c r="E178">
        <f t="shared" si="18"/>
        <v>27</v>
      </c>
      <c r="G178" t="s">
        <v>279</v>
      </c>
      <c r="H178" s="51">
        <v>11</v>
      </c>
      <c r="I178" s="51">
        <v>131</v>
      </c>
    </row>
    <row r="179" spans="5:9" x14ac:dyDescent="0.25">
      <c r="E179">
        <f t="shared" si="18"/>
        <v>27</v>
      </c>
      <c r="G179" t="s">
        <v>280</v>
      </c>
      <c r="H179" s="51">
        <v>6</v>
      </c>
      <c r="I179" s="51">
        <v>131</v>
      </c>
    </row>
    <row r="180" spans="5:9" x14ac:dyDescent="0.25">
      <c r="E180">
        <f t="shared" si="18"/>
        <v>27</v>
      </c>
      <c r="G180" t="s">
        <v>281</v>
      </c>
      <c r="H180">
        <v>5</v>
      </c>
      <c r="I180" s="51">
        <v>131</v>
      </c>
    </row>
    <row r="181" spans="5:9" x14ac:dyDescent="0.25">
      <c r="E181">
        <f t="shared" si="18"/>
        <v>27</v>
      </c>
      <c r="G181" t="s">
        <v>282</v>
      </c>
      <c r="H181" s="51">
        <v>2</v>
      </c>
      <c r="I181" s="51">
        <v>131</v>
      </c>
    </row>
    <row r="182" spans="5:9" x14ac:dyDescent="0.25">
      <c r="E182">
        <f t="shared" si="18"/>
        <v>27</v>
      </c>
      <c r="G182" t="s">
        <v>283</v>
      </c>
      <c r="H182" s="51">
        <v>2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275</v>
      </c>
      <c r="H183" s="51">
        <v>4</v>
      </c>
      <c r="I183" s="51">
        <v>169</v>
      </c>
    </row>
    <row r="184" spans="5:9" x14ac:dyDescent="0.25">
      <c r="E184">
        <f t="shared" ref="E184:E191" si="19">+$F$183</f>
        <v>28</v>
      </c>
      <c r="G184" t="s">
        <v>276</v>
      </c>
      <c r="H184" s="51">
        <v>1</v>
      </c>
      <c r="I184" s="51">
        <v>169</v>
      </c>
    </row>
    <row r="185" spans="5:9" x14ac:dyDescent="0.25">
      <c r="E185">
        <f t="shared" si="19"/>
        <v>28</v>
      </c>
      <c r="G185" t="s">
        <v>277</v>
      </c>
      <c r="H185" s="51">
        <v>7</v>
      </c>
      <c r="I185" s="51">
        <v>169</v>
      </c>
    </row>
    <row r="186" spans="5:9" x14ac:dyDescent="0.25">
      <c r="E186">
        <f t="shared" si="19"/>
        <v>28</v>
      </c>
      <c r="G186" t="s">
        <v>278</v>
      </c>
      <c r="H186">
        <v>3</v>
      </c>
      <c r="I186" s="51">
        <v>169</v>
      </c>
    </row>
    <row r="187" spans="5:9" x14ac:dyDescent="0.25">
      <c r="E187">
        <f t="shared" si="19"/>
        <v>28</v>
      </c>
      <c r="G187" t="s">
        <v>279</v>
      </c>
      <c r="H187" s="51">
        <v>6</v>
      </c>
      <c r="I187" s="51">
        <v>169</v>
      </c>
    </row>
    <row r="188" spans="5:9" x14ac:dyDescent="0.25">
      <c r="E188">
        <f t="shared" si="19"/>
        <v>28</v>
      </c>
      <c r="G188" t="s">
        <v>280</v>
      </c>
      <c r="H188" s="51">
        <v>4</v>
      </c>
      <c r="I188" s="51">
        <v>169</v>
      </c>
    </row>
    <row r="189" spans="5:9" x14ac:dyDescent="0.25">
      <c r="E189">
        <f t="shared" si="19"/>
        <v>28</v>
      </c>
      <c r="G189" t="s">
        <v>281</v>
      </c>
      <c r="H189" s="51"/>
      <c r="I189" s="51">
        <v>169</v>
      </c>
    </row>
    <row r="190" spans="5:9" x14ac:dyDescent="0.25">
      <c r="E190">
        <f t="shared" si="19"/>
        <v>28</v>
      </c>
      <c r="G190" t="s">
        <v>282</v>
      </c>
      <c r="H190" s="51">
        <v>3</v>
      </c>
      <c r="I190" s="51">
        <v>169</v>
      </c>
    </row>
    <row r="191" spans="5:9" x14ac:dyDescent="0.25">
      <c r="E191">
        <f t="shared" si="19"/>
        <v>28</v>
      </c>
      <c r="G191" t="s">
        <v>283</v>
      </c>
      <c r="H191" s="51"/>
      <c r="I191" s="51">
        <v>169</v>
      </c>
    </row>
    <row r="192" spans="5:9" x14ac:dyDescent="0.25">
      <c r="E192">
        <f>+$F$192</f>
        <v>3</v>
      </c>
      <c r="F192">
        <v>3</v>
      </c>
      <c r="G192" t="s">
        <v>275</v>
      </c>
      <c r="H192" s="51">
        <v>7</v>
      </c>
      <c r="I192" s="51">
        <v>172</v>
      </c>
    </row>
    <row r="193" spans="5:9" x14ac:dyDescent="0.25">
      <c r="E193">
        <f t="shared" ref="E193:E200" si="20">+$F$192</f>
        <v>3</v>
      </c>
      <c r="G193" t="s">
        <v>276</v>
      </c>
      <c r="H193" s="51">
        <v>3</v>
      </c>
      <c r="I193" s="51">
        <v>172</v>
      </c>
    </row>
    <row r="194" spans="5:9" x14ac:dyDescent="0.25">
      <c r="E194">
        <f t="shared" si="20"/>
        <v>3</v>
      </c>
      <c r="G194" t="s">
        <v>277</v>
      </c>
      <c r="H194" s="51">
        <v>14</v>
      </c>
      <c r="I194" s="51">
        <v>172</v>
      </c>
    </row>
    <row r="195" spans="5:9" x14ac:dyDescent="0.25">
      <c r="E195">
        <f t="shared" si="20"/>
        <v>3</v>
      </c>
      <c r="G195" t="s">
        <v>278</v>
      </c>
      <c r="H195" s="51">
        <v>5</v>
      </c>
      <c r="I195" s="51">
        <v>172</v>
      </c>
    </row>
    <row r="196" spans="5:9" x14ac:dyDescent="0.25">
      <c r="E196">
        <f t="shared" si="20"/>
        <v>3</v>
      </c>
      <c r="G196" t="s">
        <v>279</v>
      </c>
      <c r="H196">
        <v>18</v>
      </c>
      <c r="I196" s="51">
        <v>172</v>
      </c>
    </row>
    <row r="197" spans="5:9" x14ac:dyDescent="0.25">
      <c r="E197">
        <f t="shared" si="20"/>
        <v>3</v>
      </c>
      <c r="G197" t="s">
        <v>280</v>
      </c>
      <c r="H197" s="51">
        <v>10</v>
      </c>
      <c r="I197" s="51">
        <v>172</v>
      </c>
    </row>
    <row r="198" spans="5:9" x14ac:dyDescent="0.25">
      <c r="E198">
        <f t="shared" si="20"/>
        <v>3</v>
      </c>
      <c r="G198" t="s">
        <v>281</v>
      </c>
      <c r="H198" s="51">
        <v>4</v>
      </c>
      <c r="I198" s="51">
        <v>172</v>
      </c>
    </row>
    <row r="199" spans="5:9" x14ac:dyDescent="0.25">
      <c r="E199">
        <f t="shared" si="20"/>
        <v>3</v>
      </c>
      <c r="G199" t="s">
        <v>282</v>
      </c>
      <c r="H199" s="51">
        <v>5</v>
      </c>
      <c r="I199" s="51">
        <v>172</v>
      </c>
    </row>
    <row r="200" spans="5:9" x14ac:dyDescent="0.25">
      <c r="E200">
        <f t="shared" si="20"/>
        <v>3</v>
      </c>
      <c r="G200" t="s">
        <v>283</v>
      </c>
      <c r="H200" s="51">
        <v>5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275</v>
      </c>
      <c r="H201" s="51"/>
      <c r="I201" s="51">
        <v>122</v>
      </c>
    </row>
    <row r="202" spans="5:9" x14ac:dyDescent="0.25">
      <c r="E202">
        <f t="shared" ref="E202:E209" si="21">+$F$201</f>
        <v>30</v>
      </c>
      <c r="G202" t="s">
        <v>276</v>
      </c>
      <c r="H202" s="51"/>
      <c r="I202" s="51">
        <v>122</v>
      </c>
    </row>
    <row r="203" spans="5:9" x14ac:dyDescent="0.25">
      <c r="E203">
        <f t="shared" si="21"/>
        <v>30</v>
      </c>
      <c r="G203" t="s">
        <v>277</v>
      </c>
      <c r="H203" s="51"/>
      <c r="I203" s="51">
        <v>122</v>
      </c>
    </row>
    <row r="204" spans="5:9" x14ac:dyDescent="0.25">
      <c r="E204">
        <f t="shared" si="21"/>
        <v>30</v>
      </c>
      <c r="G204" t="s">
        <v>278</v>
      </c>
      <c r="H204" s="51"/>
      <c r="I204" s="51">
        <v>122</v>
      </c>
    </row>
    <row r="205" spans="5:9" x14ac:dyDescent="0.25">
      <c r="E205">
        <f t="shared" si="21"/>
        <v>30</v>
      </c>
      <c r="G205" t="s">
        <v>279</v>
      </c>
      <c r="H205" s="51"/>
      <c r="I205" s="51">
        <v>122</v>
      </c>
    </row>
    <row r="206" spans="5:9" x14ac:dyDescent="0.25">
      <c r="E206">
        <f t="shared" si="21"/>
        <v>30</v>
      </c>
      <c r="G206" t="s">
        <v>280</v>
      </c>
      <c r="H206" s="51"/>
      <c r="I206" s="51">
        <v>122</v>
      </c>
    </row>
    <row r="207" spans="5:9" x14ac:dyDescent="0.25">
      <c r="E207">
        <f t="shared" si="21"/>
        <v>30</v>
      </c>
      <c r="G207" t="s">
        <v>281</v>
      </c>
      <c r="H207" s="51"/>
      <c r="I207" s="51">
        <v>122</v>
      </c>
    </row>
    <row r="208" spans="5:9" x14ac:dyDescent="0.25">
      <c r="E208">
        <f t="shared" si="21"/>
        <v>30</v>
      </c>
      <c r="G208" t="s">
        <v>282</v>
      </c>
      <c r="H208" s="51"/>
      <c r="I208" s="51">
        <v>122</v>
      </c>
    </row>
    <row r="209" spans="5:9" x14ac:dyDescent="0.25">
      <c r="E209">
        <f t="shared" si="21"/>
        <v>30</v>
      </c>
      <c r="G209" t="s">
        <v>283</v>
      </c>
      <c r="H209" s="51"/>
      <c r="I209" s="51">
        <v>122</v>
      </c>
    </row>
    <row r="210" spans="5:9" x14ac:dyDescent="0.25">
      <c r="E210">
        <f>+$F$210</f>
        <v>31</v>
      </c>
      <c r="F210">
        <v>31</v>
      </c>
      <c r="G210" t="s">
        <v>275</v>
      </c>
      <c r="H210" s="51">
        <v>5</v>
      </c>
      <c r="I210" s="51">
        <v>164</v>
      </c>
    </row>
    <row r="211" spans="5:9" x14ac:dyDescent="0.25">
      <c r="E211">
        <f t="shared" ref="E211:E218" si="22">+$F$210</f>
        <v>31</v>
      </c>
      <c r="G211" t="s">
        <v>276</v>
      </c>
      <c r="H211" s="51">
        <v>5</v>
      </c>
      <c r="I211" s="51">
        <v>164</v>
      </c>
    </row>
    <row r="212" spans="5:9" x14ac:dyDescent="0.25">
      <c r="E212">
        <f t="shared" si="22"/>
        <v>31</v>
      </c>
      <c r="G212" t="s">
        <v>277</v>
      </c>
      <c r="H212">
        <v>9</v>
      </c>
      <c r="I212" s="51">
        <v>164</v>
      </c>
    </row>
    <row r="213" spans="5:9" x14ac:dyDescent="0.25">
      <c r="E213">
        <f t="shared" si="22"/>
        <v>31</v>
      </c>
      <c r="G213" t="s">
        <v>278</v>
      </c>
      <c r="H213" s="51">
        <v>5</v>
      </c>
      <c r="I213" s="51">
        <v>164</v>
      </c>
    </row>
    <row r="214" spans="5:9" x14ac:dyDescent="0.25">
      <c r="E214">
        <f t="shared" si="22"/>
        <v>31</v>
      </c>
      <c r="G214" t="s">
        <v>279</v>
      </c>
      <c r="H214" s="51">
        <v>13</v>
      </c>
      <c r="I214" s="51">
        <v>164</v>
      </c>
    </row>
    <row r="215" spans="5:9" x14ac:dyDescent="0.25">
      <c r="E215">
        <f t="shared" si="22"/>
        <v>31</v>
      </c>
      <c r="G215" t="s">
        <v>280</v>
      </c>
      <c r="H215" s="51">
        <v>8</v>
      </c>
      <c r="I215" s="51">
        <v>164</v>
      </c>
    </row>
    <row r="216" spans="5:9" x14ac:dyDescent="0.25">
      <c r="E216">
        <f t="shared" si="22"/>
        <v>31</v>
      </c>
      <c r="G216" t="s">
        <v>281</v>
      </c>
      <c r="H216" s="51">
        <v>5</v>
      </c>
      <c r="I216" s="51">
        <v>164</v>
      </c>
    </row>
    <row r="217" spans="5:9" x14ac:dyDescent="0.25">
      <c r="E217">
        <f t="shared" si="22"/>
        <v>31</v>
      </c>
      <c r="G217" t="s">
        <v>282</v>
      </c>
      <c r="H217" s="51">
        <v>3</v>
      </c>
      <c r="I217" s="51">
        <v>164</v>
      </c>
    </row>
    <row r="218" spans="5:9" x14ac:dyDescent="0.25">
      <c r="E218">
        <f t="shared" si="22"/>
        <v>31</v>
      </c>
      <c r="G218" t="s">
        <v>283</v>
      </c>
      <c r="H218" s="51">
        <v>3</v>
      </c>
      <c r="I218" s="51">
        <v>164</v>
      </c>
    </row>
    <row r="219" spans="5:9" x14ac:dyDescent="0.25">
      <c r="E219">
        <f>+$F$219</f>
        <v>32</v>
      </c>
      <c r="F219">
        <v>32</v>
      </c>
      <c r="G219" t="s">
        <v>275</v>
      </c>
      <c r="H219" s="51">
        <v>1</v>
      </c>
      <c r="I219" s="51">
        <v>58</v>
      </c>
    </row>
    <row r="220" spans="5:9" x14ac:dyDescent="0.25">
      <c r="E220">
        <f t="shared" ref="E220:E227" si="23">+$F$219</f>
        <v>32</v>
      </c>
      <c r="G220" t="s">
        <v>276</v>
      </c>
      <c r="H220" s="51">
        <v>1</v>
      </c>
      <c r="I220" s="51">
        <v>58</v>
      </c>
    </row>
    <row r="221" spans="5:9" x14ac:dyDescent="0.25">
      <c r="E221">
        <f t="shared" si="23"/>
        <v>32</v>
      </c>
      <c r="G221" t="s">
        <v>277</v>
      </c>
      <c r="H221" s="51"/>
      <c r="I221" s="51">
        <v>58</v>
      </c>
    </row>
    <row r="222" spans="5:9" x14ac:dyDescent="0.25">
      <c r="E222">
        <f t="shared" si="23"/>
        <v>32</v>
      </c>
      <c r="G222" t="s">
        <v>278</v>
      </c>
      <c r="H222" s="51">
        <v>2</v>
      </c>
      <c r="I222" s="51">
        <v>58</v>
      </c>
    </row>
    <row r="223" spans="5:9" x14ac:dyDescent="0.25">
      <c r="E223">
        <f t="shared" si="23"/>
        <v>32</v>
      </c>
      <c r="G223" t="s">
        <v>279</v>
      </c>
      <c r="H223" s="51">
        <v>4</v>
      </c>
      <c r="I223" s="51">
        <v>58</v>
      </c>
    </row>
    <row r="224" spans="5:9" x14ac:dyDescent="0.25">
      <c r="E224">
        <f t="shared" si="23"/>
        <v>32</v>
      </c>
      <c r="G224" t="s">
        <v>280</v>
      </c>
      <c r="H224" s="51"/>
      <c r="I224" s="51">
        <v>58</v>
      </c>
    </row>
    <row r="225" spans="5:9" x14ac:dyDescent="0.25">
      <c r="E225">
        <f t="shared" si="23"/>
        <v>32</v>
      </c>
      <c r="G225" t="s">
        <v>281</v>
      </c>
      <c r="H225" s="51">
        <v>2</v>
      </c>
      <c r="I225" s="51">
        <v>58</v>
      </c>
    </row>
    <row r="226" spans="5:9" x14ac:dyDescent="0.25">
      <c r="E226">
        <f t="shared" si="23"/>
        <v>32</v>
      </c>
      <c r="G226" t="s">
        <v>282</v>
      </c>
      <c r="H226" s="51">
        <v>1</v>
      </c>
      <c r="I226" s="51">
        <v>58</v>
      </c>
    </row>
    <row r="227" spans="5:9" x14ac:dyDescent="0.25">
      <c r="E227">
        <f t="shared" si="23"/>
        <v>32</v>
      </c>
      <c r="G227" t="s">
        <v>283</v>
      </c>
      <c r="H227" s="51">
        <v>1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275</v>
      </c>
      <c r="H228" s="51">
        <v>5</v>
      </c>
      <c r="I228" s="51">
        <v>168</v>
      </c>
    </row>
    <row r="229" spans="5:9" x14ac:dyDescent="0.25">
      <c r="E229">
        <f t="shared" ref="E229:E236" si="24">+$F$228</f>
        <v>33</v>
      </c>
      <c r="G229" t="s">
        <v>276</v>
      </c>
      <c r="H229" s="51">
        <v>3</v>
      </c>
      <c r="I229" s="51">
        <v>168</v>
      </c>
    </row>
    <row r="230" spans="5:9" x14ac:dyDescent="0.25">
      <c r="E230">
        <f t="shared" si="24"/>
        <v>33</v>
      </c>
      <c r="G230" t="s">
        <v>277</v>
      </c>
      <c r="H230" s="51">
        <v>8</v>
      </c>
      <c r="I230" s="51">
        <v>168</v>
      </c>
    </row>
    <row r="231" spans="5:9" x14ac:dyDescent="0.25">
      <c r="E231">
        <f t="shared" si="24"/>
        <v>33</v>
      </c>
      <c r="G231" t="s">
        <v>278</v>
      </c>
      <c r="H231" s="51">
        <v>4</v>
      </c>
      <c r="I231" s="51">
        <v>168</v>
      </c>
    </row>
    <row r="232" spans="5:9" x14ac:dyDescent="0.25">
      <c r="E232">
        <f t="shared" si="24"/>
        <v>33</v>
      </c>
      <c r="G232" t="s">
        <v>279</v>
      </c>
      <c r="H232" s="51">
        <v>12</v>
      </c>
      <c r="I232" s="51">
        <v>168</v>
      </c>
    </row>
    <row r="233" spans="5:9" x14ac:dyDescent="0.25">
      <c r="E233">
        <f t="shared" si="24"/>
        <v>33</v>
      </c>
      <c r="G233" t="s">
        <v>280</v>
      </c>
      <c r="H233" s="51">
        <v>7</v>
      </c>
      <c r="I233" s="51">
        <v>168</v>
      </c>
    </row>
    <row r="234" spans="5:9" x14ac:dyDescent="0.25">
      <c r="E234">
        <f t="shared" si="24"/>
        <v>33</v>
      </c>
      <c r="G234" t="s">
        <v>281</v>
      </c>
      <c r="H234" s="51">
        <v>2</v>
      </c>
      <c r="I234" s="51">
        <v>168</v>
      </c>
    </row>
    <row r="235" spans="5:9" x14ac:dyDescent="0.25">
      <c r="E235">
        <f t="shared" si="24"/>
        <v>33</v>
      </c>
      <c r="G235" t="s">
        <v>282</v>
      </c>
      <c r="H235" s="51">
        <v>5</v>
      </c>
      <c r="I235" s="51">
        <v>168</v>
      </c>
    </row>
    <row r="236" spans="5:9" x14ac:dyDescent="0.25">
      <c r="E236">
        <f t="shared" si="24"/>
        <v>33</v>
      </c>
      <c r="G236" t="s">
        <v>283</v>
      </c>
      <c r="H236">
        <v>1</v>
      </c>
      <c r="I236" s="51">
        <v>168</v>
      </c>
    </row>
    <row r="237" spans="5:9" x14ac:dyDescent="0.25">
      <c r="E237">
        <f>+$F$237</f>
        <v>36</v>
      </c>
      <c r="F237">
        <v>36</v>
      </c>
      <c r="G237" t="s">
        <v>275</v>
      </c>
      <c r="H237" s="51">
        <v>8</v>
      </c>
      <c r="I237" s="51">
        <v>159</v>
      </c>
    </row>
    <row r="238" spans="5:9" x14ac:dyDescent="0.25">
      <c r="E238">
        <f t="shared" ref="E238:E245" si="25">+$F$237</f>
        <v>36</v>
      </c>
      <c r="G238" t="s">
        <v>276</v>
      </c>
      <c r="H238" s="51"/>
      <c r="I238" s="51">
        <v>159</v>
      </c>
    </row>
    <row r="239" spans="5:9" x14ac:dyDescent="0.25">
      <c r="E239">
        <f t="shared" si="25"/>
        <v>36</v>
      </c>
      <c r="G239" t="s">
        <v>277</v>
      </c>
      <c r="H239" s="51">
        <v>11</v>
      </c>
      <c r="I239" s="51">
        <v>159</v>
      </c>
    </row>
    <row r="240" spans="5:9" x14ac:dyDescent="0.25">
      <c r="E240">
        <f t="shared" si="25"/>
        <v>36</v>
      </c>
      <c r="G240" t="s">
        <v>278</v>
      </c>
      <c r="H240" s="51">
        <v>5</v>
      </c>
      <c r="I240" s="51">
        <v>159</v>
      </c>
    </row>
    <row r="241" spans="5:9" x14ac:dyDescent="0.25">
      <c r="E241">
        <f t="shared" si="25"/>
        <v>36</v>
      </c>
      <c r="G241" t="s">
        <v>279</v>
      </c>
      <c r="H241" s="51">
        <v>14</v>
      </c>
      <c r="I241" s="51">
        <v>159</v>
      </c>
    </row>
    <row r="242" spans="5:9" x14ac:dyDescent="0.25">
      <c r="E242">
        <f t="shared" si="25"/>
        <v>36</v>
      </c>
      <c r="G242" t="s">
        <v>280</v>
      </c>
      <c r="H242" s="51">
        <v>6</v>
      </c>
      <c r="I242" s="51">
        <v>159</v>
      </c>
    </row>
    <row r="243" spans="5:9" x14ac:dyDescent="0.25">
      <c r="E243">
        <f t="shared" si="25"/>
        <v>36</v>
      </c>
      <c r="G243" t="s">
        <v>281</v>
      </c>
      <c r="H243" s="51">
        <v>1</v>
      </c>
      <c r="I243" s="51">
        <v>159</v>
      </c>
    </row>
    <row r="244" spans="5:9" x14ac:dyDescent="0.25">
      <c r="E244">
        <f t="shared" si="25"/>
        <v>36</v>
      </c>
      <c r="G244" t="s">
        <v>282</v>
      </c>
      <c r="H244">
        <v>1</v>
      </c>
      <c r="I244" s="51">
        <v>159</v>
      </c>
    </row>
    <row r="245" spans="5:9" x14ac:dyDescent="0.25">
      <c r="E245">
        <f t="shared" si="25"/>
        <v>36</v>
      </c>
      <c r="G245" t="s">
        <v>283</v>
      </c>
      <c r="H245" s="51">
        <v>1</v>
      </c>
      <c r="I245" s="51">
        <v>159</v>
      </c>
    </row>
    <row r="246" spans="5:9" x14ac:dyDescent="0.25">
      <c r="E246">
        <f>+$F$246</f>
        <v>37</v>
      </c>
      <c r="F246">
        <v>37</v>
      </c>
      <c r="G246" t="s">
        <v>275</v>
      </c>
      <c r="H246" s="51">
        <v>2</v>
      </c>
      <c r="I246" s="51">
        <v>146</v>
      </c>
    </row>
    <row r="247" spans="5:9" x14ac:dyDescent="0.25">
      <c r="E247">
        <f t="shared" ref="E247:E254" si="26">+$F$246</f>
        <v>37</v>
      </c>
      <c r="G247" t="s">
        <v>276</v>
      </c>
      <c r="H247" s="51">
        <v>3</v>
      </c>
      <c r="I247" s="51">
        <v>146</v>
      </c>
    </row>
    <row r="248" spans="5:9" x14ac:dyDescent="0.25">
      <c r="E248">
        <f t="shared" si="26"/>
        <v>37</v>
      </c>
      <c r="G248" t="s">
        <v>277</v>
      </c>
      <c r="H248" s="51">
        <v>3</v>
      </c>
      <c r="I248" s="51">
        <v>146</v>
      </c>
    </row>
    <row r="249" spans="5:9" x14ac:dyDescent="0.25">
      <c r="E249">
        <f t="shared" si="26"/>
        <v>37</v>
      </c>
      <c r="G249" t="s">
        <v>278</v>
      </c>
      <c r="H249" s="51">
        <v>1</v>
      </c>
      <c r="I249" s="51">
        <v>146</v>
      </c>
    </row>
    <row r="250" spans="5:9" x14ac:dyDescent="0.25">
      <c r="E250">
        <f t="shared" si="26"/>
        <v>37</v>
      </c>
      <c r="G250" t="s">
        <v>279</v>
      </c>
      <c r="H250" s="51">
        <v>6</v>
      </c>
      <c r="I250" s="51">
        <v>146</v>
      </c>
    </row>
    <row r="251" spans="5:9" x14ac:dyDescent="0.25">
      <c r="E251">
        <f t="shared" si="26"/>
        <v>37</v>
      </c>
      <c r="G251" t="s">
        <v>280</v>
      </c>
      <c r="H251" s="51">
        <v>5</v>
      </c>
      <c r="I251" s="51">
        <v>146</v>
      </c>
    </row>
    <row r="252" spans="5:9" x14ac:dyDescent="0.25">
      <c r="E252">
        <f t="shared" si="26"/>
        <v>37</v>
      </c>
      <c r="G252" t="s">
        <v>281</v>
      </c>
      <c r="H252">
        <v>1</v>
      </c>
      <c r="I252" s="51">
        <v>146</v>
      </c>
    </row>
    <row r="253" spans="5:9" x14ac:dyDescent="0.25">
      <c r="E253">
        <f t="shared" si="26"/>
        <v>37</v>
      </c>
      <c r="G253" t="s">
        <v>282</v>
      </c>
      <c r="H253" s="51">
        <v>4</v>
      </c>
      <c r="I253" s="51">
        <v>146</v>
      </c>
    </row>
    <row r="254" spans="5:9" x14ac:dyDescent="0.25">
      <c r="E254">
        <f t="shared" si="26"/>
        <v>37</v>
      </c>
      <c r="G254" t="s">
        <v>283</v>
      </c>
      <c r="H254" s="51">
        <v>1</v>
      </c>
      <c r="I254" s="51">
        <v>146</v>
      </c>
    </row>
    <row r="255" spans="5:9" x14ac:dyDescent="0.25">
      <c r="E255">
        <f>+$F$255</f>
        <v>4</v>
      </c>
      <c r="F255">
        <v>4</v>
      </c>
      <c r="G255" t="s">
        <v>275</v>
      </c>
      <c r="H255" s="51">
        <v>4</v>
      </c>
      <c r="I255" s="51">
        <v>182</v>
      </c>
    </row>
    <row r="256" spans="5:9" x14ac:dyDescent="0.25">
      <c r="E256">
        <f t="shared" ref="E256:E263" si="27">+$F$255</f>
        <v>4</v>
      </c>
      <c r="G256" t="s">
        <v>276</v>
      </c>
      <c r="H256" s="51">
        <v>5</v>
      </c>
      <c r="I256" s="51">
        <v>182</v>
      </c>
    </row>
    <row r="257" spans="5:9" x14ac:dyDescent="0.25">
      <c r="E257">
        <f t="shared" si="27"/>
        <v>4</v>
      </c>
      <c r="G257" t="s">
        <v>277</v>
      </c>
      <c r="H257" s="51">
        <v>13</v>
      </c>
      <c r="I257" s="51">
        <v>182</v>
      </c>
    </row>
    <row r="258" spans="5:9" x14ac:dyDescent="0.25">
      <c r="E258">
        <f t="shared" si="27"/>
        <v>4</v>
      </c>
      <c r="G258" t="s">
        <v>278</v>
      </c>
      <c r="H258">
        <v>6</v>
      </c>
      <c r="I258" s="51">
        <v>182</v>
      </c>
    </row>
    <row r="259" spans="5:9" x14ac:dyDescent="0.25">
      <c r="E259">
        <f t="shared" si="27"/>
        <v>4</v>
      </c>
      <c r="G259" t="s">
        <v>279</v>
      </c>
      <c r="H259" s="51">
        <v>16</v>
      </c>
      <c r="I259" s="51">
        <v>182</v>
      </c>
    </row>
    <row r="260" spans="5:9" x14ac:dyDescent="0.25">
      <c r="E260">
        <f t="shared" si="27"/>
        <v>4</v>
      </c>
      <c r="G260" t="s">
        <v>280</v>
      </c>
      <c r="H260">
        <v>7</v>
      </c>
      <c r="I260" s="51">
        <v>182</v>
      </c>
    </row>
    <row r="261" spans="5:9" x14ac:dyDescent="0.25">
      <c r="E261">
        <f t="shared" si="27"/>
        <v>4</v>
      </c>
      <c r="G261" t="s">
        <v>281</v>
      </c>
      <c r="H261" s="51">
        <v>1</v>
      </c>
      <c r="I261" s="51">
        <v>182</v>
      </c>
    </row>
    <row r="262" spans="5:9" x14ac:dyDescent="0.25">
      <c r="E262">
        <f t="shared" si="27"/>
        <v>4</v>
      </c>
      <c r="G262" t="s">
        <v>282</v>
      </c>
      <c r="H262" s="51">
        <v>5</v>
      </c>
      <c r="I262" s="51">
        <v>182</v>
      </c>
    </row>
    <row r="263" spans="5:9" x14ac:dyDescent="0.25">
      <c r="E263">
        <f t="shared" si="27"/>
        <v>4</v>
      </c>
      <c r="G263" t="s">
        <v>283</v>
      </c>
      <c r="H263" s="51">
        <v>5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275</v>
      </c>
      <c r="H264" s="51">
        <v>6</v>
      </c>
      <c r="I264" s="51">
        <v>222</v>
      </c>
    </row>
    <row r="265" spans="5:9" x14ac:dyDescent="0.25">
      <c r="E265">
        <f t="shared" ref="E265:E272" si="28">+$F$264</f>
        <v>40</v>
      </c>
      <c r="G265" t="s">
        <v>276</v>
      </c>
      <c r="H265">
        <v>3</v>
      </c>
      <c r="I265" s="51">
        <v>222</v>
      </c>
    </row>
    <row r="266" spans="5:9" x14ac:dyDescent="0.25">
      <c r="E266">
        <f t="shared" si="28"/>
        <v>40</v>
      </c>
      <c r="G266" t="s">
        <v>277</v>
      </c>
      <c r="H266" s="51">
        <v>7</v>
      </c>
      <c r="I266" s="51">
        <v>222</v>
      </c>
    </row>
    <row r="267" spans="5:9" x14ac:dyDescent="0.25">
      <c r="E267">
        <f t="shared" si="28"/>
        <v>40</v>
      </c>
      <c r="G267" t="s">
        <v>278</v>
      </c>
      <c r="H267" s="51">
        <v>3</v>
      </c>
      <c r="I267" s="51">
        <v>222</v>
      </c>
    </row>
    <row r="268" spans="5:9" x14ac:dyDescent="0.25">
      <c r="E268">
        <f t="shared" si="28"/>
        <v>40</v>
      </c>
      <c r="G268" t="s">
        <v>279</v>
      </c>
      <c r="H268">
        <v>9</v>
      </c>
      <c r="I268" s="51">
        <v>222</v>
      </c>
    </row>
    <row r="269" spans="5:9" x14ac:dyDescent="0.25">
      <c r="E269">
        <f t="shared" si="28"/>
        <v>40</v>
      </c>
      <c r="G269" t="s">
        <v>280</v>
      </c>
      <c r="H269" s="51">
        <v>8</v>
      </c>
      <c r="I269" s="51">
        <v>222</v>
      </c>
    </row>
    <row r="270" spans="5:9" x14ac:dyDescent="0.25">
      <c r="E270">
        <f t="shared" si="28"/>
        <v>40</v>
      </c>
      <c r="G270" t="s">
        <v>281</v>
      </c>
      <c r="H270" s="51">
        <v>4</v>
      </c>
      <c r="I270" s="51">
        <v>222</v>
      </c>
    </row>
    <row r="271" spans="5:9" x14ac:dyDescent="0.25">
      <c r="E271">
        <f t="shared" si="28"/>
        <v>40</v>
      </c>
      <c r="G271" t="s">
        <v>282</v>
      </c>
      <c r="H271" s="51">
        <v>1</v>
      </c>
      <c r="I271" s="51">
        <v>222</v>
      </c>
    </row>
    <row r="272" spans="5:9" x14ac:dyDescent="0.25">
      <c r="E272">
        <f t="shared" si="28"/>
        <v>40</v>
      </c>
      <c r="G272" t="s">
        <v>283</v>
      </c>
      <c r="H272" s="51">
        <v>4</v>
      </c>
      <c r="I272" s="51">
        <v>222</v>
      </c>
    </row>
    <row r="273" spans="5:9" x14ac:dyDescent="0.25">
      <c r="E273">
        <f>+$F$273</f>
        <v>42</v>
      </c>
      <c r="F273">
        <v>42</v>
      </c>
      <c r="G273" t="s">
        <v>275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276</v>
      </c>
      <c r="H274" s="51"/>
      <c r="I274" s="51">
        <v>52</v>
      </c>
    </row>
    <row r="275" spans="5:9" x14ac:dyDescent="0.25">
      <c r="E275">
        <f t="shared" si="29"/>
        <v>42</v>
      </c>
      <c r="G275" t="s">
        <v>277</v>
      </c>
      <c r="H275" s="51"/>
      <c r="I275" s="51">
        <v>52</v>
      </c>
    </row>
    <row r="276" spans="5:9" x14ac:dyDescent="0.25">
      <c r="E276">
        <f t="shared" si="29"/>
        <v>42</v>
      </c>
      <c r="G276" t="s">
        <v>278</v>
      </c>
      <c r="I276" s="51">
        <v>52</v>
      </c>
    </row>
    <row r="277" spans="5:9" x14ac:dyDescent="0.25">
      <c r="E277">
        <f t="shared" si="29"/>
        <v>42</v>
      </c>
      <c r="G277" t="s">
        <v>279</v>
      </c>
      <c r="H277" s="51"/>
      <c r="I277" s="51">
        <v>52</v>
      </c>
    </row>
    <row r="278" spans="5:9" x14ac:dyDescent="0.25">
      <c r="E278">
        <f t="shared" si="29"/>
        <v>42</v>
      </c>
      <c r="G278" t="s">
        <v>280</v>
      </c>
      <c r="H278" s="51"/>
      <c r="I278" s="51">
        <v>52</v>
      </c>
    </row>
    <row r="279" spans="5:9" x14ac:dyDescent="0.25">
      <c r="E279">
        <f t="shared" si="29"/>
        <v>42</v>
      </c>
      <c r="G279" t="s">
        <v>281</v>
      </c>
      <c r="H279" s="51"/>
      <c r="I279" s="51">
        <v>52</v>
      </c>
    </row>
    <row r="280" spans="5:9" x14ac:dyDescent="0.25">
      <c r="E280">
        <f t="shared" si="29"/>
        <v>42</v>
      </c>
      <c r="G280" t="s">
        <v>282</v>
      </c>
      <c r="H280" s="51"/>
      <c r="I280" s="51">
        <v>52</v>
      </c>
    </row>
    <row r="281" spans="5:9" x14ac:dyDescent="0.25">
      <c r="E281">
        <f t="shared" si="29"/>
        <v>42</v>
      </c>
      <c r="G281" t="s">
        <v>283</v>
      </c>
      <c r="H281" s="51"/>
      <c r="I281" s="51">
        <v>52</v>
      </c>
    </row>
    <row r="282" spans="5:9" x14ac:dyDescent="0.25">
      <c r="E282">
        <f>+$F$282</f>
        <v>43</v>
      </c>
      <c r="F282">
        <v>43</v>
      </c>
      <c r="G282" t="s">
        <v>275</v>
      </c>
      <c r="H282" s="51">
        <v>2</v>
      </c>
      <c r="I282" s="51">
        <v>93</v>
      </c>
    </row>
    <row r="283" spans="5:9" x14ac:dyDescent="0.25">
      <c r="E283">
        <f t="shared" ref="E283:E290" si="30">+$F$282</f>
        <v>43</v>
      </c>
      <c r="G283" t="s">
        <v>276</v>
      </c>
      <c r="H283" s="51">
        <v>2</v>
      </c>
      <c r="I283" s="51">
        <v>93</v>
      </c>
    </row>
    <row r="284" spans="5:9" x14ac:dyDescent="0.25">
      <c r="E284">
        <f t="shared" si="30"/>
        <v>43</v>
      </c>
      <c r="G284" t="s">
        <v>277</v>
      </c>
      <c r="I284" s="51">
        <v>93</v>
      </c>
    </row>
    <row r="285" spans="5:9" x14ac:dyDescent="0.25">
      <c r="E285">
        <f t="shared" si="30"/>
        <v>43</v>
      </c>
      <c r="G285" t="s">
        <v>278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279</v>
      </c>
      <c r="I286" s="51">
        <v>93</v>
      </c>
    </row>
    <row r="287" spans="5:9" x14ac:dyDescent="0.25">
      <c r="E287">
        <f t="shared" si="30"/>
        <v>43</v>
      </c>
      <c r="G287" t="s">
        <v>280</v>
      </c>
      <c r="H287">
        <v>2</v>
      </c>
      <c r="I287" s="51">
        <v>93</v>
      </c>
    </row>
    <row r="288" spans="5:9" x14ac:dyDescent="0.25">
      <c r="E288">
        <f t="shared" si="30"/>
        <v>43</v>
      </c>
      <c r="G288" t="s">
        <v>281</v>
      </c>
      <c r="H288">
        <v>2</v>
      </c>
      <c r="I288" s="51">
        <v>93</v>
      </c>
    </row>
    <row r="289" spans="5:9" x14ac:dyDescent="0.25">
      <c r="E289">
        <f t="shared" si="30"/>
        <v>43</v>
      </c>
      <c r="G289" t="s">
        <v>282</v>
      </c>
      <c r="H289" s="51"/>
      <c r="I289" s="51">
        <v>93</v>
      </c>
    </row>
    <row r="290" spans="5:9" x14ac:dyDescent="0.25">
      <c r="E290">
        <f t="shared" si="30"/>
        <v>43</v>
      </c>
      <c r="G290" t="s">
        <v>283</v>
      </c>
      <c r="H290">
        <v>1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275</v>
      </c>
      <c r="H291">
        <v>4</v>
      </c>
      <c r="I291" s="51">
        <v>171</v>
      </c>
    </row>
    <row r="292" spans="5:9" x14ac:dyDescent="0.25">
      <c r="E292">
        <f t="shared" ref="E292:E299" si="31">+$F$291</f>
        <v>44</v>
      </c>
      <c r="G292" t="s">
        <v>276</v>
      </c>
      <c r="H292">
        <v>3</v>
      </c>
      <c r="I292" s="51">
        <v>171</v>
      </c>
    </row>
    <row r="293" spans="5:9" x14ac:dyDescent="0.25">
      <c r="E293">
        <f t="shared" si="31"/>
        <v>44</v>
      </c>
      <c r="G293" t="s">
        <v>277</v>
      </c>
      <c r="H293">
        <v>14</v>
      </c>
      <c r="I293" s="51">
        <v>171</v>
      </c>
    </row>
    <row r="294" spans="5:9" x14ac:dyDescent="0.25">
      <c r="E294">
        <f t="shared" si="31"/>
        <v>44</v>
      </c>
      <c r="G294" t="s">
        <v>278</v>
      </c>
      <c r="H294">
        <v>6</v>
      </c>
      <c r="I294" s="51">
        <v>171</v>
      </c>
    </row>
    <row r="295" spans="5:9" x14ac:dyDescent="0.25">
      <c r="E295">
        <f t="shared" si="31"/>
        <v>44</v>
      </c>
      <c r="G295" t="s">
        <v>279</v>
      </c>
      <c r="H295">
        <v>15</v>
      </c>
      <c r="I295" s="51">
        <v>171</v>
      </c>
    </row>
    <row r="296" spans="5:9" x14ac:dyDescent="0.25">
      <c r="E296">
        <f t="shared" si="31"/>
        <v>44</v>
      </c>
      <c r="G296" t="s">
        <v>280</v>
      </c>
      <c r="H296">
        <v>15</v>
      </c>
      <c r="I296" s="51">
        <v>171</v>
      </c>
    </row>
    <row r="297" spans="5:9" x14ac:dyDescent="0.25">
      <c r="E297">
        <f t="shared" si="31"/>
        <v>44</v>
      </c>
      <c r="G297" t="s">
        <v>281</v>
      </c>
      <c r="H297" s="51">
        <v>3</v>
      </c>
      <c r="I297" s="51">
        <v>171</v>
      </c>
    </row>
    <row r="298" spans="5:9" x14ac:dyDescent="0.25">
      <c r="E298">
        <f t="shared" si="31"/>
        <v>44</v>
      </c>
      <c r="G298" t="s">
        <v>282</v>
      </c>
      <c r="H298">
        <v>3</v>
      </c>
      <c r="I298" s="51">
        <v>171</v>
      </c>
    </row>
    <row r="299" spans="5:9" x14ac:dyDescent="0.25">
      <c r="E299">
        <f t="shared" si="31"/>
        <v>44</v>
      </c>
      <c r="G299" t="s">
        <v>283</v>
      </c>
      <c r="H299" s="51">
        <v>3</v>
      </c>
      <c r="I299" s="51">
        <v>171</v>
      </c>
    </row>
    <row r="300" spans="5:9" x14ac:dyDescent="0.25">
      <c r="E300">
        <f>+$F$300</f>
        <v>49</v>
      </c>
      <c r="F300">
        <v>49</v>
      </c>
      <c r="G300" t="s">
        <v>275</v>
      </c>
      <c r="H300" s="51">
        <v>18</v>
      </c>
      <c r="I300" s="51">
        <v>245</v>
      </c>
    </row>
    <row r="301" spans="5:9" x14ac:dyDescent="0.25">
      <c r="E301">
        <f t="shared" ref="E301:E308" si="32">+$F$300</f>
        <v>49</v>
      </c>
      <c r="G301" t="s">
        <v>276</v>
      </c>
      <c r="H301" s="51">
        <v>11</v>
      </c>
      <c r="I301" s="51">
        <v>245</v>
      </c>
    </row>
    <row r="302" spans="5:9" x14ac:dyDescent="0.25">
      <c r="E302">
        <f t="shared" si="32"/>
        <v>49</v>
      </c>
      <c r="G302" t="s">
        <v>277</v>
      </c>
      <c r="H302" s="51">
        <v>19</v>
      </c>
      <c r="I302" s="51">
        <v>245</v>
      </c>
    </row>
    <row r="303" spans="5:9" x14ac:dyDescent="0.25">
      <c r="E303">
        <f t="shared" si="32"/>
        <v>49</v>
      </c>
      <c r="G303" t="s">
        <v>278</v>
      </c>
      <c r="H303" s="51">
        <v>7</v>
      </c>
      <c r="I303" s="51">
        <v>245</v>
      </c>
    </row>
    <row r="304" spans="5:9" x14ac:dyDescent="0.25">
      <c r="E304">
        <f t="shared" si="32"/>
        <v>49</v>
      </c>
      <c r="G304" t="s">
        <v>279</v>
      </c>
      <c r="H304" s="51">
        <v>11</v>
      </c>
      <c r="I304" s="51">
        <v>245</v>
      </c>
    </row>
    <row r="305" spans="5:9" x14ac:dyDescent="0.25">
      <c r="E305">
        <f t="shared" si="32"/>
        <v>49</v>
      </c>
      <c r="G305" t="s">
        <v>280</v>
      </c>
      <c r="H305" s="51">
        <v>7</v>
      </c>
      <c r="I305" s="51">
        <v>245</v>
      </c>
    </row>
    <row r="306" spans="5:9" x14ac:dyDescent="0.25">
      <c r="E306">
        <f t="shared" si="32"/>
        <v>49</v>
      </c>
      <c r="G306" t="s">
        <v>281</v>
      </c>
      <c r="H306" s="51">
        <v>18</v>
      </c>
      <c r="I306" s="51">
        <v>245</v>
      </c>
    </row>
    <row r="307" spans="5:9" x14ac:dyDescent="0.25">
      <c r="E307">
        <f t="shared" si="32"/>
        <v>49</v>
      </c>
      <c r="G307" t="s">
        <v>282</v>
      </c>
      <c r="H307">
        <v>13</v>
      </c>
      <c r="I307" s="51">
        <v>245</v>
      </c>
    </row>
    <row r="308" spans="5:9" x14ac:dyDescent="0.25">
      <c r="E308">
        <f t="shared" si="32"/>
        <v>49</v>
      </c>
      <c r="G308" t="s">
        <v>283</v>
      </c>
      <c r="H308">
        <v>10</v>
      </c>
      <c r="I308" s="51">
        <v>245</v>
      </c>
    </row>
    <row r="309" spans="5:9" x14ac:dyDescent="0.25">
      <c r="E309">
        <f>+$F$309</f>
        <v>5</v>
      </c>
      <c r="F309">
        <v>5</v>
      </c>
      <c r="G309" t="s">
        <v>275</v>
      </c>
      <c r="H309">
        <v>5</v>
      </c>
      <c r="I309" s="51">
        <v>263</v>
      </c>
    </row>
    <row r="310" spans="5:9" x14ac:dyDescent="0.25">
      <c r="E310">
        <f t="shared" ref="E310:E317" si="33">+$F$309</f>
        <v>5</v>
      </c>
      <c r="G310" t="s">
        <v>276</v>
      </c>
      <c r="H310">
        <v>2</v>
      </c>
      <c r="I310" s="51">
        <v>263</v>
      </c>
    </row>
    <row r="311" spans="5:9" x14ac:dyDescent="0.25">
      <c r="E311">
        <f t="shared" si="33"/>
        <v>5</v>
      </c>
      <c r="G311" t="s">
        <v>277</v>
      </c>
      <c r="H311">
        <v>11</v>
      </c>
      <c r="I311" s="51">
        <v>263</v>
      </c>
    </row>
    <row r="312" spans="5:9" x14ac:dyDescent="0.25">
      <c r="E312">
        <f t="shared" si="33"/>
        <v>5</v>
      </c>
      <c r="G312" t="s">
        <v>278</v>
      </c>
      <c r="H312">
        <v>1</v>
      </c>
      <c r="I312" s="51">
        <v>263</v>
      </c>
    </row>
    <row r="313" spans="5:9" x14ac:dyDescent="0.25">
      <c r="E313">
        <f t="shared" si="33"/>
        <v>5</v>
      </c>
      <c r="G313" t="s">
        <v>279</v>
      </c>
      <c r="H313">
        <v>18</v>
      </c>
      <c r="I313" s="51">
        <v>263</v>
      </c>
    </row>
    <row r="314" spans="5:9" x14ac:dyDescent="0.25">
      <c r="E314">
        <f t="shared" si="33"/>
        <v>5</v>
      </c>
      <c r="G314" t="s">
        <v>280</v>
      </c>
      <c r="H314">
        <v>13</v>
      </c>
      <c r="I314" s="51">
        <v>263</v>
      </c>
    </row>
    <row r="315" spans="5:9" x14ac:dyDescent="0.25">
      <c r="E315">
        <f t="shared" si="33"/>
        <v>5</v>
      </c>
      <c r="G315" t="s">
        <v>281</v>
      </c>
      <c r="H315" s="51">
        <v>3</v>
      </c>
      <c r="I315" s="51">
        <v>263</v>
      </c>
    </row>
    <row r="316" spans="5:9" x14ac:dyDescent="0.25">
      <c r="E316">
        <f t="shared" si="33"/>
        <v>5</v>
      </c>
      <c r="G316" t="s">
        <v>282</v>
      </c>
      <c r="H316">
        <v>4</v>
      </c>
      <c r="I316" s="51">
        <v>263</v>
      </c>
    </row>
    <row r="317" spans="5:9" x14ac:dyDescent="0.25">
      <c r="E317">
        <f t="shared" si="33"/>
        <v>5</v>
      </c>
      <c r="G317" t="s">
        <v>283</v>
      </c>
      <c r="H317" s="51">
        <v>3</v>
      </c>
      <c r="I317" s="51">
        <v>263</v>
      </c>
    </row>
    <row r="318" spans="5:9" x14ac:dyDescent="0.25">
      <c r="E318">
        <f>+$F$318</f>
        <v>52</v>
      </c>
      <c r="F318">
        <v>52</v>
      </c>
      <c r="G318" t="s">
        <v>275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276</v>
      </c>
      <c r="H319" s="51">
        <v>1</v>
      </c>
      <c r="I319" s="51">
        <v>104</v>
      </c>
    </row>
    <row r="320" spans="5:9" x14ac:dyDescent="0.25">
      <c r="E320">
        <f t="shared" si="34"/>
        <v>52</v>
      </c>
      <c r="G320" t="s">
        <v>277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278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279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280</v>
      </c>
      <c r="I323" s="51">
        <v>104</v>
      </c>
    </row>
    <row r="324" spans="5:9" x14ac:dyDescent="0.25">
      <c r="E324">
        <f t="shared" si="34"/>
        <v>52</v>
      </c>
      <c r="G324" t="s">
        <v>281</v>
      </c>
      <c r="H324" s="51">
        <v>4</v>
      </c>
      <c r="I324" s="51">
        <v>104</v>
      </c>
    </row>
    <row r="325" spans="5:9" x14ac:dyDescent="0.25">
      <c r="E325">
        <f t="shared" si="34"/>
        <v>52</v>
      </c>
      <c r="G325" t="s">
        <v>282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283</v>
      </c>
      <c r="H326" s="51"/>
      <c r="I326" s="51">
        <v>104</v>
      </c>
    </row>
    <row r="327" spans="5:9" x14ac:dyDescent="0.25">
      <c r="E327">
        <f>+$F$327</f>
        <v>53</v>
      </c>
      <c r="F327">
        <v>53</v>
      </c>
      <c r="G327" t="s">
        <v>275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276</v>
      </c>
      <c r="I328" s="51">
        <v>105</v>
      </c>
    </row>
    <row r="329" spans="5:9" x14ac:dyDescent="0.25">
      <c r="E329">
        <f t="shared" si="35"/>
        <v>53</v>
      </c>
      <c r="G329" t="s">
        <v>277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278</v>
      </c>
      <c r="I330" s="51">
        <v>105</v>
      </c>
    </row>
    <row r="331" spans="5:9" x14ac:dyDescent="0.25">
      <c r="E331">
        <f t="shared" si="35"/>
        <v>53</v>
      </c>
      <c r="G331" t="s">
        <v>279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280</v>
      </c>
      <c r="I332" s="51">
        <v>105</v>
      </c>
    </row>
    <row r="333" spans="5:9" x14ac:dyDescent="0.25">
      <c r="E333">
        <f t="shared" si="35"/>
        <v>53</v>
      </c>
      <c r="G333" t="s">
        <v>281</v>
      </c>
      <c r="H333" s="51">
        <v>6</v>
      </c>
      <c r="I333" s="51">
        <v>105</v>
      </c>
    </row>
    <row r="334" spans="5:9" x14ac:dyDescent="0.25">
      <c r="E334">
        <f t="shared" si="35"/>
        <v>53</v>
      </c>
      <c r="G334" t="s">
        <v>282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283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275</v>
      </c>
      <c r="H336" s="51">
        <v>4</v>
      </c>
      <c r="I336" s="51">
        <v>201</v>
      </c>
    </row>
    <row r="337" spans="5:9" x14ac:dyDescent="0.25">
      <c r="E337">
        <f t="shared" ref="E337:E344" si="36">+$F$336</f>
        <v>54</v>
      </c>
      <c r="G337" t="s">
        <v>276</v>
      </c>
      <c r="H337" s="51">
        <v>2</v>
      </c>
      <c r="I337" s="51">
        <v>201</v>
      </c>
    </row>
    <row r="338" spans="5:9" x14ac:dyDescent="0.25">
      <c r="E338">
        <f t="shared" si="36"/>
        <v>54</v>
      </c>
      <c r="G338" t="s">
        <v>277</v>
      </c>
      <c r="H338" s="51">
        <v>5</v>
      </c>
      <c r="I338" s="51">
        <v>201</v>
      </c>
    </row>
    <row r="339" spans="5:9" x14ac:dyDescent="0.25">
      <c r="E339">
        <f t="shared" si="36"/>
        <v>54</v>
      </c>
      <c r="G339" t="s">
        <v>278</v>
      </c>
      <c r="H339" s="51">
        <v>3</v>
      </c>
      <c r="I339" s="51">
        <v>201</v>
      </c>
    </row>
    <row r="340" spans="5:9" x14ac:dyDescent="0.25">
      <c r="E340">
        <f t="shared" si="36"/>
        <v>54</v>
      </c>
      <c r="G340" t="s">
        <v>279</v>
      </c>
      <c r="H340">
        <v>15</v>
      </c>
      <c r="I340" s="51">
        <v>201</v>
      </c>
    </row>
    <row r="341" spans="5:9" x14ac:dyDescent="0.25">
      <c r="E341">
        <f t="shared" si="36"/>
        <v>54</v>
      </c>
      <c r="G341" t="s">
        <v>280</v>
      </c>
      <c r="H341" s="51">
        <v>9</v>
      </c>
      <c r="I341" s="51">
        <v>201</v>
      </c>
    </row>
    <row r="342" spans="5:9" x14ac:dyDescent="0.25">
      <c r="E342">
        <f t="shared" si="36"/>
        <v>54</v>
      </c>
      <c r="G342" t="s">
        <v>281</v>
      </c>
      <c r="H342" s="51">
        <v>1</v>
      </c>
      <c r="I342" s="51">
        <v>201</v>
      </c>
    </row>
    <row r="343" spans="5:9" x14ac:dyDescent="0.25">
      <c r="E343">
        <f t="shared" si="36"/>
        <v>54</v>
      </c>
      <c r="G343" t="s">
        <v>282</v>
      </c>
      <c r="H343" s="51">
        <v>4</v>
      </c>
      <c r="I343" s="51">
        <v>201</v>
      </c>
    </row>
    <row r="344" spans="5:9" x14ac:dyDescent="0.25">
      <c r="E344">
        <f t="shared" si="36"/>
        <v>54</v>
      </c>
      <c r="G344" t="s">
        <v>283</v>
      </c>
      <c r="H344" s="51">
        <v>4</v>
      </c>
      <c r="I344" s="51">
        <v>201</v>
      </c>
    </row>
    <row r="345" spans="5:9" x14ac:dyDescent="0.25">
      <c r="E345">
        <f>+$F$345</f>
        <v>56</v>
      </c>
      <c r="F345">
        <v>56</v>
      </c>
      <c r="G345" t="s">
        <v>275</v>
      </c>
      <c r="H345">
        <v>1</v>
      </c>
      <c r="I345" s="51">
        <v>200</v>
      </c>
    </row>
    <row r="346" spans="5:9" x14ac:dyDescent="0.25">
      <c r="E346">
        <f t="shared" ref="E346:E353" si="37">+$F$345</f>
        <v>56</v>
      </c>
      <c r="G346" t="s">
        <v>276</v>
      </c>
      <c r="H346" s="51">
        <v>1</v>
      </c>
      <c r="I346" s="51">
        <v>200</v>
      </c>
    </row>
    <row r="347" spans="5:9" x14ac:dyDescent="0.25">
      <c r="E347">
        <f t="shared" si="37"/>
        <v>56</v>
      </c>
      <c r="G347" t="s">
        <v>277</v>
      </c>
      <c r="H347" s="51">
        <v>4</v>
      </c>
      <c r="I347" s="51">
        <v>200</v>
      </c>
    </row>
    <row r="348" spans="5:9" x14ac:dyDescent="0.25">
      <c r="E348">
        <f t="shared" si="37"/>
        <v>56</v>
      </c>
      <c r="G348" t="s">
        <v>278</v>
      </c>
      <c r="H348">
        <v>1</v>
      </c>
      <c r="I348" s="51">
        <v>200</v>
      </c>
    </row>
    <row r="349" spans="5:9" x14ac:dyDescent="0.25">
      <c r="E349">
        <f t="shared" si="37"/>
        <v>56</v>
      </c>
      <c r="G349" t="s">
        <v>279</v>
      </c>
      <c r="H349" s="51">
        <v>1</v>
      </c>
      <c r="I349" s="51">
        <v>200</v>
      </c>
    </row>
    <row r="350" spans="5:9" x14ac:dyDescent="0.25">
      <c r="E350">
        <f t="shared" si="37"/>
        <v>56</v>
      </c>
      <c r="G350" t="s">
        <v>280</v>
      </c>
      <c r="H350" s="51"/>
      <c r="I350" s="51">
        <v>200</v>
      </c>
    </row>
    <row r="351" spans="5:9" x14ac:dyDescent="0.25">
      <c r="E351">
        <f t="shared" si="37"/>
        <v>56</v>
      </c>
      <c r="G351" t="s">
        <v>281</v>
      </c>
      <c r="H351" s="51">
        <v>1</v>
      </c>
      <c r="I351" s="51">
        <v>200</v>
      </c>
    </row>
    <row r="352" spans="5:9" x14ac:dyDescent="0.25">
      <c r="E352">
        <f t="shared" si="37"/>
        <v>56</v>
      </c>
      <c r="G352" t="s">
        <v>282</v>
      </c>
      <c r="I352" s="51">
        <v>200</v>
      </c>
    </row>
    <row r="353" spans="5:9" x14ac:dyDescent="0.25">
      <c r="E353">
        <f t="shared" si="37"/>
        <v>56</v>
      </c>
      <c r="G353" t="s">
        <v>283</v>
      </c>
      <c r="H353" s="51">
        <v>1</v>
      </c>
      <c r="I353" s="51">
        <v>200</v>
      </c>
    </row>
    <row r="354" spans="5:9" x14ac:dyDescent="0.25">
      <c r="E354">
        <f>+$F$354</f>
        <v>57</v>
      </c>
      <c r="F354">
        <v>57</v>
      </c>
      <c r="G354" t="s">
        <v>275</v>
      </c>
      <c r="H354" s="51"/>
      <c r="I354" s="51">
        <v>103</v>
      </c>
    </row>
    <row r="355" spans="5:9" x14ac:dyDescent="0.25">
      <c r="E355">
        <f t="shared" ref="E355:E362" si="38">+$F$354</f>
        <v>57</v>
      </c>
      <c r="G355" t="s">
        <v>276</v>
      </c>
      <c r="H355" s="51">
        <v>4</v>
      </c>
      <c r="I355" s="51">
        <v>103</v>
      </c>
    </row>
    <row r="356" spans="5:9" x14ac:dyDescent="0.25">
      <c r="E356">
        <f t="shared" si="38"/>
        <v>57</v>
      </c>
      <c r="G356" t="s">
        <v>277</v>
      </c>
      <c r="H356" s="51"/>
      <c r="I356" s="51">
        <v>103</v>
      </c>
    </row>
    <row r="357" spans="5:9" x14ac:dyDescent="0.25">
      <c r="E357">
        <f t="shared" si="38"/>
        <v>57</v>
      </c>
      <c r="G357" t="s">
        <v>278</v>
      </c>
      <c r="H357" s="51"/>
      <c r="I357" s="51">
        <v>103</v>
      </c>
    </row>
    <row r="358" spans="5:9" x14ac:dyDescent="0.25">
      <c r="E358">
        <f t="shared" si="38"/>
        <v>57</v>
      </c>
      <c r="G358" t="s">
        <v>279</v>
      </c>
      <c r="H358" s="51"/>
      <c r="I358" s="51">
        <v>103</v>
      </c>
    </row>
    <row r="359" spans="5:9" x14ac:dyDescent="0.25">
      <c r="E359">
        <f t="shared" si="38"/>
        <v>57</v>
      </c>
      <c r="G359" t="s">
        <v>280</v>
      </c>
      <c r="H359" s="51"/>
      <c r="I359" s="51">
        <v>103</v>
      </c>
    </row>
    <row r="360" spans="5:9" x14ac:dyDescent="0.25">
      <c r="E360">
        <f t="shared" si="38"/>
        <v>57</v>
      </c>
      <c r="G360" t="s">
        <v>281</v>
      </c>
      <c r="H360" s="51">
        <v>5</v>
      </c>
      <c r="I360" s="51">
        <v>103</v>
      </c>
    </row>
    <row r="361" spans="5:9" x14ac:dyDescent="0.25">
      <c r="E361">
        <f t="shared" si="38"/>
        <v>57</v>
      </c>
      <c r="G361" t="s">
        <v>282</v>
      </c>
      <c r="H361" s="51"/>
      <c r="I361" s="51">
        <v>103</v>
      </c>
    </row>
    <row r="362" spans="5:9" x14ac:dyDescent="0.25">
      <c r="E362">
        <f t="shared" si="38"/>
        <v>57</v>
      </c>
      <c r="G362" t="s">
        <v>283</v>
      </c>
      <c r="H362" s="51"/>
      <c r="I362" s="51">
        <v>103</v>
      </c>
    </row>
    <row r="363" spans="5:9" x14ac:dyDescent="0.25">
      <c r="E363">
        <f>+$F$363</f>
        <v>58</v>
      </c>
      <c r="F363">
        <v>58</v>
      </c>
      <c r="G363" t="s">
        <v>275</v>
      </c>
      <c r="H363" s="51"/>
      <c r="I363" s="51">
        <v>83</v>
      </c>
    </row>
    <row r="364" spans="5:9" x14ac:dyDescent="0.25">
      <c r="E364">
        <f t="shared" ref="E364:E371" si="39">+$F$363</f>
        <v>58</v>
      </c>
      <c r="G364" t="s">
        <v>276</v>
      </c>
      <c r="H364" s="51"/>
      <c r="I364" s="51">
        <v>83</v>
      </c>
    </row>
    <row r="365" spans="5:9" x14ac:dyDescent="0.25">
      <c r="E365">
        <f t="shared" si="39"/>
        <v>58</v>
      </c>
      <c r="G365" t="s">
        <v>277</v>
      </c>
      <c r="H365" s="51"/>
      <c r="I365" s="51">
        <v>83</v>
      </c>
    </row>
    <row r="366" spans="5:9" x14ac:dyDescent="0.25">
      <c r="E366">
        <f t="shared" si="39"/>
        <v>58</v>
      </c>
      <c r="G366" t="s">
        <v>278</v>
      </c>
      <c r="H366" s="51"/>
      <c r="I366" s="51">
        <v>83</v>
      </c>
    </row>
    <row r="367" spans="5:9" x14ac:dyDescent="0.25">
      <c r="E367">
        <f t="shared" si="39"/>
        <v>58</v>
      </c>
      <c r="G367" t="s">
        <v>279</v>
      </c>
      <c r="H367" s="51"/>
      <c r="I367" s="51">
        <v>83</v>
      </c>
    </row>
    <row r="368" spans="5:9" x14ac:dyDescent="0.25">
      <c r="E368">
        <f t="shared" si="39"/>
        <v>58</v>
      </c>
      <c r="G368" t="s">
        <v>280</v>
      </c>
      <c r="H368" s="51"/>
      <c r="I368" s="51">
        <v>83</v>
      </c>
    </row>
    <row r="369" spans="5:9" x14ac:dyDescent="0.25">
      <c r="E369">
        <f t="shared" si="39"/>
        <v>58</v>
      </c>
      <c r="G369" t="s">
        <v>281</v>
      </c>
      <c r="H369" s="51">
        <v>1</v>
      </c>
      <c r="I369" s="51">
        <v>83</v>
      </c>
    </row>
    <row r="370" spans="5:9" x14ac:dyDescent="0.25">
      <c r="E370">
        <f t="shared" si="39"/>
        <v>58</v>
      </c>
      <c r="G370" t="s">
        <v>282</v>
      </c>
      <c r="H370" s="51"/>
      <c r="I370" s="51">
        <v>83</v>
      </c>
    </row>
    <row r="371" spans="5:9" x14ac:dyDescent="0.25">
      <c r="E371">
        <f t="shared" si="39"/>
        <v>58</v>
      </c>
      <c r="G371" t="s">
        <v>283</v>
      </c>
      <c r="H371" s="35"/>
      <c r="I371" s="35">
        <v>83</v>
      </c>
    </row>
    <row r="372" spans="5:9" x14ac:dyDescent="0.25">
      <c r="E372">
        <f>+$F$372</f>
        <v>59</v>
      </c>
      <c r="F372">
        <v>59</v>
      </c>
      <c r="G372" t="s">
        <v>275</v>
      </c>
      <c r="I372">
        <v>126</v>
      </c>
    </row>
    <row r="373" spans="5:9" x14ac:dyDescent="0.25">
      <c r="E373">
        <f t="shared" ref="E373:E380" si="40">+$F$372</f>
        <v>59</v>
      </c>
      <c r="G373" t="s">
        <v>276</v>
      </c>
      <c r="I373">
        <v>126</v>
      </c>
    </row>
    <row r="374" spans="5:9" x14ac:dyDescent="0.25">
      <c r="E374">
        <f t="shared" si="40"/>
        <v>59</v>
      </c>
      <c r="G374" t="s">
        <v>277</v>
      </c>
      <c r="I374">
        <v>126</v>
      </c>
    </row>
    <row r="375" spans="5:9" x14ac:dyDescent="0.25">
      <c r="E375">
        <f t="shared" si="40"/>
        <v>59</v>
      </c>
      <c r="G375" t="s">
        <v>278</v>
      </c>
      <c r="I375">
        <v>126</v>
      </c>
    </row>
    <row r="376" spans="5:9" x14ac:dyDescent="0.25">
      <c r="E376">
        <f t="shared" si="40"/>
        <v>59</v>
      </c>
      <c r="G376" t="s">
        <v>279</v>
      </c>
      <c r="I376">
        <v>126</v>
      </c>
    </row>
    <row r="377" spans="5:9" x14ac:dyDescent="0.25">
      <c r="E377">
        <f t="shared" si="40"/>
        <v>59</v>
      </c>
      <c r="G377" t="s">
        <v>280</v>
      </c>
      <c r="I377">
        <v>126</v>
      </c>
    </row>
    <row r="378" spans="5:9" x14ac:dyDescent="0.25">
      <c r="E378">
        <f t="shared" si="40"/>
        <v>59</v>
      </c>
      <c r="G378" t="s">
        <v>281</v>
      </c>
      <c r="I378">
        <v>126</v>
      </c>
    </row>
    <row r="379" spans="5:9" x14ac:dyDescent="0.25">
      <c r="E379">
        <f t="shared" si="40"/>
        <v>59</v>
      </c>
      <c r="G379" t="s">
        <v>282</v>
      </c>
      <c r="I379">
        <v>126</v>
      </c>
    </row>
    <row r="380" spans="5:9" x14ac:dyDescent="0.25">
      <c r="E380">
        <f t="shared" si="40"/>
        <v>59</v>
      </c>
      <c r="G380" t="s">
        <v>283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275</v>
      </c>
      <c r="I381">
        <v>69</v>
      </c>
    </row>
    <row r="382" spans="5:9" x14ac:dyDescent="0.25">
      <c r="E382">
        <f t="shared" ref="E382:E389" si="41">+$F$381</f>
        <v>60</v>
      </c>
      <c r="G382" t="s">
        <v>276</v>
      </c>
      <c r="I382">
        <v>69</v>
      </c>
    </row>
    <row r="383" spans="5:9" x14ac:dyDescent="0.25">
      <c r="E383">
        <f t="shared" si="41"/>
        <v>60</v>
      </c>
      <c r="G383" t="s">
        <v>277</v>
      </c>
      <c r="I383">
        <v>69</v>
      </c>
    </row>
    <row r="384" spans="5:9" x14ac:dyDescent="0.25">
      <c r="E384">
        <f t="shared" si="41"/>
        <v>60</v>
      </c>
      <c r="G384" t="s">
        <v>278</v>
      </c>
      <c r="I384">
        <v>69</v>
      </c>
    </row>
    <row r="385" spans="5:9" x14ac:dyDescent="0.25">
      <c r="E385">
        <f t="shared" si="41"/>
        <v>60</v>
      </c>
      <c r="G385" t="s">
        <v>279</v>
      </c>
      <c r="I385">
        <v>69</v>
      </c>
    </row>
    <row r="386" spans="5:9" x14ac:dyDescent="0.25">
      <c r="E386">
        <f t="shared" si="41"/>
        <v>60</v>
      </c>
      <c r="G386" t="s">
        <v>280</v>
      </c>
      <c r="I386">
        <v>69</v>
      </c>
    </row>
    <row r="387" spans="5:9" x14ac:dyDescent="0.25">
      <c r="E387">
        <f t="shared" si="41"/>
        <v>60</v>
      </c>
      <c r="G387" t="s">
        <v>281</v>
      </c>
      <c r="I387">
        <v>69</v>
      </c>
    </row>
    <row r="388" spans="5:9" x14ac:dyDescent="0.25">
      <c r="E388">
        <f t="shared" si="41"/>
        <v>60</v>
      </c>
      <c r="G388" t="s">
        <v>282</v>
      </c>
      <c r="I388">
        <v>69</v>
      </c>
    </row>
    <row r="389" spans="5:9" x14ac:dyDescent="0.25">
      <c r="E389">
        <f t="shared" si="41"/>
        <v>60</v>
      </c>
      <c r="G389" t="s">
        <v>283</v>
      </c>
      <c r="I389">
        <v>69</v>
      </c>
    </row>
    <row r="390" spans="5:9" x14ac:dyDescent="0.25">
      <c r="E390">
        <f>+$F$390</f>
        <v>7</v>
      </c>
      <c r="F390">
        <v>7</v>
      </c>
      <c r="G390" t="s">
        <v>275</v>
      </c>
      <c r="I390">
        <v>117</v>
      </c>
    </row>
    <row r="391" spans="5:9" x14ac:dyDescent="0.25">
      <c r="E391">
        <f t="shared" ref="E391:E398" si="42">+$F$390</f>
        <v>7</v>
      </c>
      <c r="G391" t="s">
        <v>276</v>
      </c>
      <c r="I391">
        <v>117</v>
      </c>
    </row>
    <row r="392" spans="5:9" x14ac:dyDescent="0.25">
      <c r="E392">
        <f t="shared" si="42"/>
        <v>7</v>
      </c>
      <c r="G392" t="s">
        <v>277</v>
      </c>
      <c r="I392">
        <v>117</v>
      </c>
    </row>
    <row r="393" spans="5:9" x14ac:dyDescent="0.25">
      <c r="E393">
        <f t="shared" si="42"/>
        <v>7</v>
      </c>
      <c r="G393" t="s">
        <v>278</v>
      </c>
      <c r="I393">
        <v>117</v>
      </c>
    </row>
    <row r="394" spans="5:9" x14ac:dyDescent="0.25">
      <c r="E394">
        <f t="shared" si="42"/>
        <v>7</v>
      </c>
      <c r="G394" t="s">
        <v>279</v>
      </c>
      <c r="I394">
        <v>117</v>
      </c>
    </row>
    <row r="395" spans="5:9" x14ac:dyDescent="0.25">
      <c r="E395">
        <f t="shared" si="42"/>
        <v>7</v>
      </c>
      <c r="G395" t="s">
        <v>280</v>
      </c>
      <c r="I395">
        <v>117</v>
      </c>
    </row>
    <row r="396" spans="5:9" x14ac:dyDescent="0.25">
      <c r="E396">
        <f t="shared" si="42"/>
        <v>7</v>
      </c>
      <c r="G396" t="s">
        <v>281</v>
      </c>
      <c r="I396">
        <v>117</v>
      </c>
    </row>
    <row r="397" spans="5:9" x14ac:dyDescent="0.25">
      <c r="E397">
        <f t="shared" si="42"/>
        <v>7</v>
      </c>
      <c r="G397" t="s">
        <v>282</v>
      </c>
      <c r="I397">
        <v>117</v>
      </c>
    </row>
    <row r="398" spans="5:9" x14ac:dyDescent="0.25">
      <c r="E398">
        <f t="shared" si="42"/>
        <v>7</v>
      </c>
      <c r="G398" t="s">
        <v>283</v>
      </c>
      <c r="I398">
        <v>117</v>
      </c>
    </row>
    <row r="399" spans="5:9" x14ac:dyDescent="0.25">
      <c r="E399">
        <f>+$F$399</f>
        <v>8</v>
      </c>
      <c r="F399">
        <v>8</v>
      </c>
      <c r="G399" t="s">
        <v>275</v>
      </c>
      <c r="H399">
        <v>2</v>
      </c>
      <c r="I399">
        <v>199</v>
      </c>
    </row>
    <row r="400" spans="5:9" x14ac:dyDescent="0.25">
      <c r="E400">
        <f t="shared" ref="E400:E407" si="43">+$F$399</f>
        <v>8</v>
      </c>
      <c r="G400" t="s">
        <v>276</v>
      </c>
      <c r="H400">
        <v>1</v>
      </c>
      <c r="I400">
        <v>199</v>
      </c>
    </row>
    <row r="401" spans="5:9" x14ac:dyDescent="0.25">
      <c r="E401">
        <f t="shared" si="43"/>
        <v>8</v>
      </c>
      <c r="G401" t="s">
        <v>277</v>
      </c>
      <c r="H401">
        <v>6</v>
      </c>
      <c r="I401">
        <v>199</v>
      </c>
    </row>
    <row r="402" spans="5:9" x14ac:dyDescent="0.25">
      <c r="E402">
        <f t="shared" si="43"/>
        <v>8</v>
      </c>
      <c r="G402" t="s">
        <v>278</v>
      </c>
      <c r="H402">
        <v>3</v>
      </c>
      <c r="I402">
        <v>199</v>
      </c>
    </row>
    <row r="403" spans="5:9" x14ac:dyDescent="0.25">
      <c r="E403">
        <f t="shared" si="43"/>
        <v>8</v>
      </c>
      <c r="G403" t="s">
        <v>279</v>
      </c>
      <c r="H403">
        <v>9</v>
      </c>
      <c r="I403">
        <v>199</v>
      </c>
    </row>
    <row r="404" spans="5:9" x14ac:dyDescent="0.25">
      <c r="E404">
        <f t="shared" si="43"/>
        <v>8</v>
      </c>
      <c r="G404" t="s">
        <v>280</v>
      </c>
      <c r="H404">
        <v>4</v>
      </c>
      <c r="I404">
        <v>199</v>
      </c>
    </row>
    <row r="405" spans="5:9" x14ac:dyDescent="0.25">
      <c r="E405">
        <f t="shared" si="43"/>
        <v>8</v>
      </c>
      <c r="G405" t="s">
        <v>281</v>
      </c>
      <c r="H405">
        <v>2</v>
      </c>
      <c r="I405">
        <v>199</v>
      </c>
    </row>
    <row r="406" spans="5:9" x14ac:dyDescent="0.25">
      <c r="E406">
        <f t="shared" si="43"/>
        <v>8</v>
      </c>
      <c r="G406" t="s">
        <v>282</v>
      </c>
      <c r="H406">
        <v>1</v>
      </c>
      <c r="I406">
        <v>199</v>
      </c>
    </row>
    <row r="407" spans="5:9" x14ac:dyDescent="0.25">
      <c r="E407">
        <f t="shared" si="43"/>
        <v>8</v>
      </c>
      <c r="G407" t="s">
        <v>283</v>
      </c>
      <c r="I407">
        <v>199</v>
      </c>
    </row>
    <row r="408" spans="5:9" x14ac:dyDescent="0.25">
      <c r="E408">
        <f>+$F$408</f>
        <v>9</v>
      </c>
      <c r="F408">
        <v>9</v>
      </c>
      <c r="G408" t="s">
        <v>275</v>
      </c>
      <c r="H408">
        <v>7</v>
      </c>
      <c r="I408">
        <v>157</v>
      </c>
    </row>
    <row r="409" spans="5:9" x14ac:dyDescent="0.25">
      <c r="E409">
        <f t="shared" ref="E409:E416" si="44">+$F$408</f>
        <v>9</v>
      </c>
      <c r="G409" t="s">
        <v>276</v>
      </c>
      <c r="H409">
        <v>4</v>
      </c>
      <c r="I409">
        <v>157</v>
      </c>
    </row>
    <row r="410" spans="5:9" x14ac:dyDescent="0.25">
      <c r="E410">
        <f t="shared" si="44"/>
        <v>9</v>
      </c>
      <c r="G410" t="s">
        <v>277</v>
      </c>
      <c r="H410">
        <v>8</v>
      </c>
      <c r="I410">
        <v>157</v>
      </c>
    </row>
    <row r="411" spans="5:9" x14ac:dyDescent="0.25">
      <c r="E411">
        <f t="shared" si="44"/>
        <v>9</v>
      </c>
      <c r="G411" t="s">
        <v>278</v>
      </c>
      <c r="H411">
        <v>8</v>
      </c>
      <c r="I411">
        <v>157</v>
      </c>
    </row>
    <row r="412" spans="5:9" x14ac:dyDescent="0.25">
      <c r="E412">
        <f t="shared" si="44"/>
        <v>9</v>
      </c>
      <c r="G412" t="s">
        <v>279</v>
      </c>
      <c r="H412">
        <v>13</v>
      </c>
      <c r="I412">
        <v>157</v>
      </c>
    </row>
    <row r="413" spans="5:9" x14ac:dyDescent="0.25">
      <c r="E413">
        <f t="shared" si="44"/>
        <v>9</v>
      </c>
      <c r="G413" t="s">
        <v>280</v>
      </c>
      <c r="H413">
        <v>10</v>
      </c>
      <c r="I413">
        <v>157</v>
      </c>
    </row>
    <row r="414" spans="5:9" x14ac:dyDescent="0.25">
      <c r="E414">
        <f t="shared" si="44"/>
        <v>9</v>
      </c>
      <c r="G414" t="s">
        <v>281</v>
      </c>
      <c r="H414">
        <v>1</v>
      </c>
      <c r="I414">
        <v>157</v>
      </c>
    </row>
    <row r="415" spans="5:9" x14ac:dyDescent="0.25">
      <c r="E415">
        <f t="shared" si="44"/>
        <v>9</v>
      </c>
      <c r="G415" t="s">
        <v>282</v>
      </c>
      <c r="H415">
        <v>3</v>
      </c>
      <c r="I415">
        <v>157</v>
      </c>
    </row>
    <row r="416" spans="5:9" x14ac:dyDescent="0.25">
      <c r="E416">
        <f t="shared" si="44"/>
        <v>9</v>
      </c>
      <c r="G416" t="s">
        <v>283</v>
      </c>
      <c r="H416">
        <v>4</v>
      </c>
      <c r="I416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226</v>
      </c>
      <c r="B1" s="130" t="s">
        <v>227</v>
      </c>
      <c r="C1" s="131"/>
      <c r="D1" s="132" t="s">
        <v>228</v>
      </c>
    </row>
    <row r="2" spans="1:4" x14ac:dyDescent="0.25">
      <c r="A2" s="133" t="s">
        <v>229</v>
      </c>
      <c r="B2" s="133" t="str">
        <f>+AVANCE!B16</f>
        <v>2 - OJEDA NORBERTO</v>
      </c>
      <c r="C2" s="131"/>
      <c r="D2" s="131">
        <v>0.14325231481481479</v>
      </c>
    </row>
    <row r="3" spans="1:4" x14ac:dyDescent="0.25">
      <c r="A3" s="133" t="s">
        <v>230</v>
      </c>
      <c r="B3" s="133" t="str">
        <f>+AVANCE!B17</f>
        <v>3 - VIDAL NAHUEL</v>
      </c>
      <c r="C3" s="131"/>
      <c r="D3" s="131">
        <v>0.19314236111111113</v>
      </c>
    </row>
    <row r="4" spans="1:4" x14ac:dyDescent="0.25">
      <c r="A4" s="133" t="s">
        <v>231</v>
      </c>
      <c r="B4" s="133" t="str">
        <f>+AVANCE!B18</f>
        <v>18 - HERRERA PABLO</v>
      </c>
      <c r="C4" s="131"/>
      <c r="D4" s="131">
        <v>0.1716898148148148</v>
      </c>
    </row>
    <row r="5" spans="1:4" x14ac:dyDescent="0.25">
      <c r="A5" s="133" t="s">
        <v>232</v>
      </c>
      <c r="B5" s="133" t="str">
        <f>+AVANCE!B19</f>
        <v>21 - CATAN MATIAS</v>
      </c>
      <c r="C5" s="131"/>
      <c r="D5" s="131">
        <v>0.20205439814814813</v>
      </c>
    </row>
    <row r="6" spans="1:4" x14ac:dyDescent="0.25">
      <c r="A6" s="133" t="s">
        <v>233</v>
      </c>
      <c r="B6" s="133" t="str">
        <f>+AVANCE!B20</f>
        <v>23 - DELGADO JOSÉ</v>
      </c>
      <c r="C6" s="131"/>
      <c r="D6" s="131">
        <v>0.21797453703703704</v>
      </c>
    </row>
    <row r="7" spans="1:4" x14ac:dyDescent="0.25">
      <c r="A7" s="133" t="s">
        <v>234</v>
      </c>
      <c r="B7" s="133" t="str">
        <f>+AVANCE!B21</f>
        <v>31 - RENZO RAMOS</v>
      </c>
      <c r="C7" s="131"/>
      <c r="D7" s="131">
        <v>0.18149305555555559</v>
      </c>
    </row>
    <row r="8" spans="1:4" x14ac:dyDescent="0.25">
      <c r="A8" s="133" t="s">
        <v>235</v>
      </c>
      <c r="B8" s="133" t="str">
        <f>+AVANCE!B22</f>
        <v>44 - MONGES CESAR LUIS</v>
      </c>
      <c r="C8" s="131"/>
      <c r="D8" s="131">
        <v>0.16024884259259259</v>
      </c>
    </row>
    <row r="9" spans="1:4" x14ac:dyDescent="0.25">
      <c r="A9" s="133" t="s">
        <v>236</v>
      </c>
      <c r="B9" s="133" t="str">
        <f>+AVANCE!B23</f>
        <v>54 - BARTSCHAT EMILIANO NAHUEL</v>
      </c>
      <c r="C9" s="131"/>
      <c r="D9" s="131">
        <v>0.18835069444444438</v>
      </c>
    </row>
    <row r="10" spans="1:4" x14ac:dyDescent="0.25">
      <c r="A10" s="133" t="s">
        <v>237</v>
      </c>
      <c r="B10" s="133" t="str">
        <f>+AVANCE!B42</f>
        <v>56 - JUAN ANDRES SANCHEZ</v>
      </c>
      <c r="C10" s="131"/>
      <c r="D10" s="131" t="e">
        <v>#DIV/0!</v>
      </c>
    </row>
    <row r="11" spans="1:4" x14ac:dyDescent="0.25">
      <c r="A11" s="133" t="s">
        <v>238</v>
      </c>
      <c r="B11" s="133" t="str">
        <f>+AVANCE!B9</f>
        <v>4 - TUR SPRINGER FERNANDO</v>
      </c>
      <c r="C11" s="131"/>
      <c r="D11" s="131">
        <v>0.19414351851851855</v>
      </c>
    </row>
    <row r="12" spans="1:4" x14ac:dyDescent="0.25">
      <c r="A12" s="133" t="s">
        <v>239</v>
      </c>
      <c r="B12" s="133" t="str">
        <f>+AVANCE!B8</f>
        <v>5 - SCHELOVER RAUL</v>
      </c>
      <c r="C12" s="131"/>
      <c r="D12" s="131">
        <v>0.20405092592592594</v>
      </c>
    </row>
    <row r="13" spans="1:4" x14ac:dyDescent="0.25">
      <c r="A13" s="133" t="s">
        <v>240</v>
      </c>
      <c r="B13" s="133" t="str">
        <f>+AVANCE!B7</f>
        <v>8 - PARRA MAXIMILIANO</v>
      </c>
      <c r="C13" s="131"/>
      <c r="D13" s="131">
        <v>0.1510590277777778</v>
      </c>
    </row>
    <row r="14" spans="1:4" x14ac:dyDescent="0.25">
      <c r="A14" s="133" t="s">
        <v>241</v>
      </c>
      <c r="B14" s="133" t="str">
        <f>+AVANCE!B6</f>
        <v>11 - SANCHEZ RICARDO</v>
      </c>
      <c r="C14" s="131"/>
      <c r="D14" s="131">
        <v>0.19442129629629629</v>
      </c>
    </row>
    <row r="15" spans="1:4" x14ac:dyDescent="0.25">
      <c r="A15" s="133" t="s">
        <v>242</v>
      </c>
      <c r="B15" s="133" t="str">
        <f>+AVANCE!B5</f>
        <v>12 - GUTIERREZ MARCOS DAVID</v>
      </c>
      <c r="C15" s="131"/>
      <c r="D15" s="131">
        <v>0.1801851851851852</v>
      </c>
    </row>
    <row r="16" spans="1:4" x14ac:dyDescent="0.25">
      <c r="A16" s="133" t="s">
        <v>243</v>
      </c>
      <c r="B16" s="133" t="str">
        <f>+AVANCE!B4</f>
        <v>16 - GOMEZ MATÍAS</v>
      </c>
      <c r="C16" s="131"/>
      <c r="D16" s="131">
        <v>0.16682291666666668</v>
      </c>
    </row>
    <row r="17" spans="1:4" x14ac:dyDescent="0.25">
      <c r="A17" s="133" t="s">
        <v>244</v>
      </c>
      <c r="B17" s="133" t="str">
        <f>+AVANCE!B3</f>
        <v>19 - GONZALEZ MARCELO</v>
      </c>
      <c r="C17" s="131"/>
      <c r="D17" s="131">
        <v>0.16887152777777775</v>
      </c>
    </row>
    <row r="18" spans="1:4" x14ac:dyDescent="0.25">
      <c r="A18" s="133" t="s">
        <v>245</v>
      </c>
      <c r="B18" s="133" t="str">
        <f>+AVANCE!B2</f>
        <v>20 - FLORES JAVIER</v>
      </c>
      <c r="C18" s="131"/>
      <c r="D18" s="131">
        <v>0.13788194444444443</v>
      </c>
    </row>
    <row r="19" spans="1:4" x14ac:dyDescent="0.25">
      <c r="A19" s="133" t="s">
        <v>246</v>
      </c>
      <c r="B19" s="133" t="str">
        <f>+AVANCE!B41</f>
        <v>49 - ESCOBAR RAÚL</v>
      </c>
      <c r="C19" s="131"/>
      <c r="D19" s="131">
        <v>0.13788194444444443</v>
      </c>
    </row>
    <row r="20" spans="1:4" x14ac:dyDescent="0.25">
      <c r="A20" s="133" t="s">
        <v>247</v>
      </c>
      <c r="B20" s="133" t="str">
        <f>+AVANCE!B37</f>
        <v>1 - VERA ERNESTO</v>
      </c>
      <c r="C20" s="131"/>
      <c r="D20" s="131">
        <v>0.22464120370370372</v>
      </c>
    </row>
    <row r="21" spans="1:4" x14ac:dyDescent="0.25">
      <c r="A21" s="133" t="s">
        <v>248</v>
      </c>
      <c r="B21" s="133" t="str">
        <f>+AVANCE!B27</f>
        <v>9 - ESTIGARRIBIA DAVID</v>
      </c>
      <c r="C21" s="131"/>
      <c r="D21" s="131">
        <v>0.18151620370370372</v>
      </c>
    </row>
    <row r="22" spans="1:4" x14ac:dyDescent="0.25">
      <c r="A22" s="133" t="s">
        <v>249</v>
      </c>
      <c r="B22" s="133" t="str">
        <f>+AVANCE!B30</f>
        <v>10 - BRITEZ EMMANUEL</v>
      </c>
      <c r="C22" s="131"/>
      <c r="D22" s="131">
        <v>0.1308738425925926</v>
      </c>
    </row>
    <row r="23" spans="1:4" x14ac:dyDescent="0.25">
      <c r="A23" s="133" t="s">
        <v>250</v>
      </c>
      <c r="B23" s="133" t="str">
        <f>+AVANCE!B34</f>
        <v>24 - SOLIS EMMANUEL</v>
      </c>
      <c r="C23" s="131"/>
      <c r="D23" s="131">
        <v>0.15027199074074071</v>
      </c>
    </row>
    <row r="24" spans="1:4" x14ac:dyDescent="0.25">
      <c r="A24" s="133" t="s">
        <v>251</v>
      </c>
      <c r="B24" s="133" t="str">
        <f>+AVANCE!B29</f>
        <v>27 - GOMEZ ADRIÁN</v>
      </c>
      <c r="C24" s="131"/>
      <c r="D24" s="131">
        <v>0.14907986111111116</v>
      </c>
    </row>
    <row r="25" spans="1:4" x14ac:dyDescent="0.25">
      <c r="A25" s="133" t="s">
        <v>252</v>
      </c>
      <c r="B25" s="133" t="str">
        <f>+AVANCE!B31</f>
        <v>28 - GOMEZ PABLO</v>
      </c>
      <c r="C25" s="131"/>
      <c r="D25" s="131">
        <v>0.16362847222222218</v>
      </c>
    </row>
    <row r="26" spans="1:4" x14ac:dyDescent="0.25">
      <c r="A26" s="133" t="s">
        <v>253</v>
      </c>
      <c r="B26" s="133" t="str">
        <f>+AVANCE!B32</f>
        <v>33 - NICOLAS AZULA</v>
      </c>
      <c r="C26" s="131"/>
      <c r="D26" s="131">
        <v>0.16166666666666665</v>
      </c>
    </row>
    <row r="27" spans="1:4" x14ac:dyDescent="0.25">
      <c r="A27" s="133" t="s">
        <v>254</v>
      </c>
      <c r="B27" s="133" t="str">
        <f>+AVANCE!B26</f>
        <v>36 - COSARINSKI DIEGO</v>
      </c>
      <c r="C27" s="131"/>
      <c r="D27" s="131">
        <v>0.16596643518518517</v>
      </c>
    </row>
    <row r="28" spans="1:4" x14ac:dyDescent="0.25">
      <c r="A28" s="133" t="s">
        <v>255</v>
      </c>
      <c r="B28" s="133" t="str">
        <f>+AVANCE!B33</f>
        <v>37 - SALAJ EMILIO</v>
      </c>
      <c r="C28" s="131"/>
      <c r="D28" s="131">
        <v>0.17625000000000007</v>
      </c>
    </row>
    <row r="29" spans="1:4" x14ac:dyDescent="0.25">
      <c r="A29" s="133" t="s">
        <v>256</v>
      </c>
      <c r="B29" s="133" t="str">
        <f>+AVANCE!B28</f>
        <v>40 - IBARROLA JORGE</v>
      </c>
      <c r="C29" s="131"/>
      <c r="D29" s="131">
        <v>0.17868634259259258</v>
      </c>
    </row>
    <row r="30" spans="1:4" x14ac:dyDescent="0.25">
      <c r="A30" s="133" t="s">
        <v>257</v>
      </c>
      <c r="B30" s="133" t="str">
        <f>+AVANCE!B13</f>
        <v>52 - RAVAROTTO EMANUEL</v>
      </c>
      <c r="C30" s="131"/>
      <c r="D30" s="131">
        <v>0.13554976851851858</v>
      </c>
    </row>
    <row r="31" spans="1:4" x14ac:dyDescent="0.25">
      <c r="A31" s="133" t="s">
        <v>258</v>
      </c>
      <c r="B31" s="133" t="str">
        <f>+AVANCE!B14</f>
        <v>53 - SANDOVAL RODRIGO</v>
      </c>
      <c r="C31" s="131"/>
      <c r="D31" s="131">
        <v>0.16429976851851846</v>
      </c>
    </row>
    <row r="32" spans="1:4" x14ac:dyDescent="0.25">
      <c r="A32" s="133" t="s">
        <v>259</v>
      </c>
      <c r="B32" s="133" t="str">
        <f>+AVANCE!B12</f>
        <v>15 - GALARZA GERARDO</v>
      </c>
      <c r="C32" s="131"/>
      <c r="D32" s="131">
        <v>0.10703125000000002</v>
      </c>
    </row>
    <row r="33" spans="1:4" x14ac:dyDescent="0.25">
      <c r="A33" s="133" t="s">
        <v>260</v>
      </c>
      <c r="B33" s="133" t="str">
        <f>+AVANCE!B11</f>
        <v>22 - ALMIRON NICOLAS</v>
      </c>
      <c r="C33" s="131"/>
      <c r="D33" s="131">
        <v>0.20132523148148149</v>
      </c>
    </row>
    <row r="34" spans="1:4" x14ac:dyDescent="0.25">
      <c r="A34" s="133" t="s">
        <v>261</v>
      </c>
      <c r="B34" s="133" t="str">
        <f>+AVANCE!B35</f>
        <v>7 - VALLEJOS EDUARDO</v>
      </c>
      <c r="C34" s="131"/>
      <c r="D34" s="131">
        <v>0.17994212962962969</v>
      </c>
    </row>
    <row r="35" spans="1:4" x14ac:dyDescent="0.25">
      <c r="A35" s="133" t="s">
        <v>262</v>
      </c>
      <c r="B35" s="133" t="str">
        <f>+AVANCE!B25</f>
        <v>32 - CABRAL GONZALO</v>
      </c>
      <c r="C35" s="131"/>
      <c r="D35" s="131">
        <v>9.4293981481481493E-2</v>
      </c>
    </row>
    <row r="36" spans="1:4" x14ac:dyDescent="0.25">
      <c r="A36" s="133" t="s">
        <v>263</v>
      </c>
      <c r="B36" s="133" t="str">
        <f>+AVANCE!B36</f>
        <v>57 - FEDERRATH MARTIN</v>
      </c>
      <c r="C36" s="131"/>
      <c r="D36" s="131">
        <v>0.11476851851851849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C23" sqref="A23:C23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workbookViewId="0">
      <selection activeCell="D31" sqref="A31:D31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0" t="s">
        <v>205</v>
      </c>
      <c r="P1" s="81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N2" s="151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N3" s="151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N4" s="151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N5" s="151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N6" s="151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N7" s="151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N8" s="151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N9" s="151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N10" s="151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N11" s="151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N12" s="151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N13" s="151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N14" s="151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152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N16" s="150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N17" s="151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N18" s="151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N19" s="151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N20" s="151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N21" s="151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N22" s="151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N23" s="151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N24" s="151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152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N26" s="150" t="s">
        <v>221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3" t="s">
        <v>225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N27" s="151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N28" s="151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N29" s="151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N30" s="151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N31" s="151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N32" s="151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N33" s="151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N34" s="151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N35" s="151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N36" s="151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N37" s="151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N38" s="151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152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2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workbookViewId="0">
      <selection activeCell="E20" sqref="E2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</row>
    <row r="2" spans="1:12" ht="15.75" x14ac:dyDescent="0.25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</row>
    <row r="3" spans="1:12" ht="15.75" x14ac:dyDescent="0.25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</row>
    <row r="4" spans="1:12" ht="15.75" x14ac:dyDescent="0.25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</row>
    <row r="5" spans="1:12" ht="15.75" x14ac:dyDescent="0.25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</row>
    <row r="6" spans="1:12" ht="15.75" x14ac:dyDescent="0.25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</row>
    <row r="7" spans="1:12" ht="15.75" x14ac:dyDescent="0.25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</row>
    <row r="8" spans="1:12" ht="15.75" x14ac:dyDescent="0.25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</row>
    <row r="9" spans="1:12" ht="15.75" x14ac:dyDescent="0.25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</row>
    <row r="10" spans="1:12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</row>
    <row r="11" spans="1:12" ht="15.75" x14ac:dyDescent="0.25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</row>
    <row r="12" spans="1:12" ht="15.75" x14ac:dyDescent="0.25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</row>
    <row r="13" spans="1:12" ht="15.75" x14ac:dyDescent="0.25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</row>
    <row r="14" spans="1:12" ht="15.75" x14ac:dyDescent="0.25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</row>
    <row r="15" spans="1:12" ht="15.75" x14ac:dyDescent="0.25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</row>
    <row r="16" spans="1:12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</row>
    <row r="17" spans="1:12" ht="15.75" x14ac:dyDescent="0.25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</row>
    <row r="18" spans="1:12" ht="15.75" x14ac:dyDescent="0.25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</row>
    <row r="19" spans="1:12" ht="15.75" x14ac:dyDescent="0.25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</row>
    <row r="20" spans="1:12" ht="15.75" x14ac:dyDescent="0.25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</row>
    <row r="21" spans="1:12" ht="15.75" x14ac:dyDescent="0.25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</row>
    <row r="22" spans="1:12" ht="15.75" x14ac:dyDescent="0.25">
      <c r="A22" s="127"/>
      <c r="B22" s="19" t="s">
        <v>218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</row>
    <row r="23" spans="1:12" ht="15.75" x14ac:dyDescent="0.25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</row>
    <row r="24" spans="1:12" ht="15.75" x14ac:dyDescent="0.25">
      <c r="A24" s="127"/>
      <c r="B24" s="19" t="s">
        <v>219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</row>
    <row r="25" spans="1:12" ht="15.75" x14ac:dyDescent="0.25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</row>
    <row r="26" spans="1:12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</row>
    <row r="27" spans="1:12" ht="15.75" x14ac:dyDescent="0.25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</row>
    <row r="28" spans="1:12" ht="15.75" x14ac:dyDescent="0.25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</row>
    <row r="29" spans="1:12" ht="15.75" x14ac:dyDescent="0.25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</row>
    <row r="30" spans="1:12" ht="15.75" x14ac:dyDescent="0.25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</row>
    <row r="31" spans="1:12" ht="15.75" x14ac:dyDescent="0.25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</row>
    <row r="32" spans="1:12" ht="15.75" x14ac:dyDescent="0.25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</row>
    <row r="33" spans="1:12" ht="15.75" x14ac:dyDescent="0.25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</row>
    <row r="34" spans="1:12" ht="15.75" x14ac:dyDescent="0.25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</row>
    <row r="35" spans="1:12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</row>
    <row r="36" spans="1:12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</row>
    <row r="37" spans="1:12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</row>
    <row r="38" spans="1:12" ht="15.75" x14ac:dyDescent="0.25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</row>
    <row r="39" spans="1:12" ht="15.75" x14ac:dyDescent="0.25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</row>
    <row r="40" spans="1:12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</row>
    <row r="41" spans="1:12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</row>
    <row r="42" spans="1:1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</row>
    <row r="43" spans="1:12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12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N48"/>
  <sheetViews>
    <sheetView workbookViewId="0">
      <selection activeCell="D5" sqref="D5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  <col min="14" max="14" width="5.140625" bestFit="1" customWidth="1"/>
  </cols>
  <sheetData>
    <row r="1" spans="1:14" ht="6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4" t="s">
        <v>206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 t="s">
        <v>36</v>
      </c>
      <c r="N2">
        <v>0</v>
      </c>
    </row>
    <row r="3" spans="1:14" ht="16.5" thickBot="1" x14ac:dyDescent="0.3">
      <c r="A3" s="145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 t="s">
        <v>40</v>
      </c>
      <c r="N3">
        <v>26</v>
      </c>
    </row>
    <row r="4" spans="1:14" ht="16.5" thickBot="1" x14ac:dyDescent="0.3">
      <c r="A4" s="145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 t="s">
        <v>47</v>
      </c>
      <c r="N4">
        <v>26</v>
      </c>
    </row>
    <row r="5" spans="1:14" ht="16.5" thickBot="1" x14ac:dyDescent="0.3">
      <c r="A5" s="145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</row>
    <row r="6" spans="1:14" ht="16.5" thickBot="1" x14ac:dyDescent="0.3">
      <c r="A6" s="145"/>
      <c r="B6" s="36" t="s">
        <v>209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</row>
    <row r="7" spans="1:14" ht="16.5" thickBot="1" x14ac:dyDescent="0.3">
      <c r="A7" s="145"/>
      <c r="B7" s="36" t="s">
        <v>269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</row>
    <row r="8" spans="1:14" ht="16.5" thickBot="1" x14ac:dyDescent="0.3">
      <c r="A8" s="145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</row>
    <row r="9" spans="1:14" ht="15.75" x14ac:dyDescent="0.25">
      <c r="A9" s="145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</row>
    <row r="10" spans="1:14" ht="16.5" thickBot="1" x14ac:dyDescent="0.3">
      <c r="A10" s="146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</row>
    <row r="11" spans="1:14" ht="16.5" thickBot="1" x14ac:dyDescent="0.3">
      <c r="A11" s="144" t="s">
        <v>207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</row>
    <row r="12" spans="1:14" ht="16.5" thickBot="1" x14ac:dyDescent="0.3">
      <c r="A12" s="145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139375948.61764529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 t="s">
        <v>61</v>
      </c>
      <c r="N12" s="25">
        <v>0.02</v>
      </c>
    </row>
    <row r="13" spans="1:14" ht="16.5" thickBot="1" x14ac:dyDescent="0.3">
      <c r="A13" s="145"/>
      <c r="B13" s="36" t="s">
        <v>270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N13" s="28"/>
    </row>
    <row r="14" spans="1:14" ht="15.75" x14ac:dyDescent="0.25">
      <c r="A14" s="145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</row>
    <row r="15" spans="1:14" ht="16.5" thickBot="1" x14ac:dyDescent="0.3">
      <c r="A15" s="146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</row>
    <row r="16" spans="1:14" ht="16.5" thickBot="1" x14ac:dyDescent="0.3">
      <c r="A16" s="147" t="s">
        <v>208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</row>
    <row r="17" spans="1:13" ht="16.5" thickBot="1" x14ac:dyDescent="0.3">
      <c r="A17" s="148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</row>
    <row r="18" spans="1:13" ht="16.5" thickBot="1" x14ac:dyDescent="0.3">
      <c r="A18" s="148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</row>
    <row r="19" spans="1:13" ht="16.5" thickBot="1" x14ac:dyDescent="0.3">
      <c r="A19" s="148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</row>
    <row r="20" spans="1:13" ht="16.5" thickBot="1" x14ac:dyDescent="0.3">
      <c r="A20" s="148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</row>
    <row r="21" spans="1:13" ht="16.5" thickBot="1" x14ac:dyDescent="0.3">
      <c r="A21" s="148"/>
      <c r="B21" s="19" t="s">
        <v>218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</row>
    <row r="22" spans="1:13" ht="16.5" thickBot="1" x14ac:dyDescent="0.3">
      <c r="A22" s="148"/>
      <c r="B22" s="19" t="s">
        <v>160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</row>
    <row r="23" spans="1:13" ht="15.75" x14ac:dyDescent="0.25">
      <c r="A23" s="148"/>
      <c r="B23" s="19" t="s">
        <v>219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</row>
    <row r="24" spans="1:13" ht="16.5" thickBot="1" x14ac:dyDescent="0.3">
      <c r="A24" s="149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</row>
    <row r="25" spans="1:13" ht="16.5" thickBot="1" x14ac:dyDescent="0.3">
      <c r="A25" s="144" t="s">
        <v>216</v>
      </c>
      <c r="B25" s="57" t="s">
        <v>211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</row>
    <row r="26" spans="1:13" ht="16.5" thickBot="1" x14ac:dyDescent="0.3">
      <c r="A26" s="145"/>
      <c r="B26" s="36" t="s">
        <v>213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</row>
    <row r="27" spans="1:13" ht="16.5" thickBot="1" x14ac:dyDescent="0.3">
      <c r="A27" s="145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 s="27"/>
    </row>
    <row r="28" spans="1:13" ht="16.5" thickBot="1" x14ac:dyDescent="0.3">
      <c r="A28" s="145"/>
      <c r="B28" s="36" t="s">
        <v>212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26"/>
    </row>
    <row r="29" spans="1:13" ht="16.5" thickBot="1" x14ac:dyDescent="0.3">
      <c r="A29" s="145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 s="27"/>
    </row>
    <row r="30" spans="1:13" ht="16.5" thickBot="1" x14ac:dyDescent="0.3">
      <c r="A30" s="145"/>
      <c r="B30" s="36" t="s">
        <v>210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26"/>
    </row>
    <row r="31" spans="1:13" ht="16.5" thickBot="1" x14ac:dyDescent="0.3">
      <c r="A31" s="145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</row>
    <row r="32" spans="1:13" ht="16.5" thickBot="1" x14ac:dyDescent="0.3">
      <c r="A32" s="145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</row>
    <row r="33" spans="1:12" ht="16.5" thickBot="1" x14ac:dyDescent="0.3">
      <c r="A33" s="145"/>
      <c r="B33" s="19" t="s">
        <v>272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</row>
    <row r="34" spans="1:12" ht="16.5" thickBot="1" x14ac:dyDescent="0.3">
      <c r="A34" s="145"/>
      <c r="B34" s="36" t="s">
        <v>274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</row>
    <row r="35" spans="1:12" ht="16.5" thickBot="1" x14ac:dyDescent="0.3">
      <c r="A35" s="145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</row>
    <row r="36" spans="1:12" ht="16.5" thickBot="1" x14ac:dyDescent="0.3">
      <c r="A36" s="145"/>
      <c r="B36" s="36" t="s">
        <v>214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</row>
    <row r="37" spans="1:12" ht="15.75" x14ac:dyDescent="0.25">
      <c r="A37" s="145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</row>
    <row r="38" spans="1:12" ht="16.5" thickBot="1" x14ac:dyDescent="0.3">
      <c r="A38" s="146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</row>
    <row r="39" spans="1:12" ht="16.5" thickBot="1" x14ac:dyDescent="0.3">
      <c r="A39" s="144" t="s">
        <v>264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</row>
    <row r="40" spans="1:12" ht="16.5" thickBot="1" x14ac:dyDescent="0.3">
      <c r="A40" s="145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</row>
    <row r="41" spans="1:12" ht="16.5" thickBot="1" x14ac:dyDescent="0.3">
      <c r="A41" s="145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</row>
    <row r="42" spans="1:12" ht="16.5" thickBot="1" x14ac:dyDescent="0.3">
      <c r="A42" s="145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</row>
    <row r="43" spans="1:12" ht="16.5" thickBot="1" x14ac:dyDescent="0.3">
      <c r="A43" s="145"/>
      <c r="B43" s="138" t="s">
        <v>265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</row>
    <row r="44" spans="1:12" ht="16.5" thickBot="1" x14ac:dyDescent="0.3">
      <c r="A44" s="145"/>
      <c r="B44" s="138" t="s">
        <v>266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</row>
    <row r="45" spans="1:12" ht="16.5" thickBot="1" x14ac:dyDescent="0.3">
      <c r="A45" s="145"/>
      <c r="B45" s="138" t="s">
        <v>273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</row>
    <row r="46" spans="1:12" ht="15.75" x14ac:dyDescent="0.25">
      <c r="A46" s="145"/>
      <c r="B46" s="138" t="s">
        <v>267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</row>
    <row r="47" spans="1:12" ht="16.5" thickBot="1" x14ac:dyDescent="0.3">
      <c r="A47" s="146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</row>
    <row r="48" spans="1:12" ht="16.5" thickBot="1" x14ac:dyDescent="0.3">
      <c r="A48" s="75" t="s">
        <v>271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2026-08-05T18:46:51Z</dcterms:modified>
</cp:coreProperties>
</file>