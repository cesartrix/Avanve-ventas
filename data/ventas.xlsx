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D355E2D5-C51E-4D37-8082-46BDC9FFBCE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AVANCE!$B$1:$N$47</definedName>
    <definedName name="_xlnm._FilterDatabase" localSheetId="2" hidden="1">COBERTURA!$C$1:$N$46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18" l="1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I12" i="6" s="1"/>
  <c r="H11" i="6"/>
  <c r="F11" i="6" s="1"/>
  <c r="G11" i="6"/>
  <c r="I11" i="6" s="1"/>
  <c r="H10" i="6"/>
  <c r="F10" i="6" s="1"/>
  <c r="G10" i="6"/>
  <c r="H9" i="6"/>
  <c r="G9" i="6"/>
  <c r="H8" i="6"/>
  <c r="F8" i="6" s="1"/>
  <c r="G8" i="6"/>
  <c r="I8" i="6" s="1"/>
  <c r="H7" i="6"/>
  <c r="G7" i="6"/>
  <c r="I7" i="6" s="1"/>
  <c r="H6" i="6"/>
  <c r="F6" i="6" s="1"/>
  <c r="G6" i="6"/>
  <c r="H5" i="6"/>
  <c r="F5" i="6" s="1"/>
  <c r="G5" i="6"/>
  <c r="I5" i="6" s="1"/>
  <c r="H4" i="6"/>
  <c r="F4" i="6" s="1"/>
  <c r="G4" i="6"/>
  <c r="I4" i="6" s="1"/>
  <c r="H3" i="6"/>
  <c r="G3" i="6"/>
  <c r="I3" i="6" s="1"/>
  <c r="F3" i="6"/>
  <c r="C15" i="6"/>
  <c r="G15" i="6"/>
  <c r="H15" i="6"/>
  <c r="C16" i="6"/>
  <c r="G16" i="6"/>
  <c r="H16" i="6"/>
  <c r="C17" i="6"/>
  <c r="G17" i="6"/>
  <c r="H17" i="6"/>
  <c r="D17" i="6" s="1"/>
  <c r="I17" i="6"/>
  <c r="C18" i="6"/>
  <c r="G18" i="6"/>
  <c r="H18" i="6"/>
  <c r="C19" i="6"/>
  <c r="G19" i="6"/>
  <c r="I19" i="6" s="1"/>
  <c r="H19" i="6"/>
  <c r="C20" i="6"/>
  <c r="G20" i="6"/>
  <c r="H20" i="6"/>
  <c r="F20" i="6" s="1"/>
  <c r="I20" i="6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D25" i="6" s="1"/>
  <c r="I25" i="6"/>
  <c r="C26" i="6"/>
  <c r="G26" i="6"/>
  <c r="H26" i="6"/>
  <c r="F26" i="6" s="1"/>
  <c r="C27" i="6"/>
  <c r="G27" i="6"/>
  <c r="I27" i="6" s="1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I31" i="6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I42" i="6"/>
  <c r="G43" i="6"/>
  <c r="H43" i="6"/>
  <c r="F43" i="6" s="1"/>
  <c r="G44" i="6"/>
  <c r="H44" i="6"/>
  <c r="F44" i="6" s="1"/>
  <c r="I44" i="6"/>
  <c r="D19" i="6" l="1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4" i="6"/>
  <c r="I38" i="6"/>
  <c r="I41" i="6"/>
  <c r="D32" i="6"/>
  <c r="D26" i="6"/>
  <c r="G23" i="6"/>
  <c r="F18" i="6"/>
  <c r="D34" i="6"/>
  <c r="G37" i="6"/>
  <c r="G45" i="6" s="1"/>
  <c r="H23" i="6"/>
  <c r="D4" i="6"/>
  <c r="D8" i="6"/>
  <c r="D12" i="6"/>
  <c r="D6" i="6"/>
  <c r="D10" i="6"/>
  <c r="H37" i="6"/>
  <c r="H45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5" i="3"/>
  <c r="F45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6" i="3"/>
  <c r="G40" i="3"/>
  <c r="K44" i="3"/>
  <c r="K45" i="3"/>
  <c r="K41" i="3"/>
  <c r="D46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6" i="3" l="1"/>
  <c r="G46" i="3"/>
  <c r="G43" i="3"/>
  <c r="R2" i="6"/>
  <c r="Q2" i="6"/>
  <c r="G45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6" i="6" s="1"/>
  <c r="G2" i="6"/>
  <c r="G14" i="6" s="1"/>
  <c r="G46" i="6" s="1"/>
  <c r="J45" i="3" l="1"/>
  <c r="H45" i="3"/>
  <c r="I45" i="3" s="1"/>
  <c r="L45" i="3" s="1" a="1"/>
  <c r="L45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6" i="3"/>
  <c r="H46" i="3"/>
  <c r="I46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7" i="3"/>
  <c r="F47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6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6" i="6" l="1"/>
  <c r="H47" i="3"/>
  <c r="J47" i="3"/>
  <c r="I38" i="3"/>
  <c r="I24" i="3"/>
  <c r="I10" i="3"/>
  <c r="K47" i="3"/>
  <c r="G47" i="3"/>
  <c r="I47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<sst xmlns="http://schemas.openxmlformats.org/spreadsheetml/2006/main" count="1559" uniqueCount="285">
  <si>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</si>
  <si>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</si>
  <si>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</si>
  <si>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</si>
  <si>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</si>
  <si>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</si>
  <si>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</si>
  <si>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</si>
  <si>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</si>
  <si>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</si>
  <si>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</si>
  <si>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</si>
  <si>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</si>
  <si>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</si>
  <si>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</si>
  <si>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</si>
  <si>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</si>
  <si>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</si>
  <si>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</si>
  <si>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</si>
  <si>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</si>
  <si>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</si>
  <si>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</si>
  <si>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</si>
  <si>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</si>
  <si>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</si>
  <si>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</si>
  <si>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</si>
  <si>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</si>
  <si>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</si>
  <si>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</si>
  <si>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</si>
  <si>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</si>
  <si>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</si>
  <si>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</si>
  <si>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</si>
  <si>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</si>
  <si>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</si>
  <si>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</si>
  <si>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</si>
  <si>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</si>
  <si>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</si>
  <si>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</si>
  <si>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</si>
  <si>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</si>
  <si>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</si>
  <si>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</si>
  <si>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</si>
  <si>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</si>
  <si>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</si>
  <si>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</si>
  <si>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</si>
  <si>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</si>
  <si>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</si>
  <si>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</si>
  <si>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</si>
  <si>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</si>
  <si>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</si>
  <si>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</si>
  <si>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</si>
  <si>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</si>
  <si>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</si>
  <si>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</si>
  <si>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</si>
  <si>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</si>
  <si>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</si>
  <si>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</si>
  <si>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</si>
  <si>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</si>
  <si>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</si>
  <si>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</si>
  <si>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</si>
  <si>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</si>
  <si>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</si>
  <si>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</si>
  <si>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</si>
  <si>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</si>
  <si>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</si>
  <si>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</si>
  <si>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</si>
  <si>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</si>
  <si>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</si>
  <si>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</si>
  <si>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</si>
  <si>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</si>
  <si>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</si>
  <si>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</si>
  <si>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</si>
  <si>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</si>
  <si>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</si>
  <si>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</si>
  <si>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</si>
  <si>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</si>
  <si>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</si>
  <si>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</si>
  <si>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</si>
  <si>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</si>
  <si>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</si>
  <si>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</si>
  <si>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</si>
  <si>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</si>
  <si>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</si>
  <si>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</si>
  <si>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</si>
  <si>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</si>
  <si>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</si>
  <si>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</si>
  <si>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</si>
  <si>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</si>
  <si>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</si>
  <si>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</si>
  <si>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</si>
  <si>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</si>
  <si>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</si>
  <si>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</si>
  <si>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</si>
  <si>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</si>
  <si>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</si>
  <si>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</si>
  <si>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</si>
  <si>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</si>
  <si>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</si>
  <si>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</si>
  <si>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</si>
  <si>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</si>
  <si>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</si>
  <si>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</si>
  <si>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</si>
  <si>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</si>
  <si>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</si>
  <si>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</si>
  <si>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</si>
  <si>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</si>
  <si>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</si>
  <si>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</si>
  <si>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</si>
  <si>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</si>
  <si>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</si>
  <si>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</si>
  <si>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</si>
  <si>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</si>
  <si>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</si>
  <si>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</si>
  <si>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</si>
  <si>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</si>
  <si>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</si>
  <si>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</si>
  <si>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</si>
  <si>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</si>
  <si>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</si>
  <si>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</si>
  <si>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</si>
  <si>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</si>
  <si>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</si>
  <si>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</si>
  <si>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</si>
  <si>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</si>
  <si>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</si>
  <si>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</si>
  <si>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</si>
  <si>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</si>
  <si>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</si>
  <si>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</si>
  <si>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</si>
  <si>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</si>
  <si>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</si>
  <si>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</si>
  <si>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</si>
  <si>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</si>
  <si>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</si>
  <si>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</si>
  <si>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</si>
  <si>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</si>
  <si>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</si>
  <si>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</si>
  <si>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</si>
  <si>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</si>
  <si>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</si>
  <si>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</si>
  <si>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</si>
  <si>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</si>
  <si>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</si>
  <si>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</si>
  <si>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</si>
  <si>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</si>
  <si>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</si>
  <si>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</si>
  <si>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</si>
  <si>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</si>
  <si>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</si>
  <si>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</si>
  <si>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</si>
  <si>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</si>
  <si>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</si>
  <si>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</si>
  <si>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</si>
  <si>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</si>
  <si>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</si>
  <si>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</si>
  <si>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</si>
  <si>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</si>
  <si>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</si>
  <si>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</si>
  <si>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</si>
  <si>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</si>
  <si>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</si>
  <si>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</si>
  <si>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</si>
  <si>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</si>
  <si>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</si>
  <si>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</si>
  <si>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</si>
  <si>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</si>
  <si>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</si>
  <si>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</si>
  <si>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</si>
  <si>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</si>
  <si>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</si>
  <si>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</si>
  <si>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</si>
  <si>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</si>
  <si>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</si>
  <si>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</si>
  <si>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</si>
  <si>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</si>
  <si>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</si>
  <si>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</si>
  <si>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</si>
  <si>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</si>
  <si>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</si>
  <si>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</si>
  <si>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</si>
  <si>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</si>
  <si>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</si>
  <si>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</si>
  <si>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</si>
  <si>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</si>
  <si>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</si>
  <si>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</si>
  <si>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</si>
  <si>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</si>
  <si>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</si>
  <si>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</si>
  <si>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</si>
  <si>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</si>
  <si>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</si>
  <si>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</si>
  <si>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</si>
  <si>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</si>
  <si>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</si>
  <si>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</si>
  <si>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</si>
  <si>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</si>
  <si>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</si>
  <si>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</si>
  <si>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</si>
  <si>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</si>
  <si>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</si>
  <si>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</si>
  <si>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</si>
  <si>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</si>
  <si>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</si>
  <si>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</si>
  <si>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</si>
  <si>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</si>
  <si>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</si>
  <si>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</si>
  <si>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</si>
  <si>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</si>
  <si>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</si>
  <si>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</si>
  <si>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147 - ALMACEN</t>
  </si>
  <si>
    <t>147 - Articulos Sin Asociar Agrupacion</t>
  </si>
  <si>
    <t>147 - BEBIDAS</t>
  </si>
  <si>
    <t>147 - CHOCOLATE</t>
  </si>
  <si>
    <t>147 - GALLETITAS</t>
  </si>
  <si>
    <t>147 - GOLOSINAS</t>
  </si>
  <si>
    <t>147 - MASCOTAS</t>
  </si>
  <si>
    <t>147 - NO PERECEDEROS</t>
  </si>
  <si>
    <t>147 - PILAS</t>
  </si>
  <si>
    <t>8 - PARRA MAXIMILIANO</t>
  </si>
  <si>
    <t>52 - RAVAROTTO EMANUEL</t>
  </si>
  <si>
    <t>GENERAL</t>
  </si>
  <si>
    <t>37 - SALAJ EMILIO</t>
  </si>
  <si>
    <t>60 - SILVA ADRIAN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</si>
</sst>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5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4" t="s">
        <v>75</v>
      </c>
      <c r="B1" s="154" t="s">
        <v>146</v>
      </c>
      <c r="C1" s="154" t="s">
        <v>147</v>
      </c>
      <c r="D1" s="154" t="s">
        <v>148</v>
      </c>
      <c r="E1" s="154" t="s">
        <v>149</v>
      </c>
      <c r="F1" s="154" t="s">
        <v>150</v>
      </c>
      <c r="G1" s="154" t="s">
        <v>151</v>
      </c>
      <c r="H1" s="154" t="s">
        <v>152</v>
      </c>
    </row>
    <row r="2" spans="1:8" x14ac:dyDescent="0.25">
      <c r="A2" s="153" t="s">
        <v>153</v>
      </c>
      <c r="B2" s="153">
        <v>0</v>
      </c>
      <c r="C2" s="153">
        <v>55151.568827450501</v>
      </c>
      <c r="D2" s="153">
        <v>290226.05265510239</v>
      </c>
      <c r="E2" s="153">
        <v>966646338.04221165</v>
      </c>
      <c r="F2" s="153">
        <v>0</v>
      </c>
      <c r="G2" s="153">
        <v>416307.07430561999</v>
      </c>
      <c r="H2" s="153">
        <v>416307.06</v>
      </c>
    </row>
    <row r="3" spans="1:8" x14ac:dyDescent="0.25">
      <c r="A3" s="153" t="s">
        <v>80</v>
      </c>
      <c r="B3" s="153">
        <v>1</v>
      </c>
      <c r="C3" s="153">
        <v>525.90043650610005</v>
      </c>
      <c r="D3" s="153">
        <v>1079.7354761931001</v>
      </c>
      <c r="E3" s="153">
        <v>13876902.476853944</v>
      </c>
      <c r="F3" s="153">
        <v>0</v>
      </c>
      <c r="G3" s="153">
        <v>416307.07430561999</v>
      </c>
      <c r="H3" s="153">
        <v>416307.06</v>
      </c>
    </row>
    <row r="4" spans="1:8" x14ac:dyDescent="0.25">
      <c r="A4" s="153" t="s">
        <v>81</v>
      </c>
      <c r="B4" s="153">
        <v>1</v>
      </c>
      <c r="C4" s="153">
        <v>313.18151454859998</v>
      </c>
      <c r="D4" s="153">
        <v>795.7578928511</v>
      </c>
      <c r="E4" s="153">
        <v>8392794.6561915595</v>
      </c>
      <c r="F4" s="153">
        <v>0</v>
      </c>
      <c r="G4" s="153">
        <v>0</v>
      </c>
      <c r="H4" s="153">
        <v>0</v>
      </c>
    </row>
    <row r="5" spans="1:8" x14ac:dyDescent="0.25">
      <c r="A5" s="153" t="s">
        <v>82</v>
      </c>
      <c r="B5" s="153">
        <v>1</v>
      </c>
      <c r="C5" s="153">
        <v>575.46047618900002</v>
      </c>
      <c r="D5" s="153">
        <v>3509.8630238141</v>
      </c>
      <c r="E5" s="153">
        <v>13914669.18939651</v>
      </c>
      <c r="F5" s="153">
        <v>0</v>
      </c>
      <c r="G5" s="153">
        <v>0</v>
      </c>
      <c r="H5" s="153">
        <v>0</v>
      </c>
    </row>
    <row r="6" spans="1:8" x14ac:dyDescent="0.25">
      <c r="A6" s="153" t="s">
        <v>83</v>
      </c>
      <c r="B6" s="153">
        <v>1</v>
      </c>
      <c r="C6" s="153">
        <v>906.22946428399996</v>
      </c>
      <c r="D6" s="153">
        <v>2577.8180654906</v>
      </c>
      <c r="E6" s="153">
        <v>21171287.460010119</v>
      </c>
      <c r="F6" s="153">
        <v>0</v>
      </c>
      <c r="G6" s="153">
        <v>0</v>
      </c>
      <c r="H6" s="153">
        <v>0</v>
      </c>
    </row>
    <row r="7" spans="1:8" x14ac:dyDescent="0.25">
      <c r="A7" s="153" t="s">
        <v>84</v>
      </c>
      <c r="B7" s="153">
        <v>1</v>
      </c>
      <c r="C7" s="153">
        <v>1160.8892835073</v>
      </c>
      <c r="D7" s="153">
        <v>5203.3826016416997</v>
      </c>
      <c r="E7" s="153">
        <v>21879265.760397196</v>
      </c>
      <c r="F7" s="153">
        <v>0</v>
      </c>
      <c r="G7" s="153">
        <v>0</v>
      </c>
      <c r="H7" s="153">
        <v>0</v>
      </c>
    </row>
    <row r="8" spans="1:8" x14ac:dyDescent="0.25">
      <c r="A8" s="153" t="s">
        <v>110</v>
      </c>
      <c r="B8" s="153">
        <v>1</v>
      </c>
      <c r="C8" s="153">
        <v>2593.7805555555001</v>
      </c>
      <c r="D8" s="153">
        <v>4931.3999999999996</v>
      </c>
      <c r="E8" s="153">
        <v>42755057.133945607</v>
      </c>
      <c r="F8" s="153">
        <v>0</v>
      </c>
      <c r="G8" s="153">
        <v>0</v>
      </c>
      <c r="H8" s="153">
        <v>0</v>
      </c>
    </row>
    <row r="9" spans="1:8" x14ac:dyDescent="0.25">
      <c r="A9" s="153" t="s">
        <v>280</v>
      </c>
      <c r="B9" s="153">
        <v>1</v>
      </c>
      <c r="C9" s="153">
        <v>557.46832936529995</v>
      </c>
      <c r="D9" s="153">
        <v>2096.9939166781</v>
      </c>
      <c r="E9" s="153">
        <v>10772872.116786627</v>
      </c>
      <c r="F9" s="153">
        <v>0</v>
      </c>
      <c r="G9" s="153">
        <v>0</v>
      </c>
      <c r="H9" s="153">
        <v>0</v>
      </c>
    </row>
    <row r="10" spans="1:8" x14ac:dyDescent="0.25">
      <c r="A10" s="153" t="s">
        <v>86</v>
      </c>
      <c r="B10" s="153">
        <v>1</v>
      </c>
      <c r="C10" s="153">
        <v>292.49408333320002</v>
      </c>
      <c r="D10" s="153">
        <v>1344.8455238257</v>
      </c>
      <c r="E10" s="153">
        <v>9850026.4990906939</v>
      </c>
      <c r="F10" s="153">
        <v>0</v>
      </c>
      <c r="G10" s="153">
        <v>0</v>
      </c>
      <c r="H10" s="153">
        <v>0</v>
      </c>
    </row>
    <row r="11" spans="1:8" x14ac:dyDescent="0.25">
      <c r="A11" s="153" t="s">
        <v>210</v>
      </c>
      <c r="B11" s="153">
        <v>1</v>
      </c>
      <c r="C11" s="153">
        <v>449.87365079350002</v>
      </c>
      <c r="D11" s="153">
        <v>1344.3100000091999</v>
      </c>
      <c r="E11" s="153">
        <v>8271718.4189246446</v>
      </c>
      <c r="F11" s="153">
        <v>0</v>
      </c>
      <c r="G11" s="153">
        <v>0</v>
      </c>
      <c r="H11" s="153">
        <v>0</v>
      </c>
    </row>
    <row r="12" spans="1:8" x14ac:dyDescent="0.25">
      <c r="A12" s="153" t="s">
        <v>209</v>
      </c>
      <c r="B12" s="153">
        <v>1</v>
      </c>
      <c r="C12" s="153">
        <v>803.18738095000003</v>
      </c>
      <c r="D12" s="153">
        <v>2684.7717500137001</v>
      </c>
      <c r="E12" s="153">
        <v>13673007.288266229</v>
      </c>
      <c r="F12" s="153">
        <v>0</v>
      </c>
      <c r="G12" s="153">
        <v>0</v>
      </c>
      <c r="H12" s="153">
        <v>0</v>
      </c>
    </row>
    <row r="13" spans="1:8" x14ac:dyDescent="0.25">
      <c r="A13" s="153" t="s">
        <v>89</v>
      </c>
      <c r="B13" s="153">
        <v>1</v>
      </c>
      <c r="C13" s="153">
        <v>817.15548809270001</v>
      </c>
      <c r="D13" s="153">
        <v>2355.2100952456999</v>
      </c>
      <c r="E13" s="153">
        <v>15642347.575048884</v>
      </c>
      <c r="F13" s="153">
        <v>0</v>
      </c>
      <c r="G13" s="153">
        <v>0</v>
      </c>
      <c r="H13" s="153">
        <v>0</v>
      </c>
    </row>
    <row r="14" spans="1:8" x14ac:dyDescent="0.25">
      <c r="A14" s="153" t="s">
        <v>90</v>
      </c>
      <c r="B14" s="153">
        <v>1</v>
      </c>
      <c r="C14" s="153">
        <v>5075.9331249987999</v>
      </c>
      <c r="D14" s="153">
        <v>26461.3864925567</v>
      </c>
      <c r="E14" s="153">
        <v>78324980.017701909</v>
      </c>
      <c r="F14" s="153">
        <v>0</v>
      </c>
      <c r="G14" s="153">
        <v>0</v>
      </c>
      <c r="H14" s="153">
        <v>0</v>
      </c>
    </row>
    <row r="15" spans="1:8" x14ac:dyDescent="0.25">
      <c r="A15" s="153" t="s">
        <v>91</v>
      </c>
      <c r="B15" s="153">
        <v>1</v>
      </c>
      <c r="C15" s="153">
        <v>751.19692460229999</v>
      </c>
      <c r="D15" s="153">
        <v>3096.0292619054999</v>
      </c>
      <c r="E15" s="153">
        <v>15896916.545126652</v>
      </c>
      <c r="F15" s="153">
        <v>0</v>
      </c>
      <c r="G15" s="153">
        <v>0</v>
      </c>
      <c r="H15" s="153">
        <v>0</v>
      </c>
    </row>
    <row r="16" spans="1:8" x14ac:dyDescent="0.25">
      <c r="A16" s="153" t="s">
        <v>92</v>
      </c>
      <c r="B16" s="153">
        <v>1</v>
      </c>
      <c r="C16" s="153">
        <v>503.09017857039998</v>
      </c>
      <c r="D16" s="153">
        <v>2363.9460119232999</v>
      </c>
      <c r="E16" s="153">
        <v>12812754.706274617</v>
      </c>
      <c r="F16" s="153">
        <v>0</v>
      </c>
      <c r="G16" s="153">
        <v>0</v>
      </c>
      <c r="H16" s="153">
        <v>0</v>
      </c>
    </row>
    <row r="17" spans="1:8" x14ac:dyDescent="0.25">
      <c r="A17" s="153" t="s">
        <v>93</v>
      </c>
      <c r="B17" s="153">
        <v>1</v>
      </c>
      <c r="C17" s="153">
        <v>1088.8770833332001</v>
      </c>
      <c r="D17" s="153">
        <v>3933.4020238223002</v>
      </c>
      <c r="E17" s="153">
        <v>23753696.71280786</v>
      </c>
      <c r="F17" s="153">
        <v>0</v>
      </c>
      <c r="G17" s="153">
        <v>0</v>
      </c>
      <c r="H17" s="153">
        <v>0</v>
      </c>
    </row>
    <row r="18" spans="1:8" x14ac:dyDescent="0.25">
      <c r="A18" s="153" t="s">
        <v>94</v>
      </c>
      <c r="B18" s="153">
        <v>1</v>
      </c>
      <c r="C18" s="153">
        <v>1317.2063293639001</v>
      </c>
      <c r="D18" s="153">
        <v>7661.5180952609999</v>
      </c>
      <c r="E18" s="153">
        <v>26804306.010732092</v>
      </c>
      <c r="F18" s="153">
        <v>0</v>
      </c>
      <c r="G18" s="153">
        <v>0</v>
      </c>
      <c r="H18" s="153">
        <v>0</v>
      </c>
    </row>
    <row r="19" spans="1:8" x14ac:dyDescent="0.25">
      <c r="A19" s="153" t="s">
        <v>95</v>
      </c>
      <c r="B19" s="153">
        <v>1</v>
      </c>
      <c r="C19" s="153">
        <v>899.16244047359999</v>
      </c>
      <c r="D19" s="153">
        <v>3874.1802380974</v>
      </c>
      <c r="E19" s="153">
        <v>20251316.388280157</v>
      </c>
      <c r="F19" s="153">
        <v>0</v>
      </c>
      <c r="G19" s="153">
        <v>0</v>
      </c>
      <c r="H19" s="153">
        <v>0</v>
      </c>
    </row>
    <row r="20" spans="1:8" x14ac:dyDescent="0.25">
      <c r="A20" s="153" t="s">
        <v>96</v>
      </c>
      <c r="B20" s="153">
        <v>1</v>
      </c>
      <c r="C20" s="153">
        <v>3999.6396329355998</v>
      </c>
      <c r="D20" s="153">
        <v>26584.5191115995</v>
      </c>
      <c r="E20" s="153">
        <v>69602991.305046901</v>
      </c>
      <c r="F20" s="153">
        <v>0</v>
      </c>
      <c r="G20" s="153">
        <v>0</v>
      </c>
      <c r="H20" s="153">
        <v>0</v>
      </c>
    </row>
    <row r="21" spans="1:8" x14ac:dyDescent="0.25">
      <c r="A21" s="153" t="s">
        <v>97</v>
      </c>
      <c r="B21" s="153">
        <v>1</v>
      </c>
      <c r="C21" s="153">
        <v>279.03557539479999</v>
      </c>
      <c r="D21" s="153">
        <v>1286.3618571602999</v>
      </c>
      <c r="E21" s="153">
        <v>7179543.9153502462</v>
      </c>
      <c r="F21" s="153">
        <v>0</v>
      </c>
      <c r="G21" s="153">
        <v>0</v>
      </c>
      <c r="H21" s="153">
        <v>0</v>
      </c>
    </row>
    <row r="22" spans="1:8" x14ac:dyDescent="0.25">
      <c r="A22" s="153" t="s">
        <v>204</v>
      </c>
      <c r="B22" s="153">
        <v>1</v>
      </c>
      <c r="C22" s="153">
        <v>276.8400992064</v>
      </c>
      <c r="D22" s="153">
        <v>1222.0952500188</v>
      </c>
      <c r="E22" s="153">
        <v>5499236.2478790414</v>
      </c>
      <c r="F22" s="153">
        <v>0</v>
      </c>
      <c r="G22" s="153">
        <v>0</v>
      </c>
      <c r="H22" s="153">
        <v>0</v>
      </c>
    </row>
    <row r="23" spans="1:8" x14ac:dyDescent="0.25">
      <c r="A23" s="153" t="s">
        <v>267</v>
      </c>
      <c r="B23" s="153">
        <v>1</v>
      </c>
      <c r="C23" s="153">
        <v>2757.6937103160999</v>
      </c>
      <c r="D23" s="153">
        <v>15299.309261905</v>
      </c>
      <c r="E23" s="153">
        <v>47643491.223562136</v>
      </c>
      <c r="F23" s="153">
        <v>0</v>
      </c>
      <c r="G23" s="153">
        <v>0</v>
      </c>
      <c r="H23" s="153">
        <v>0</v>
      </c>
    </row>
    <row r="24" spans="1:8" x14ac:dyDescent="0.25">
      <c r="A24" s="153" t="s">
        <v>266</v>
      </c>
      <c r="B24" s="153">
        <v>1</v>
      </c>
      <c r="C24" s="153">
        <v>2610.2683531739999</v>
      </c>
      <c r="D24" s="153">
        <v>25067.177857139799</v>
      </c>
      <c r="E24" s="153">
        <v>43295006.363887966</v>
      </c>
      <c r="F24" s="153">
        <v>0</v>
      </c>
      <c r="G24" s="153">
        <v>0</v>
      </c>
      <c r="H24" s="153">
        <v>0</v>
      </c>
    </row>
    <row r="25" spans="1:8" x14ac:dyDescent="0.25">
      <c r="A25" s="153" t="s">
        <v>98</v>
      </c>
      <c r="B25" s="153">
        <v>1</v>
      </c>
      <c r="C25" s="153">
        <v>651.39346428440001</v>
      </c>
      <c r="D25" s="153">
        <v>3167.8259166756998</v>
      </c>
      <c r="E25" s="153">
        <v>15796706.654498672</v>
      </c>
      <c r="F25" s="153">
        <v>0</v>
      </c>
      <c r="G25" s="153">
        <v>0</v>
      </c>
      <c r="H25" s="153">
        <v>0</v>
      </c>
    </row>
    <row r="26" spans="1:8" x14ac:dyDescent="0.25">
      <c r="A26" s="153" t="s">
        <v>99</v>
      </c>
      <c r="B26" s="153">
        <v>1</v>
      </c>
      <c r="C26" s="153">
        <v>495.20035713999999</v>
      </c>
      <c r="D26" s="153">
        <v>1309.2041071323999</v>
      </c>
      <c r="E26" s="153">
        <v>9656606.5354505666</v>
      </c>
      <c r="F26" s="153">
        <v>0</v>
      </c>
      <c r="G26" s="153">
        <v>0</v>
      </c>
      <c r="H26" s="153">
        <v>0</v>
      </c>
    </row>
    <row r="27" spans="1:8" x14ac:dyDescent="0.25">
      <c r="A27" s="153" t="s">
        <v>217</v>
      </c>
      <c r="B27" s="153">
        <v>1</v>
      </c>
      <c r="C27" s="153">
        <v>7373.6388888889996</v>
      </c>
      <c r="D27" s="153">
        <v>24537.66</v>
      </c>
      <c r="E27" s="153">
        <v>90395589.906593353</v>
      </c>
      <c r="F27" s="153">
        <v>0</v>
      </c>
      <c r="G27" s="153">
        <v>0</v>
      </c>
      <c r="H27" s="153">
        <v>0</v>
      </c>
    </row>
    <row r="28" spans="1:8" x14ac:dyDescent="0.25">
      <c r="A28" s="153" t="s">
        <v>219</v>
      </c>
      <c r="B28" s="153">
        <v>1</v>
      </c>
      <c r="C28" s="153">
        <v>731.92230158459995</v>
      </c>
      <c r="D28" s="153">
        <v>2533.0955833367002</v>
      </c>
      <c r="E28" s="153">
        <v>14684129.439204972</v>
      </c>
      <c r="F28" s="153">
        <v>0</v>
      </c>
      <c r="G28" s="153">
        <v>0</v>
      </c>
      <c r="H28" s="153">
        <v>0</v>
      </c>
    </row>
    <row r="29" spans="1:8" x14ac:dyDescent="0.25">
      <c r="A29" s="153" t="s">
        <v>211</v>
      </c>
      <c r="B29" s="153">
        <v>1</v>
      </c>
      <c r="C29" s="153">
        <v>2213.6244047617001</v>
      </c>
      <c r="D29" s="153">
        <v>12728.7489047651</v>
      </c>
      <c r="E29" s="153">
        <v>36534866.707784109</v>
      </c>
      <c r="F29" s="153">
        <v>0</v>
      </c>
      <c r="G29" s="153">
        <v>0</v>
      </c>
      <c r="H29" s="153">
        <v>0</v>
      </c>
    </row>
    <row r="30" spans="1:8" x14ac:dyDescent="0.25">
      <c r="A30" s="153" t="s">
        <v>138</v>
      </c>
      <c r="B30" s="153">
        <v>1</v>
      </c>
      <c r="C30" s="153">
        <v>266.3399404754</v>
      </c>
      <c r="D30" s="153">
        <v>998.88634523359997</v>
      </c>
      <c r="E30" s="153">
        <v>6135579.6092607612</v>
      </c>
      <c r="F30" s="153">
        <v>0</v>
      </c>
      <c r="G30" s="153">
        <v>0</v>
      </c>
      <c r="H30" s="153">
        <v>0</v>
      </c>
    </row>
    <row r="31" spans="1:8" x14ac:dyDescent="0.25">
      <c r="A31" s="153" t="s">
        <v>213</v>
      </c>
      <c r="B31" s="153">
        <v>1</v>
      </c>
      <c r="C31" s="153">
        <v>500.35525793570002</v>
      </c>
      <c r="D31" s="153">
        <v>1584.8775000088999</v>
      </c>
      <c r="E31" s="153">
        <v>7252380.540192062</v>
      </c>
      <c r="F31" s="153">
        <v>0</v>
      </c>
      <c r="G31" s="153">
        <v>0</v>
      </c>
      <c r="H31" s="153">
        <v>0</v>
      </c>
    </row>
    <row r="32" spans="1:8" x14ac:dyDescent="0.25">
      <c r="A32" s="153" t="s">
        <v>283</v>
      </c>
      <c r="B32" s="153">
        <v>1</v>
      </c>
      <c r="C32" s="153">
        <v>79.903869046699995</v>
      </c>
      <c r="D32" s="153">
        <v>584.02499999520001</v>
      </c>
      <c r="E32" s="153">
        <v>2951970.4862393411</v>
      </c>
      <c r="F32" s="153">
        <v>0</v>
      </c>
      <c r="G32" s="153">
        <v>0</v>
      </c>
      <c r="H32" s="153">
        <v>0</v>
      </c>
    </row>
    <row r="33" spans="1:8" x14ac:dyDescent="0.25">
      <c r="A33" s="153" t="s">
        <v>212</v>
      </c>
      <c r="B33" s="153">
        <v>1</v>
      </c>
      <c r="C33" s="153">
        <v>819.70278439050003</v>
      </c>
      <c r="D33" s="153">
        <v>3562.0502499999998</v>
      </c>
      <c r="E33" s="153">
        <v>11880395.715491928</v>
      </c>
      <c r="F33" s="153">
        <v>0</v>
      </c>
      <c r="G33" s="153">
        <v>0</v>
      </c>
      <c r="H33" s="153">
        <v>0</v>
      </c>
    </row>
    <row r="34" spans="1:8" x14ac:dyDescent="0.25">
      <c r="A34" s="153" t="s">
        <v>270</v>
      </c>
      <c r="B34" s="153">
        <v>1</v>
      </c>
      <c r="C34" s="153">
        <v>78.830304621799996</v>
      </c>
      <c r="D34" s="153">
        <v>1028.4044166649001</v>
      </c>
      <c r="E34" s="153">
        <v>2603101.5820571147</v>
      </c>
      <c r="F34" s="153">
        <v>0</v>
      </c>
      <c r="G34" s="153">
        <v>0</v>
      </c>
      <c r="H34" s="153">
        <v>0</v>
      </c>
    </row>
    <row r="35" spans="1:8" x14ac:dyDescent="0.25">
      <c r="A35" s="153" t="s">
        <v>268</v>
      </c>
      <c r="B35" s="153">
        <v>1</v>
      </c>
      <c r="C35" s="153">
        <v>1377.9625000000001</v>
      </c>
      <c r="D35" s="153">
        <v>9828.4400000002006</v>
      </c>
      <c r="E35" s="153">
        <v>17718219.575619414</v>
      </c>
      <c r="F35" s="153">
        <v>0</v>
      </c>
      <c r="G35" s="153">
        <v>0</v>
      </c>
      <c r="H35" s="153">
        <v>0</v>
      </c>
    </row>
    <row r="36" spans="1:8" x14ac:dyDescent="0.25">
      <c r="A36" s="153" t="s">
        <v>160</v>
      </c>
      <c r="B36" s="153">
        <v>1</v>
      </c>
      <c r="C36" s="153">
        <v>630.99374999960003</v>
      </c>
      <c r="D36" s="153">
        <v>3182.5603452513001</v>
      </c>
      <c r="E36" s="153">
        <v>14594523.075602926</v>
      </c>
      <c r="F36" s="153">
        <v>0</v>
      </c>
      <c r="G36" s="153">
        <v>0</v>
      </c>
      <c r="H36" s="153">
        <v>0</v>
      </c>
    </row>
    <row r="37" spans="1:8" x14ac:dyDescent="0.25">
      <c r="A37" s="153" t="s">
        <v>106</v>
      </c>
      <c r="B37" s="153">
        <v>1</v>
      </c>
      <c r="C37" s="153">
        <v>547.83746031780004</v>
      </c>
      <c r="D37" s="153">
        <v>3645.0450000085998</v>
      </c>
      <c r="E37" s="153">
        <v>12569711.562333032</v>
      </c>
      <c r="F37" s="153">
        <v>0</v>
      </c>
      <c r="G37" s="153">
        <v>0</v>
      </c>
      <c r="H37" s="153">
        <v>0</v>
      </c>
    </row>
    <row r="38" spans="1:8" x14ac:dyDescent="0.25">
      <c r="A38" s="153" t="s">
        <v>281</v>
      </c>
      <c r="B38" s="153">
        <v>1</v>
      </c>
      <c r="C38" s="153">
        <v>944.99999999969998</v>
      </c>
      <c r="D38" s="153">
        <v>9923.6799999964005</v>
      </c>
      <c r="E38" s="153">
        <v>22023211.318708941</v>
      </c>
      <c r="F38" s="153">
        <v>0</v>
      </c>
      <c r="G38" s="153">
        <v>0</v>
      </c>
      <c r="H38" s="153">
        <v>0</v>
      </c>
    </row>
    <row r="39" spans="1:8" x14ac:dyDescent="0.25">
      <c r="A39" s="153" t="s">
        <v>107</v>
      </c>
      <c r="B39" s="153">
        <v>1</v>
      </c>
      <c r="C39" s="153">
        <v>929.98544372289996</v>
      </c>
      <c r="D39" s="153">
        <v>10872.2050000005</v>
      </c>
      <c r="E39" s="153">
        <v>21637079.567608073</v>
      </c>
      <c r="F39" s="153">
        <v>0</v>
      </c>
      <c r="G39" s="153">
        <v>0</v>
      </c>
      <c r="H39" s="153">
        <v>0</v>
      </c>
    </row>
    <row r="40" spans="1:8" x14ac:dyDescent="0.25">
      <c r="A40" s="153" t="s">
        <v>220</v>
      </c>
      <c r="B40" s="153">
        <v>1</v>
      </c>
      <c r="C40" s="153">
        <v>1212.0508101831999</v>
      </c>
      <c r="D40" s="153">
        <v>5613.9275134059999</v>
      </c>
      <c r="E40" s="153">
        <v>21513251.591781326</v>
      </c>
      <c r="F40" s="153">
        <v>0</v>
      </c>
      <c r="G40" s="153">
        <v>0</v>
      </c>
      <c r="H40" s="153">
        <v>0</v>
      </c>
    </row>
    <row r="41" spans="1:8" x14ac:dyDescent="0.25">
      <c r="A41" s="153" t="s">
        <v>139</v>
      </c>
      <c r="B41" s="153">
        <v>1</v>
      </c>
      <c r="C41" s="153">
        <v>3410.0382936514002</v>
      </c>
      <c r="D41" s="153">
        <v>22231.756416668301</v>
      </c>
      <c r="E41" s="153">
        <v>38714890.220853798</v>
      </c>
      <c r="F41" s="153">
        <v>0</v>
      </c>
      <c r="G41" s="153">
        <v>0</v>
      </c>
      <c r="H41" s="153">
        <v>0</v>
      </c>
    </row>
    <row r="42" spans="1:8" x14ac:dyDescent="0.25">
      <c r="A42" s="153" t="s">
        <v>214</v>
      </c>
      <c r="B42" s="153">
        <v>1</v>
      </c>
      <c r="C42" s="153">
        <v>589.125</v>
      </c>
      <c r="D42" s="153">
        <v>5115.28</v>
      </c>
      <c r="E42" s="153">
        <v>11568639.466600001</v>
      </c>
      <c r="F42" s="153">
        <v>0</v>
      </c>
      <c r="G42" s="153">
        <v>0</v>
      </c>
      <c r="H42" s="153">
        <v>0</v>
      </c>
    </row>
    <row r="43" spans="1:8" x14ac:dyDescent="0.25">
      <c r="A43" s="153" t="s">
        <v>144</v>
      </c>
      <c r="B43" s="153">
        <v>1</v>
      </c>
      <c r="C43" s="153">
        <v>249.68120039679999</v>
      </c>
      <c r="D43" s="153">
        <v>983.91860386630003</v>
      </c>
      <c r="E43" s="153">
        <v>12169633.317552326</v>
      </c>
      <c r="F43" s="153">
        <v>0</v>
      </c>
      <c r="G43" s="153">
        <v>0</v>
      </c>
      <c r="H43" s="153">
        <v>0</v>
      </c>
    </row>
    <row r="44" spans="1:8" x14ac:dyDescent="0.25">
      <c r="A44" s="153" t="s">
        <v>145</v>
      </c>
      <c r="B44" s="153">
        <v>1</v>
      </c>
      <c r="C44" s="153">
        <v>352.01825396859999</v>
      </c>
      <c r="D44" s="153">
        <v>2667.0354881005001</v>
      </c>
      <c r="E44" s="153">
        <v>7218024.7453821842</v>
      </c>
      <c r="F44" s="153">
        <v>0</v>
      </c>
      <c r="G44" s="153">
        <v>0</v>
      </c>
      <c r="H44" s="153">
        <v>0</v>
      </c>
    </row>
    <row r="45" spans="1:8" x14ac:dyDescent="0.25">
      <c r="A45" s="153" t="s">
        <v>284</v>
      </c>
      <c r="B45" s="153">
        <v>1</v>
      </c>
      <c r="C45" s="153">
        <v>190.05000000019999</v>
      </c>
      <c r="D45" s="153">
        <v>58.504999999799999</v>
      </c>
      <c r="E45" s="153">
        <v>1964343.6055094416</v>
      </c>
      <c r="F45" s="153">
        <v>0</v>
      </c>
      <c r="G45" s="153">
        <v>0</v>
      </c>
      <c r="H45" s="153">
        <v>0</v>
      </c>
    </row>
    <row r="46" spans="1:8" x14ac:dyDescent="0.25">
      <c r="A46" s="153" t="s">
        <v>154</v>
      </c>
      <c r="B46" s="153">
        <v>1</v>
      </c>
      <c r="C46" s="153">
        <v>1050.7085218243999</v>
      </c>
      <c r="D46" s="153">
        <v>2081.8874568376</v>
      </c>
      <c r="E46" s="153">
        <v>10026036.000833869</v>
      </c>
      <c r="F46" s="153">
        <v>0</v>
      </c>
      <c r="G46" s="153">
        <v>0</v>
      </c>
      <c r="H46" s="153">
        <v>0</v>
      </c>
    </row>
    <row r="47" spans="1:8" x14ac:dyDescent="0.25">
      <c r="A47" s="153" t="s">
        <v>218</v>
      </c>
      <c r="B47" s="153">
        <v>1</v>
      </c>
      <c r="C47" s="153">
        <v>1900.6419047618001</v>
      </c>
      <c r="D47" s="153">
        <v>17213.020000001801</v>
      </c>
      <c r="E47" s="153">
        <v>45773258.805491842</v>
      </c>
      <c r="F47" s="153">
        <v>0</v>
      </c>
      <c r="G47" s="153">
        <v>0</v>
      </c>
      <c r="H47" s="15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7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4" t="s">
        <v>206</v>
      </c>
      <c r="B2" s="57" t="s">
        <v>94</v>
      </c>
      <c r="C2" s="58">
        <v>32279076.638250753</v>
      </c>
      <c r="D2" s="59">
        <f>IFERROR(+VLOOKUP(B2,COMISIONES!A:E,5,FALSE),"0")*1</f>
        <v>26804306.010732092</v>
      </c>
      <c r="E2" s="59">
        <v>25532162.148407452</v>
      </c>
      <c r="F2" s="59">
        <f t="shared" ref="F2:F9" si="0">+D2-E2</f>
        <v>1272143.8623246402</v>
      </c>
      <c r="G2" s="60">
        <f t="shared" ref="G2:G46" si="1">+D2/C2</f>
        <v>0.83039258870772503</v>
      </c>
      <c r="H2" s="59">
        <f>+D2/$N$3*$N$4</f>
        <v>58075996.356586203</v>
      </c>
      <c r="I2" s="60">
        <f t="shared" ref="I2:I47" si="2">+H2/C2</f>
        <v>1.7991839422000708</v>
      </c>
      <c r="J2" s="59">
        <f>+D2/$N$3</f>
        <v>2233692.1675610077</v>
      </c>
      <c r="K2" s="59">
        <f t="shared" ref="K2:K38" si="3">+(C2-D2)/$N$2</f>
        <v>391055.0448227615</v>
      </c>
      <c r="L2" s="61" cm="1">
        <f t="array" ref="L2">+_xlfn.IFS(I2&gt;114%,H2*0.02,I2&gt;109%,H2*0.015,I2&gt;104%,H2*0.0125,I2&gt;99%,H2*0.01,I2&lt;99%,H2*0)</f>
        <v>1161519.9271317241</v>
      </c>
      <c r="M2" s="53" t="s">
        <v>36</v>
      </c>
      <c r="N2">
        <v>14</v>
      </c>
    </row>
    <row r="3" spans="1:14" ht="16.5" thickBot="1" x14ac:dyDescent="0.3">
      <c r="A3" s="145"/>
      <c r="B3" s="36" t="s">
        <v>93</v>
      </c>
      <c r="C3" s="62">
        <v>30982728.178883255</v>
      </c>
      <c r="D3" s="4">
        <f>IFERROR(+VLOOKUP(B3,COMISIONES!A:E,5,FALSE),"0")*1</f>
        <v>23753696.71280786</v>
      </c>
      <c r="E3" s="4">
        <v>21791908.595754426</v>
      </c>
      <c r="F3" s="59">
        <f t="shared" si="0"/>
        <v>1961788.1170534343</v>
      </c>
      <c r="G3" s="5">
        <f t="shared" si="1"/>
        <v>0.76667543851085229</v>
      </c>
      <c r="H3" s="4">
        <f t="shared" ref="H3:H38" si="4">+D3/$N$3*$N$4</f>
        <v>51466342.877750359</v>
      </c>
      <c r="I3" s="5">
        <f t="shared" si="2"/>
        <v>1.6611301167735133</v>
      </c>
      <c r="J3" s="4">
        <f t="shared" ref="J3:J38" si="5">+D3/$N$3</f>
        <v>1979474.7260673216</v>
      </c>
      <c r="K3" s="4">
        <f t="shared" si="3"/>
        <v>516359.39043395675</v>
      </c>
      <c r="L3" s="63" cm="1">
        <f t="array" ref="L3">+_xlfn.IFS(I3&gt;114%,H3*0.02,I3&gt;109%,H3*0.015,I3&gt;104%,H3*0.0125,I3&gt;99%,H3*0.01,I3&lt;99%,H3*0)</f>
        <v>1029326.8575550072</v>
      </c>
      <c r="M3" s="53" t="s">
        <v>40</v>
      </c>
      <c r="N3">
        <f>N4-N2</f>
        <v>12</v>
      </c>
    </row>
    <row r="4" spans="1:14" ht="16.5" thickBot="1" x14ac:dyDescent="0.3">
      <c r="A4" s="145"/>
      <c r="B4" s="36" t="s">
        <v>91</v>
      </c>
      <c r="C4" s="62">
        <v>28390031.260148253</v>
      </c>
      <c r="D4" s="4">
        <f>IFERROR(+VLOOKUP(B4,COMISIONES!A:E,5,FALSE),"0")*1</f>
        <v>15896916.545126652</v>
      </c>
      <c r="E4" s="4">
        <v>14588894.231348034</v>
      </c>
      <c r="F4" s="59">
        <f t="shared" si="0"/>
        <v>1308022.3137786184</v>
      </c>
      <c r="G4" s="5">
        <f t="shared" si="1"/>
        <v>0.55994713071843372</v>
      </c>
      <c r="H4" s="4">
        <f t="shared" si="4"/>
        <v>34443319.181107752</v>
      </c>
      <c r="I4" s="5">
        <f t="shared" si="2"/>
        <v>1.2132187832232733</v>
      </c>
      <c r="J4" s="4">
        <f t="shared" si="5"/>
        <v>1324743.0454272211</v>
      </c>
      <c r="K4" s="4">
        <f t="shared" si="3"/>
        <v>892365.33678725723</v>
      </c>
      <c r="L4" s="63" cm="1">
        <f t="array" ref="L4">+_xlfn.IFS(I4&gt;114%,H4*0.02,I4&gt;109%,H4*0.015,I4&gt;104%,H4*0.0125,I4&gt;99%,H4*0.01,I4&lt;99%,H4*0)</f>
        <v>688866.38362215506</v>
      </c>
      <c r="M4" s="53" t="s">
        <v>47</v>
      </c>
      <c r="N4">
        <v>26</v>
      </c>
    </row>
    <row r="5" spans="1:14" ht="16.5" thickBot="1" x14ac:dyDescent="0.3">
      <c r="A5" s="145"/>
      <c r="B5" s="36" t="s">
        <v>89</v>
      </c>
      <c r="C5" s="62">
        <v>28390031.260148253</v>
      </c>
      <c r="D5" s="4">
        <f>IFERROR(+VLOOKUP(B5,COMISIONES!A:E,5,FALSE),"0")*1</f>
        <v>15642347.575048884</v>
      </c>
      <c r="E5" s="4">
        <v>14964532.681617014</v>
      </c>
      <c r="F5" s="59">
        <f t="shared" si="0"/>
        <v>677814.89343187027</v>
      </c>
      <c r="G5" s="5">
        <f t="shared" si="1"/>
        <v>0.55098028711952884</v>
      </c>
      <c r="H5" s="4">
        <f t="shared" si="4"/>
        <v>33891753.079272583</v>
      </c>
      <c r="I5" s="5">
        <f t="shared" si="2"/>
        <v>1.1937906220923125</v>
      </c>
      <c r="J5" s="4">
        <f t="shared" si="5"/>
        <v>1303528.964587407</v>
      </c>
      <c r="K5" s="4">
        <f t="shared" si="3"/>
        <v>910548.83464995492</v>
      </c>
      <c r="L5" s="63" cm="1">
        <f t="array" ref="L5">+_xlfn.IFS(I5&gt;114%,H5*0.02,I5&gt;109%,H5*0.015,I5&gt;104%,H5*0.0125,I5&gt;99%,H5*0.01,I5&lt;99%,H5*0)</f>
        <v>677835.06158545171</v>
      </c>
    </row>
    <row r="6" spans="1:14" ht="16.5" thickBot="1" x14ac:dyDescent="0.3">
      <c r="A6" s="145"/>
      <c r="B6" s="36" t="s">
        <v>209</v>
      </c>
      <c r="C6" s="62">
        <v>23528724.537520126</v>
      </c>
      <c r="D6" s="4">
        <f>IFERROR(+VLOOKUP(B6,COMISIONES!A:E,5,FALSE),"0")*1</f>
        <v>13673007.288266229</v>
      </c>
      <c r="E6" s="4">
        <v>12648888.88149002</v>
      </c>
      <c r="F6" s="59">
        <f t="shared" si="0"/>
        <v>1024118.4067762084</v>
      </c>
      <c r="G6" s="5">
        <f t="shared" si="1"/>
        <v>0.58111978260710828</v>
      </c>
      <c r="H6" s="4">
        <f t="shared" si="4"/>
        <v>29624849.124576829</v>
      </c>
      <c r="I6" s="5">
        <f t="shared" si="2"/>
        <v>1.2590928623154012</v>
      </c>
      <c r="J6" s="4">
        <f t="shared" si="5"/>
        <v>1139417.2740221857</v>
      </c>
      <c r="K6" s="4">
        <f t="shared" si="3"/>
        <v>703979.80351813545</v>
      </c>
      <c r="L6" s="63" cm="1">
        <f t="array" ref="L6">+_xlfn.IFS(I6&gt;114%,H6*0.02,I6&gt;109%,H6*0.015,I6&gt;104%,H6*0.0125,I6&gt;99%,H6*0.01,I6&lt;99%,H6*0)</f>
        <v>592496.98249153665</v>
      </c>
    </row>
    <row r="7" spans="1:14" ht="16.5" thickBot="1" x14ac:dyDescent="0.3">
      <c r="A7" s="145"/>
      <c r="B7" s="36" t="s">
        <v>280</v>
      </c>
      <c r="C7" s="62">
        <v>27741857.030464504</v>
      </c>
      <c r="D7" s="4">
        <f>IFERROR(+VLOOKUP(B7,COMISIONES!A:E,5,FALSE),"0")*1</f>
        <v>10772872.116786627</v>
      </c>
      <c r="E7" s="4">
        <v>9151005.7197869364</v>
      </c>
      <c r="F7" s="59">
        <f t="shared" si="0"/>
        <v>1621866.3969996907</v>
      </c>
      <c r="G7" s="5">
        <f t="shared" si="1"/>
        <v>0.38832555819736514</v>
      </c>
      <c r="H7" s="4">
        <f t="shared" si="4"/>
        <v>23341222.919704359</v>
      </c>
      <c r="I7" s="5">
        <f t="shared" si="2"/>
        <v>0.84137204276095778</v>
      </c>
      <c r="J7" s="4">
        <f t="shared" si="5"/>
        <v>897739.3430655523</v>
      </c>
      <c r="K7" s="4">
        <f t="shared" si="3"/>
        <v>1212070.3509769912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5"/>
      <c r="B8" s="36" t="s">
        <v>84</v>
      </c>
      <c r="C8" s="62">
        <v>35831071.416917704</v>
      </c>
      <c r="D8" s="4">
        <f>IFERROR(+VLOOKUP(B8,COMISIONES!A:E,5,FALSE),"0")*1</f>
        <v>21879265.760397196</v>
      </c>
      <c r="E8" s="4">
        <v>20004431.478655361</v>
      </c>
      <c r="F8" s="59">
        <f t="shared" si="0"/>
        <v>1874834.2817418352</v>
      </c>
      <c r="G8" s="5">
        <f t="shared" si="1"/>
        <v>0.61062270524422169</v>
      </c>
      <c r="H8" s="4">
        <f t="shared" si="4"/>
        <v>47405075.814193927</v>
      </c>
      <c r="I8" s="5">
        <f t="shared" si="2"/>
        <v>1.3230158613624803</v>
      </c>
      <c r="J8" s="4">
        <f t="shared" si="5"/>
        <v>1823272.1466997664</v>
      </c>
      <c r="K8" s="4">
        <f t="shared" si="3"/>
        <v>996557.54689432203</v>
      </c>
      <c r="L8" s="63" cm="1">
        <f t="array" ref="L8">+_xlfn.IFS(I8&gt;114%,H8*0.02,I8&gt;109%,H8*0.015,I8&gt;104%,H8*0.0125,I8&gt;99%,H8*0.01,I8&lt;99%,H8*0)</f>
        <v>948101.51628387859</v>
      </c>
    </row>
    <row r="9" spans="1:14" ht="15.75" x14ac:dyDescent="0.25">
      <c r="A9" s="145"/>
      <c r="B9" s="36" t="s">
        <v>83</v>
      </c>
      <c r="C9" s="62">
        <v>35831071.416917704</v>
      </c>
      <c r="D9" s="4">
        <f>IFERROR(+VLOOKUP(B9,COMISIONES!A:E,5,FALSE),"0")*1</f>
        <v>21171287.460010119</v>
      </c>
      <c r="E9" s="4">
        <v>19908229.266799271</v>
      </c>
      <c r="F9" s="59">
        <f t="shared" si="0"/>
        <v>1263058.1932108477</v>
      </c>
      <c r="G9" s="5">
        <f t="shared" si="1"/>
        <v>0.59086392404146915</v>
      </c>
      <c r="H9" s="4">
        <f t="shared" si="4"/>
        <v>45871122.830021925</v>
      </c>
      <c r="I9" s="5">
        <f t="shared" si="2"/>
        <v>1.2802051687565166</v>
      </c>
      <c r="J9" s="4">
        <f t="shared" si="5"/>
        <v>1764273.9550008432</v>
      </c>
      <c r="K9" s="4">
        <f t="shared" si="3"/>
        <v>1047127.4254933989</v>
      </c>
      <c r="L9" s="63" cm="1">
        <f t="array" ref="L9">+_xlfn.IFS(I9&gt;114%,H9*0.02,I9&gt;109%,H9*0.015,I9&gt;104%,H9*0.0125,I9&gt;99%,H9*0.01,I9&lt;99%,H9*0)</f>
        <v>917422.45660043857</v>
      </c>
    </row>
    <row r="10" spans="1:14" ht="16.5" thickBot="1" x14ac:dyDescent="0.3">
      <c r="A10" s="146"/>
      <c r="B10" s="3"/>
      <c r="C10" s="64">
        <v>242974591.73925051</v>
      </c>
      <c r="D10" s="64">
        <f>+SUM(D2:D9)</f>
        <v>149593699.46917567</v>
      </c>
      <c r="E10" s="65">
        <v>138590053.00385854</v>
      </c>
      <c r="F10" s="67">
        <f>+D10-E10</f>
        <v>11003646.46531713</v>
      </c>
      <c r="G10" s="66">
        <f t="shared" si="1"/>
        <v>0.61567630754458869</v>
      </c>
      <c r="H10" s="64">
        <f t="shared" si="4"/>
        <v>324119682.18321395</v>
      </c>
      <c r="I10" s="66">
        <f t="shared" si="2"/>
        <v>1.3339653330132755</v>
      </c>
      <c r="J10" s="64">
        <f t="shared" si="5"/>
        <v>12466141.622431306</v>
      </c>
      <c r="K10" s="67">
        <f t="shared" si="3"/>
        <v>6670063.7335767746</v>
      </c>
      <c r="L10" s="68"/>
    </row>
    <row r="11" spans="1:14" ht="16.5" thickBot="1" x14ac:dyDescent="0.3">
      <c r="A11" s="144" t="s">
        <v>207</v>
      </c>
      <c r="B11" s="57" t="s">
        <v>96</v>
      </c>
      <c r="C11" s="58">
        <v>96971948.480137512</v>
      </c>
      <c r="D11" s="59">
        <f>IFERROR(+VLOOKUP(B11,COMISIONES!A:E,5,FALSE),"0")*1</f>
        <v>69602991.305046901</v>
      </c>
      <c r="E11" s="59">
        <v>62924732.565756746</v>
      </c>
      <c r="F11" s="59">
        <f t="shared" ref="F11:F14" si="6">+D11-E11</f>
        <v>6678258.7392901555</v>
      </c>
      <c r="G11" s="60">
        <f t="shared" si="1"/>
        <v>0.7177641822810592</v>
      </c>
      <c r="H11" s="59">
        <f t="shared" si="4"/>
        <v>150806481.16093495</v>
      </c>
      <c r="I11" s="60">
        <f t="shared" si="2"/>
        <v>1.5551557282756283</v>
      </c>
      <c r="J11" s="59">
        <f t="shared" si="5"/>
        <v>5800249.2754205754</v>
      </c>
      <c r="K11" s="59">
        <f t="shared" si="3"/>
        <v>1954925.5125064722</v>
      </c>
      <c r="L11" s="61" cm="1">
        <f t="array" ref="L11">+_xlfn.IFS(I11&gt;114%,H11*0.0125,I11&gt;109%,H11*0.01,I11&gt;104%,H11*0.0075,I11&gt;99%,H11*0.005,I11&lt;99%,H11*0)</f>
        <v>1885081.014511687</v>
      </c>
    </row>
    <row r="12" spans="1:14" ht="16.5" thickBot="1" x14ac:dyDescent="0.3">
      <c r="A12" s="145"/>
      <c r="B12" s="36" t="s">
        <v>90</v>
      </c>
      <c r="C12" s="62">
        <v>128363916.07462499</v>
      </c>
      <c r="D12" s="4">
        <f>IFERROR(+VLOOKUP(B12,COMISIONES!A:E,5,FALSE),"0")*1</f>
        <v>78324980.017701909</v>
      </c>
      <c r="E12" s="4">
        <v>49389397.922412865</v>
      </c>
      <c r="F12" s="59">
        <f t="shared" si="6"/>
        <v>28935582.095289044</v>
      </c>
      <c r="G12" s="5">
        <f t="shared" si="1"/>
        <v>0.61017910961961697</v>
      </c>
      <c r="H12" s="4">
        <f t="shared" si="4"/>
        <v>169704123.37168747</v>
      </c>
      <c r="I12" s="5">
        <f t="shared" si="2"/>
        <v>1.32205473750917</v>
      </c>
      <c r="J12" s="4">
        <f t="shared" si="5"/>
        <v>6527081.6681418261</v>
      </c>
      <c r="K12" s="4">
        <f t="shared" si="3"/>
        <v>3574209.7183516482</v>
      </c>
      <c r="L12" s="63" cm="1">
        <f t="array" ref="L12">+_xlfn.IFS(I12&gt;114%,H12*0.0125,I12&gt;109%,H12*0.01,I12&gt;104%,H12*0.0075,I12&gt;99%,H12*0.005,I12&lt;99%,H12*0)</f>
        <v>2121301.5421460937</v>
      </c>
      <c r="M12" s="53" t="s">
        <v>61</v>
      </c>
      <c r="N12" s="25">
        <v>0.02</v>
      </c>
    </row>
    <row r="13" spans="1:14" ht="16.5" thickBot="1" x14ac:dyDescent="0.3">
      <c r="A13" s="145"/>
      <c r="B13" s="36" t="s">
        <v>281</v>
      </c>
      <c r="C13" s="62">
        <v>42449057.394974999</v>
      </c>
      <c r="D13" s="4">
        <f>IFERROR(+VLOOKUP(B13,COMISIONES!A:E,5,FALSE),"0")*1</f>
        <v>22023211.318708941</v>
      </c>
      <c r="E13" s="4">
        <v>18959984.619308941</v>
      </c>
      <c r="F13" s="59">
        <f t="shared" si="6"/>
        <v>3063226.6994000003</v>
      </c>
      <c r="G13" s="5">
        <f t="shared" si="1"/>
        <v>0.51881508495677431</v>
      </c>
      <c r="H13" s="4">
        <f t="shared" si="4"/>
        <v>47716957.857202709</v>
      </c>
      <c r="I13" s="5">
        <f t="shared" si="2"/>
        <v>1.1240993507396777</v>
      </c>
      <c r="J13" s="4">
        <f t="shared" si="5"/>
        <v>1835267.6098924119</v>
      </c>
      <c r="K13" s="4">
        <f t="shared" si="3"/>
        <v>1458989.0054475756</v>
      </c>
      <c r="L13" s="63" cm="1">
        <f t="array" ref="L13">+_xlfn.IFS(I13&gt;109%,H13*0.015,I13&gt;104%,H13*0.0125,I13&gt;99%,H13*0.01,I13&lt;99%,H13*0)</f>
        <v>715754.36785804061</v>
      </c>
      <c r="N13" s="28"/>
    </row>
    <row r="14" spans="1:14" ht="15.75" x14ac:dyDescent="0.25">
      <c r="A14" s="145"/>
      <c r="B14" s="36" t="s">
        <v>107</v>
      </c>
      <c r="C14" s="62">
        <v>42449057.394974999</v>
      </c>
      <c r="D14" s="4">
        <f>IFERROR(+VLOOKUP(B14,COMISIONES!A:E,5,FALSE),"0")*1</f>
        <v>21637079.567608073</v>
      </c>
      <c r="E14" s="4">
        <v>19818248.216008075</v>
      </c>
      <c r="F14" s="59">
        <f t="shared" si="6"/>
        <v>1818831.3515999988</v>
      </c>
      <c r="G14" s="5">
        <f t="shared" si="1"/>
        <v>0.50971872864647894</v>
      </c>
      <c r="H14" s="4">
        <f t="shared" si="4"/>
        <v>46880339.063150823</v>
      </c>
      <c r="I14" s="5">
        <f t="shared" si="2"/>
        <v>1.1043905787340378</v>
      </c>
      <c r="J14" s="4">
        <f t="shared" si="5"/>
        <v>1803089.9639673394</v>
      </c>
      <c r="K14" s="4">
        <f t="shared" si="3"/>
        <v>1486569.8448119233</v>
      </c>
      <c r="L14" s="63" cm="1">
        <f t="array" ref="L14">+_xlfn.IFS(I14&gt;109%,H14*0.015,I14&gt;104%,H14*0.0125,I14&gt;99%,H14*0.01,I14&lt;99%,H14*0)</f>
        <v>703205.08594726236</v>
      </c>
    </row>
    <row r="15" spans="1:14" ht="16.5" thickBot="1" x14ac:dyDescent="0.3">
      <c r="A15" s="146"/>
      <c r="B15" s="3"/>
      <c r="C15" s="64">
        <v>341864881.75327951</v>
      </c>
      <c r="D15" s="64">
        <f>+SUM(D11:D14)</f>
        <v>191588262.20906579</v>
      </c>
      <c r="E15" s="65">
        <v>151092363.32348663</v>
      </c>
      <c r="F15" s="67">
        <f>+D15-E15</f>
        <v>40495898.885579169</v>
      </c>
      <c r="G15" s="66">
        <f t="shared" si="1"/>
        <v>0.56042100968807074</v>
      </c>
      <c r="H15" s="64">
        <f t="shared" si="4"/>
        <v>415107901.45297587</v>
      </c>
      <c r="I15" s="66">
        <f t="shared" si="2"/>
        <v>1.2142455209908198</v>
      </c>
      <c r="J15" s="64">
        <f t="shared" si="5"/>
        <v>15965688.517422149</v>
      </c>
      <c r="K15" s="67">
        <f t="shared" si="3"/>
        <v>10734044.253158122</v>
      </c>
      <c r="L15" s="68"/>
    </row>
    <row r="16" spans="1:14" ht="16.5" thickBot="1" x14ac:dyDescent="0.3">
      <c r="A16" s="147" t="s">
        <v>208</v>
      </c>
      <c r="B16" s="69" t="s">
        <v>81</v>
      </c>
      <c r="C16" s="70">
        <v>28430000</v>
      </c>
      <c r="D16" s="59">
        <f>IFERROR(+VLOOKUP(B16,COMISIONES!A:E,5,FALSE),"0")*1</f>
        <v>8392794.6561915595</v>
      </c>
      <c r="E16" s="59">
        <v>8383023.2684422107</v>
      </c>
      <c r="F16" s="59">
        <f t="shared" ref="F16:F45" si="7">+D16-E16</f>
        <v>9771.3877493487671</v>
      </c>
      <c r="G16" s="60">
        <f t="shared" si="1"/>
        <v>0.29520909800181355</v>
      </c>
      <c r="H16" s="59">
        <f t="shared" si="4"/>
        <v>18184388.421748381</v>
      </c>
      <c r="I16" s="60">
        <f t="shared" si="2"/>
        <v>0.63961971233726278</v>
      </c>
      <c r="J16" s="59">
        <f t="shared" si="5"/>
        <v>699399.55468263</v>
      </c>
      <c r="K16" s="59">
        <f t="shared" si="3"/>
        <v>1431228.9531291744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8"/>
      <c r="B17" s="19" t="s">
        <v>82</v>
      </c>
      <c r="C17" s="71">
        <v>25000000</v>
      </c>
      <c r="D17" s="4">
        <f>IFERROR(+VLOOKUP(B17,COMISIONES!A:E,5,FALSE),"0")*1</f>
        <v>13914669.18939651</v>
      </c>
      <c r="E17" s="4">
        <v>13023082.02480357</v>
      </c>
      <c r="F17" s="59">
        <f t="shared" si="7"/>
        <v>891587.16459294036</v>
      </c>
      <c r="G17" s="5">
        <f t="shared" si="1"/>
        <v>0.55658676757586034</v>
      </c>
      <c r="H17" s="4">
        <f t="shared" si="4"/>
        <v>30148449.910359103</v>
      </c>
      <c r="I17" s="5">
        <f t="shared" si="2"/>
        <v>1.2059379964143642</v>
      </c>
      <c r="J17" s="4">
        <f t="shared" si="5"/>
        <v>1159555.7657830424</v>
      </c>
      <c r="K17" s="4">
        <f t="shared" si="3"/>
        <v>791809.34361453506</v>
      </c>
      <c r="L17" s="63" cm="1">
        <f t="array" ref="L17">+_xlfn.IFS(I17&gt;114%,H17*0.02,I17&gt;109%,H17*0.015,I17&gt;104%,H17*0.0125,I17&gt;99%,H17*0.01,I17&lt;99%,H17*0)</f>
        <v>602968.99820718204</v>
      </c>
    </row>
    <row r="18" spans="1:13" ht="16.5" thickBot="1" x14ac:dyDescent="0.3">
      <c r="A18" s="148"/>
      <c r="B18" s="19" t="s">
        <v>92</v>
      </c>
      <c r="C18" s="71">
        <v>25500000</v>
      </c>
      <c r="D18" s="4">
        <f>IFERROR(+VLOOKUP(B18,COMISIONES!A:E,5,FALSE),"0")*1</f>
        <v>12812754.706274617</v>
      </c>
      <c r="E18" s="4">
        <v>11648091.935843881</v>
      </c>
      <c r="F18" s="59">
        <f t="shared" si="7"/>
        <v>1164662.7704307362</v>
      </c>
      <c r="G18" s="5">
        <f t="shared" si="1"/>
        <v>0.50246096887351444</v>
      </c>
      <c r="H18" s="4">
        <f t="shared" si="4"/>
        <v>27760968.530261673</v>
      </c>
      <c r="I18" s="5">
        <f t="shared" si="2"/>
        <v>1.0886654325592813</v>
      </c>
      <c r="J18" s="4">
        <f t="shared" si="5"/>
        <v>1067729.5588562181</v>
      </c>
      <c r="K18" s="4">
        <f t="shared" si="3"/>
        <v>906231.80669467023</v>
      </c>
      <c r="L18" s="63" cm="1">
        <f t="array" ref="L18">+_xlfn.IFS(I18&gt;114%,H18*0.02,I18&gt;109%,H18*0.015,I18&gt;104%,H18*0.0125,I18&gt;99%,H18*0.01,I18&lt;99%,H18*0)</f>
        <v>347012.10662827094</v>
      </c>
    </row>
    <row r="19" spans="1:13" ht="16.5" thickBot="1" x14ac:dyDescent="0.3">
      <c r="A19" s="148"/>
      <c r="B19" s="19" t="s">
        <v>95</v>
      </c>
      <c r="C19" s="71">
        <v>35200000</v>
      </c>
      <c r="D19" s="4">
        <f>IFERROR(+VLOOKUP(B19,COMISIONES!A:E,5,FALSE),"0")*1</f>
        <v>20251316.388280157</v>
      </c>
      <c r="E19" s="4">
        <v>18809303.230067421</v>
      </c>
      <c r="F19" s="59">
        <f t="shared" si="7"/>
        <v>1442013.1582127362</v>
      </c>
      <c r="G19" s="5">
        <f t="shared" si="1"/>
        <v>0.57532148830341356</v>
      </c>
      <c r="H19" s="4">
        <f t="shared" si="4"/>
        <v>43877852.174607009</v>
      </c>
      <c r="I19" s="5">
        <f t="shared" si="2"/>
        <v>1.2465298913240628</v>
      </c>
      <c r="J19" s="4">
        <f t="shared" si="5"/>
        <v>1687609.6990233464</v>
      </c>
      <c r="K19" s="4">
        <f t="shared" si="3"/>
        <v>1067763.1151228459</v>
      </c>
      <c r="L19" s="63" cm="1">
        <f t="array" ref="L19">+_xlfn.IFS(I19&gt;114%,H19*0.02,I19&gt;109%,H19*0.015,I19&gt;104%,H19*0.0125,I19&gt;99%,H19*0.01,I19&lt;99%,H19*0)</f>
        <v>877557.04349214025</v>
      </c>
    </row>
    <row r="20" spans="1:13" ht="16.5" thickBot="1" x14ac:dyDescent="0.3">
      <c r="A20" s="148"/>
      <c r="B20" s="19" t="s">
        <v>97</v>
      </c>
      <c r="C20" s="71">
        <v>26100000</v>
      </c>
      <c r="D20" s="4">
        <f>IFERROR(+VLOOKUP(B20,COMISIONES!A:E,5,FALSE),"0")*1</f>
        <v>7179543.9153502462</v>
      </c>
      <c r="E20" s="4">
        <v>6617882.1402168097</v>
      </c>
      <c r="F20" s="59">
        <f t="shared" si="7"/>
        <v>561661.77513343655</v>
      </c>
      <c r="G20" s="5">
        <f t="shared" si="1"/>
        <v>0.27507831093295965</v>
      </c>
      <c r="H20" s="4">
        <f t="shared" si="4"/>
        <v>15555678.483258868</v>
      </c>
      <c r="I20" s="5">
        <f t="shared" si="2"/>
        <v>0.59600300702141251</v>
      </c>
      <c r="J20" s="4">
        <f t="shared" si="5"/>
        <v>598295.32627918723</v>
      </c>
      <c r="K20" s="4">
        <f t="shared" si="3"/>
        <v>1351461.1489035538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8"/>
      <c r="B21" s="19" t="s">
        <v>219</v>
      </c>
      <c r="C21" s="71">
        <v>32600000</v>
      </c>
      <c r="D21" s="4">
        <f>IFERROR(+VLOOKUP(B21,COMISIONES!A:E,5,FALSE),"0")*1</f>
        <v>14684129.439204972</v>
      </c>
      <c r="E21" s="4">
        <v>13513299.673835075</v>
      </c>
      <c r="F21" s="59">
        <f t="shared" si="7"/>
        <v>1170829.7653698977</v>
      </c>
      <c r="G21" s="5">
        <f t="shared" si="1"/>
        <v>0.45043341838052064</v>
      </c>
      <c r="H21" s="4">
        <f t="shared" si="4"/>
        <v>31815613.784944106</v>
      </c>
      <c r="I21" s="5">
        <f t="shared" si="2"/>
        <v>0.97593907315779471</v>
      </c>
      <c r="J21" s="4">
        <f t="shared" si="5"/>
        <v>1223677.4532670809</v>
      </c>
      <c r="K21" s="4">
        <f t="shared" si="3"/>
        <v>1279705.0400567877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8"/>
      <c r="B22" s="19" t="s">
        <v>160</v>
      </c>
      <c r="C22" s="71">
        <v>28200000</v>
      </c>
      <c r="D22" s="4">
        <f>IFERROR(+VLOOKUP(B22,COMISIONES!A:E,5,FALSE),"0")*1</f>
        <v>14594523.075602926</v>
      </c>
      <c r="E22" s="4">
        <v>13180445.64735011</v>
      </c>
      <c r="F22" s="59">
        <f t="shared" si="7"/>
        <v>1414077.4282528162</v>
      </c>
      <c r="G22" s="5">
        <f t="shared" si="1"/>
        <v>0.51753627927669954</v>
      </c>
      <c r="H22" s="4">
        <f t="shared" si="4"/>
        <v>31621466.663806338</v>
      </c>
      <c r="I22" s="5">
        <f t="shared" si="2"/>
        <v>1.1213286050995155</v>
      </c>
      <c r="J22" s="4">
        <f t="shared" si="5"/>
        <v>1216210.2563002438</v>
      </c>
      <c r="K22" s="4">
        <f t="shared" si="3"/>
        <v>971819.78031407669</v>
      </c>
      <c r="L22" s="63" cm="1">
        <f t="array" ref="L22">+_xlfn.IFS(I22&gt;114%,H22*0.02,I22&gt;109%,H22*0.015,I22&gt;104%,H22*0.0125,I22&gt;99%,H22*0.01,I22&lt;99%,H22*0)</f>
        <v>474321.99995709507</v>
      </c>
    </row>
    <row r="23" spans="1:13" ht="15.75" x14ac:dyDescent="0.25">
      <c r="A23" s="148"/>
      <c r="B23" s="19" t="s">
        <v>220</v>
      </c>
      <c r="C23" s="71">
        <v>36600000</v>
      </c>
      <c r="D23" s="4">
        <f>IFERROR(+VLOOKUP(B23,COMISIONES!A:E,5,FALSE),"0")*1</f>
        <v>21513251.591781326</v>
      </c>
      <c r="E23" s="4">
        <v>19482500.518485788</v>
      </c>
      <c r="F23" s="59">
        <f t="shared" si="7"/>
        <v>2030751.0732955374</v>
      </c>
      <c r="G23" s="5">
        <f t="shared" si="1"/>
        <v>0.58779375933828759</v>
      </c>
      <c r="H23" s="4">
        <f t="shared" si="4"/>
        <v>46612045.115526207</v>
      </c>
      <c r="I23" s="5">
        <f t="shared" si="2"/>
        <v>1.2735531452329565</v>
      </c>
      <c r="J23" s="4">
        <f t="shared" si="5"/>
        <v>1792770.9659817771</v>
      </c>
      <c r="K23" s="4">
        <f t="shared" si="3"/>
        <v>1077624.8863013338</v>
      </c>
      <c r="L23" s="63" cm="1">
        <f t="array" ref="L23">+_xlfn.IFS(I23&gt;114%,H23*0.02,I23&gt;109%,H23*0.015,I23&gt;104%,H23*0.0125,I23&gt;99%,H23*0.01,I23&lt;99%,H23*0)</f>
        <v>932240.90231052414</v>
      </c>
    </row>
    <row r="24" spans="1:13" ht="16.5" thickBot="1" x14ac:dyDescent="0.3">
      <c r="A24" s="149"/>
      <c r="B24" s="72"/>
      <c r="C24" s="67">
        <v>237630000</v>
      </c>
      <c r="D24" s="67">
        <f>+SUM(D16:D23)</f>
        <v>113342982.9620823</v>
      </c>
      <c r="E24" s="65">
        <v>104657628.43904486</v>
      </c>
      <c r="F24" s="67">
        <f>+D24-E24</f>
        <v>8685354.5230374336</v>
      </c>
      <c r="G24" s="66">
        <f t="shared" si="1"/>
        <v>0.4769725327697778</v>
      </c>
      <c r="H24" s="64">
        <f t="shared" si="4"/>
        <v>245576463.08451164</v>
      </c>
      <c r="I24" s="66">
        <f t="shared" si="2"/>
        <v>1.0334404876678518</v>
      </c>
      <c r="J24" s="64">
        <f t="shared" si="5"/>
        <v>9445248.5801735241</v>
      </c>
      <c r="K24" s="67">
        <f t="shared" si="3"/>
        <v>8877644.074136978</v>
      </c>
      <c r="L24" s="68"/>
    </row>
    <row r="25" spans="1:13" ht="16.5" thickBot="1" x14ac:dyDescent="0.3">
      <c r="A25" s="144" t="s">
        <v>216</v>
      </c>
      <c r="B25" s="57" t="s">
        <v>211</v>
      </c>
      <c r="C25" s="73">
        <v>84027142.5</v>
      </c>
      <c r="D25" s="59">
        <f>IFERROR(+VLOOKUP(B25,COMISIONES!A:E,5,FALSE),"0")*1</f>
        <v>36534866.707784109</v>
      </c>
      <c r="E25" s="59">
        <v>34840804.004529119</v>
      </c>
      <c r="F25" s="59">
        <f t="shared" si="7"/>
        <v>1694062.7032549903</v>
      </c>
      <c r="G25" s="60">
        <f t="shared" si="1"/>
        <v>0.4347983951469504</v>
      </c>
      <c r="H25" s="59">
        <f t="shared" si="4"/>
        <v>79158877.86686556</v>
      </c>
      <c r="I25" s="60">
        <f t="shared" si="2"/>
        <v>0.94206318948505907</v>
      </c>
      <c r="J25" s="59">
        <f t="shared" si="5"/>
        <v>3044572.2256486756</v>
      </c>
      <c r="K25" s="59">
        <f t="shared" si="3"/>
        <v>3392305.4137297063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5"/>
      <c r="B26" s="36" t="s">
        <v>213</v>
      </c>
      <c r="C26" s="74">
        <v>21524999.999999996</v>
      </c>
      <c r="D26" s="4">
        <f>IFERROR(+VLOOKUP(B26,COMISIONES!A:E,5,FALSE),"0")*1</f>
        <v>7252380.540192062</v>
      </c>
      <c r="E26" s="4">
        <v>6213591.6705665383</v>
      </c>
      <c r="F26" s="59">
        <f t="shared" si="7"/>
        <v>1038788.8696255237</v>
      </c>
      <c r="G26" s="5">
        <f t="shared" si="1"/>
        <v>0.33692824809254651</v>
      </c>
      <c r="H26" s="4">
        <f t="shared" si="4"/>
        <v>15713491.170416135</v>
      </c>
      <c r="I26" s="5">
        <f t="shared" si="2"/>
        <v>0.73001120420051746</v>
      </c>
      <c r="J26" s="4">
        <f t="shared" si="5"/>
        <v>604365.04501600517</v>
      </c>
      <c r="K26" s="4">
        <f t="shared" si="3"/>
        <v>1019472.8185577096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5"/>
      <c r="B27" s="36" t="s">
        <v>86</v>
      </c>
      <c r="C27" s="74">
        <v>26383192.499999996</v>
      </c>
      <c r="D27" s="4">
        <f>IFERROR(+VLOOKUP(B27,COMISIONES!A:E,5,FALSE),"0")*1</f>
        <v>9850026.4990906939</v>
      </c>
      <c r="E27" s="4">
        <v>9365757.0837764386</v>
      </c>
      <c r="F27" s="59">
        <f t="shared" si="7"/>
        <v>484269.41531425528</v>
      </c>
      <c r="G27" s="5">
        <f t="shared" si="1"/>
        <v>0.37334475344826806</v>
      </c>
      <c r="H27" s="4">
        <f t="shared" si="4"/>
        <v>21341724.081363171</v>
      </c>
      <c r="I27" s="5">
        <f t="shared" si="2"/>
        <v>0.80891363247124748</v>
      </c>
      <c r="J27" s="4">
        <f t="shared" si="5"/>
        <v>820835.5415908912</v>
      </c>
      <c r="K27" s="4">
        <f t="shared" si="3"/>
        <v>1180940.4286363788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5"/>
      <c r="B28" s="36" t="s">
        <v>212</v>
      </c>
      <c r="C28" s="74">
        <v>39189035.239928812</v>
      </c>
      <c r="D28" s="4">
        <f>IFERROR(+VLOOKUP(B28,COMISIONES!A:E,5,FALSE),"0")*1</f>
        <v>11880395.715491928</v>
      </c>
      <c r="E28" s="4">
        <v>10211009.740761621</v>
      </c>
      <c r="F28" s="59">
        <f t="shared" si="7"/>
        <v>1669385.9747303072</v>
      </c>
      <c r="G28" s="5">
        <f t="shared" si="1"/>
        <v>0.30315611606042459</v>
      </c>
      <c r="H28" s="4">
        <f t="shared" si="4"/>
        <v>25740857.383565843</v>
      </c>
      <c r="I28" s="5">
        <f t="shared" si="2"/>
        <v>0.65683825146425323</v>
      </c>
      <c r="J28" s="4">
        <f t="shared" si="5"/>
        <v>990032.97629099397</v>
      </c>
      <c r="K28" s="4">
        <f t="shared" si="3"/>
        <v>1950617.1088883488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5"/>
      <c r="B29" s="36" t="s">
        <v>98</v>
      </c>
      <c r="C29" s="74">
        <v>26050631.249999996</v>
      </c>
      <c r="D29" s="4">
        <f>IFERROR(+VLOOKUP(B29,COMISIONES!A:E,5,FALSE),"0")*1</f>
        <v>15796706.654498672</v>
      </c>
      <c r="E29" s="4">
        <v>13722633.660686644</v>
      </c>
      <c r="F29" s="59">
        <f t="shared" si="7"/>
        <v>2074072.9938120283</v>
      </c>
      <c r="G29" s="5">
        <f t="shared" si="1"/>
        <v>0.60638479363138942</v>
      </c>
      <c r="H29" s="4">
        <f t="shared" si="4"/>
        <v>34226197.751413792</v>
      </c>
      <c r="I29" s="5">
        <f t="shared" si="2"/>
        <v>1.3138337195346772</v>
      </c>
      <c r="J29" s="4">
        <f t="shared" si="5"/>
        <v>1316392.2212082227</v>
      </c>
      <c r="K29" s="4">
        <f t="shared" si="3"/>
        <v>732423.18539295171</v>
      </c>
      <c r="L29" s="63" cm="1">
        <f t="array" ref="L29">+_xlfn.IFS(I29&gt;114%,H29*0.02,I29&gt;109%,H29*0.015,I29&gt;104%,H29*0.0125,I29&gt;99%,H29*0.01,I29&lt;99%,H29*0)</f>
        <v>684523.95502827584</v>
      </c>
      <c r="M29" s="27"/>
    </row>
    <row r="30" spans="1:13" ht="16.5" thickBot="1" x14ac:dyDescent="0.3">
      <c r="A30" s="145"/>
      <c r="B30" s="36" t="s">
        <v>210</v>
      </c>
      <c r="C30" s="74">
        <v>25829999.999999996</v>
      </c>
      <c r="D30" s="4">
        <f>IFERROR(+VLOOKUP(B30,COMISIONES!A:E,5,FALSE),"0")*1</f>
        <v>8271718.4189246446</v>
      </c>
      <c r="E30" s="4">
        <v>7306797.4188467246</v>
      </c>
      <c r="F30" s="59">
        <f t="shared" si="7"/>
        <v>964921.00007792003</v>
      </c>
      <c r="G30" s="5">
        <f t="shared" si="1"/>
        <v>0.32023687258709432</v>
      </c>
      <c r="H30" s="4">
        <f t="shared" si="4"/>
        <v>17922056.57433673</v>
      </c>
      <c r="I30" s="5">
        <f t="shared" si="2"/>
        <v>0.6938465572720377</v>
      </c>
      <c r="J30" s="4">
        <f t="shared" si="5"/>
        <v>689309.86824372038</v>
      </c>
      <c r="K30" s="4">
        <f t="shared" si="3"/>
        <v>1254162.9700768108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5"/>
      <c r="B31" s="36" t="s">
        <v>99</v>
      </c>
      <c r="C31" s="74">
        <v>27159168.749999996</v>
      </c>
      <c r="D31" s="4">
        <f>IFERROR(+VLOOKUP(B31,COMISIONES!A:E,5,FALSE),"0")*1</f>
        <v>9656606.5354505666</v>
      </c>
      <c r="E31" s="4">
        <v>8924821.8390545752</v>
      </c>
      <c r="F31" s="59">
        <f t="shared" si="7"/>
        <v>731784.69639599137</v>
      </c>
      <c r="G31" s="5">
        <f t="shared" si="1"/>
        <v>0.35555604165722371</v>
      </c>
      <c r="H31" s="4">
        <f t="shared" si="4"/>
        <v>20922647.493476227</v>
      </c>
      <c r="I31" s="5">
        <f t="shared" si="2"/>
        <v>0.77037142359065136</v>
      </c>
      <c r="J31" s="4">
        <f t="shared" si="5"/>
        <v>804717.21128754725</v>
      </c>
      <c r="K31" s="4">
        <f t="shared" si="3"/>
        <v>1250183.0153249593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5"/>
      <c r="B32" s="36" t="s">
        <v>138</v>
      </c>
      <c r="C32" s="74">
        <v>21524999.999999996</v>
      </c>
      <c r="D32" s="4">
        <f>IFERROR(+VLOOKUP(B32,COMISIONES!A:E,5,FALSE),"0")*1</f>
        <v>6135579.6092607612</v>
      </c>
      <c r="E32" s="4">
        <v>5672321.4438146576</v>
      </c>
      <c r="F32" s="59">
        <f t="shared" si="7"/>
        <v>463258.16544610355</v>
      </c>
      <c r="G32" s="5">
        <f t="shared" si="1"/>
        <v>0.28504434886228863</v>
      </c>
      <c r="H32" s="4">
        <f t="shared" si="4"/>
        <v>13293755.820064982</v>
      </c>
      <c r="I32" s="5">
        <f t="shared" si="2"/>
        <v>0.61759608920162534</v>
      </c>
      <c r="J32" s="4">
        <f t="shared" si="5"/>
        <v>511298.30077173008</v>
      </c>
      <c r="K32" s="4">
        <f t="shared" si="3"/>
        <v>1099244.3136242311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5"/>
      <c r="B33" s="19" t="s">
        <v>283</v>
      </c>
      <c r="C33" s="74">
        <v>25274654.999999996</v>
      </c>
      <c r="D33" s="4">
        <f>IFERROR(+VLOOKUP(B33,COMISIONES!A:E,5,FALSE),"0")*1</f>
        <v>2951970.4862393411</v>
      </c>
      <c r="E33" s="4">
        <v>2853114.6539005977</v>
      </c>
      <c r="F33" s="59">
        <f t="shared" si="7"/>
        <v>98855.832338743377</v>
      </c>
      <c r="G33" s="5">
        <f t="shared" si="1"/>
        <v>0.11679567876354165</v>
      </c>
      <c r="H33" s="4">
        <f t="shared" si="4"/>
        <v>6395936.0535185728</v>
      </c>
      <c r="I33" s="5">
        <f t="shared" si="2"/>
        <v>0.25305730398767357</v>
      </c>
      <c r="J33" s="4">
        <f t="shared" si="5"/>
        <v>245997.54051994509</v>
      </c>
      <c r="K33" s="4">
        <f t="shared" si="3"/>
        <v>1594477.4652686182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5"/>
      <c r="B34" s="36" t="s">
        <v>204</v>
      </c>
      <c r="C34" s="74">
        <v>25865874.999999996</v>
      </c>
      <c r="D34" s="4">
        <f>IFERROR(+VLOOKUP(B34,COMISIONES!A:E,5,FALSE),"0")*1</f>
        <v>5499236.2478790414</v>
      </c>
      <c r="E34" s="4">
        <v>5000545.8064231342</v>
      </c>
      <c r="F34" s="59">
        <f t="shared" si="7"/>
        <v>498690.44145590719</v>
      </c>
      <c r="G34" s="5">
        <f t="shared" si="1"/>
        <v>0.21260584642425753</v>
      </c>
      <c r="H34" s="4">
        <f t="shared" si="4"/>
        <v>11915011.87040459</v>
      </c>
      <c r="I34" s="5">
        <f t="shared" si="2"/>
        <v>0.46064600058589134</v>
      </c>
      <c r="J34" s="4">
        <f t="shared" si="5"/>
        <v>458269.68732325343</v>
      </c>
      <c r="K34" s="4">
        <f t="shared" si="3"/>
        <v>1454759.9108657825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5"/>
      <c r="B35" s="36" t="s">
        <v>110</v>
      </c>
      <c r="C35" s="74">
        <v>125062043.74999999</v>
      </c>
      <c r="D35" s="4">
        <f>IFERROR(+VLOOKUP(B35,COMISIONES!A:E,5,FALSE),"0")*1</f>
        <v>42755057.133945607</v>
      </c>
      <c r="E35" s="4">
        <v>41708941.067945607</v>
      </c>
      <c r="F35" s="59">
        <f t="shared" si="7"/>
        <v>1046116.0659999996</v>
      </c>
      <c r="G35" s="5">
        <f t="shared" si="1"/>
        <v>0.34187076951511608</v>
      </c>
      <c r="H35" s="4">
        <f t="shared" si="4"/>
        <v>92635957.123548806</v>
      </c>
      <c r="I35" s="5">
        <f t="shared" si="2"/>
        <v>0.74072000061608478</v>
      </c>
      <c r="J35" s="4">
        <f t="shared" si="5"/>
        <v>3562921.4278288004</v>
      </c>
      <c r="K35" s="4">
        <f t="shared" si="3"/>
        <v>5879070.4725753134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5"/>
      <c r="B36" s="36" t="s">
        <v>214</v>
      </c>
      <c r="C36" s="74">
        <v>36592500</v>
      </c>
      <c r="D36" s="4">
        <f>IFERROR(+VLOOKUP(B36,COMISIONES!A:E,5,FALSE),"0")*1</f>
        <v>11568639.466600001</v>
      </c>
      <c r="E36" s="4">
        <v>9888416.2335999999</v>
      </c>
      <c r="F36" s="59">
        <f t="shared" si="7"/>
        <v>1680223.2330000009</v>
      </c>
      <c r="G36" s="5">
        <f t="shared" si="1"/>
        <v>0.31614782992689761</v>
      </c>
      <c r="H36" s="4">
        <f t="shared" si="4"/>
        <v>25065385.51096667</v>
      </c>
      <c r="I36" s="5">
        <f t="shared" si="2"/>
        <v>0.68498696484161148</v>
      </c>
      <c r="J36" s="4">
        <f t="shared" si="5"/>
        <v>964053.28888333344</v>
      </c>
      <c r="K36" s="4">
        <f t="shared" si="3"/>
        <v>1787418.6095285714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5"/>
      <c r="B37" s="36" t="s">
        <v>80</v>
      </c>
      <c r="C37" s="74">
        <v>37270463.432474993</v>
      </c>
      <c r="D37" s="4">
        <f>IFERROR(+VLOOKUP(B37,COMISIONES!A:E,5,FALSE),"0")*1</f>
        <v>13876902.476853944</v>
      </c>
      <c r="E37" s="4">
        <v>12665975.013139402</v>
      </c>
      <c r="F37" s="59">
        <f t="shared" si="7"/>
        <v>1210927.4637145419</v>
      </c>
      <c r="G37" s="5">
        <f t="shared" si="1"/>
        <v>0.37232975388126077</v>
      </c>
      <c r="H37" s="4">
        <f t="shared" si="4"/>
        <v>30066622.033183549</v>
      </c>
      <c r="I37" s="5">
        <f t="shared" si="2"/>
        <v>0.80671446674273173</v>
      </c>
      <c r="J37" s="4">
        <f t="shared" si="5"/>
        <v>1156408.5397378288</v>
      </c>
      <c r="K37" s="4">
        <f t="shared" si="3"/>
        <v>1670968.6396872178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6"/>
      <c r="B38" s="3"/>
      <c r="C38" s="75">
        <v>521754707.42240375</v>
      </c>
      <c r="D38" s="67">
        <f>+SUM(D25:D37)</f>
        <v>182030086.49221137</v>
      </c>
      <c r="E38" s="65">
        <v>168374729.63704503</v>
      </c>
      <c r="F38" s="67">
        <f>+D38-E38</f>
        <v>13655356.855166346</v>
      </c>
      <c r="G38" s="66">
        <f t="shared" si="1"/>
        <v>0.34888058296873764</v>
      </c>
      <c r="H38" s="64">
        <f t="shared" si="4"/>
        <v>394398520.73312467</v>
      </c>
      <c r="I38" s="66">
        <f t="shared" si="2"/>
        <v>0.75590792976559829</v>
      </c>
      <c r="J38" s="64">
        <f t="shared" si="5"/>
        <v>15169173.874350948</v>
      </c>
      <c r="K38" s="67">
        <f t="shared" si="3"/>
        <v>24266044.352156598</v>
      </c>
      <c r="L38" s="68"/>
    </row>
    <row r="39" spans="1:12" ht="16.5" thickBot="1" x14ac:dyDescent="0.3">
      <c r="A39" s="144" t="s">
        <v>265</v>
      </c>
      <c r="B39" s="138" t="s">
        <v>144</v>
      </c>
      <c r="C39" s="4">
        <v>35000000</v>
      </c>
      <c r="D39" s="4">
        <f>IFERROR(+VLOOKUP(B39,COMISIONES!A:E,5,FALSE),"0")*1</f>
        <v>12169633.317552326</v>
      </c>
      <c r="E39" s="4">
        <v>12169633.317552326</v>
      </c>
      <c r="F39" s="59">
        <f t="shared" si="7"/>
        <v>0</v>
      </c>
      <c r="G39" s="5">
        <f t="shared" si="1"/>
        <v>0.34770380907292359</v>
      </c>
      <c r="H39" s="4">
        <f t="shared" ref="H39:H46" si="8">+D39/$N$3*$N$4</f>
        <v>26367538.854696706</v>
      </c>
      <c r="I39" s="5">
        <f t="shared" ref="I39:I46" si="9">+H39/C39</f>
        <v>0.75335825299133441</v>
      </c>
      <c r="J39" s="4">
        <f t="shared" ref="J39:J46" si="10">+D39/$N$3</f>
        <v>1014136.1097960272</v>
      </c>
      <c r="K39" s="4">
        <f t="shared" ref="K39:K46" si="11">+(C39-D39)/$N$2</f>
        <v>1630740.4773176908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5"/>
      <c r="B40" s="138" t="s">
        <v>145</v>
      </c>
      <c r="C40" s="4">
        <v>30000000</v>
      </c>
      <c r="D40" s="4">
        <f>IFERROR(+VLOOKUP(B40,COMISIONES!A:E,5,FALSE),"0")*1</f>
        <v>7218024.7453821842</v>
      </c>
      <c r="E40" s="4">
        <v>7218024.7453821842</v>
      </c>
      <c r="F40" s="59">
        <f t="shared" si="7"/>
        <v>0</v>
      </c>
      <c r="G40" s="5">
        <f t="shared" si="1"/>
        <v>0.24060082484607281</v>
      </c>
      <c r="H40" s="4">
        <f t="shared" si="8"/>
        <v>15639053.614994733</v>
      </c>
      <c r="I40" s="5">
        <f t="shared" si="9"/>
        <v>0.52130178716649112</v>
      </c>
      <c r="J40" s="4">
        <f t="shared" si="10"/>
        <v>601502.06211518205</v>
      </c>
      <c r="K40" s="4">
        <f t="shared" si="11"/>
        <v>1627283.9467584155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5"/>
      <c r="B41" s="138" t="s">
        <v>106</v>
      </c>
      <c r="C41" s="4">
        <v>32421674.968781177</v>
      </c>
      <c r="D41" s="4">
        <f>IFERROR(+VLOOKUP(B41,COMISIONES!A:E,5,FALSE),"0")*1</f>
        <v>12569711.562333032</v>
      </c>
      <c r="E41" s="4">
        <v>12996243.526553847</v>
      </c>
      <c r="F41" s="59">
        <f t="shared" si="7"/>
        <v>-426531.96422081441</v>
      </c>
      <c r="G41" s="5">
        <f t="shared" si="1"/>
        <v>0.38769470036438292</v>
      </c>
      <c r="H41" s="4">
        <f t="shared" si="8"/>
        <v>27234375.051721569</v>
      </c>
      <c r="I41" s="5">
        <f t="shared" si="9"/>
        <v>0.84000518412282965</v>
      </c>
      <c r="J41" s="4">
        <f t="shared" si="10"/>
        <v>1047475.9635277527</v>
      </c>
      <c r="K41" s="4">
        <f t="shared" si="11"/>
        <v>1417997.3861748674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5"/>
      <c r="B42" s="139" t="s">
        <v>139</v>
      </c>
      <c r="C42" s="4">
        <v>55416576.686625004</v>
      </c>
      <c r="D42" s="4">
        <f>IFERROR(+VLOOKUP(B42,COMISIONES!A:E,5,FALSE),"0")*1</f>
        <v>38714890.220853798</v>
      </c>
      <c r="E42" s="4">
        <v>23595021.610075861</v>
      </c>
      <c r="F42" s="59">
        <f t="shared" si="7"/>
        <v>15119868.610777937</v>
      </c>
      <c r="G42" s="5">
        <f t="shared" si="1"/>
        <v>0.69861569471861262</v>
      </c>
      <c r="H42" s="4">
        <f t="shared" si="8"/>
        <v>83882262.145183221</v>
      </c>
      <c r="I42" s="5">
        <f t="shared" si="9"/>
        <v>1.5136673385569939</v>
      </c>
      <c r="J42" s="4">
        <f t="shared" si="10"/>
        <v>3226240.8517378164</v>
      </c>
      <c r="K42" s="4">
        <f t="shared" si="11"/>
        <v>1192977.6046979432</v>
      </c>
      <c r="L42" s="63" cm="1">
        <f t="array" ref="L42">+_xlfn.IFS(I42&gt;114%,H42*0.02,I42&gt;109%,H42*0.015,I42&gt;104%,H42*0.0125,I42&gt;99%,H42*0.01,I42&lt;99%,H42*0)</f>
        <v>1677645.2429036645</v>
      </c>
    </row>
    <row r="43" spans="1:12" ht="16.5" thickBot="1" x14ac:dyDescent="0.3">
      <c r="A43" s="145"/>
      <c r="B43" s="140" t="s">
        <v>266</v>
      </c>
      <c r="C43" s="4">
        <v>100000000</v>
      </c>
      <c r="D43" s="4">
        <f>IFERROR(+VLOOKUP(B43,COMISIONES!A:E,5,FALSE),"0")*1</f>
        <v>43295006.363887966</v>
      </c>
      <c r="E43" s="4">
        <v>43295006.363887966</v>
      </c>
      <c r="F43" s="59">
        <f t="shared" si="7"/>
        <v>0</v>
      </c>
      <c r="G43" s="5">
        <f t="shared" si="1"/>
        <v>0.43295006363887967</v>
      </c>
      <c r="H43" s="4">
        <f t="shared" si="8"/>
        <v>93805847.121757254</v>
      </c>
      <c r="I43" s="5">
        <f t="shared" si="9"/>
        <v>0.93805847121757258</v>
      </c>
      <c r="J43" s="4">
        <f t="shared" si="10"/>
        <v>3607917.1969906637</v>
      </c>
      <c r="K43" s="4">
        <f t="shared" si="11"/>
        <v>4050356.6882937169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5"/>
      <c r="B44" s="140" t="s">
        <v>267</v>
      </c>
      <c r="C44" s="4">
        <v>100000000</v>
      </c>
      <c r="D44" s="4">
        <f>IFERROR(+VLOOKUP(B44,COMISIONES!A:E,5,FALSE),"0")*1</f>
        <v>47643491.223562136</v>
      </c>
      <c r="E44" s="4">
        <v>47643491.223562136</v>
      </c>
      <c r="F44" s="59">
        <f t="shared" si="7"/>
        <v>0</v>
      </c>
      <c r="G44" s="5">
        <f t="shared" si="1"/>
        <v>0.47643491223562134</v>
      </c>
      <c r="H44" s="4">
        <f t="shared" si="8"/>
        <v>103227564.31771797</v>
      </c>
      <c r="I44" s="5">
        <f t="shared" si="9"/>
        <v>1.0322756431771798</v>
      </c>
      <c r="J44" s="4">
        <f t="shared" si="10"/>
        <v>3970290.9352968447</v>
      </c>
      <c r="K44" s="4">
        <f t="shared" si="11"/>
        <v>3739750.626888419</v>
      </c>
      <c r="L44" s="63" cm="1">
        <f t="array" ref="L44">+_xlfn.IFS(I44&gt;114%,H44*0.02,I44&gt;109%,H44*0.015,I44&gt;104%,H44*0.0125,I44&gt;99%,H44*0.01,I44&lt;99%,H44*0)</f>
        <v>1032275.6431771797</v>
      </c>
    </row>
    <row r="45" spans="1:12" ht="15.75" x14ac:dyDescent="0.25">
      <c r="A45" s="145"/>
      <c r="B45" s="140" t="s">
        <v>268</v>
      </c>
      <c r="C45" s="4">
        <v>100000000</v>
      </c>
      <c r="D45" s="4">
        <f>IFERROR(+VLOOKUP(B45,COMISIONES!A:E,5,FALSE),"0")*1</f>
        <v>17718219.575619414</v>
      </c>
      <c r="E45" s="4">
        <v>17718219.575619414</v>
      </c>
      <c r="F45" s="59">
        <f t="shared" si="7"/>
        <v>0</v>
      </c>
      <c r="G45" s="5">
        <f t="shared" si="1"/>
        <v>0.17718219575619415</v>
      </c>
      <c r="H45" s="4">
        <f t="shared" si="8"/>
        <v>38389475.747175395</v>
      </c>
      <c r="I45" s="5">
        <f t="shared" si="9"/>
        <v>0.38389475747175394</v>
      </c>
      <c r="J45" s="4">
        <f t="shared" si="10"/>
        <v>1476518.2979682845</v>
      </c>
      <c r="K45" s="4">
        <f t="shared" si="11"/>
        <v>5877270.0303128986</v>
      </c>
      <c r="L45" s="63" cm="1">
        <f t="array" ref="L45">+_xlfn.IFS(I45&gt;114%,H45*0.02,I45&gt;109%,H45*0.015,I45&gt;104%,H45*0.0125,I45&gt;99%,H45*0.01,I45&lt;99%,H45*0)</f>
        <v>0</v>
      </c>
    </row>
    <row r="46" spans="1:12" ht="16.5" thickBot="1" x14ac:dyDescent="0.3">
      <c r="A46" s="146"/>
      <c r="B46" s="137"/>
      <c r="C46" s="67">
        <v>455695855.27356702</v>
      </c>
      <c r="D46" s="67">
        <f>SUM(D39:D45)</f>
        <v>179328977.00919086</v>
      </c>
      <c r="E46" s="67">
        <v>164635640.36263371</v>
      </c>
      <c r="F46" s="67">
        <f>+SUM(F39:F45)</f>
        <v>14693336.646557122</v>
      </c>
      <c r="G46" s="66">
        <f t="shared" si="1"/>
        <v>0.39352777720906557</v>
      </c>
      <c r="H46" s="64">
        <f t="shared" si="8"/>
        <v>388546116.85324687</v>
      </c>
      <c r="I46" s="66">
        <f t="shared" si="9"/>
        <v>0.85264351728630872</v>
      </c>
      <c r="J46" s="64">
        <f t="shared" si="10"/>
        <v>14944081.417432571</v>
      </c>
      <c r="K46" s="67">
        <f t="shared" si="11"/>
        <v>19740491.304598298</v>
      </c>
      <c r="L46" s="68"/>
    </row>
    <row r="47" spans="1:12" ht="16.5" thickBot="1" x14ac:dyDescent="0.3">
      <c r="A47" s="76" t="s">
        <v>282</v>
      </c>
      <c r="B47" s="77"/>
      <c r="C47" s="78">
        <v>1379767147.0931361</v>
      </c>
      <c r="D47" s="78">
        <f>+D38+D24+D10+D15+D46</f>
        <v>815884008.14172602</v>
      </c>
      <c r="E47" s="79">
        <v>727350414.7660687</v>
      </c>
      <c r="F47" s="78">
        <f>+D47-E47</f>
        <v>88533593.37565732</v>
      </c>
      <c r="G47" s="80">
        <f>+D47/C47</f>
        <v>0.59132007155019817</v>
      </c>
      <c r="H47" s="78">
        <f>+D47/$N$3*$N$4</f>
        <v>1767748684.3070729</v>
      </c>
      <c r="I47" s="142">
        <f t="shared" si="2"/>
        <v>1.2811934883587626</v>
      </c>
      <c r="J47" s="78">
        <f>+D47/$N$3</f>
        <v>67990334.011810496</v>
      </c>
      <c r="K47" s="78">
        <f>+(C47-D47)/$N$2</f>
        <v>40277367.067957863</v>
      </c>
      <c r="L47" s="81"/>
    </row>
  </sheetData>
  <mergeCells count="5">
    <mergeCell ref="A2:A10"/>
    <mergeCell ref="A11:A15"/>
    <mergeCell ref="A16:A24"/>
    <mergeCell ref="A25:A38"/>
    <mergeCell ref="A39:A46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6"/>
  <sheetViews>
    <sheetView workbookViewId="0">
      <selection activeCell="H47" sqref="H47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2" t="s">
        <v>205</v>
      </c>
      <c r="C1" s="83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3" t="s">
        <v>37</v>
      </c>
      <c r="B2">
        <v>22</v>
      </c>
      <c r="C2" s="12" t="str">
        <f>+AVANCE!B11</f>
        <v>22 - ALMIRON NICOLAS</v>
      </c>
      <c r="D2" s="22">
        <f>H2/G2</f>
        <v>0.69620253164556967</v>
      </c>
      <c r="E2" s="13">
        <v>33</v>
      </c>
      <c r="F2" s="12">
        <f>+H2-E2</f>
        <v>22</v>
      </c>
      <c r="G2" s="13">
        <f>VLOOKUP(B2,'Base Cobertura'!$A:$C,3,FALSE)</f>
        <v>79</v>
      </c>
      <c r="H2" s="13">
        <f>VLOOKUP(B2,'Base Cobertura'!$A:$C,2,FALSE)</f>
        <v>55</v>
      </c>
      <c r="I2" s="17">
        <f>(+G2*$M$2)-H2</f>
        <v>12.149999999999991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3"/>
      <c r="B3">
        <v>20</v>
      </c>
      <c r="C3" s="13" t="str">
        <f>+AVANCE!B2</f>
        <v>20 - FLORES JAVIER</v>
      </c>
      <c r="D3" s="22">
        <f t="shared" ref="D3:D7" si="0">H3/G3</f>
        <v>0.80616740088105732</v>
      </c>
      <c r="E3" s="13">
        <v>126</v>
      </c>
      <c r="F3" s="12">
        <f t="shared" ref="F3:F13" si="1">+H3-E3</f>
        <v>57</v>
      </c>
      <c r="G3" s="13">
        <f>VLOOKUP(B3,'Base Cobertura'!$A:$C,3,FALSE)</f>
        <v>227</v>
      </c>
      <c r="H3" s="13">
        <f>VLOOKUP(B3,'Base Cobertura'!$A:$C,2,FALSE)</f>
        <v>183</v>
      </c>
      <c r="I3" s="17">
        <f t="shared" ref="I3:I13" si="2">(+G3*$M$2)-H3</f>
        <v>9.9499999999999886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147 - ALMACEN</v>
      </c>
      <c r="S3" s="12">
        <v>43</v>
      </c>
      <c r="T3" s="12">
        <v>173</v>
      </c>
      <c r="U3" s="41">
        <f>+S3/T3</f>
        <v>0.24855491329479767</v>
      </c>
    </row>
    <row r="4" spans="1:21" x14ac:dyDescent="0.25">
      <c r="A4" s="143"/>
      <c r="B4">
        <v>15</v>
      </c>
      <c r="C4" s="13" t="str">
        <f>+AVANCE!B12</f>
        <v>15 - GALARZA GERARDO</v>
      </c>
      <c r="D4" s="22">
        <f t="shared" si="0"/>
        <v>0.6</v>
      </c>
      <c r="E4" s="13">
        <v>21</v>
      </c>
      <c r="F4" s="12">
        <f t="shared" si="1"/>
        <v>18</v>
      </c>
      <c r="G4" s="13">
        <f>VLOOKUP(B4,'Base Cobertura'!$A:$C,3,FALSE)</f>
        <v>65</v>
      </c>
      <c r="H4" s="13">
        <f>VLOOKUP(B4,'Base Cobertura'!$A:$C,2,FALSE)</f>
        <v>39</v>
      </c>
      <c r="I4" s="17">
        <f t="shared" si="2"/>
        <v>16.25</v>
      </c>
      <c r="J4" t="s">
        <v>57</v>
      </c>
      <c r="K4" t="s">
        <v>64</v>
      </c>
      <c r="P4" s="13">
        <v>25</v>
      </c>
      <c r="Q4" s="13">
        <v>0</v>
      </c>
      <c r="R4" s="13" t="str">
        <v>147 - Articulos Sin Asociar Agrupacion</v>
      </c>
      <c r="S4" s="13">
        <v>28</v>
      </c>
      <c r="T4" s="13">
        <v>173</v>
      </c>
      <c r="U4" s="5">
        <f t="shared" ref="U4:U11" si="3">+S4/T4</f>
        <v>0.16184971098265896</v>
      </c>
    </row>
    <row r="5" spans="1:21" x14ac:dyDescent="0.25">
      <c r="A5" s="143"/>
      <c r="B5">
        <v>19</v>
      </c>
      <c r="C5" s="13" t="str">
        <f>+AVANCE!B3</f>
        <v>19 - GONZALEZ MARCELO</v>
      </c>
      <c r="D5" s="22">
        <f t="shared" si="0"/>
        <v>0.77884615384615385</v>
      </c>
      <c r="E5" s="13">
        <v>100</v>
      </c>
      <c r="F5" s="12">
        <f t="shared" si="1"/>
        <v>62</v>
      </c>
      <c r="G5" s="13">
        <f>VLOOKUP(B5,'Base Cobertura'!$A:$C,3,FALSE)</f>
        <v>208</v>
      </c>
      <c r="H5" s="13">
        <f>VLOOKUP(B5,'Base Cobertura'!$A:$C,2,FALSE)</f>
        <v>162</v>
      </c>
      <c r="I5" s="17">
        <f t="shared" si="2"/>
        <v>14.799999999999983</v>
      </c>
      <c r="K5" t="s">
        <v>64</v>
      </c>
      <c r="P5" s="13">
        <v>25</v>
      </c>
      <c r="Q5" s="13">
        <v>0</v>
      </c>
      <c r="R5" s="13" t="str">
        <v>147 - BEBIDAS</v>
      </c>
      <c r="S5" s="13">
        <v>39</v>
      </c>
      <c r="T5" s="13">
        <v>173</v>
      </c>
      <c r="U5" s="5">
        <f t="shared" si="3"/>
        <v>0.22543352601156069</v>
      </c>
    </row>
    <row r="6" spans="1:21" x14ac:dyDescent="0.25">
      <c r="A6" s="143"/>
      <c r="B6">
        <v>16</v>
      </c>
      <c r="C6" s="13" t="str">
        <f>+AVANCE!B4</f>
        <v>16 - GOMEZ MATÍAS</v>
      </c>
      <c r="D6" s="22">
        <f t="shared" si="0"/>
        <v>0.68844221105527637</v>
      </c>
      <c r="E6" s="13">
        <v>81</v>
      </c>
      <c r="F6" s="12">
        <f t="shared" si="1"/>
        <v>56</v>
      </c>
      <c r="G6" s="13">
        <f>VLOOKUP(B6,'Base Cobertura'!$A:$C,3,FALSE)</f>
        <v>199</v>
      </c>
      <c r="H6" s="13">
        <f>VLOOKUP(B6,'Base Cobertura'!$A:$C,2,FALSE)</f>
        <v>137</v>
      </c>
      <c r="I6" s="17">
        <f t="shared" si="2"/>
        <v>32.150000000000006</v>
      </c>
      <c r="J6" t="s">
        <v>58</v>
      </c>
      <c r="K6" t="s">
        <v>58</v>
      </c>
      <c r="P6" s="13">
        <v>25</v>
      </c>
      <c r="Q6" s="13">
        <v>0</v>
      </c>
      <c r="R6" s="13" t="str">
        <v>147 - CHOCOLATE</v>
      </c>
      <c r="S6" s="13">
        <v>40</v>
      </c>
      <c r="T6" s="13">
        <v>173</v>
      </c>
      <c r="U6" s="5">
        <f t="shared" si="3"/>
        <v>0.23121387283236994</v>
      </c>
    </row>
    <row r="7" spans="1:21" x14ac:dyDescent="0.25">
      <c r="A7" s="143"/>
      <c r="B7">
        <v>12</v>
      </c>
      <c r="C7" s="13" t="str">
        <f>+AVANCE!B5</f>
        <v>12 - GUTIERREZ MARCOS DAVID</v>
      </c>
      <c r="D7" s="22">
        <f t="shared" si="0"/>
        <v>0.71495327102803741</v>
      </c>
      <c r="E7" s="13">
        <v>89</v>
      </c>
      <c r="F7" s="12">
        <f t="shared" si="1"/>
        <v>64</v>
      </c>
      <c r="G7" s="13">
        <f>VLOOKUP(B7,'Base Cobertura'!$A:$C,3,FALSE)</f>
        <v>214</v>
      </c>
      <c r="H7" s="13">
        <f>VLOOKUP(B7,'Base Cobertura'!$A:$C,2,FALSE)</f>
        <v>153</v>
      </c>
      <c r="I7" s="17">
        <f t="shared" si="2"/>
        <v>28.900000000000006</v>
      </c>
      <c r="J7" t="s">
        <v>58</v>
      </c>
      <c r="K7" t="s">
        <v>58</v>
      </c>
      <c r="P7" s="13">
        <v>25</v>
      </c>
      <c r="Q7" s="13">
        <v>0</v>
      </c>
      <c r="R7" s="13" t="str">
        <v>147 - GALLETITAS</v>
      </c>
      <c r="S7" s="13">
        <v>50</v>
      </c>
      <c r="T7" s="13">
        <v>173</v>
      </c>
      <c r="U7" s="5">
        <f t="shared" si="3"/>
        <v>0.28901734104046245</v>
      </c>
    </row>
    <row r="8" spans="1:21" x14ac:dyDescent="0.25">
      <c r="A8" s="143"/>
      <c r="B8">
        <v>11</v>
      </c>
      <c r="C8" s="13" t="str">
        <f>+AVANCE!B6</f>
        <v>11 - SANCHEZ RICARDO</v>
      </c>
      <c r="D8" s="22">
        <f>H8/G8</f>
        <v>0.69461077844311381</v>
      </c>
      <c r="E8" s="13">
        <v>92</v>
      </c>
      <c r="F8" s="12">
        <f t="shared" si="1"/>
        <v>24</v>
      </c>
      <c r="G8" s="13">
        <f>VLOOKUP(B8,'Base Cobertura'!$A:$C,3,FALSE)</f>
        <v>167</v>
      </c>
      <c r="H8" s="13">
        <f>VLOOKUP(B8,'Base Cobertura'!$A:$C,2,FALSE)</f>
        <v>116</v>
      </c>
      <c r="I8" s="17">
        <f t="shared" si="2"/>
        <v>25.949999999999989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147 - GOLOSINAS</v>
      </c>
      <c r="S8" s="13">
        <v>39</v>
      </c>
      <c r="T8" s="13">
        <v>173</v>
      </c>
      <c r="U8" s="5">
        <f t="shared" si="3"/>
        <v>0.22543352601156069</v>
      </c>
    </row>
    <row r="9" spans="1:21" x14ac:dyDescent="0.25">
      <c r="A9" s="143"/>
      <c r="B9">
        <v>8</v>
      </c>
      <c r="C9" s="13" t="str">
        <f>+AVANCE!B7</f>
        <v>8 - PARRA MAXIMILIANO</v>
      </c>
      <c r="D9" s="22">
        <f t="shared" ref="D9:D13" si="4">H9/G9</f>
        <v>0.4564102564102564</v>
      </c>
      <c r="E9" s="13">
        <v>64</v>
      </c>
      <c r="F9" s="12">
        <f t="shared" si="1"/>
        <v>25</v>
      </c>
      <c r="G9" s="13">
        <f>VLOOKUP(B9,'Base Cobertura'!$A:$C,3,FALSE)</f>
        <v>195</v>
      </c>
      <c r="H9" s="13">
        <f>VLOOKUP(B9,'Base Cobertura'!$A:$C,2,FALSE)</f>
        <v>89</v>
      </c>
      <c r="I9" s="17">
        <f t="shared" si="2"/>
        <v>76.75</v>
      </c>
      <c r="J9" t="s">
        <v>55</v>
      </c>
      <c r="K9" t="s">
        <v>65</v>
      </c>
      <c r="P9" s="13">
        <v>25</v>
      </c>
      <c r="Q9" s="13">
        <v>0</v>
      </c>
      <c r="R9" s="13" t="str">
        <v>147 - MASCOTAS</v>
      </c>
      <c r="S9" s="13">
        <v>44</v>
      </c>
      <c r="T9" s="13">
        <v>173</v>
      </c>
      <c r="U9" s="5">
        <f t="shared" si="3"/>
        <v>0.25433526011560692</v>
      </c>
    </row>
    <row r="10" spans="1:21" x14ac:dyDescent="0.25">
      <c r="A10" s="143"/>
      <c r="B10">
        <v>52</v>
      </c>
      <c r="C10" s="31" t="str">
        <f>+AVANCE!B13</f>
        <v>52 - RAVAROTTO EMANUEL</v>
      </c>
      <c r="D10" s="32">
        <f t="shared" si="4"/>
        <v>0.32692307692307693</v>
      </c>
      <c r="E10" s="31">
        <v>19</v>
      </c>
      <c r="F10" s="33">
        <f t="shared" si="1"/>
        <v>15</v>
      </c>
      <c r="G10" s="13">
        <f>VLOOKUP(B10,'Base Cobertura'!$A:$C,3,FALSE)</f>
        <v>104</v>
      </c>
      <c r="H10" s="13">
        <f>VLOOKUP(B10,'Base Cobertura'!$A:$C,2,FALSE)</f>
        <v>34</v>
      </c>
      <c r="I10" s="34">
        <f t="shared" si="2"/>
        <v>54.399999999999991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147 - NO PERECEDEROS</v>
      </c>
      <c r="S10" s="13">
        <v>27</v>
      </c>
      <c r="T10" s="13">
        <v>173</v>
      </c>
      <c r="U10" s="5">
        <f t="shared" si="3"/>
        <v>0.15606936416184972</v>
      </c>
    </row>
    <row r="11" spans="1:21" x14ac:dyDescent="0.25">
      <c r="A11" s="143"/>
      <c r="B11">
        <v>53</v>
      </c>
      <c r="C11" s="31" t="str">
        <f>+AVANCE!B14</f>
        <v>53 - SANDOVAL RODRIGO</v>
      </c>
      <c r="D11" s="32">
        <f t="shared" si="4"/>
        <v>0.34285714285714286</v>
      </c>
      <c r="E11" s="31">
        <v>24</v>
      </c>
      <c r="F11" s="33">
        <f t="shared" si="1"/>
        <v>12</v>
      </c>
      <c r="G11" s="13">
        <f>VLOOKUP(B11,'Base Cobertura'!$A:$C,3,FALSE)</f>
        <v>105</v>
      </c>
      <c r="H11" s="13">
        <f>VLOOKUP(B11,'Base Cobertura'!$A:$C,2,FALSE)</f>
        <v>36</v>
      </c>
      <c r="I11" s="34">
        <f t="shared" si="2"/>
        <v>53.25</v>
      </c>
      <c r="J11" t="s">
        <v>59</v>
      </c>
      <c r="P11" s="13">
        <v>25</v>
      </c>
      <c r="Q11" s="13">
        <v>0</v>
      </c>
      <c r="R11" s="13" t="str">
        <v>147 - PILAS</v>
      </c>
      <c r="S11" s="13">
        <v>17</v>
      </c>
      <c r="T11" s="13">
        <v>173</v>
      </c>
      <c r="U11" s="5">
        <f t="shared" si="3"/>
        <v>9.8265895953757232E-2</v>
      </c>
    </row>
    <row r="12" spans="1:21" x14ac:dyDescent="0.25">
      <c r="A12" s="143"/>
      <c r="B12">
        <v>5</v>
      </c>
      <c r="C12" s="13" t="str">
        <f>+AVANCE!B8</f>
        <v>5 - SCHELOVER RAUL</v>
      </c>
      <c r="D12" s="22">
        <f t="shared" si="4"/>
        <v>0.72796934865900387</v>
      </c>
      <c r="E12" s="13">
        <v>144</v>
      </c>
      <c r="F12" s="12">
        <f t="shared" si="1"/>
        <v>46</v>
      </c>
      <c r="G12" s="13">
        <f>VLOOKUP(B12,'Base Cobertura'!$A:$C,3,FALSE)</f>
        <v>261</v>
      </c>
      <c r="H12" s="13">
        <f>VLOOKUP(B12,'Base Cobertura'!$A:$C,2,FALSE)</f>
        <v>190</v>
      </c>
      <c r="I12" s="17">
        <f t="shared" si="2"/>
        <v>31.849999999999994</v>
      </c>
      <c r="J12" t="s">
        <v>59</v>
      </c>
    </row>
    <row r="13" spans="1:21" ht="15.75" thickBot="1" x14ac:dyDescent="0.3">
      <c r="A13" s="143"/>
      <c r="B13">
        <v>4</v>
      </c>
      <c r="C13" s="10" t="str">
        <f>+AVANCE!B9</f>
        <v>4 - TUR SPRINGER FERNANDO</v>
      </c>
      <c r="D13" s="22">
        <f t="shared" si="4"/>
        <v>0.61538461538461542</v>
      </c>
      <c r="E13" s="13">
        <v>85</v>
      </c>
      <c r="F13" s="12">
        <f t="shared" si="1"/>
        <v>27</v>
      </c>
      <c r="G13" s="13">
        <f>VLOOKUP(B13,'Base Cobertura'!$A:$C,3,FALSE)</f>
        <v>182</v>
      </c>
      <c r="H13" s="13">
        <f>VLOOKUP(B13,'Base Cobertura'!$A:$C,2,FALSE)</f>
        <v>112</v>
      </c>
      <c r="I13" s="17">
        <f t="shared" si="2"/>
        <v>42.699999999999989</v>
      </c>
      <c r="J13" t="s">
        <v>57</v>
      </c>
      <c r="K13" t="s">
        <v>64</v>
      </c>
    </row>
    <row r="14" spans="1:21" ht="15.75" thickBot="1" x14ac:dyDescent="0.3">
      <c r="A14" s="143"/>
      <c r="C14" s="9"/>
      <c r="D14" s="23"/>
      <c r="E14" s="14"/>
      <c r="F14" s="16">
        <f>+SUM(F1:F13)</f>
        <v>428</v>
      </c>
      <c r="G14" s="8">
        <f>+SUM(G1:G13)</f>
        <v>2006</v>
      </c>
      <c r="H14" s="8">
        <f>+SUM(H1:H13)</f>
        <v>1306</v>
      </c>
      <c r="I14" s="8"/>
      <c r="J14" t="s">
        <v>55</v>
      </c>
      <c r="K14" t="s">
        <v>64</v>
      </c>
    </row>
    <row r="15" spans="1:21" x14ac:dyDescent="0.25">
      <c r="A15" s="150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0.57668711656441718</v>
      </c>
      <c r="E15" s="13">
        <v>90</v>
      </c>
      <c r="F15" s="12">
        <f t="shared" ref="F15:F36" si="6">+H15-E15</f>
        <v>4</v>
      </c>
      <c r="G15" s="13">
        <f>VLOOKUP(B15,'Base Cobertura'!$A:$C,3,FALSE)</f>
        <v>163</v>
      </c>
      <c r="H15" s="13">
        <f>VLOOKUP(B15,'Base Cobertura'!$A:$C,2,FALSE)</f>
        <v>94</v>
      </c>
      <c r="I15" s="17">
        <f t="shared" ref="I15:I36" si="7">(+G15*$M$2)-H15</f>
        <v>44.549999999999983</v>
      </c>
      <c r="J15" t="s">
        <v>55</v>
      </c>
      <c r="K15" t="s">
        <v>55</v>
      </c>
    </row>
    <row r="16" spans="1:21" x14ac:dyDescent="0.25">
      <c r="A16" s="151"/>
      <c r="B16">
        <v>54</v>
      </c>
      <c r="C16" s="13" t="str">
        <f>+AVANCE!B23</f>
        <v>54 - BARTSCHAT EMILIANO NAHUEL</v>
      </c>
      <c r="D16" s="22">
        <f t="shared" si="5"/>
        <v>0.63131313131313127</v>
      </c>
      <c r="E16" s="13">
        <v>92</v>
      </c>
      <c r="F16" s="12">
        <f t="shared" si="6"/>
        <v>33</v>
      </c>
      <c r="G16" s="13">
        <f>VLOOKUP(B16,'Base Cobertura'!$A:$C,3,FALSE)</f>
        <v>198</v>
      </c>
      <c r="H16" s="13">
        <f>VLOOKUP(B16,'Base Cobertura'!$A:$C,2,FALSE)</f>
        <v>125</v>
      </c>
      <c r="I16" s="17">
        <f t="shared" si="7"/>
        <v>43.299999999999983</v>
      </c>
      <c r="J16" t="s">
        <v>55</v>
      </c>
      <c r="K16" t="s">
        <v>63</v>
      </c>
    </row>
    <row r="17" spans="1:11" x14ac:dyDescent="0.25">
      <c r="A17" s="151"/>
      <c r="B17">
        <v>21</v>
      </c>
      <c r="C17" s="13" t="str">
        <f>+AVANCE!B19</f>
        <v>21 - CATAN MATIAS</v>
      </c>
      <c r="D17" s="22">
        <f t="shared" si="5"/>
        <v>0.71176470588235297</v>
      </c>
      <c r="E17" s="13">
        <v>88</v>
      </c>
      <c r="F17" s="12">
        <f t="shared" si="6"/>
        <v>33</v>
      </c>
      <c r="G17" s="13">
        <f>VLOOKUP(B17,'Base Cobertura'!$A:$C,3,FALSE)</f>
        <v>170</v>
      </c>
      <c r="H17" s="13">
        <f>VLOOKUP(B17,'Base Cobertura'!$A:$C,2,FALSE)</f>
        <v>121</v>
      </c>
      <c r="I17" s="17">
        <f t="shared" si="7"/>
        <v>23.5</v>
      </c>
      <c r="J17" t="s">
        <v>58</v>
      </c>
      <c r="K17" t="s">
        <v>55</v>
      </c>
    </row>
    <row r="18" spans="1:11" x14ac:dyDescent="0.25">
      <c r="A18" s="151"/>
      <c r="B18">
        <v>23</v>
      </c>
      <c r="C18" s="13" t="str">
        <f>+AVANCE!B20</f>
        <v>23 - DELGADO JOSÉ</v>
      </c>
      <c r="D18" s="22">
        <f t="shared" si="5"/>
        <v>0.61935483870967745</v>
      </c>
      <c r="E18" s="13">
        <v>95</v>
      </c>
      <c r="F18" s="12">
        <f t="shared" si="6"/>
        <v>1</v>
      </c>
      <c r="G18" s="13">
        <f>VLOOKUP(B18,'Base Cobertura'!$A:$C,3,FALSE)</f>
        <v>155</v>
      </c>
      <c r="H18" s="13">
        <f>VLOOKUP(B18,'Base Cobertura'!$A:$C,2,FALSE)</f>
        <v>96</v>
      </c>
      <c r="I18" s="17">
        <f t="shared" si="7"/>
        <v>35.75</v>
      </c>
      <c r="J18" t="s">
        <v>58</v>
      </c>
      <c r="K18" t="s">
        <v>64</v>
      </c>
    </row>
    <row r="19" spans="1:11" x14ac:dyDescent="0.25">
      <c r="A19" s="151"/>
      <c r="B19">
        <v>18</v>
      </c>
      <c r="C19" s="13" t="str">
        <f>+AVANCE!B18</f>
        <v>18 - HERRERA PABLO</v>
      </c>
      <c r="D19" s="22">
        <f t="shared" si="5"/>
        <v>0.72928176795580113</v>
      </c>
      <c r="E19" s="13">
        <v>83</v>
      </c>
      <c r="F19" s="12">
        <f t="shared" si="6"/>
        <v>49</v>
      </c>
      <c r="G19" s="13">
        <f>VLOOKUP(B19,'Base Cobertura'!$A:$C,3,FALSE)</f>
        <v>181</v>
      </c>
      <c r="H19" s="13">
        <f>VLOOKUP(B19,'Base Cobertura'!$A:$C,2,FALSE)</f>
        <v>132</v>
      </c>
      <c r="I19" s="17">
        <f t="shared" si="7"/>
        <v>21.849999999999994</v>
      </c>
      <c r="J19" t="s">
        <v>55</v>
      </c>
      <c r="K19" t="s">
        <v>55</v>
      </c>
    </row>
    <row r="20" spans="1:11" x14ac:dyDescent="0.25">
      <c r="A20" s="151"/>
      <c r="B20">
        <v>44</v>
      </c>
      <c r="C20" s="13" t="str">
        <f>+AVANCE!B22</f>
        <v>44 - MONGES CESAR LUIS</v>
      </c>
      <c r="D20" s="22">
        <f t="shared" si="5"/>
        <v>0.67816091954022983</v>
      </c>
      <c r="E20" s="13">
        <v>64</v>
      </c>
      <c r="F20" s="12">
        <f t="shared" si="6"/>
        <v>54</v>
      </c>
      <c r="G20" s="13">
        <f>VLOOKUP(B20,'Base Cobertura'!$A:$C,3,FALSE)</f>
        <v>174</v>
      </c>
      <c r="H20" s="13">
        <f>VLOOKUP(B20,'Base Cobertura'!$A:$C,2,FALSE)</f>
        <v>118</v>
      </c>
      <c r="I20" s="17">
        <f t="shared" si="7"/>
        <v>29.900000000000006</v>
      </c>
      <c r="J20" t="s">
        <v>58</v>
      </c>
      <c r="K20" t="s">
        <v>64</v>
      </c>
    </row>
    <row r="21" spans="1:11" x14ac:dyDescent="0.25">
      <c r="A21" s="151"/>
      <c r="B21">
        <v>2</v>
      </c>
      <c r="C21" s="13" t="str">
        <f>+AVANCE!B16</f>
        <v>2 - OJEDA NORBERTO</v>
      </c>
      <c r="D21" s="22">
        <f t="shared" si="5"/>
        <v>0.68644067796610164</v>
      </c>
      <c r="E21" s="13">
        <v>70</v>
      </c>
      <c r="F21" s="12">
        <f t="shared" si="6"/>
        <v>11</v>
      </c>
      <c r="G21" s="13">
        <f>VLOOKUP(B21,'Base Cobertura'!$A:$C,3,FALSE)</f>
        <v>118</v>
      </c>
      <c r="H21" s="13">
        <f>VLOOKUP(B21,'Base Cobertura'!$A:$C,2,FALSE)</f>
        <v>81</v>
      </c>
      <c r="I21" s="17">
        <f t="shared" si="7"/>
        <v>19.299999999999997</v>
      </c>
      <c r="J21" t="s">
        <v>58</v>
      </c>
      <c r="K21" t="s">
        <v>66</v>
      </c>
    </row>
    <row r="22" spans="1:11" ht="15.75" thickBot="1" x14ac:dyDescent="0.3">
      <c r="A22" s="151"/>
      <c r="B22">
        <v>3</v>
      </c>
      <c r="C22" s="10" t="str">
        <f>+AVANCE!B17</f>
        <v>3 - VIDAL NAHUEL</v>
      </c>
      <c r="D22" s="22">
        <f t="shared" si="5"/>
        <v>0.77192982456140347</v>
      </c>
      <c r="E22" s="13">
        <v>79</v>
      </c>
      <c r="F22" s="12">
        <f t="shared" si="6"/>
        <v>53</v>
      </c>
      <c r="G22" s="13">
        <f>VLOOKUP(B22,'Base Cobertura'!$A:$C,3,FALSE)</f>
        <v>171</v>
      </c>
      <c r="H22" s="13">
        <f>VLOOKUP(B22,'Base Cobertura'!$A:$C,2,FALSE)</f>
        <v>132</v>
      </c>
      <c r="I22" s="17">
        <f t="shared" si="7"/>
        <v>13.349999999999994</v>
      </c>
      <c r="J22" t="s">
        <v>60</v>
      </c>
      <c r="K22" t="s">
        <v>64</v>
      </c>
    </row>
    <row r="23" spans="1:11" ht="15.75" thickBot="1" x14ac:dyDescent="0.3">
      <c r="A23" s="152"/>
      <c r="C23" s="9"/>
      <c r="D23" s="23"/>
      <c r="E23" s="14"/>
      <c r="F23" s="16">
        <f>+SUM(F15:F22)</f>
        <v>238</v>
      </c>
      <c r="G23" s="8">
        <f>+SUM(G15:G22)</f>
        <v>1330</v>
      </c>
      <c r="H23" s="8">
        <f>+SUM(H15:H22)</f>
        <v>899</v>
      </c>
      <c r="I23" s="8"/>
    </row>
    <row r="24" spans="1:11" x14ac:dyDescent="0.25">
      <c r="A24" s="150" t="s">
        <v>215</v>
      </c>
      <c r="B24">
        <v>32</v>
      </c>
      <c r="C24" s="12" t="str">
        <f>+AVANCE!B25</f>
        <v>32 - CABRAL GONZALO</v>
      </c>
      <c r="D24" s="22">
        <f t="shared" si="5"/>
        <v>0.60344827586206895</v>
      </c>
      <c r="E24" s="13">
        <v>20</v>
      </c>
      <c r="F24" s="12">
        <f>+H24-E24</f>
        <v>15</v>
      </c>
      <c r="G24" s="13">
        <f>VLOOKUP(B24,'Base Cobertura'!$A:$C,3,FALSE)</f>
        <v>58</v>
      </c>
      <c r="H24" s="13">
        <f>VLOOKUP(B24,'Base Cobertura'!$A:$C,2,FALSE)</f>
        <v>35</v>
      </c>
      <c r="I24" s="17">
        <f t="shared" si="7"/>
        <v>14.299999999999997</v>
      </c>
      <c r="J24" t="s">
        <v>55</v>
      </c>
      <c r="K24" t="s">
        <v>66</v>
      </c>
    </row>
    <row r="25" spans="1:11" x14ac:dyDescent="0.25">
      <c r="A25" s="151"/>
      <c r="B25">
        <v>36</v>
      </c>
      <c r="C25" s="12" t="str">
        <f>+AVANCE!B26</f>
        <v>36 - COSARINSKI DIEGO</v>
      </c>
      <c r="D25" s="22">
        <f t="shared" si="5"/>
        <v>0.57792207792207795</v>
      </c>
      <c r="E25" s="13">
        <v>68</v>
      </c>
      <c r="F25" s="12">
        <f t="shared" si="6"/>
        <v>21</v>
      </c>
      <c r="G25" s="13">
        <f>VLOOKUP(B25,'Base Cobertura'!$A:$C,3,FALSE)</f>
        <v>154</v>
      </c>
      <c r="H25" s="13">
        <f>VLOOKUP(B25,'Base Cobertura'!$A:$C,2,FALSE)</f>
        <v>89</v>
      </c>
      <c r="I25" s="17">
        <f t="shared" si="7"/>
        <v>41.900000000000006</v>
      </c>
      <c r="J25" t="s">
        <v>58</v>
      </c>
      <c r="K25" t="s">
        <v>66</v>
      </c>
    </row>
    <row r="26" spans="1:11" x14ac:dyDescent="0.25">
      <c r="A26" s="151"/>
      <c r="B26">
        <v>9</v>
      </c>
      <c r="C26" s="12" t="str">
        <f>+AVANCE!B27</f>
        <v>9 - ESTIGARRIBIA DAVID</v>
      </c>
      <c r="D26" s="22">
        <f t="shared" si="5"/>
        <v>0.6858974358974359</v>
      </c>
      <c r="E26" s="13">
        <v>80</v>
      </c>
      <c r="F26" s="12">
        <f t="shared" si="6"/>
        <v>27</v>
      </c>
      <c r="G26" s="13">
        <f>VLOOKUP(B26,'Base Cobertura'!$A:$C,3,FALSE)</f>
        <v>156</v>
      </c>
      <c r="H26" s="13">
        <f>VLOOKUP(B26,'Base Cobertura'!$A:$C,2,FALSE)</f>
        <v>107</v>
      </c>
      <c r="I26" s="17">
        <f t="shared" si="7"/>
        <v>25.599999999999994</v>
      </c>
      <c r="J26" t="s">
        <v>58</v>
      </c>
      <c r="K26" t="s">
        <v>55</v>
      </c>
    </row>
    <row r="27" spans="1:11" x14ac:dyDescent="0.25">
      <c r="A27" s="151"/>
      <c r="B27">
        <v>40</v>
      </c>
      <c r="C27" s="12" t="str">
        <f>+AVANCE!B28</f>
        <v>40 - IBARROLA JORGE</v>
      </c>
      <c r="D27" s="22">
        <f t="shared" si="5"/>
        <v>0.44144144144144143</v>
      </c>
      <c r="E27" s="13">
        <v>68</v>
      </c>
      <c r="F27" s="12">
        <f t="shared" si="6"/>
        <v>30</v>
      </c>
      <c r="G27" s="13">
        <f>VLOOKUP(B27,'Base Cobertura'!$A:$C,3,FALSE)</f>
        <v>222</v>
      </c>
      <c r="H27" s="13">
        <f>VLOOKUP(B27,'Base Cobertura'!$A:$C,2,FALSE)</f>
        <v>98</v>
      </c>
      <c r="I27" s="17">
        <f t="shared" si="7"/>
        <v>90.699999999999989</v>
      </c>
      <c r="J27" t="s">
        <v>58</v>
      </c>
      <c r="K27" t="s">
        <v>66</v>
      </c>
    </row>
    <row r="28" spans="1:11" x14ac:dyDescent="0.25">
      <c r="A28" s="151"/>
      <c r="B28">
        <v>27</v>
      </c>
      <c r="C28" s="12" t="str">
        <f>+AVANCE!B29</f>
        <v>27 - GOMEZ ADRIÁN</v>
      </c>
      <c r="D28" s="22">
        <f t="shared" si="5"/>
        <v>0.79699248120300747</v>
      </c>
      <c r="E28" s="13">
        <v>73</v>
      </c>
      <c r="F28" s="12">
        <f t="shared" si="6"/>
        <v>33</v>
      </c>
      <c r="G28" s="13">
        <f>VLOOKUP(B28,'Base Cobertura'!$A:$C,3,FALSE)</f>
        <v>133</v>
      </c>
      <c r="H28" s="13">
        <f>VLOOKUP(B28,'Base Cobertura'!$A:$C,2,FALSE)</f>
        <v>106</v>
      </c>
      <c r="I28" s="17">
        <f t="shared" si="7"/>
        <v>7.0499999999999972</v>
      </c>
      <c r="J28" t="s">
        <v>55</v>
      </c>
      <c r="K28" t="s">
        <v>66</v>
      </c>
    </row>
    <row r="29" spans="1:11" x14ac:dyDescent="0.25">
      <c r="A29" s="151"/>
      <c r="B29">
        <v>10</v>
      </c>
      <c r="C29" s="12" t="str">
        <f>+AVANCE!B30</f>
        <v>10 - BRITEZ EMMANUEL</v>
      </c>
      <c r="D29" s="22">
        <f t="shared" si="5"/>
        <v>0.58064516129032262</v>
      </c>
      <c r="E29" s="13">
        <v>40</v>
      </c>
      <c r="F29" s="12">
        <f t="shared" si="6"/>
        <v>68</v>
      </c>
      <c r="G29" s="13">
        <f>VLOOKUP(B29,'Base Cobertura'!$A:$C,3,FALSE)</f>
        <v>186</v>
      </c>
      <c r="H29" s="13">
        <f>VLOOKUP(B29,'Base Cobertura'!$A:$C,2,FALSE)</f>
        <v>108</v>
      </c>
      <c r="I29" s="17">
        <f t="shared" si="7"/>
        <v>50.099999999999994</v>
      </c>
      <c r="J29" t="s">
        <v>58</v>
      </c>
      <c r="K29" t="s">
        <v>66</v>
      </c>
    </row>
    <row r="30" spans="1:11" x14ac:dyDescent="0.25">
      <c r="A30" s="151"/>
      <c r="B30">
        <v>28</v>
      </c>
      <c r="C30" s="12" t="str">
        <f>+AVANCE!B31</f>
        <v>28 - GOMEZ PABLO</v>
      </c>
      <c r="D30" s="22">
        <f t="shared" si="5"/>
        <v>0.7321428571428571</v>
      </c>
      <c r="E30" s="13">
        <v>67</v>
      </c>
      <c r="F30" s="12">
        <f t="shared" si="6"/>
        <v>56</v>
      </c>
      <c r="G30" s="13">
        <f>VLOOKUP(B30,'Base Cobertura'!$A:$C,3,FALSE)</f>
        <v>168</v>
      </c>
      <c r="H30" s="13">
        <f>VLOOKUP(B30,'Base Cobertura'!$A:$C,2,FALSE)</f>
        <v>123</v>
      </c>
      <c r="I30" s="17">
        <f t="shared" si="7"/>
        <v>19.799999999999983</v>
      </c>
      <c r="J30" t="s">
        <v>58</v>
      </c>
      <c r="K30" t="s">
        <v>66</v>
      </c>
    </row>
    <row r="31" spans="1:11" x14ac:dyDescent="0.25">
      <c r="A31" s="151"/>
      <c r="B31">
        <v>33</v>
      </c>
      <c r="C31" s="12" t="str">
        <f>+AVANCE!B32</f>
        <v>33 - NICOLAS AZULA</v>
      </c>
      <c r="D31" s="22">
        <f t="shared" si="5"/>
        <v>0.65269461077844315</v>
      </c>
      <c r="E31" s="13">
        <v>66</v>
      </c>
      <c r="F31" s="12">
        <f t="shared" si="6"/>
        <v>43</v>
      </c>
      <c r="G31" s="13">
        <f>VLOOKUP(B31,'Base Cobertura'!$A:$C,3,FALSE)</f>
        <v>167</v>
      </c>
      <c r="H31" s="13">
        <f>VLOOKUP(B31,'Base Cobertura'!$A:$C,2,FALSE)</f>
        <v>109</v>
      </c>
      <c r="I31" s="17">
        <f t="shared" si="7"/>
        <v>32.949999999999989</v>
      </c>
      <c r="J31" t="s">
        <v>58</v>
      </c>
      <c r="K31" t="s">
        <v>66</v>
      </c>
    </row>
    <row r="32" spans="1:11" x14ac:dyDescent="0.25">
      <c r="A32" s="151"/>
      <c r="B32">
        <v>37</v>
      </c>
      <c r="C32" s="12" t="str">
        <f>+AVANCE!B33</f>
        <v>37 - SALAJ EMILIO</v>
      </c>
      <c r="D32" s="22">
        <f t="shared" si="5"/>
        <v>0.31468531468531469</v>
      </c>
      <c r="E32" s="13">
        <v>82</v>
      </c>
      <c r="F32" s="12">
        <f t="shared" si="6"/>
        <v>-37</v>
      </c>
      <c r="G32" s="13">
        <f>VLOOKUP(B32,'Base Cobertura'!$A:$C,3,FALSE)</f>
        <v>143</v>
      </c>
      <c r="H32" s="13">
        <f>VLOOKUP(B32,'Base Cobertura'!$A:$C,2,FALSE)</f>
        <v>45</v>
      </c>
      <c r="I32" s="17">
        <f t="shared" si="7"/>
        <v>76.55</v>
      </c>
      <c r="J32" t="s">
        <v>55</v>
      </c>
      <c r="K32" t="s">
        <v>66</v>
      </c>
    </row>
    <row r="33" spans="1:12" x14ac:dyDescent="0.25">
      <c r="A33" s="151"/>
      <c r="B33">
        <v>24</v>
      </c>
      <c r="C33" s="12" t="str">
        <f>+AVANCE!B34</f>
        <v>24 - MARTINEZ JORGE NICOLAS</v>
      </c>
      <c r="D33" s="22">
        <f t="shared" si="5"/>
        <v>0.42777777777777776</v>
      </c>
      <c r="E33" s="13">
        <v>81</v>
      </c>
      <c r="F33" s="12">
        <f t="shared" si="6"/>
        <v>-4</v>
      </c>
      <c r="G33" s="13">
        <f>VLOOKUP(B33,'Base Cobertura'!$A:$C,3,FALSE)</f>
        <v>180</v>
      </c>
      <c r="H33" s="13">
        <f>VLOOKUP(B33,'Base Cobertura'!$A:$C,2,FALSE)</f>
        <v>77</v>
      </c>
      <c r="I33" s="17">
        <f t="shared" si="7"/>
        <v>76</v>
      </c>
      <c r="J33" t="s">
        <v>58</v>
      </c>
      <c r="K33" t="s">
        <v>66</v>
      </c>
    </row>
    <row r="34" spans="1:12" x14ac:dyDescent="0.25">
      <c r="A34" s="151"/>
      <c r="B34">
        <v>7</v>
      </c>
      <c r="C34" s="12" t="str">
        <f>+AVANCE!B35</f>
        <v>7 - VALLEJOS EDUARDO</v>
      </c>
      <c r="D34" s="22">
        <f t="shared" si="5"/>
        <v>6.8965517241379309E-2</v>
      </c>
      <c r="E34" s="13">
        <v>0</v>
      </c>
      <c r="F34" s="12">
        <f t="shared" si="6"/>
        <v>8</v>
      </c>
      <c r="G34" s="13">
        <f>VLOOKUP(B34,'Base Cobertura'!$A:$C,3,FALSE)</f>
        <v>116</v>
      </c>
      <c r="H34" s="13">
        <f>VLOOKUP(B34,'Base Cobertura'!$A:$C,2,FALSE)</f>
        <v>8</v>
      </c>
      <c r="I34" s="17">
        <f t="shared" si="7"/>
        <v>90.6</v>
      </c>
      <c r="J34" t="s">
        <v>58</v>
      </c>
    </row>
    <row r="35" spans="1:12" x14ac:dyDescent="0.25">
      <c r="A35" s="151"/>
      <c r="B35">
        <v>57</v>
      </c>
      <c r="C35" s="12" t="str">
        <f>+AVANCE!B36</f>
        <v>57 - ROUBINEAU SEBASTIAN</v>
      </c>
      <c r="D35" s="22">
        <f t="shared" si="5"/>
        <v>0.19047619047619047</v>
      </c>
      <c r="E35" s="13">
        <v>17</v>
      </c>
      <c r="F35" s="12">
        <f t="shared" si="6"/>
        <v>3</v>
      </c>
      <c r="G35" s="13">
        <f>VLOOKUP(B35,'Base Cobertura'!$A:$C,3,FALSE)</f>
        <v>105</v>
      </c>
      <c r="H35" s="13">
        <f>VLOOKUP(B35,'Base Cobertura'!$A:$C,2,FALSE)</f>
        <v>20</v>
      </c>
      <c r="I35" s="17">
        <f t="shared" si="7"/>
        <v>69.25</v>
      </c>
      <c r="J35" t="s">
        <v>59</v>
      </c>
    </row>
    <row r="36" spans="1:12" ht="15.75" thickBot="1" x14ac:dyDescent="0.3">
      <c r="A36" s="151"/>
      <c r="B36">
        <v>1</v>
      </c>
      <c r="C36" s="12" t="str">
        <f>+AVANCE!B37</f>
        <v>1 - VERA ERNESTO</v>
      </c>
      <c r="D36" s="22">
        <f t="shared" si="5"/>
        <v>0.75213675213675213</v>
      </c>
      <c r="E36" s="13">
        <v>60</v>
      </c>
      <c r="F36" s="12">
        <f t="shared" si="6"/>
        <v>28</v>
      </c>
      <c r="G36" s="13">
        <f>VLOOKUP(B36,'Base Cobertura'!$A:$C,3,FALSE)</f>
        <v>117</v>
      </c>
      <c r="H36" s="13">
        <f>VLOOKUP(B36,'Base Cobertura'!$A:$C,2,FALSE)</f>
        <v>88</v>
      </c>
      <c r="I36" s="17">
        <f t="shared" si="7"/>
        <v>11.450000000000003</v>
      </c>
      <c r="J36" t="s">
        <v>55</v>
      </c>
      <c r="K36" t="s">
        <v>55</v>
      </c>
    </row>
    <row r="37" spans="1:12" ht="15.75" thickBot="1" x14ac:dyDescent="0.3">
      <c r="A37" s="152"/>
      <c r="C37" s="9"/>
      <c r="D37" s="23"/>
      <c r="E37" s="14"/>
      <c r="F37" s="8">
        <f>+SUM(F24:F36)</f>
        <v>291</v>
      </c>
      <c r="G37" s="8">
        <f>+SUM(G24:G36)</f>
        <v>1905</v>
      </c>
      <c r="H37" s="8">
        <f>+SUM(H24:H36)</f>
        <v>1013</v>
      </c>
      <c r="I37" s="8"/>
    </row>
    <row r="38" spans="1:12" x14ac:dyDescent="0.25">
      <c r="A38" s="150" t="s">
        <v>269</v>
      </c>
      <c r="B38">
        <v>58</v>
      </c>
      <c r="C38" t="s">
        <v>144</v>
      </c>
      <c r="D38" s="22">
        <f t="shared" ref="D38:D44" si="8">H38/G38</f>
        <v>0.21311475409836064</v>
      </c>
      <c r="E38" s="13">
        <v>60</v>
      </c>
      <c r="F38" s="12">
        <f t="shared" ref="F38:F44" si="9">+H38-E38</f>
        <v>-34</v>
      </c>
      <c r="G38" s="13">
        <f>VLOOKUP(B38,'Base Cobertura'!$A:$C,3,FALSE)</f>
        <v>122</v>
      </c>
      <c r="H38" s="13">
        <f>VLOOKUP(B38,'Base Cobertura'!$A:$C,2,FALSE)</f>
        <v>26</v>
      </c>
      <c r="I38" s="17">
        <f t="shared" ref="I38:I44" si="10">(+G38*$M$2)-H38</f>
        <v>77.7</v>
      </c>
    </row>
    <row r="39" spans="1:12" x14ac:dyDescent="0.25">
      <c r="A39" s="151"/>
      <c r="B39">
        <v>59</v>
      </c>
      <c r="C39" t="s">
        <v>145</v>
      </c>
      <c r="D39" s="22">
        <f t="shared" si="8"/>
        <v>0.3968253968253968</v>
      </c>
      <c r="E39" s="13">
        <v>60</v>
      </c>
      <c r="F39" s="12">
        <f t="shared" si="9"/>
        <v>-10</v>
      </c>
      <c r="G39" s="13">
        <f>VLOOKUP(B39,'Base Cobertura'!$A:$C,3,FALSE)</f>
        <v>126</v>
      </c>
      <c r="H39" s="13">
        <f>VLOOKUP(B39,'Base Cobertura'!$A:$C,2,FALSE)</f>
        <v>50</v>
      </c>
      <c r="I39" s="17">
        <f t="shared" si="10"/>
        <v>57.099999999999994</v>
      </c>
    </row>
    <row r="40" spans="1:12" x14ac:dyDescent="0.25">
      <c r="A40" s="151"/>
      <c r="B40">
        <v>49</v>
      </c>
      <c r="C40" t="s">
        <v>106</v>
      </c>
      <c r="D40" s="22">
        <f t="shared" si="8"/>
        <v>0.31967213114754101</v>
      </c>
      <c r="E40" s="13">
        <v>60</v>
      </c>
      <c r="F40" s="12">
        <f t="shared" si="9"/>
        <v>18</v>
      </c>
      <c r="G40" s="13">
        <f>VLOOKUP(B40,'Base Cobertura'!$A:$C,3,FALSE)</f>
        <v>244</v>
      </c>
      <c r="H40" s="13">
        <f>VLOOKUP(B40,'Base Cobertura'!$A:$C,2,FALSE)</f>
        <v>78</v>
      </c>
      <c r="I40" s="17">
        <f t="shared" si="10"/>
        <v>129.4</v>
      </c>
    </row>
    <row r="41" spans="1:12" x14ac:dyDescent="0.25">
      <c r="A41" s="151"/>
      <c r="B41">
        <v>56</v>
      </c>
      <c r="C41" t="s">
        <v>139</v>
      </c>
      <c r="D41" s="22">
        <f t="shared" si="8"/>
        <v>0.31818181818181818</v>
      </c>
      <c r="E41" s="13">
        <v>60</v>
      </c>
      <c r="F41" s="12">
        <f t="shared" si="9"/>
        <v>3</v>
      </c>
      <c r="G41" s="13">
        <f>VLOOKUP(B41,'Base Cobertura'!$A:$C,3,FALSE)</f>
        <v>198</v>
      </c>
      <c r="H41" s="13">
        <f>VLOOKUP(B41,'Base Cobertura'!$A:$C,2,FALSE)</f>
        <v>63</v>
      </c>
      <c r="I41" s="17">
        <f t="shared" si="10"/>
        <v>105.29999999999998</v>
      </c>
    </row>
    <row r="42" spans="1:12" x14ac:dyDescent="0.25">
      <c r="A42" s="151"/>
      <c r="B42">
        <v>26</v>
      </c>
      <c r="C42" t="s">
        <v>266</v>
      </c>
      <c r="D42" s="22">
        <f t="shared" si="8"/>
        <v>0.3532934131736527</v>
      </c>
      <c r="E42" s="13">
        <v>60</v>
      </c>
      <c r="F42" s="12">
        <f t="shared" si="9"/>
        <v>-1</v>
      </c>
      <c r="G42" s="13">
        <f>VLOOKUP(B42,'Base Cobertura'!$A:$C,3,FALSE)</f>
        <v>167</v>
      </c>
      <c r="H42" s="13">
        <f>VLOOKUP(B42,'Base Cobertura'!$A:$C,2,FALSE)</f>
        <v>59</v>
      </c>
      <c r="I42" s="17">
        <f t="shared" si="10"/>
        <v>82.949999999999989</v>
      </c>
    </row>
    <row r="43" spans="1:12" x14ac:dyDescent="0.25">
      <c r="A43" s="151"/>
      <c r="B43">
        <v>25</v>
      </c>
      <c r="C43" t="s">
        <v>267</v>
      </c>
      <c r="D43" s="22">
        <f t="shared" si="8"/>
        <v>0.42196531791907516</v>
      </c>
      <c r="E43" s="13">
        <v>60</v>
      </c>
      <c r="F43" s="12">
        <f t="shared" si="9"/>
        <v>13</v>
      </c>
      <c r="G43" s="13">
        <f>VLOOKUP(B43,'Base Cobertura'!$A:$C,3,FALSE)</f>
        <v>173</v>
      </c>
      <c r="H43" s="13">
        <f>VLOOKUP(B43,'Base Cobertura'!$A:$C,2,FALSE)</f>
        <v>73</v>
      </c>
      <c r="I43" s="17">
        <f t="shared" si="10"/>
        <v>74.049999999999983</v>
      </c>
    </row>
    <row r="44" spans="1:12" ht="15.75" thickBot="1" x14ac:dyDescent="0.3">
      <c r="A44" s="151"/>
      <c r="B44">
        <v>43</v>
      </c>
      <c r="C44" t="s">
        <v>268</v>
      </c>
      <c r="D44" s="22">
        <f t="shared" si="8"/>
        <v>0.17204301075268819</v>
      </c>
      <c r="E44" s="13">
        <v>60</v>
      </c>
      <c r="F44" s="12">
        <f t="shared" si="9"/>
        <v>-44</v>
      </c>
      <c r="G44" s="13">
        <f>VLOOKUP(B44,'Base Cobertura'!$A:$C,3,FALSE)</f>
        <v>93</v>
      </c>
      <c r="H44" s="13">
        <f>VLOOKUP(B44,'Base Cobertura'!$A:$C,2,FALSE)</f>
        <v>16</v>
      </c>
      <c r="I44" s="17">
        <f t="shared" si="10"/>
        <v>63.05</v>
      </c>
    </row>
    <row r="45" spans="1:12" ht="15.75" thickBot="1" x14ac:dyDescent="0.3">
      <c r="A45" s="136"/>
      <c r="C45" s="9"/>
      <c r="D45" s="23"/>
      <c r="E45" s="13"/>
      <c r="F45" s="12"/>
      <c r="G45" s="8">
        <f>+SUM(G32:G44)</f>
        <v>3689</v>
      </c>
      <c r="H45" s="8">
        <f>+SUM(H32:H44)</f>
        <v>1616</v>
      </c>
      <c r="I45" s="8"/>
      <c r="L45" t="s">
        <v>67</v>
      </c>
    </row>
    <row r="46" spans="1:12" x14ac:dyDescent="0.25">
      <c r="A46" s="11" t="s">
        <v>42</v>
      </c>
      <c r="C46" s="11"/>
      <c r="D46" s="24"/>
      <c r="E46" s="6"/>
      <c r="F46" s="8" t="e">
        <f>+SUM(F37+F23+#REF!)</f>
        <v>#REF!</v>
      </c>
      <c r="G46" s="8">
        <f>+G45+G23+G37+G14</f>
        <v>8930</v>
      </c>
      <c r="H46" s="8">
        <f>+H45+H23+H37+H14</f>
        <v>4834</v>
      </c>
      <c r="I46" s="8"/>
      <c r="L46" s="1">
        <f>+H46/G46</f>
        <v>0.54132138857782752</v>
      </c>
    </row>
  </sheetData>
  <autoFilter ref="C1:N46" xr:uid="{00000000-0001-0000-0500-000000000000}"/>
  <mergeCells count="3">
    <mergeCell ref="A15:A23"/>
    <mergeCell ref="A24:A37"/>
    <mergeCell ref="A38:A44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4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topLeftCell="A7"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5</v>
      </c>
      <c r="C3" s="51">
        <v>3535</v>
      </c>
      <c r="G3" t="s">
        <v>271</v>
      </c>
      <c r="H3" s="51">
        <v>4</v>
      </c>
      <c r="I3" s="51">
        <v>3535</v>
      </c>
    </row>
    <row r="4" spans="1:9" x14ac:dyDescent="0.25">
      <c r="A4">
        <v>1</v>
      </c>
      <c r="B4" s="51">
        <v>88</v>
      </c>
      <c r="C4" s="51">
        <v>117</v>
      </c>
      <c r="G4" t="s">
        <v>272</v>
      </c>
      <c r="H4">
        <v>1</v>
      </c>
      <c r="I4" s="51">
        <v>3535</v>
      </c>
    </row>
    <row r="5" spans="1:9" x14ac:dyDescent="0.25">
      <c r="A5">
        <v>10</v>
      </c>
      <c r="B5" s="51">
        <v>108</v>
      </c>
      <c r="C5" s="51">
        <v>186</v>
      </c>
      <c r="G5" t="s">
        <v>273</v>
      </c>
      <c r="H5" s="51">
        <v>3</v>
      </c>
      <c r="I5" s="51">
        <v>3535</v>
      </c>
    </row>
    <row r="6" spans="1:9" x14ac:dyDescent="0.25">
      <c r="A6">
        <v>100</v>
      </c>
      <c r="B6" s="51">
        <v>40</v>
      </c>
      <c r="C6" s="51">
        <v>2030</v>
      </c>
      <c r="G6" t="s">
        <v>274</v>
      </c>
      <c r="H6" s="51"/>
      <c r="I6" s="51">
        <v>3535</v>
      </c>
    </row>
    <row r="7" spans="1:9" x14ac:dyDescent="0.25">
      <c r="A7">
        <v>11</v>
      </c>
      <c r="B7" s="51">
        <v>116</v>
      </c>
      <c r="C7" s="51">
        <v>167</v>
      </c>
      <c r="G7" t="s">
        <v>275</v>
      </c>
      <c r="H7" s="51">
        <v>2</v>
      </c>
      <c r="I7" s="51">
        <v>3535</v>
      </c>
    </row>
    <row r="8" spans="1:9" x14ac:dyDescent="0.25">
      <c r="A8">
        <v>12</v>
      </c>
      <c r="B8" s="51">
        <v>153</v>
      </c>
      <c r="C8" s="51">
        <v>214</v>
      </c>
      <c r="G8" t="s">
        <v>276</v>
      </c>
      <c r="H8" s="51">
        <v>2</v>
      </c>
      <c r="I8" s="51">
        <v>3535</v>
      </c>
    </row>
    <row r="9" spans="1:9" x14ac:dyDescent="0.25">
      <c r="A9">
        <v>123</v>
      </c>
      <c r="B9" s="51">
        <v>30</v>
      </c>
      <c r="C9" s="51">
        <v>481</v>
      </c>
      <c r="G9" t="s">
        <v>277</v>
      </c>
      <c r="H9" s="51">
        <v>2</v>
      </c>
      <c r="I9" s="51">
        <v>3535</v>
      </c>
    </row>
    <row r="10" spans="1:9" x14ac:dyDescent="0.25">
      <c r="A10">
        <v>15</v>
      </c>
      <c r="B10" s="51">
        <v>39</v>
      </c>
      <c r="C10" s="51">
        <v>65</v>
      </c>
      <c r="G10" t="s">
        <v>278</v>
      </c>
      <c r="I10" s="51">
        <v>3535</v>
      </c>
    </row>
    <row r="11" spans="1:9" x14ac:dyDescent="0.25">
      <c r="A11">
        <v>16</v>
      </c>
      <c r="B11" s="51">
        <v>137</v>
      </c>
      <c r="C11" s="51">
        <v>199</v>
      </c>
      <c r="G11" t="s">
        <v>279</v>
      </c>
      <c r="H11" s="51"/>
      <c r="I11" s="51">
        <v>3535</v>
      </c>
    </row>
    <row r="12" spans="1:9" x14ac:dyDescent="0.25">
      <c r="A12">
        <v>18</v>
      </c>
      <c r="B12" s="51">
        <v>132</v>
      </c>
      <c r="C12" s="51">
        <v>181</v>
      </c>
      <c r="E12">
        <f>+F12</f>
        <v>1</v>
      </c>
      <c r="F12">
        <v>1</v>
      </c>
      <c r="G12" t="s">
        <v>271</v>
      </c>
      <c r="H12">
        <v>39</v>
      </c>
      <c r="I12" s="51">
        <v>117</v>
      </c>
    </row>
    <row r="13" spans="1:9" x14ac:dyDescent="0.25">
      <c r="A13">
        <v>19</v>
      </c>
      <c r="B13" s="51">
        <v>162</v>
      </c>
      <c r="C13" s="51">
        <v>208</v>
      </c>
      <c r="E13">
        <f>+$E$12</f>
        <v>1</v>
      </c>
      <c r="G13" t="s">
        <v>272</v>
      </c>
      <c r="H13" s="51">
        <v>25</v>
      </c>
      <c r="I13" s="51">
        <v>117</v>
      </c>
    </row>
    <row r="14" spans="1:9" x14ac:dyDescent="0.25">
      <c r="A14">
        <v>2</v>
      </c>
      <c r="B14" s="51">
        <v>81</v>
      </c>
      <c r="C14" s="51">
        <v>118</v>
      </c>
      <c r="E14">
        <f t="shared" ref="E14:E20" si="0">+$E$12</f>
        <v>1</v>
      </c>
      <c r="G14" t="s">
        <v>273</v>
      </c>
      <c r="H14" s="51">
        <v>47</v>
      </c>
      <c r="I14" s="51">
        <v>117</v>
      </c>
    </row>
    <row r="15" spans="1:9" x14ac:dyDescent="0.25">
      <c r="A15">
        <v>20</v>
      </c>
      <c r="B15" s="51">
        <v>183</v>
      </c>
      <c r="C15" s="51">
        <v>227</v>
      </c>
      <c r="E15">
        <f t="shared" si="0"/>
        <v>1</v>
      </c>
      <c r="G15" t="s">
        <v>274</v>
      </c>
      <c r="H15" s="51">
        <v>34</v>
      </c>
      <c r="I15" s="51">
        <v>117</v>
      </c>
    </row>
    <row r="16" spans="1:9" x14ac:dyDescent="0.25">
      <c r="A16">
        <v>21</v>
      </c>
      <c r="B16" s="51">
        <v>121</v>
      </c>
      <c r="C16" s="51">
        <v>170</v>
      </c>
      <c r="E16">
        <f t="shared" si="0"/>
        <v>1</v>
      </c>
      <c r="G16" t="s">
        <v>275</v>
      </c>
      <c r="H16" s="51">
        <v>55</v>
      </c>
      <c r="I16" s="51">
        <v>117</v>
      </c>
    </row>
    <row r="17" spans="1:9" x14ac:dyDescent="0.25">
      <c r="A17">
        <v>22</v>
      </c>
      <c r="B17" s="51">
        <v>55</v>
      </c>
      <c r="C17" s="51">
        <v>79</v>
      </c>
      <c r="E17">
        <f t="shared" si="0"/>
        <v>1</v>
      </c>
      <c r="G17" t="s">
        <v>276</v>
      </c>
      <c r="H17" s="51">
        <v>50</v>
      </c>
      <c r="I17" s="51">
        <v>117</v>
      </c>
    </row>
    <row r="18" spans="1:9" x14ac:dyDescent="0.25">
      <c r="A18">
        <v>23</v>
      </c>
      <c r="B18" s="51">
        <v>96</v>
      </c>
      <c r="C18" s="51">
        <v>155</v>
      </c>
      <c r="E18">
        <f t="shared" si="0"/>
        <v>1</v>
      </c>
      <c r="G18" t="s">
        <v>277</v>
      </c>
      <c r="H18" s="51">
        <v>24</v>
      </c>
      <c r="I18" s="51">
        <v>117</v>
      </c>
    </row>
    <row r="19" spans="1:9" x14ac:dyDescent="0.25">
      <c r="A19">
        <v>24</v>
      </c>
      <c r="B19" s="51">
        <v>77</v>
      </c>
      <c r="C19" s="51">
        <v>180</v>
      </c>
      <c r="E19">
        <f t="shared" si="0"/>
        <v>1</v>
      </c>
      <c r="G19" t="s">
        <v>278</v>
      </c>
      <c r="H19" s="51">
        <v>23</v>
      </c>
      <c r="I19" s="51">
        <v>117</v>
      </c>
    </row>
    <row r="20" spans="1:9" x14ac:dyDescent="0.25">
      <c r="A20">
        <v>25</v>
      </c>
      <c r="B20" s="51">
        <v>73</v>
      </c>
      <c r="C20" s="51">
        <v>173</v>
      </c>
      <c r="E20">
        <f t="shared" si="0"/>
        <v>1</v>
      </c>
      <c r="G20" t="s">
        <v>279</v>
      </c>
      <c r="H20">
        <v>26</v>
      </c>
      <c r="I20" s="51">
        <v>117</v>
      </c>
    </row>
    <row r="21" spans="1:9" x14ac:dyDescent="0.25">
      <c r="A21">
        <v>26</v>
      </c>
      <c r="B21" s="51">
        <v>59</v>
      </c>
      <c r="C21" s="51">
        <v>167</v>
      </c>
      <c r="E21">
        <f>+$F$21</f>
        <v>10</v>
      </c>
      <c r="F21">
        <v>10</v>
      </c>
      <c r="G21" t="s">
        <v>271</v>
      </c>
      <c r="H21" s="51">
        <v>19</v>
      </c>
      <c r="I21" s="51">
        <v>186</v>
      </c>
    </row>
    <row r="22" spans="1:9" x14ac:dyDescent="0.25">
      <c r="A22">
        <v>27</v>
      </c>
      <c r="B22" s="51">
        <v>106</v>
      </c>
      <c r="C22" s="51">
        <v>133</v>
      </c>
      <c r="E22">
        <f t="shared" ref="E22:E29" si="1">+$F$21</f>
        <v>10</v>
      </c>
      <c r="G22" t="s">
        <v>272</v>
      </c>
      <c r="H22" s="51">
        <v>11</v>
      </c>
      <c r="I22" s="51">
        <v>186</v>
      </c>
    </row>
    <row r="23" spans="1:9" x14ac:dyDescent="0.25">
      <c r="A23">
        <v>28</v>
      </c>
      <c r="B23" s="51">
        <v>123</v>
      </c>
      <c r="C23" s="51">
        <v>168</v>
      </c>
      <c r="E23">
        <f t="shared" si="1"/>
        <v>10</v>
      </c>
      <c r="G23" t="s">
        <v>273</v>
      </c>
      <c r="H23" s="51">
        <v>49</v>
      </c>
      <c r="I23" s="51">
        <v>186</v>
      </c>
    </row>
    <row r="24" spans="1:9" x14ac:dyDescent="0.25">
      <c r="A24">
        <v>3</v>
      </c>
      <c r="B24" s="51">
        <v>132</v>
      </c>
      <c r="C24" s="51">
        <v>171</v>
      </c>
      <c r="E24">
        <f t="shared" si="1"/>
        <v>10</v>
      </c>
      <c r="G24" t="s">
        <v>274</v>
      </c>
      <c r="H24" s="51">
        <v>52</v>
      </c>
      <c r="I24" s="51">
        <v>186</v>
      </c>
    </row>
    <row r="25" spans="1:9" x14ac:dyDescent="0.25">
      <c r="A25">
        <v>30</v>
      </c>
      <c r="B25" s="51">
        <v>11</v>
      </c>
      <c r="C25" s="51">
        <v>121</v>
      </c>
      <c r="E25">
        <f t="shared" si="1"/>
        <v>10</v>
      </c>
      <c r="G25" t="s">
        <v>275</v>
      </c>
      <c r="H25" s="51">
        <v>51</v>
      </c>
      <c r="I25" s="51">
        <v>186</v>
      </c>
    </row>
    <row r="26" spans="1:9" x14ac:dyDescent="0.25">
      <c r="A26">
        <v>31</v>
      </c>
      <c r="B26" s="51">
        <v>94</v>
      </c>
      <c r="C26" s="51">
        <v>163</v>
      </c>
      <c r="E26">
        <f t="shared" si="1"/>
        <v>10</v>
      </c>
      <c r="G26" t="s">
        <v>276</v>
      </c>
      <c r="H26" s="51">
        <v>33</v>
      </c>
      <c r="I26" s="51">
        <v>186</v>
      </c>
    </row>
    <row r="27" spans="1:9" x14ac:dyDescent="0.25">
      <c r="A27">
        <v>32</v>
      </c>
      <c r="B27" s="51">
        <v>35</v>
      </c>
      <c r="C27" s="51">
        <v>58</v>
      </c>
      <c r="E27">
        <f t="shared" si="1"/>
        <v>10</v>
      </c>
      <c r="G27" t="s">
        <v>277</v>
      </c>
      <c r="H27" s="51">
        <v>13</v>
      </c>
      <c r="I27" s="51">
        <v>186</v>
      </c>
    </row>
    <row r="28" spans="1:9" x14ac:dyDescent="0.25">
      <c r="A28">
        <v>33</v>
      </c>
      <c r="B28" s="51">
        <v>109</v>
      </c>
      <c r="C28" s="51">
        <v>167</v>
      </c>
      <c r="E28">
        <f t="shared" si="1"/>
        <v>10</v>
      </c>
      <c r="G28" t="s">
        <v>278</v>
      </c>
      <c r="H28" s="51">
        <v>14</v>
      </c>
      <c r="I28" s="51">
        <v>186</v>
      </c>
    </row>
    <row r="29" spans="1:9" x14ac:dyDescent="0.25">
      <c r="A29">
        <v>36</v>
      </c>
      <c r="B29" s="51">
        <v>89</v>
      </c>
      <c r="C29" s="51">
        <v>154</v>
      </c>
      <c r="E29">
        <f t="shared" si="1"/>
        <v>10</v>
      </c>
      <c r="G29" t="s">
        <v>279</v>
      </c>
      <c r="H29" s="51">
        <v>10</v>
      </c>
      <c r="I29" s="51">
        <v>186</v>
      </c>
    </row>
    <row r="30" spans="1:9" x14ac:dyDescent="0.25">
      <c r="A30">
        <v>37</v>
      </c>
      <c r="B30" s="51">
        <v>45</v>
      </c>
      <c r="C30" s="51">
        <v>143</v>
      </c>
      <c r="E30">
        <f>+$F$30</f>
        <v>100</v>
      </c>
      <c r="F30">
        <v>100</v>
      </c>
      <c r="G30" t="s">
        <v>271</v>
      </c>
      <c r="H30" s="51">
        <v>20</v>
      </c>
      <c r="I30" s="51">
        <v>2030</v>
      </c>
    </row>
    <row r="31" spans="1:9" x14ac:dyDescent="0.25">
      <c r="A31">
        <v>4</v>
      </c>
      <c r="B31" s="51">
        <v>112</v>
      </c>
      <c r="C31" s="51">
        <v>182</v>
      </c>
      <c r="E31">
        <f t="shared" ref="E31:E38" si="2">+$F$30</f>
        <v>100</v>
      </c>
      <c r="G31" t="s">
        <v>272</v>
      </c>
      <c r="H31" s="51">
        <v>18</v>
      </c>
      <c r="I31" s="51">
        <v>2030</v>
      </c>
    </row>
    <row r="32" spans="1:9" x14ac:dyDescent="0.25">
      <c r="A32">
        <v>40</v>
      </c>
      <c r="B32" s="51">
        <v>98</v>
      </c>
      <c r="C32" s="51">
        <v>222</v>
      </c>
      <c r="E32">
        <f t="shared" si="2"/>
        <v>100</v>
      </c>
      <c r="G32" t="s">
        <v>273</v>
      </c>
      <c r="H32" s="51">
        <v>16</v>
      </c>
      <c r="I32" s="51">
        <v>2030</v>
      </c>
    </row>
    <row r="33" spans="1:9" x14ac:dyDescent="0.25">
      <c r="A33">
        <v>42</v>
      </c>
      <c r="B33" s="51">
        <v>12</v>
      </c>
      <c r="C33" s="51">
        <v>52</v>
      </c>
      <c r="E33">
        <f t="shared" si="2"/>
        <v>100</v>
      </c>
      <c r="G33" t="s">
        <v>274</v>
      </c>
      <c r="H33" s="51">
        <v>13</v>
      </c>
      <c r="I33" s="51">
        <v>2030</v>
      </c>
    </row>
    <row r="34" spans="1:9" x14ac:dyDescent="0.25">
      <c r="A34">
        <v>43</v>
      </c>
      <c r="B34" s="51">
        <v>16</v>
      </c>
      <c r="C34" s="51">
        <v>93</v>
      </c>
      <c r="E34">
        <f t="shared" si="2"/>
        <v>100</v>
      </c>
      <c r="G34" t="s">
        <v>275</v>
      </c>
      <c r="H34" s="51">
        <v>21</v>
      </c>
      <c r="I34" s="51">
        <v>2030</v>
      </c>
    </row>
    <row r="35" spans="1:9" x14ac:dyDescent="0.25">
      <c r="A35">
        <v>44</v>
      </c>
      <c r="B35" s="51">
        <v>118</v>
      </c>
      <c r="C35" s="51">
        <v>174</v>
      </c>
      <c r="E35">
        <f t="shared" si="2"/>
        <v>100</v>
      </c>
      <c r="G35" t="s">
        <v>276</v>
      </c>
      <c r="H35" s="51">
        <v>18</v>
      </c>
      <c r="I35" s="51">
        <v>2030</v>
      </c>
    </row>
    <row r="36" spans="1:9" x14ac:dyDescent="0.25">
      <c r="A36">
        <v>49</v>
      </c>
      <c r="B36" s="51">
        <v>78</v>
      </c>
      <c r="C36" s="51">
        <v>244</v>
      </c>
      <c r="E36">
        <f t="shared" si="2"/>
        <v>100</v>
      </c>
      <c r="G36" t="s">
        <v>277</v>
      </c>
      <c r="H36" s="51">
        <v>18</v>
      </c>
      <c r="I36" s="51">
        <v>2030</v>
      </c>
    </row>
    <row r="37" spans="1:9" x14ac:dyDescent="0.25">
      <c r="A37">
        <v>5</v>
      </c>
      <c r="B37" s="51">
        <v>190</v>
      </c>
      <c r="C37" s="51">
        <v>261</v>
      </c>
      <c r="E37">
        <f t="shared" si="2"/>
        <v>100</v>
      </c>
      <c r="G37" t="s">
        <v>278</v>
      </c>
      <c r="H37" s="51">
        <v>8</v>
      </c>
      <c r="I37" s="51">
        <v>2030</v>
      </c>
    </row>
    <row r="38" spans="1:9" x14ac:dyDescent="0.25">
      <c r="A38">
        <v>52</v>
      </c>
      <c r="B38" s="51">
        <v>34</v>
      </c>
      <c r="C38" s="51">
        <v>104</v>
      </c>
      <c r="E38">
        <f t="shared" si="2"/>
        <v>100</v>
      </c>
      <c r="G38" t="s">
        <v>279</v>
      </c>
      <c r="H38" s="51">
        <v>3</v>
      </c>
      <c r="I38" s="51">
        <v>2030</v>
      </c>
    </row>
    <row r="39" spans="1:9" x14ac:dyDescent="0.25">
      <c r="A39">
        <v>53</v>
      </c>
      <c r="B39" s="51">
        <v>36</v>
      </c>
      <c r="C39" s="51">
        <v>105</v>
      </c>
      <c r="E39">
        <f>+$F$39</f>
        <v>11</v>
      </c>
      <c r="F39">
        <v>11</v>
      </c>
      <c r="G39" t="s">
        <v>271</v>
      </c>
      <c r="H39" s="51">
        <v>40</v>
      </c>
      <c r="I39" s="51">
        <v>167</v>
      </c>
    </row>
    <row r="40" spans="1:9" x14ac:dyDescent="0.25">
      <c r="A40">
        <v>54</v>
      </c>
      <c r="B40" s="51">
        <v>125</v>
      </c>
      <c r="C40" s="51">
        <v>198</v>
      </c>
      <c r="E40">
        <f t="shared" ref="E40:E47" si="3">+$F$39</f>
        <v>11</v>
      </c>
      <c r="G40" t="s">
        <v>272</v>
      </c>
      <c r="H40" s="51">
        <v>22</v>
      </c>
      <c r="I40" s="51">
        <v>167</v>
      </c>
    </row>
    <row r="41" spans="1:9" x14ac:dyDescent="0.25">
      <c r="A41">
        <v>56</v>
      </c>
      <c r="B41">
        <v>63</v>
      </c>
      <c r="C41" s="51">
        <v>198</v>
      </c>
      <c r="E41">
        <f t="shared" si="3"/>
        <v>11</v>
      </c>
      <c r="G41" t="s">
        <v>273</v>
      </c>
      <c r="H41" s="51">
        <v>68</v>
      </c>
      <c r="I41" s="51">
        <v>167</v>
      </c>
    </row>
    <row r="42" spans="1:9" x14ac:dyDescent="0.25">
      <c r="A42">
        <v>57</v>
      </c>
      <c r="B42" s="51">
        <v>20</v>
      </c>
      <c r="C42" s="51">
        <v>105</v>
      </c>
      <c r="E42">
        <f t="shared" si="3"/>
        <v>11</v>
      </c>
      <c r="G42" t="s">
        <v>274</v>
      </c>
      <c r="H42" s="51">
        <v>40</v>
      </c>
      <c r="I42" s="51">
        <v>167</v>
      </c>
    </row>
    <row r="43" spans="1:9" x14ac:dyDescent="0.25">
      <c r="A43">
        <v>58</v>
      </c>
      <c r="B43" s="51">
        <v>26</v>
      </c>
      <c r="C43" s="51">
        <v>122</v>
      </c>
      <c r="E43">
        <f t="shared" si="3"/>
        <v>11</v>
      </c>
      <c r="G43" t="s">
        <v>275</v>
      </c>
      <c r="H43" s="51">
        <v>79</v>
      </c>
      <c r="I43" s="51">
        <v>167</v>
      </c>
    </row>
    <row r="44" spans="1:9" x14ac:dyDescent="0.25">
      <c r="A44">
        <v>59</v>
      </c>
      <c r="B44" s="51">
        <v>50</v>
      </c>
      <c r="C44" s="51">
        <v>126</v>
      </c>
      <c r="E44">
        <f t="shared" si="3"/>
        <v>11</v>
      </c>
      <c r="G44" t="s">
        <v>276</v>
      </c>
      <c r="H44" s="51">
        <v>41</v>
      </c>
      <c r="I44" s="51">
        <v>167</v>
      </c>
    </row>
    <row r="45" spans="1:9" x14ac:dyDescent="0.25">
      <c r="A45">
        <v>60</v>
      </c>
      <c r="B45" s="51">
        <v>2</v>
      </c>
      <c r="C45" s="51">
        <v>46</v>
      </c>
      <c r="E45">
        <f t="shared" si="3"/>
        <v>11</v>
      </c>
      <c r="G45" t="s">
        <v>277</v>
      </c>
      <c r="H45" s="51">
        <v>10</v>
      </c>
      <c r="I45" s="51">
        <v>167</v>
      </c>
    </row>
    <row r="46" spans="1:9" x14ac:dyDescent="0.25">
      <c r="A46">
        <v>7</v>
      </c>
      <c r="B46" s="51">
        <v>8</v>
      </c>
      <c r="C46" s="51">
        <v>116</v>
      </c>
      <c r="E46">
        <f t="shared" si="3"/>
        <v>11</v>
      </c>
      <c r="G46" t="s">
        <v>278</v>
      </c>
      <c r="H46" s="51">
        <v>13</v>
      </c>
      <c r="I46" s="51">
        <v>167</v>
      </c>
    </row>
    <row r="47" spans="1:9" x14ac:dyDescent="0.25">
      <c r="A47">
        <v>8</v>
      </c>
      <c r="B47" s="51">
        <v>89</v>
      </c>
      <c r="C47" s="51">
        <v>195</v>
      </c>
      <c r="E47">
        <f t="shared" si="3"/>
        <v>11</v>
      </c>
      <c r="G47" t="s">
        <v>279</v>
      </c>
      <c r="H47" s="51">
        <v>12</v>
      </c>
      <c r="I47" s="51">
        <v>167</v>
      </c>
    </row>
    <row r="48" spans="1:9" x14ac:dyDescent="0.25">
      <c r="A48">
        <v>9</v>
      </c>
      <c r="B48" s="51">
        <v>107</v>
      </c>
      <c r="C48" s="51">
        <v>156</v>
      </c>
      <c r="E48">
        <f>+$F$48</f>
        <v>12</v>
      </c>
      <c r="F48">
        <v>12</v>
      </c>
      <c r="G48" t="s">
        <v>271</v>
      </c>
      <c r="H48" s="51">
        <v>49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272</v>
      </c>
      <c r="H49" s="51">
        <v>40</v>
      </c>
      <c r="I49" s="51">
        <v>214</v>
      </c>
    </row>
    <row r="50" spans="2:9" x14ac:dyDescent="0.25">
      <c r="E50">
        <f t="shared" si="4"/>
        <v>12</v>
      </c>
      <c r="G50" t="s">
        <v>273</v>
      </c>
      <c r="H50" s="51">
        <v>53</v>
      </c>
      <c r="I50" s="51">
        <v>214</v>
      </c>
    </row>
    <row r="51" spans="2:9" x14ac:dyDescent="0.25">
      <c r="E51">
        <f t="shared" si="4"/>
        <v>12</v>
      </c>
      <c r="G51" t="s">
        <v>274</v>
      </c>
      <c r="H51" s="51">
        <v>52</v>
      </c>
      <c r="I51" s="51">
        <v>214</v>
      </c>
    </row>
    <row r="52" spans="2:9" x14ac:dyDescent="0.25">
      <c r="E52">
        <f t="shared" si="4"/>
        <v>12</v>
      </c>
      <c r="G52" t="s">
        <v>275</v>
      </c>
      <c r="H52" s="51">
        <v>76</v>
      </c>
      <c r="I52" s="51">
        <v>214</v>
      </c>
    </row>
    <row r="53" spans="2:9" x14ac:dyDescent="0.25">
      <c r="E53">
        <f t="shared" si="4"/>
        <v>12</v>
      </c>
      <c r="G53" t="s">
        <v>276</v>
      </c>
      <c r="H53" s="51">
        <v>51</v>
      </c>
      <c r="I53" s="51">
        <v>214</v>
      </c>
    </row>
    <row r="54" spans="2:9" x14ac:dyDescent="0.25">
      <c r="E54">
        <f t="shared" si="4"/>
        <v>12</v>
      </c>
      <c r="G54" t="s">
        <v>277</v>
      </c>
      <c r="H54" s="51">
        <v>18</v>
      </c>
      <c r="I54" s="51">
        <v>214</v>
      </c>
    </row>
    <row r="55" spans="2:9" x14ac:dyDescent="0.25">
      <c r="E55">
        <f t="shared" si="4"/>
        <v>12</v>
      </c>
      <c r="G55" t="s">
        <v>278</v>
      </c>
      <c r="H55" s="51">
        <v>22</v>
      </c>
      <c r="I55" s="51">
        <v>214</v>
      </c>
    </row>
    <row r="56" spans="2:9" x14ac:dyDescent="0.25">
      <c r="E56">
        <f t="shared" si="4"/>
        <v>12</v>
      </c>
      <c r="G56" t="s">
        <v>279</v>
      </c>
      <c r="H56" s="51">
        <v>29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271</v>
      </c>
      <c r="H57" s="51">
        <v>19</v>
      </c>
      <c r="I57" s="51">
        <v>481</v>
      </c>
    </row>
    <row r="58" spans="2:9" x14ac:dyDescent="0.25">
      <c r="E58">
        <f t="shared" ref="E58:E65" si="5">+$F$57</f>
        <v>123</v>
      </c>
      <c r="G58" t="s">
        <v>272</v>
      </c>
      <c r="H58" s="51">
        <v>20</v>
      </c>
      <c r="I58" s="51">
        <v>481</v>
      </c>
    </row>
    <row r="59" spans="2:9" x14ac:dyDescent="0.25">
      <c r="E59">
        <f t="shared" si="5"/>
        <v>123</v>
      </c>
      <c r="G59" t="s">
        <v>273</v>
      </c>
      <c r="H59" s="51">
        <v>14</v>
      </c>
      <c r="I59" s="51">
        <v>481</v>
      </c>
    </row>
    <row r="60" spans="2:9" x14ac:dyDescent="0.25">
      <c r="E60">
        <f t="shared" si="5"/>
        <v>123</v>
      </c>
      <c r="G60" t="s">
        <v>274</v>
      </c>
      <c r="H60" s="51">
        <v>13</v>
      </c>
      <c r="I60" s="51">
        <v>481</v>
      </c>
    </row>
    <row r="61" spans="2:9" x14ac:dyDescent="0.25">
      <c r="E61">
        <f t="shared" si="5"/>
        <v>123</v>
      </c>
      <c r="G61" t="s">
        <v>275</v>
      </c>
      <c r="H61" s="51">
        <v>17</v>
      </c>
      <c r="I61" s="51">
        <v>481</v>
      </c>
    </row>
    <row r="62" spans="2:9" x14ac:dyDescent="0.25">
      <c r="E62">
        <f t="shared" si="5"/>
        <v>123</v>
      </c>
      <c r="G62" t="s">
        <v>276</v>
      </c>
      <c r="H62" s="51">
        <v>12</v>
      </c>
      <c r="I62" s="51">
        <v>481</v>
      </c>
    </row>
    <row r="63" spans="2:9" x14ac:dyDescent="0.25">
      <c r="E63">
        <f t="shared" si="5"/>
        <v>123</v>
      </c>
      <c r="G63" t="s">
        <v>277</v>
      </c>
      <c r="H63" s="51">
        <v>9</v>
      </c>
      <c r="I63" s="51">
        <v>481</v>
      </c>
    </row>
    <row r="64" spans="2:9" x14ac:dyDescent="0.25">
      <c r="E64">
        <f t="shared" si="5"/>
        <v>123</v>
      </c>
      <c r="G64" t="s">
        <v>278</v>
      </c>
      <c r="H64" s="51">
        <v>4</v>
      </c>
      <c r="I64" s="51">
        <v>481</v>
      </c>
    </row>
    <row r="65" spans="5:9" x14ac:dyDescent="0.25">
      <c r="E65">
        <f t="shared" si="5"/>
        <v>123</v>
      </c>
      <c r="G65" t="s">
        <v>279</v>
      </c>
      <c r="H65" s="51">
        <v>5</v>
      </c>
      <c r="I65" s="51">
        <v>481</v>
      </c>
    </row>
    <row r="66" spans="5:9" x14ac:dyDescent="0.25">
      <c r="E66">
        <f>+$F$66</f>
        <v>15</v>
      </c>
      <c r="F66">
        <v>15</v>
      </c>
      <c r="G66" t="s">
        <v>271</v>
      </c>
      <c r="H66" s="51">
        <v>21</v>
      </c>
      <c r="I66" s="51">
        <v>65</v>
      </c>
    </row>
    <row r="67" spans="5:9" x14ac:dyDescent="0.25">
      <c r="E67">
        <f t="shared" ref="E67:E74" si="6">+$F$66</f>
        <v>15</v>
      </c>
      <c r="G67" t="s">
        <v>272</v>
      </c>
      <c r="H67" s="51">
        <v>6</v>
      </c>
      <c r="I67" s="51">
        <v>65</v>
      </c>
    </row>
    <row r="68" spans="5:9" x14ac:dyDescent="0.25">
      <c r="E68">
        <f t="shared" si="6"/>
        <v>15</v>
      </c>
      <c r="G68" t="s">
        <v>273</v>
      </c>
      <c r="H68" s="51">
        <v>17</v>
      </c>
      <c r="I68" s="51">
        <v>65</v>
      </c>
    </row>
    <row r="69" spans="5:9" x14ac:dyDescent="0.25">
      <c r="E69">
        <f t="shared" si="6"/>
        <v>15</v>
      </c>
      <c r="G69" t="s">
        <v>274</v>
      </c>
      <c r="H69" s="51">
        <v>15</v>
      </c>
      <c r="I69" s="51">
        <v>65</v>
      </c>
    </row>
    <row r="70" spans="5:9" x14ac:dyDescent="0.25">
      <c r="E70">
        <f t="shared" si="6"/>
        <v>15</v>
      </c>
      <c r="G70" t="s">
        <v>275</v>
      </c>
      <c r="H70" s="51">
        <v>29</v>
      </c>
      <c r="I70" s="51">
        <v>65</v>
      </c>
    </row>
    <row r="71" spans="5:9" x14ac:dyDescent="0.25">
      <c r="E71">
        <f t="shared" si="6"/>
        <v>15</v>
      </c>
      <c r="G71" t="s">
        <v>276</v>
      </c>
      <c r="H71" s="51">
        <v>15</v>
      </c>
      <c r="I71" s="51">
        <v>65</v>
      </c>
    </row>
    <row r="72" spans="5:9" x14ac:dyDescent="0.25">
      <c r="E72">
        <f t="shared" si="6"/>
        <v>15</v>
      </c>
      <c r="G72" t="s">
        <v>277</v>
      </c>
      <c r="H72" s="51">
        <v>10</v>
      </c>
      <c r="I72" s="51">
        <v>65</v>
      </c>
    </row>
    <row r="73" spans="5:9" x14ac:dyDescent="0.25">
      <c r="E73">
        <f t="shared" si="6"/>
        <v>15</v>
      </c>
      <c r="G73" t="s">
        <v>278</v>
      </c>
      <c r="H73" s="51">
        <v>9</v>
      </c>
      <c r="I73" s="51">
        <v>65</v>
      </c>
    </row>
    <row r="74" spans="5:9" x14ac:dyDescent="0.25">
      <c r="E74">
        <f t="shared" si="6"/>
        <v>15</v>
      </c>
      <c r="G74" t="s">
        <v>279</v>
      </c>
      <c r="H74" s="51">
        <v>10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271</v>
      </c>
      <c r="H75" s="51">
        <v>29</v>
      </c>
      <c r="I75" s="51">
        <v>199</v>
      </c>
    </row>
    <row r="76" spans="5:9" x14ac:dyDescent="0.25">
      <c r="E76">
        <f t="shared" ref="E76:E83" si="7">+$F$75</f>
        <v>16</v>
      </c>
      <c r="G76" t="s">
        <v>272</v>
      </c>
      <c r="H76">
        <v>21</v>
      </c>
      <c r="I76" s="51">
        <v>199</v>
      </c>
    </row>
    <row r="77" spans="5:9" x14ac:dyDescent="0.25">
      <c r="E77">
        <f t="shared" si="7"/>
        <v>16</v>
      </c>
      <c r="G77" t="s">
        <v>273</v>
      </c>
      <c r="H77" s="51">
        <v>59</v>
      </c>
      <c r="I77" s="51">
        <v>199</v>
      </c>
    </row>
    <row r="78" spans="5:9" x14ac:dyDescent="0.25">
      <c r="E78">
        <f t="shared" si="7"/>
        <v>16</v>
      </c>
      <c r="G78" t="s">
        <v>274</v>
      </c>
      <c r="H78" s="51">
        <v>43</v>
      </c>
      <c r="I78" s="51">
        <v>199</v>
      </c>
    </row>
    <row r="79" spans="5:9" x14ac:dyDescent="0.25">
      <c r="E79">
        <f t="shared" si="7"/>
        <v>16</v>
      </c>
      <c r="G79" t="s">
        <v>275</v>
      </c>
      <c r="H79" s="51">
        <v>76</v>
      </c>
      <c r="I79" s="51">
        <v>199</v>
      </c>
    </row>
    <row r="80" spans="5:9" x14ac:dyDescent="0.25">
      <c r="E80">
        <f t="shared" si="7"/>
        <v>16</v>
      </c>
      <c r="G80" t="s">
        <v>276</v>
      </c>
      <c r="H80" s="51">
        <v>54</v>
      </c>
      <c r="I80" s="51">
        <v>199</v>
      </c>
    </row>
    <row r="81" spans="5:9" x14ac:dyDescent="0.25">
      <c r="E81">
        <f t="shared" si="7"/>
        <v>16</v>
      </c>
      <c r="G81" t="s">
        <v>277</v>
      </c>
      <c r="H81" s="51">
        <v>9</v>
      </c>
      <c r="I81" s="51">
        <v>199</v>
      </c>
    </row>
    <row r="82" spans="5:9" x14ac:dyDescent="0.25">
      <c r="E82">
        <f t="shared" si="7"/>
        <v>16</v>
      </c>
      <c r="G82" t="s">
        <v>278</v>
      </c>
      <c r="H82" s="51">
        <v>23</v>
      </c>
      <c r="I82" s="51">
        <v>199</v>
      </c>
    </row>
    <row r="83" spans="5:9" x14ac:dyDescent="0.25">
      <c r="E83">
        <f t="shared" si="7"/>
        <v>16</v>
      </c>
      <c r="G83" t="s">
        <v>279</v>
      </c>
      <c r="H83" s="51">
        <v>18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271</v>
      </c>
      <c r="H84" s="51">
        <v>43</v>
      </c>
      <c r="I84" s="51">
        <v>181</v>
      </c>
    </row>
    <row r="85" spans="5:9" x14ac:dyDescent="0.25">
      <c r="E85">
        <f t="shared" ref="E85:E92" si="8">+$F$84</f>
        <v>18</v>
      </c>
      <c r="G85" t="s">
        <v>272</v>
      </c>
      <c r="H85" s="51">
        <v>34</v>
      </c>
      <c r="I85" s="51">
        <v>181</v>
      </c>
    </row>
    <row r="86" spans="5:9" x14ac:dyDescent="0.25">
      <c r="E86">
        <f t="shared" si="8"/>
        <v>18</v>
      </c>
      <c r="G86" t="s">
        <v>273</v>
      </c>
      <c r="H86" s="51">
        <v>47</v>
      </c>
      <c r="I86" s="51">
        <v>181</v>
      </c>
    </row>
    <row r="87" spans="5:9" x14ac:dyDescent="0.25">
      <c r="E87">
        <f t="shared" si="8"/>
        <v>18</v>
      </c>
      <c r="G87" t="s">
        <v>274</v>
      </c>
      <c r="H87" s="51">
        <v>51</v>
      </c>
      <c r="I87" s="51">
        <v>181</v>
      </c>
    </row>
    <row r="88" spans="5:9" x14ac:dyDescent="0.25">
      <c r="E88">
        <f t="shared" si="8"/>
        <v>18</v>
      </c>
      <c r="G88" t="s">
        <v>275</v>
      </c>
      <c r="H88" s="51">
        <v>91</v>
      </c>
      <c r="I88" s="51">
        <v>181</v>
      </c>
    </row>
    <row r="89" spans="5:9" x14ac:dyDescent="0.25">
      <c r="E89">
        <f t="shared" si="8"/>
        <v>18</v>
      </c>
      <c r="G89" t="s">
        <v>276</v>
      </c>
      <c r="H89" s="51">
        <v>66</v>
      </c>
      <c r="I89" s="51">
        <v>181</v>
      </c>
    </row>
    <row r="90" spans="5:9" x14ac:dyDescent="0.25">
      <c r="E90">
        <f t="shared" si="8"/>
        <v>18</v>
      </c>
      <c r="G90" t="s">
        <v>277</v>
      </c>
      <c r="H90" s="51">
        <v>15</v>
      </c>
      <c r="I90" s="51">
        <v>181</v>
      </c>
    </row>
    <row r="91" spans="5:9" x14ac:dyDescent="0.25">
      <c r="E91">
        <f t="shared" si="8"/>
        <v>18</v>
      </c>
      <c r="G91" t="s">
        <v>278</v>
      </c>
      <c r="H91" s="51">
        <v>27</v>
      </c>
      <c r="I91" s="51">
        <v>181</v>
      </c>
    </row>
    <row r="92" spans="5:9" x14ac:dyDescent="0.25">
      <c r="E92">
        <f t="shared" si="8"/>
        <v>18</v>
      </c>
      <c r="G92" t="s">
        <v>279</v>
      </c>
      <c r="H92" s="51">
        <v>39</v>
      </c>
      <c r="I92" s="51">
        <v>181</v>
      </c>
    </row>
    <row r="93" spans="5:9" x14ac:dyDescent="0.25">
      <c r="E93">
        <f>+$F$93</f>
        <v>19</v>
      </c>
      <c r="F93">
        <v>19</v>
      </c>
      <c r="G93" t="s">
        <v>271</v>
      </c>
      <c r="H93" s="51">
        <v>43</v>
      </c>
      <c r="I93" s="51">
        <v>208</v>
      </c>
    </row>
    <row r="94" spans="5:9" x14ac:dyDescent="0.25">
      <c r="E94">
        <f t="shared" ref="E94:E101" si="9">+$F$93</f>
        <v>19</v>
      </c>
      <c r="G94" t="s">
        <v>272</v>
      </c>
      <c r="H94" s="51">
        <v>32</v>
      </c>
      <c r="I94" s="51">
        <v>208</v>
      </c>
    </row>
    <row r="95" spans="5:9" x14ac:dyDescent="0.25">
      <c r="E95">
        <f t="shared" si="9"/>
        <v>19</v>
      </c>
      <c r="G95" t="s">
        <v>273</v>
      </c>
      <c r="H95" s="51">
        <v>76</v>
      </c>
      <c r="I95" s="51">
        <v>208</v>
      </c>
    </row>
    <row r="96" spans="5:9" x14ac:dyDescent="0.25">
      <c r="E96">
        <f t="shared" si="9"/>
        <v>19</v>
      </c>
      <c r="G96" t="s">
        <v>274</v>
      </c>
      <c r="H96" s="51">
        <v>60</v>
      </c>
      <c r="I96" s="51">
        <v>208</v>
      </c>
    </row>
    <row r="97" spans="5:9" x14ac:dyDescent="0.25">
      <c r="E97">
        <f t="shared" si="9"/>
        <v>19</v>
      </c>
      <c r="G97" t="s">
        <v>275</v>
      </c>
      <c r="H97" s="51">
        <v>100</v>
      </c>
      <c r="I97" s="51">
        <v>208</v>
      </c>
    </row>
    <row r="98" spans="5:9" x14ac:dyDescent="0.25">
      <c r="E98">
        <f t="shared" si="9"/>
        <v>19</v>
      </c>
      <c r="G98" t="s">
        <v>276</v>
      </c>
      <c r="H98" s="51">
        <v>69</v>
      </c>
      <c r="I98" s="51">
        <v>208</v>
      </c>
    </row>
    <row r="99" spans="5:9" x14ac:dyDescent="0.25">
      <c r="E99">
        <f t="shared" si="9"/>
        <v>19</v>
      </c>
      <c r="G99" t="s">
        <v>277</v>
      </c>
      <c r="H99" s="51">
        <v>11</v>
      </c>
      <c r="I99" s="51">
        <v>208</v>
      </c>
    </row>
    <row r="100" spans="5:9" x14ac:dyDescent="0.25">
      <c r="E100">
        <f t="shared" si="9"/>
        <v>19</v>
      </c>
      <c r="G100" t="s">
        <v>278</v>
      </c>
      <c r="H100" s="51">
        <v>32</v>
      </c>
      <c r="I100" s="51">
        <v>208</v>
      </c>
    </row>
    <row r="101" spans="5:9" x14ac:dyDescent="0.25">
      <c r="E101">
        <f t="shared" si="9"/>
        <v>19</v>
      </c>
      <c r="G101" t="s">
        <v>279</v>
      </c>
      <c r="H101" s="51">
        <v>28</v>
      </c>
      <c r="I101" s="51">
        <v>208</v>
      </c>
    </row>
    <row r="102" spans="5:9" x14ac:dyDescent="0.25">
      <c r="E102">
        <f>+$F$102</f>
        <v>2</v>
      </c>
      <c r="F102">
        <v>2</v>
      </c>
      <c r="G102" t="s">
        <v>271</v>
      </c>
      <c r="H102" s="51">
        <v>21</v>
      </c>
      <c r="I102" s="51">
        <v>118</v>
      </c>
    </row>
    <row r="103" spans="5:9" x14ac:dyDescent="0.25">
      <c r="E103">
        <f t="shared" ref="E103:E110" si="10">+$F$102</f>
        <v>2</v>
      </c>
      <c r="G103" t="s">
        <v>272</v>
      </c>
      <c r="H103" s="51">
        <v>9</v>
      </c>
      <c r="I103" s="51">
        <v>118</v>
      </c>
    </row>
    <row r="104" spans="5:9" x14ac:dyDescent="0.25">
      <c r="E104">
        <f t="shared" si="10"/>
        <v>2</v>
      </c>
      <c r="G104" t="s">
        <v>273</v>
      </c>
      <c r="H104" s="51">
        <v>33</v>
      </c>
      <c r="I104" s="51">
        <v>118</v>
      </c>
    </row>
    <row r="105" spans="5:9" x14ac:dyDescent="0.25">
      <c r="E105">
        <f t="shared" si="10"/>
        <v>2</v>
      </c>
      <c r="G105" t="s">
        <v>274</v>
      </c>
      <c r="H105" s="51">
        <v>35</v>
      </c>
      <c r="I105" s="51">
        <v>118</v>
      </c>
    </row>
    <row r="106" spans="5:9" x14ac:dyDescent="0.25">
      <c r="E106">
        <f t="shared" si="10"/>
        <v>2</v>
      </c>
      <c r="G106" t="s">
        <v>275</v>
      </c>
      <c r="H106" s="51">
        <v>52</v>
      </c>
      <c r="I106" s="51">
        <v>118</v>
      </c>
    </row>
    <row r="107" spans="5:9" x14ac:dyDescent="0.25">
      <c r="E107">
        <f t="shared" si="10"/>
        <v>2</v>
      </c>
      <c r="G107" t="s">
        <v>276</v>
      </c>
      <c r="H107" s="51">
        <v>28</v>
      </c>
      <c r="I107" s="51">
        <v>118</v>
      </c>
    </row>
    <row r="108" spans="5:9" x14ac:dyDescent="0.25">
      <c r="E108">
        <f t="shared" si="10"/>
        <v>2</v>
      </c>
      <c r="G108" t="s">
        <v>277</v>
      </c>
      <c r="H108" s="51">
        <v>14</v>
      </c>
      <c r="I108" s="51">
        <v>118</v>
      </c>
    </row>
    <row r="109" spans="5:9" x14ac:dyDescent="0.25">
      <c r="E109">
        <f t="shared" si="10"/>
        <v>2</v>
      </c>
      <c r="G109" t="s">
        <v>278</v>
      </c>
      <c r="H109" s="51">
        <v>13</v>
      </c>
      <c r="I109" s="51">
        <v>118</v>
      </c>
    </row>
    <row r="110" spans="5:9" x14ac:dyDescent="0.25">
      <c r="E110">
        <f t="shared" si="10"/>
        <v>2</v>
      </c>
      <c r="G110" t="s">
        <v>279</v>
      </c>
      <c r="H110" s="51">
        <v>18</v>
      </c>
      <c r="I110" s="51">
        <v>118</v>
      </c>
    </row>
    <row r="111" spans="5:9" x14ac:dyDescent="0.25">
      <c r="E111">
        <f>+$F$111</f>
        <v>20</v>
      </c>
      <c r="F111">
        <v>20</v>
      </c>
      <c r="G111" t="s">
        <v>271</v>
      </c>
      <c r="H111" s="51">
        <v>46</v>
      </c>
      <c r="I111" s="51">
        <v>227</v>
      </c>
    </row>
    <row r="112" spans="5:9" x14ac:dyDescent="0.25">
      <c r="E112">
        <f t="shared" ref="E112:E119" si="11">+$F$111</f>
        <v>20</v>
      </c>
      <c r="G112" t="s">
        <v>272</v>
      </c>
      <c r="H112" s="51">
        <v>37</v>
      </c>
      <c r="I112" s="51">
        <v>227</v>
      </c>
    </row>
    <row r="113" spans="5:9" x14ac:dyDescent="0.25">
      <c r="E113">
        <f t="shared" si="11"/>
        <v>20</v>
      </c>
      <c r="G113" t="s">
        <v>273</v>
      </c>
      <c r="H113" s="51">
        <v>93</v>
      </c>
      <c r="I113" s="51">
        <v>227</v>
      </c>
    </row>
    <row r="114" spans="5:9" x14ac:dyDescent="0.25">
      <c r="E114">
        <f t="shared" si="11"/>
        <v>20</v>
      </c>
      <c r="G114" t="s">
        <v>274</v>
      </c>
      <c r="H114" s="51">
        <v>69</v>
      </c>
      <c r="I114" s="51">
        <v>227</v>
      </c>
    </row>
    <row r="115" spans="5:9" x14ac:dyDescent="0.25">
      <c r="E115">
        <f t="shared" si="11"/>
        <v>20</v>
      </c>
      <c r="G115" t="s">
        <v>275</v>
      </c>
      <c r="H115" s="51">
        <v>121</v>
      </c>
      <c r="I115" s="51">
        <v>227</v>
      </c>
    </row>
    <row r="116" spans="5:9" x14ac:dyDescent="0.25">
      <c r="E116">
        <f t="shared" si="11"/>
        <v>20</v>
      </c>
      <c r="G116" t="s">
        <v>276</v>
      </c>
      <c r="H116">
        <v>75</v>
      </c>
      <c r="I116" s="51">
        <v>227</v>
      </c>
    </row>
    <row r="117" spans="5:9" x14ac:dyDescent="0.25">
      <c r="E117">
        <f t="shared" si="11"/>
        <v>20</v>
      </c>
      <c r="G117" t="s">
        <v>277</v>
      </c>
      <c r="H117" s="51">
        <v>13</v>
      </c>
      <c r="I117" s="51">
        <v>227</v>
      </c>
    </row>
    <row r="118" spans="5:9" x14ac:dyDescent="0.25">
      <c r="E118">
        <f t="shared" si="11"/>
        <v>20</v>
      </c>
      <c r="G118" t="s">
        <v>278</v>
      </c>
      <c r="H118" s="51">
        <v>27</v>
      </c>
      <c r="I118" s="51">
        <v>227</v>
      </c>
    </row>
    <row r="119" spans="5:9" x14ac:dyDescent="0.25">
      <c r="E119">
        <f t="shared" si="11"/>
        <v>20</v>
      </c>
      <c r="G119" t="s">
        <v>279</v>
      </c>
      <c r="H119" s="51">
        <v>25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271</v>
      </c>
      <c r="H120" s="51">
        <v>46</v>
      </c>
      <c r="I120" s="51">
        <v>170</v>
      </c>
    </row>
    <row r="121" spans="5:9" x14ac:dyDescent="0.25">
      <c r="E121">
        <f t="shared" ref="E121:E128" si="12">+$F$120</f>
        <v>21</v>
      </c>
      <c r="G121" t="s">
        <v>272</v>
      </c>
      <c r="H121" s="51">
        <v>34</v>
      </c>
      <c r="I121" s="51">
        <v>170</v>
      </c>
    </row>
    <row r="122" spans="5:9" x14ac:dyDescent="0.25">
      <c r="E122">
        <f t="shared" si="12"/>
        <v>21</v>
      </c>
      <c r="G122" t="s">
        <v>273</v>
      </c>
      <c r="H122" s="51">
        <v>66</v>
      </c>
      <c r="I122" s="51">
        <v>170</v>
      </c>
    </row>
    <row r="123" spans="5:9" x14ac:dyDescent="0.25">
      <c r="E123">
        <f t="shared" si="12"/>
        <v>21</v>
      </c>
      <c r="G123" t="s">
        <v>274</v>
      </c>
      <c r="H123" s="51">
        <v>49</v>
      </c>
      <c r="I123" s="51">
        <v>170</v>
      </c>
    </row>
    <row r="124" spans="5:9" x14ac:dyDescent="0.25">
      <c r="E124">
        <f t="shared" si="12"/>
        <v>21</v>
      </c>
      <c r="G124" t="s">
        <v>275</v>
      </c>
      <c r="H124">
        <v>103</v>
      </c>
      <c r="I124" s="51">
        <v>170</v>
      </c>
    </row>
    <row r="125" spans="5:9" x14ac:dyDescent="0.25">
      <c r="E125">
        <f t="shared" si="12"/>
        <v>21</v>
      </c>
      <c r="G125" t="s">
        <v>276</v>
      </c>
      <c r="H125" s="51">
        <v>66</v>
      </c>
      <c r="I125" s="51">
        <v>170</v>
      </c>
    </row>
    <row r="126" spans="5:9" x14ac:dyDescent="0.25">
      <c r="E126">
        <f t="shared" si="12"/>
        <v>21</v>
      </c>
      <c r="G126" t="s">
        <v>277</v>
      </c>
      <c r="H126" s="51">
        <v>18</v>
      </c>
      <c r="I126" s="51">
        <v>170</v>
      </c>
    </row>
    <row r="127" spans="5:9" x14ac:dyDescent="0.25">
      <c r="E127">
        <f t="shared" si="12"/>
        <v>21</v>
      </c>
      <c r="G127" t="s">
        <v>278</v>
      </c>
      <c r="H127" s="51">
        <v>15</v>
      </c>
      <c r="I127" s="51">
        <v>170</v>
      </c>
    </row>
    <row r="128" spans="5:9" x14ac:dyDescent="0.25">
      <c r="E128">
        <f t="shared" si="12"/>
        <v>21</v>
      </c>
      <c r="G128" t="s">
        <v>279</v>
      </c>
      <c r="H128" s="51">
        <v>19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271</v>
      </c>
      <c r="H129" s="51">
        <v>39</v>
      </c>
      <c r="I129" s="51">
        <v>79</v>
      </c>
    </row>
    <row r="130" spans="5:9" x14ac:dyDescent="0.25">
      <c r="E130">
        <f t="shared" ref="E130:E137" si="13">+$F$129</f>
        <v>22</v>
      </c>
      <c r="G130" t="s">
        <v>272</v>
      </c>
      <c r="H130" s="51">
        <v>30</v>
      </c>
      <c r="I130" s="51">
        <v>79</v>
      </c>
    </row>
    <row r="131" spans="5:9" x14ac:dyDescent="0.25">
      <c r="E131">
        <f t="shared" si="13"/>
        <v>22</v>
      </c>
      <c r="G131" t="s">
        <v>273</v>
      </c>
      <c r="H131" s="51">
        <v>26</v>
      </c>
      <c r="I131" s="51">
        <v>79</v>
      </c>
    </row>
    <row r="132" spans="5:9" x14ac:dyDescent="0.25">
      <c r="E132">
        <f t="shared" si="13"/>
        <v>22</v>
      </c>
      <c r="G132" t="s">
        <v>274</v>
      </c>
      <c r="H132" s="51">
        <v>39</v>
      </c>
      <c r="I132" s="51">
        <v>79</v>
      </c>
    </row>
    <row r="133" spans="5:9" x14ac:dyDescent="0.25">
      <c r="E133">
        <f t="shared" si="13"/>
        <v>22</v>
      </c>
      <c r="G133" t="s">
        <v>275</v>
      </c>
      <c r="H133" s="51">
        <v>48</v>
      </c>
      <c r="I133" s="51">
        <v>79</v>
      </c>
    </row>
    <row r="134" spans="5:9" x14ac:dyDescent="0.25">
      <c r="E134">
        <f t="shared" si="13"/>
        <v>22</v>
      </c>
      <c r="G134" t="s">
        <v>276</v>
      </c>
      <c r="H134" s="51">
        <v>36</v>
      </c>
      <c r="I134" s="51">
        <v>79</v>
      </c>
    </row>
    <row r="135" spans="5:9" x14ac:dyDescent="0.25">
      <c r="E135">
        <f t="shared" si="13"/>
        <v>22</v>
      </c>
      <c r="G135" t="s">
        <v>277</v>
      </c>
      <c r="H135" s="51">
        <v>40</v>
      </c>
      <c r="I135" s="51">
        <v>79</v>
      </c>
    </row>
    <row r="136" spans="5:9" x14ac:dyDescent="0.25">
      <c r="E136">
        <f t="shared" si="13"/>
        <v>22</v>
      </c>
      <c r="G136" t="s">
        <v>278</v>
      </c>
      <c r="H136" s="51">
        <v>23</v>
      </c>
      <c r="I136" s="51">
        <v>79</v>
      </c>
    </row>
    <row r="137" spans="5:9" x14ac:dyDescent="0.25">
      <c r="E137">
        <f t="shared" si="13"/>
        <v>22</v>
      </c>
      <c r="G137" t="s">
        <v>279</v>
      </c>
      <c r="H137" s="51">
        <v>26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271</v>
      </c>
      <c r="H138" s="51">
        <v>29</v>
      </c>
      <c r="I138" s="51">
        <v>155</v>
      </c>
    </row>
    <row r="139" spans="5:9" x14ac:dyDescent="0.25">
      <c r="E139">
        <f t="shared" ref="E139:E146" si="14">+$F$138</f>
        <v>23</v>
      </c>
      <c r="G139" t="s">
        <v>272</v>
      </c>
      <c r="H139" s="51">
        <v>23</v>
      </c>
      <c r="I139" s="51">
        <v>155</v>
      </c>
    </row>
    <row r="140" spans="5:9" x14ac:dyDescent="0.25">
      <c r="E140">
        <f t="shared" si="14"/>
        <v>23</v>
      </c>
      <c r="G140" t="s">
        <v>273</v>
      </c>
      <c r="H140">
        <v>42</v>
      </c>
      <c r="I140" s="51">
        <v>155</v>
      </c>
    </row>
    <row r="141" spans="5:9" x14ac:dyDescent="0.25">
      <c r="E141">
        <f t="shared" si="14"/>
        <v>23</v>
      </c>
      <c r="G141" t="s">
        <v>274</v>
      </c>
      <c r="H141" s="51">
        <v>32</v>
      </c>
      <c r="I141" s="51">
        <v>155</v>
      </c>
    </row>
    <row r="142" spans="5:9" x14ac:dyDescent="0.25">
      <c r="E142">
        <f t="shared" si="14"/>
        <v>23</v>
      </c>
      <c r="G142" t="s">
        <v>275</v>
      </c>
      <c r="H142" s="51">
        <v>67</v>
      </c>
      <c r="I142" s="51">
        <v>155</v>
      </c>
    </row>
    <row r="143" spans="5:9" x14ac:dyDescent="0.25">
      <c r="E143">
        <f t="shared" si="14"/>
        <v>23</v>
      </c>
      <c r="G143" t="s">
        <v>276</v>
      </c>
      <c r="H143" s="51">
        <v>45</v>
      </c>
      <c r="I143" s="51">
        <v>155</v>
      </c>
    </row>
    <row r="144" spans="5:9" x14ac:dyDescent="0.25">
      <c r="E144">
        <f t="shared" si="14"/>
        <v>23</v>
      </c>
      <c r="G144" t="s">
        <v>277</v>
      </c>
      <c r="H144" s="51">
        <v>6</v>
      </c>
      <c r="I144" s="51">
        <v>155</v>
      </c>
    </row>
    <row r="145" spans="5:9" x14ac:dyDescent="0.25">
      <c r="E145">
        <f t="shared" si="14"/>
        <v>23</v>
      </c>
      <c r="G145" t="s">
        <v>278</v>
      </c>
      <c r="H145" s="51">
        <v>12</v>
      </c>
      <c r="I145" s="51">
        <v>155</v>
      </c>
    </row>
    <row r="146" spans="5:9" x14ac:dyDescent="0.25">
      <c r="E146">
        <f t="shared" si="14"/>
        <v>23</v>
      </c>
      <c r="G146" t="s">
        <v>279</v>
      </c>
      <c r="H146" s="51">
        <v>7</v>
      </c>
      <c r="I146" s="51">
        <v>155</v>
      </c>
    </row>
    <row r="147" spans="5:9" x14ac:dyDescent="0.25">
      <c r="E147">
        <f>+$F$147</f>
        <v>24</v>
      </c>
      <c r="F147">
        <v>24</v>
      </c>
      <c r="G147" t="s">
        <v>271</v>
      </c>
      <c r="H147" s="51">
        <v>15</v>
      </c>
      <c r="I147" s="51">
        <v>180</v>
      </c>
    </row>
    <row r="148" spans="5:9" x14ac:dyDescent="0.25">
      <c r="E148">
        <f t="shared" ref="E148:E155" si="15">+$F$147</f>
        <v>24</v>
      </c>
      <c r="G148" t="s">
        <v>272</v>
      </c>
      <c r="H148">
        <v>6</v>
      </c>
      <c r="I148" s="51">
        <v>180</v>
      </c>
    </row>
    <row r="149" spans="5:9" x14ac:dyDescent="0.25">
      <c r="E149">
        <f t="shared" si="15"/>
        <v>24</v>
      </c>
      <c r="G149" t="s">
        <v>273</v>
      </c>
      <c r="H149" s="51">
        <v>32</v>
      </c>
      <c r="I149" s="51">
        <v>180</v>
      </c>
    </row>
    <row r="150" spans="5:9" x14ac:dyDescent="0.25">
      <c r="E150">
        <f t="shared" si="15"/>
        <v>24</v>
      </c>
      <c r="G150" t="s">
        <v>274</v>
      </c>
      <c r="H150" s="51">
        <v>25</v>
      </c>
      <c r="I150" s="51">
        <v>180</v>
      </c>
    </row>
    <row r="151" spans="5:9" x14ac:dyDescent="0.25">
      <c r="E151">
        <f t="shared" si="15"/>
        <v>24</v>
      </c>
      <c r="G151" t="s">
        <v>275</v>
      </c>
      <c r="H151" s="51">
        <v>36</v>
      </c>
      <c r="I151" s="51">
        <v>180</v>
      </c>
    </row>
    <row r="152" spans="5:9" x14ac:dyDescent="0.25">
      <c r="E152">
        <f t="shared" si="15"/>
        <v>24</v>
      </c>
      <c r="G152" t="s">
        <v>276</v>
      </c>
      <c r="H152" s="51">
        <v>28</v>
      </c>
      <c r="I152" s="51">
        <v>180</v>
      </c>
    </row>
    <row r="153" spans="5:9" x14ac:dyDescent="0.25">
      <c r="E153">
        <f t="shared" si="15"/>
        <v>24</v>
      </c>
      <c r="G153" t="s">
        <v>277</v>
      </c>
      <c r="H153" s="51">
        <v>13</v>
      </c>
      <c r="I153" s="51">
        <v>180</v>
      </c>
    </row>
    <row r="154" spans="5:9" x14ac:dyDescent="0.25">
      <c r="E154">
        <f t="shared" si="15"/>
        <v>24</v>
      </c>
      <c r="G154" t="s">
        <v>278</v>
      </c>
      <c r="H154" s="51">
        <v>13</v>
      </c>
      <c r="I154" s="51">
        <v>180</v>
      </c>
    </row>
    <row r="155" spans="5:9" x14ac:dyDescent="0.25">
      <c r="E155">
        <f t="shared" si="15"/>
        <v>24</v>
      </c>
      <c r="G155" t="s">
        <v>279</v>
      </c>
      <c r="H155" s="51">
        <v>6</v>
      </c>
      <c r="I155" s="51">
        <v>180</v>
      </c>
    </row>
    <row r="156" spans="5:9" x14ac:dyDescent="0.25">
      <c r="E156">
        <f>+$F$156</f>
        <v>25</v>
      </c>
      <c r="F156">
        <v>25</v>
      </c>
      <c r="G156" t="s">
        <v>271</v>
      </c>
      <c r="H156" s="51">
        <v>43</v>
      </c>
      <c r="I156" s="51">
        <v>173</v>
      </c>
    </row>
    <row r="157" spans="5:9" x14ac:dyDescent="0.25">
      <c r="E157">
        <f t="shared" ref="E157:E164" si="16">+$F$156</f>
        <v>25</v>
      </c>
      <c r="G157" t="s">
        <v>272</v>
      </c>
      <c r="H157" s="51">
        <v>28</v>
      </c>
      <c r="I157" s="51">
        <v>173</v>
      </c>
    </row>
    <row r="158" spans="5:9" x14ac:dyDescent="0.25">
      <c r="E158">
        <f t="shared" si="16"/>
        <v>25</v>
      </c>
      <c r="G158" t="s">
        <v>273</v>
      </c>
      <c r="H158" s="51">
        <v>39</v>
      </c>
      <c r="I158" s="51">
        <v>173</v>
      </c>
    </row>
    <row r="159" spans="5:9" x14ac:dyDescent="0.25">
      <c r="E159">
        <f t="shared" si="16"/>
        <v>25</v>
      </c>
      <c r="G159" t="s">
        <v>274</v>
      </c>
      <c r="H159" s="51">
        <v>40</v>
      </c>
      <c r="I159" s="51">
        <v>173</v>
      </c>
    </row>
    <row r="160" spans="5:9" x14ac:dyDescent="0.25">
      <c r="E160">
        <f t="shared" si="16"/>
        <v>25</v>
      </c>
      <c r="G160" t="s">
        <v>275</v>
      </c>
      <c r="H160" s="51">
        <v>50</v>
      </c>
      <c r="I160" s="51">
        <v>173</v>
      </c>
    </row>
    <row r="161" spans="5:9" x14ac:dyDescent="0.25">
      <c r="E161">
        <f t="shared" si="16"/>
        <v>25</v>
      </c>
      <c r="G161" t="s">
        <v>276</v>
      </c>
      <c r="H161" s="51">
        <v>39</v>
      </c>
      <c r="I161" s="51">
        <v>173</v>
      </c>
    </row>
    <row r="162" spans="5:9" x14ac:dyDescent="0.25">
      <c r="E162">
        <f t="shared" si="16"/>
        <v>25</v>
      </c>
      <c r="G162" t="s">
        <v>277</v>
      </c>
      <c r="H162" s="51">
        <v>44</v>
      </c>
      <c r="I162" s="51">
        <v>173</v>
      </c>
    </row>
    <row r="163" spans="5:9" x14ac:dyDescent="0.25">
      <c r="E163">
        <f t="shared" si="16"/>
        <v>25</v>
      </c>
      <c r="G163" t="s">
        <v>278</v>
      </c>
      <c r="H163" s="51">
        <v>27</v>
      </c>
      <c r="I163" s="51">
        <v>173</v>
      </c>
    </row>
    <row r="164" spans="5:9" x14ac:dyDescent="0.25">
      <c r="E164">
        <f t="shared" si="16"/>
        <v>25</v>
      </c>
      <c r="G164" t="s">
        <v>279</v>
      </c>
      <c r="H164">
        <v>17</v>
      </c>
      <c r="I164" s="51">
        <v>173</v>
      </c>
    </row>
    <row r="165" spans="5:9" x14ac:dyDescent="0.25">
      <c r="E165">
        <f>+$F$165</f>
        <v>26</v>
      </c>
      <c r="F165">
        <v>26</v>
      </c>
      <c r="G165" t="s">
        <v>271</v>
      </c>
      <c r="H165" s="51">
        <v>31</v>
      </c>
      <c r="I165" s="51">
        <v>167</v>
      </c>
    </row>
    <row r="166" spans="5:9" x14ac:dyDescent="0.25">
      <c r="E166">
        <f t="shared" ref="E166:E173" si="17">+$F$165</f>
        <v>26</v>
      </c>
      <c r="G166" t="s">
        <v>272</v>
      </c>
      <c r="H166" s="51">
        <v>11</v>
      </c>
      <c r="I166" s="51">
        <v>167</v>
      </c>
    </row>
    <row r="167" spans="5:9" x14ac:dyDescent="0.25">
      <c r="E167">
        <f t="shared" si="17"/>
        <v>26</v>
      </c>
      <c r="G167" t="s">
        <v>273</v>
      </c>
      <c r="H167" s="51">
        <v>10</v>
      </c>
      <c r="I167" s="51">
        <v>167</v>
      </c>
    </row>
    <row r="168" spans="5:9" x14ac:dyDescent="0.25">
      <c r="E168">
        <f t="shared" si="17"/>
        <v>26</v>
      </c>
      <c r="G168" t="s">
        <v>274</v>
      </c>
      <c r="H168" s="51">
        <v>22</v>
      </c>
      <c r="I168" s="51">
        <v>167</v>
      </c>
    </row>
    <row r="169" spans="5:9" x14ac:dyDescent="0.25">
      <c r="E169">
        <f t="shared" si="17"/>
        <v>26</v>
      </c>
      <c r="G169" t="s">
        <v>275</v>
      </c>
      <c r="H169" s="51">
        <v>30</v>
      </c>
      <c r="I169" s="51">
        <v>167</v>
      </c>
    </row>
    <row r="170" spans="5:9" x14ac:dyDescent="0.25">
      <c r="E170">
        <f t="shared" si="17"/>
        <v>26</v>
      </c>
      <c r="G170" t="s">
        <v>276</v>
      </c>
      <c r="H170" s="51">
        <v>19</v>
      </c>
      <c r="I170" s="51">
        <v>167</v>
      </c>
    </row>
    <row r="171" spans="5:9" x14ac:dyDescent="0.25">
      <c r="E171">
        <f t="shared" si="17"/>
        <v>26</v>
      </c>
      <c r="G171" t="s">
        <v>277</v>
      </c>
      <c r="H171" s="51">
        <v>27</v>
      </c>
      <c r="I171" s="51">
        <v>167</v>
      </c>
    </row>
    <row r="172" spans="5:9" x14ac:dyDescent="0.25">
      <c r="E172">
        <f t="shared" si="17"/>
        <v>26</v>
      </c>
      <c r="G172" t="s">
        <v>278</v>
      </c>
      <c r="H172" s="51">
        <v>14</v>
      </c>
      <c r="I172" s="51">
        <v>167</v>
      </c>
    </row>
    <row r="173" spans="5:9" x14ac:dyDescent="0.25">
      <c r="E173">
        <f t="shared" si="17"/>
        <v>26</v>
      </c>
      <c r="G173" t="s">
        <v>279</v>
      </c>
      <c r="H173" s="51">
        <v>8</v>
      </c>
      <c r="I173" s="51">
        <v>167</v>
      </c>
    </row>
    <row r="174" spans="5:9" x14ac:dyDescent="0.25">
      <c r="E174">
        <f>+$F$174</f>
        <v>27</v>
      </c>
      <c r="F174">
        <v>27</v>
      </c>
      <c r="G174" t="s">
        <v>271</v>
      </c>
      <c r="H174" s="51">
        <v>36</v>
      </c>
      <c r="I174" s="51">
        <v>133</v>
      </c>
    </row>
    <row r="175" spans="5:9" x14ac:dyDescent="0.25">
      <c r="E175">
        <f t="shared" ref="E175:E182" si="18">+$F$174</f>
        <v>27</v>
      </c>
      <c r="G175" t="s">
        <v>272</v>
      </c>
      <c r="H175" s="51">
        <v>21</v>
      </c>
      <c r="I175" s="51">
        <v>133</v>
      </c>
    </row>
    <row r="176" spans="5:9" x14ac:dyDescent="0.25">
      <c r="E176">
        <f t="shared" si="18"/>
        <v>27</v>
      </c>
      <c r="G176" t="s">
        <v>273</v>
      </c>
      <c r="H176" s="51">
        <v>35</v>
      </c>
      <c r="I176" s="51">
        <v>133</v>
      </c>
    </row>
    <row r="177" spans="5:9" x14ac:dyDescent="0.25">
      <c r="E177">
        <f t="shared" si="18"/>
        <v>27</v>
      </c>
      <c r="G177" t="s">
        <v>274</v>
      </c>
      <c r="H177" s="51">
        <v>49</v>
      </c>
      <c r="I177" s="51">
        <v>133</v>
      </c>
    </row>
    <row r="178" spans="5:9" x14ac:dyDescent="0.25">
      <c r="E178">
        <f t="shared" si="18"/>
        <v>27</v>
      </c>
      <c r="G178" t="s">
        <v>275</v>
      </c>
      <c r="H178" s="51">
        <v>79</v>
      </c>
      <c r="I178" s="51">
        <v>133</v>
      </c>
    </row>
    <row r="179" spans="5:9" x14ac:dyDescent="0.25">
      <c r="E179">
        <f t="shared" si="18"/>
        <v>27</v>
      </c>
      <c r="G179" t="s">
        <v>276</v>
      </c>
      <c r="H179" s="51">
        <v>49</v>
      </c>
      <c r="I179" s="51">
        <v>133</v>
      </c>
    </row>
    <row r="180" spans="5:9" x14ac:dyDescent="0.25">
      <c r="E180">
        <f t="shared" si="18"/>
        <v>27</v>
      </c>
      <c r="G180" t="s">
        <v>277</v>
      </c>
      <c r="H180">
        <v>20</v>
      </c>
      <c r="I180" s="51">
        <v>133</v>
      </c>
    </row>
    <row r="181" spans="5:9" x14ac:dyDescent="0.25">
      <c r="E181">
        <f t="shared" si="18"/>
        <v>27</v>
      </c>
      <c r="G181" t="s">
        <v>278</v>
      </c>
      <c r="H181" s="51">
        <v>18</v>
      </c>
      <c r="I181" s="51">
        <v>133</v>
      </c>
    </row>
    <row r="182" spans="5:9" x14ac:dyDescent="0.25">
      <c r="E182">
        <f t="shared" si="18"/>
        <v>27</v>
      </c>
      <c r="G182" t="s">
        <v>279</v>
      </c>
      <c r="H182" s="51">
        <v>14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271</v>
      </c>
      <c r="H183" s="51">
        <v>29</v>
      </c>
      <c r="I183" s="51">
        <v>168</v>
      </c>
    </row>
    <row r="184" spans="5:9" x14ac:dyDescent="0.25">
      <c r="E184">
        <f t="shared" ref="E184:E191" si="19">+$F$183</f>
        <v>28</v>
      </c>
      <c r="G184" t="s">
        <v>272</v>
      </c>
      <c r="H184" s="51">
        <v>20</v>
      </c>
      <c r="I184" s="51">
        <v>168</v>
      </c>
    </row>
    <row r="185" spans="5:9" x14ac:dyDescent="0.25">
      <c r="E185">
        <f t="shared" si="19"/>
        <v>28</v>
      </c>
      <c r="G185" t="s">
        <v>273</v>
      </c>
      <c r="H185" s="51">
        <v>37</v>
      </c>
      <c r="I185" s="51">
        <v>168</v>
      </c>
    </row>
    <row r="186" spans="5:9" x14ac:dyDescent="0.25">
      <c r="E186">
        <f t="shared" si="19"/>
        <v>28</v>
      </c>
      <c r="G186" t="s">
        <v>274</v>
      </c>
      <c r="H186">
        <v>43</v>
      </c>
      <c r="I186" s="51">
        <v>168</v>
      </c>
    </row>
    <row r="187" spans="5:9" x14ac:dyDescent="0.25">
      <c r="E187">
        <f t="shared" si="19"/>
        <v>28</v>
      </c>
      <c r="G187" t="s">
        <v>275</v>
      </c>
      <c r="H187" s="51">
        <v>71</v>
      </c>
      <c r="I187" s="51">
        <v>168</v>
      </c>
    </row>
    <row r="188" spans="5:9" x14ac:dyDescent="0.25">
      <c r="E188">
        <f t="shared" si="19"/>
        <v>28</v>
      </c>
      <c r="G188" t="s">
        <v>276</v>
      </c>
      <c r="H188" s="51">
        <v>54</v>
      </c>
      <c r="I188" s="51">
        <v>168</v>
      </c>
    </row>
    <row r="189" spans="5:9" x14ac:dyDescent="0.25">
      <c r="E189">
        <f t="shared" si="19"/>
        <v>28</v>
      </c>
      <c r="G189" t="s">
        <v>277</v>
      </c>
      <c r="H189" s="51">
        <v>12</v>
      </c>
      <c r="I189" s="51">
        <v>168</v>
      </c>
    </row>
    <row r="190" spans="5:9" x14ac:dyDescent="0.25">
      <c r="E190">
        <f t="shared" si="19"/>
        <v>28</v>
      </c>
      <c r="G190" t="s">
        <v>278</v>
      </c>
      <c r="H190" s="51">
        <v>20</v>
      </c>
      <c r="I190" s="51">
        <v>168</v>
      </c>
    </row>
    <row r="191" spans="5:9" x14ac:dyDescent="0.25">
      <c r="E191">
        <f t="shared" si="19"/>
        <v>28</v>
      </c>
      <c r="G191" t="s">
        <v>279</v>
      </c>
      <c r="H191" s="51">
        <v>10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271</v>
      </c>
      <c r="H192" s="51">
        <v>35</v>
      </c>
      <c r="I192" s="51">
        <v>171</v>
      </c>
    </row>
    <row r="193" spans="5:9" x14ac:dyDescent="0.25">
      <c r="E193">
        <f t="shared" ref="E193:E200" si="20">+$F$192</f>
        <v>3</v>
      </c>
      <c r="G193" t="s">
        <v>272</v>
      </c>
      <c r="H193" s="51">
        <v>30</v>
      </c>
      <c r="I193" s="51">
        <v>171</v>
      </c>
    </row>
    <row r="194" spans="5:9" x14ac:dyDescent="0.25">
      <c r="E194">
        <f t="shared" si="20"/>
        <v>3</v>
      </c>
      <c r="G194" t="s">
        <v>273</v>
      </c>
      <c r="H194" s="51">
        <v>64</v>
      </c>
      <c r="I194" s="51">
        <v>171</v>
      </c>
    </row>
    <row r="195" spans="5:9" x14ac:dyDescent="0.25">
      <c r="E195">
        <f t="shared" si="20"/>
        <v>3</v>
      </c>
      <c r="G195" t="s">
        <v>274</v>
      </c>
      <c r="H195" s="51">
        <v>50</v>
      </c>
      <c r="I195" s="51">
        <v>171</v>
      </c>
    </row>
    <row r="196" spans="5:9" x14ac:dyDescent="0.25">
      <c r="E196">
        <f t="shared" si="20"/>
        <v>3</v>
      </c>
      <c r="G196" t="s">
        <v>275</v>
      </c>
      <c r="H196">
        <v>83</v>
      </c>
      <c r="I196" s="51">
        <v>171</v>
      </c>
    </row>
    <row r="197" spans="5:9" x14ac:dyDescent="0.25">
      <c r="E197">
        <f t="shared" si="20"/>
        <v>3</v>
      </c>
      <c r="G197" t="s">
        <v>276</v>
      </c>
      <c r="H197" s="51">
        <v>63</v>
      </c>
      <c r="I197" s="51">
        <v>171</v>
      </c>
    </row>
    <row r="198" spans="5:9" x14ac:dyDescent="0.25">
      <c r="E198">
        <f t="shared" si="20"/>
        <v>3</v>
      </c>
      <c r="G198" t="s">
        <v>277</v>
      </c>
      <c r="H198" s="51">
        <v>15</v>
      </c>
      <c r="I198" s="51">
        <v>171</v>
      </c>
    </row>
    <row r="199" spans="5:9" x14ac:dyDescent="0.25">
      <c r="E199">
        <f t="shared" si="20"/>
        <v>3</v>
      </c>
      <c r="G199" t="s">
        <v>278</v>
      </c>
      <c r="H199" s="51">
        <v>17</v>
      </c>
      <c r="I199" s="51">
        <v>171</v>
      </c>
    </row>
    <row r="200" spans="5:9" x14ac:dyDescent="0.25">
      <c r="E200">
        <f t="shared" si="20"/>
        <v>3</v>
      </c>
      <c r="G200" t="s">
        <v>279</v>
      </c>
      <c r="H200" s="51">
        <v>24</v>
      </c>
      <c r="I200" s="51">
        <v>171</v>
      </c>
    </row>
    <row r="201" spans="5:9" x14ac:dyDescent="0.25">
      <c r="E201">
        <f>+$F$201</f>
        <v>30</v>
      </c>
      <c r="F201">
        <v>30</v>
      </c>
      <c r="G201" t="s">
        <v>271</v>
      </c>
      <c r="H201" s="51">
        <v>6</v>
      </c>
      <c r="I201" s="51">
        <v>121</v>
      </c>
    </row>
    <row r="202" spans="5:9" x14ac:dyDescent="0.25">
      <c r="E202">
        <f t="shared" ref="E202:E209" si="21">+$F$201</f>
        <v>30</v>
      </c>
      <c r="G202" t="s">
        <v>272</v>
      </c>
      <c r="H202" s="51"/>
      <c r="I202" s="51">
        <v>121</v>
      </c>
    </row>
    <row r="203" spans="5:9" x14ac:dyDescent="0.25">
      <c r="E203">
        <f t="shared" si="21"/>
        <v>30</v>
      </c>
      <c r="G203" t="s">
        <v>273</v>
      </c>
      <c r="H203" s="51">
        <v>5</v>
      </c>
      <c r="I203" s="51">
        <v>121</v>
      </c>
    </row>
    <row r="204" spans="5:9" x14ac:dyDescent="0.25">
      <c r="E204">
        <f t="shared" si="21"/>
        <v>30</v>
      </c>
      <c r="G204" t="s">
        <v>274</v>
      </c>
      <c r="H204" s="51"/>
      <c r="I204" s="51">
        <v>121</v>
      </c>
    </row>
    <row r="205" spans="5:9" x14ac:dyDescent="0.25">
      <c r="E205">
        <f t="shared" si="21"/>
        <v>30</v>
      </c>
      <c r="G205" t="s">
        <v>275</v>
      </c>
      <c r="H205" s="51">
        <v>3</v>
      </c>
      <c r="I205" s="51">
        <v>121</v>
      </c>
    </row>
    <row r="206" spans="5:9" x14ac:dyDescent="0.25">
      <c r="E206">
        <f t="shared" si="21"/>
        <v>30</v>
      </c>
      <c r="G206" t="s">
        <v>276</v>
      </c>
      <c r="H206" s="51"/>
      <c r="I206" s="51">
        <v>121</v>
      </c>
    </row>
    <row r="207" spans="5:9" x14ac:dyDescent="0.25">
      <c r="E207">
        <f t="shared" si="21"/>
        <v>30</v>
      </c>
      <c r="G207" t="s">
        <v>277</v>
      </c>
      <c r="H207" s="51">
        <v>6</v>
      </c>
      <c r="I207" s="51">
        <v>121</v>
      </c>
    </row>
    <row r="208" spans="5:9" x14ac:dyDescent="0.25">
      <c r="E208">
        <f t="shared" si="21"/>
        <v>30</v>
      </c>
      <c r="G208" t="s">
        <v>278</v>
      </c>
      <c r="H208" s="51"/>
      <c r="I208" s="51">
        <v>121</v>
      </c>
    </row>
    <row r="209" spans="5:9" x14ac:dyDescent="0.25">
      <c r="E209">
        <f t="shared" si="21"/>
        <v>30</v>
      </c>
      <c r="G209" t="s">
        <v>279</v>
      </c>
      <c r="H209" s="51">
        <v>1</v>
      </c>
      <c r="I209" s="51">
        <v>121</v>
      </c>
    </row>
    <row r="210" spans="5:9" x14ac:dyDescent="0.25">
      <c r="E210">
        <f>+$F$210</f>
        <v>31</v>
      </c>
      <c r="F210">
        <v>31</v>
      </c>
      <c r="G210" t="s">
        <v>271</v>
      </c>
      <c r="H210" s="51">
        <v>23</v>
      </c>
      <c r="I210" s="51">
        <v>163</v>
      </c>
    </row>
    <row r="211" spans="5:9" x14ac:dyDescent="0.25">
      <c r="E211">
        <f t="shared" ref="E211:E218" si="22">+$F$210</f>
        <v>31</v>
      </c>
      <c r="G211" t="s">
        <v>272</v>
      </c>
      <c r="H211" s="51">
        <v>30</v>
      </c>
      <c r="I211" s="51">
        <v>163</v>
      </c>
    </row>
    <row r="212" spans="5:9" x14ac:dyDescent="0.25">
      <c r="E212">
        <f t="shared" si="22"/>
        <v>31</v>
      </c>
      <c r="G212" t="s">
        <v>273</v>
      </c>
      <c r="H212">
        <v>51</v>
      </c>
      <c r="I212" s="51">
        <v>163</v>
      </c>
    </row>
    <row r="213" spans="5:9" x14ac:dyDescent="0.25">
      <c r="E213">
        <f t="shared" si="22"/>
        <v>31</v>
      </c>
      <c r="G213" t="s">
        <v>274</v>
      </c>
      <c r="H213" s="51">
        <v>43</v>
      </c>
      <c r="I213" s="51">
        <v>163</v>
      </c>
    </row>
    <row r="214" spans="5:9" x14ac:dyDescent="0.25">
      <c r="E214">
        <f t="shared" si="22"/>
        <v>31</v>
      </c>
      <c r="G214" t="s">
        <v>275</v>
      </c>
      <c r="H214" s="51">
        <v>68</v>
      </c>
      <c r="I214" s="51">
        <v>163</v>
      </c>
    </row>
    <row r="215" spans="5:9" x14ac:dyDescent="0.25">
      <c r="E215">
        <f t="shared" si="22"/>
        <v>31</v>
      </c>
      <c r="G215" t="s">
        <v>276</v>
      </c>
      <c r="H215" s="51">
        <v>48</v>
      </c>
      <c r="I215" s="51">
        <v>163</v>
      </c>
    </row>
    <row r="216" spans="5:9" x14ac:dyDescent="0.25">
      <c r="E216">
        <f t="shared" si="22"/>
        <v>31</v>
      </c>
      <c r="G216" t="s">
        <v>277</v>
      </c>
      <c r="H216" s="51">
        <v>21</v>
      </c>
      <c r="I216" s="51">
        <v>163</v>
      </c>
    </row>
    <row r="217" spans="5:9" x14ac:dyDescent="0.25">
      <c r="E217">
        <f t="shared" si="22"/>
        <v>31</v>
      </c>
      <c r="G217" t="s">
        <v>278</v>
      </c>
      <c r="H217" s="51">
        <v>20</v>
      </c>
      <c r="I217" s="51">
        <v>163</v>
      </c>
    </row>
    <row r="218" spans="5:9" x14ac:dyDescent="0.25">
      <c r="E218">
        <f t="shared" si="22"/>
        <v>31</v>
      </c>
      <c r="G218" t="s">
        <v>279</v>
      </c>
      <c r="H218" s="51">
        <v>12</v>
      </c>
      <c r="I218" s="51">
        <v>163</v>
      </c>
    </row>
    <row r="219" spans="5:9" x14ac:dyDescent="0.25">
      <c r="E219">
        <f>+$F$219</f>
        <v>32</v>
      </c>
      <c r="F219">
        <v>32</v>
      </c>
      <c r="G219" t="s">
        <v>271</v>
      </c>
      <c r="H219" s="51">
        <v>23</v>
      </c>
      <c r="I219" s="51">
        <v>58</v>
      </c>
    </row>
    <row r="220" spans="5:9" x14ac:dyDescent="0.25">
      <c r="E220">
        <f t="shared" ref="E220:E227" si="23">+$F$219</f>
        <v>32</v>
      </c>
      <c r="G220" t="s">
        <v>272</v>
      </c>
      <c r="H220" s="51">
        <v>6</v>
      </c>
      <c r="I220" s="51">
        <v>58</v>
      </c>
    </row>
    <row r="221" spans="5:9" x14ac:dyDescent="0.25">
      <c r="E221">
        <f t="shared" si="23"/>
        <v>32</v>
      </c>
      <c r="G221" t="s">
        <v>273</v>
      </c>
      <c r="H221" s="51">
        <v>9</v>
      </c>
      <c r="I221" s="51">
        <v>58</v>
      </c>
    </row>
    <row r="222" spans="5:9" x14ac:dyDescent="0.25">
      <c r="E222">
        <f t="shared" si="23"/>
        <v>32</v>
      </c>
      <c r="G222" t="s">
        <v>274</v>
      </c>
      <c r="H222" s="51">
        <v>20</v>
      </c>
      <c r="I222" s="51">
        <v>58</v>
      </c>
    </row>
    <row r="223" spans="5:9" x14ac:dyDescent="0.25">
      <c r="E223">
        <f t="shared" si="23"/>
        <v>32</v>
      </c>
      <c r="G223" t="s">
        <v>275</v>
      </c>
      <c r="H223" s="51">
        <v>29</v>
      </c>
      <c r="I223" s="51">
        <v>58</v>
      </c>
    </row>
    <row r="224" spans="5:9" x14ac:dyDescent="0.25">
      <c r="E224">
        <f t="shared" si="23"/>
        <v>32</v>
      </c>
      <c r="G224" t="s">
        <v>276</v>
      </c>
      <c r="H224" s="51">
        <v>18</v>
      </c>
      <c r="I224" s="51">
        <v>58</v>
      </c>
    </row>
    <row r="225" spans="5:9" x14ac:dyDescent="0.25">
      <c r="E225">
        <f t="shared" si="23"/>
        <v>32</v>
      </c>
      <c r="G225" t="s">
        <v>277</v>
      </c>
      <c r="H225" s="51">
        <v>20</v>
      </c>
      <c r="I225" s="51">
        <v>58</v>
      </c>
    </row>
    <row r="226" spans="5:9" x14ac:dyDescent="0.25">
      <c r="E226">
        <f t="shared" si="23"/>
        <v>32</v>
      </c>
      <c r="G226" t="s">
        <v>278</v>
      </c>
      <c r="H226" s="51">
        <v>6</v>
      </c>
      <c r="I226" s="51">
        <v>58</v>
      </c>
    </row>
    <row r="227" spans="5:9" x14ac:dyDescent="0.25">
      <c r="E227">
        <f t="shared" si="23"/>
        <v>32</v>
      </c>
      <c r="G227" t="s">
        <v>279</v>
      </c>
      <c r="H227" s="51">
        <v>12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271</v>
      </c>
      <c r="H228" s="51">
        <v>23</v>
      </c>
      <c r="I228" s="51">
        <v>167</v>
      </c>
    </row>
    <row r="229" spans="5:9" x14ac:dyDescent="0.25">
      <c r="E229">
        <f t="shared" ref="E229:E236" si="24">+$F$228</f>
        <v>33</v>
      </c>
      <c r="G229" t="s">
        <v>272</v>
      </c>
      <c r="H229" s="51">
        <v>18</v>
      </c>
      <c r="I229" s="51">
        <v>167</v>
      </c>
    </row>
    <row r="230" spans="5:9" x14ac:dyDescent="0.25">
      <c r="E230">
        <f t="shared" si="24"/>
        <v>33</v>
      </c>
      <c r="G230" t="s">
        <v>273</v>
      </c>
      <c r="H230" s="51">
        <v>39</v>
      </c>
      <c r="I230" s="51">
        <v>167</v>
      </c>
    </row>
    <row r="231" spans="5:9" x14ac:dyDescent="0.25">
      <c r="E231">
        <f t="shared" si="24"/>
        <v>33</v>
      </c>
      <c r="G231" t="s">
        <v>274</v>
      </c>
      <c r="H231" s="51">
        <v>39</v>
      </c>
      <c r="I231" s="51">
        <v>167</v>
      </c>
    </row>
    <row r="232" spans="5:9" x14ac:dyDescent="0.25">
      <c r="E232">
        <f t="shared" si="24"/>
        <v>33</v>
      </c>
      <c r="G232" t="s">
        <v>275</v>
      </c>
      <c r="H232" s="51">
        <v>58</v>
      </c>
      <c r="I232" s="51">
        <v>167</v>
      </c>
    </row>
    <row r="233" spans="5:9" x14ac:dyDescent="0.25">
      <c r="E233">
        <f t="shared" si="24"/>
        <v>33</v>
      </c>
      <c r="G233" t="s">
        <v>276</v>
      </c>
      <c r="H233" s="51">
        <v>45</v>
      </c>
      <c r="I233" s="51">
        <v>167</v>
      </c>
    </row>
    <row r="234" spans="5:9" x14ac:dyDescent="0.25">
      <c r="E234">
        <f t="shared" si="24"/>
        <v>33</v>
      </c>
      <c r="G234" t="s">
        <v>277</v>
      </c>
      <c r="H234" s="51">
        <v>9</v>
      </c>
      <c r="I234" s="51">
        <v>167</v>
      </c>
    </row>
    <row r="235" spans="5:9" x14ac:dyDescent="0.25">
      <c r="E235">
        <f t="shared" si="24"/>
        <v>33</v>
      </c>
      <c r="G235" t="s">
        <v>278</v>
      </c>
      <c r="H235" s="51">
        <v>15</v>
      </c>
      <c r="I235" s="51">
        <v>167</v>
      </c>
    </row>
    <row r="236" spans="5:9" x14ac:dyDescent="0.25">
      <c r="E236">
        <f t="shared" si="24"/>
        <v>33</v>
      </c>
      <c r="G236" t="s">
        <v>279</v>
      </c>
      <c r="H236">
        <v>14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271</v>
      </c>
      <c r="H237" s="51">
        <v>21</v>
      </c>
      <c r="I237" s="51">
        <v>154</v>
      </c>
    </row>
    <row r="238" spans="5:9" x14ac:dyDescent="0.25">
      <c r="E238">
        <f t="shared" ref="E238:E245" si="25">+$F$237</f>
        <v>36</v>
      </c>
      <c r="G238" t="s">
        <v>272</v>
      </c>
      <c r="H238" s="51">
        <v>11</v>
      </c>
      <c r="I238" s="51">
        <v>154</v>
      </c>
    </row>
    <row r="239" spans="5:9" x14ac:dyDescent="0.25">
      <c r="E239">
        <f t="shared" si="25"/>
        <v>36</v>
      </c>
      <c r="G239" t="s">
        <v>273</v>
      </c>
      <c r="H239" s="51">
        <v>41</v>
      </c>
      <c r="I239" s="51">
        <v>154</v>
      </c>
    </row>
    <row r="240" spans="5:9" x14ac:dyDescent="0.25">
      <c r="E240">
        <f t="shared" si="25"/>
        <v>36</v>
      </c>
      <c r="G240" t="s">
        <v>274</v>
      </c>
      <c r="H240" s="51">
        <v>30</v>
      </c>
      <c r="I240" s="51">
        <v>154</v>
      </c>
    </row>
    <row r="241" spans="5:9" x14ac:dyDescent="0.25">
      <c r="E241">
        <f t="shared" si="25"/>
        <v>36</v>
      </c>
      <c r="G241" t="s">
        <v>275</v>
      </c>
      <c r="H241" s="51">
        <v>54</v>
      </c>
      <c r="I241" s="51">
        <v>154</v>
      </c>
    </row>
    <row r="242" spans="5:9" x14ac:dyDescent="0.25">
      <c r="E242">
        <f t="shared" si="25"/>
        <v>36</v>
      </c>
      <c r="G242" t="s">
        <v>276</v>
      </c>
      <c r="H242" s="51">
        <v>27</v>
      </c>
      <c r="I242" s="51">
        <v>154</v>
      </c>
    </row>
    <row r="243" spans="5:9" x14ac:dyDescent="0.25">
      <c r="E243">
        <f t="shared" si="25"/>
        <v>36</v>
      </c>
      <c r="G243" t="s">
        <v>277</v>
      </c>
      <c r="H243" s="51">
        <v>14</v>
      </c>
      <c r="I243" s="51">
        <v>154</v>
      </c>
    </row>
    <row r="244" spans="5:9" x14ac:dyDescent="0.25">
      <c r="E244">
        <f t="shared" si="25"/>
        <v>36</v>
      </c>
      <c r="G244" t="s">
        <v>278</v>
      </c>
      <c r="H244">
        <v>8</v>
      </c>
      <c r="I244" s="51">
        <v>154</v>
      </c>
    </row>
    <row r="245" spans="5:9" x14ac:dyDescent="0.25">
      <c r="E245">
        <f t="shared" si="25"/>
        <v>36</v>
      </c>
      <c r="G245" t="s">
        <v>279</v>
      </c>
      <c r="H245" s="51">
        <v>8</v>
      </c>
      <c r="I245" s="51">
        <v>154</v>
      </c>
    </row>
    <row r="246" spans="5:9" x14ac:dyDescent="0.25">
      <c r="E246">
        <f>+$F$246</f>
        <v>37</v>
      </c>
      <c r="F246">
        <v>37</v>
      </c>
      <c r="G246" t="s">
        <v>271</v>
      </c>
      <c r="H246" s="51">
        <v>16</v>
      </c>
      <c r="I246" s="51">
        <v>143</v>
      </c>
    </row>
    <row r="247" spans="5:9" x14ac:dyDescent="0.25">
      <c r="E247">
        <f t="shared" ref="E247:E254" si="26">+$F$246</f>
        <v>37</v>
      </c>
      <c r="G247" t="s">
        <v>272</v>
      </c>
      <c r="H247" s="51">
        <v>5</v>
      </c>
      <c r="I247" s="51">
        <v>143</v>
      </c>
    </row>
    <row r="248" spans="5:9" x14ac:dyDescent="0.25">
      <c r="E248">
        <f t="shared" si="26"/>
        <v>37</v>
      </c>
      <c r="G248" t="s">
        <v>273</v>
      </c>
      <c r="H248" s="51">
        <v>10</v>
      </c>
      <c r="I248" s="51">
        <v>143</v>
      </c>
    </row>
    <row r="249" spans="5:9" x14ac:dyDescent="0.25">
      <c r="E249">
        <f t="shared" si="26"/>
        <v>37</v>
      </c>
      <c r="G249" t="s">
        <v>274</v>
      </c>
      <c r="H249" s="51">
        <v>20</v>
      </c>
      <c r="I249" s="51">
        <v>143</v>
      </c>
    </row>
    <row r="250" spans="5:9" x14ac:dyDescent="0.25">
      <c r="E250">
        <f t="shared" si="26"/>
        <v>37</v>
      </c>
      <c r="G250" t="s">
        <v>275</v>
      </c>
      <c r="H250" s="51">
        <v>30</v>
      </c>
      <c r="I250" s="51">
        <v>143</v>
      </c>
    </row>
    <row r="251" spans="5:9" x14ac:dyDescent="0.25">
      <c r="E251">
        <f t="shared" si="26"/>
        <v>37</v>
      </c>
      <c r="G251" t="s">
        <v>276</v>
      </c>
      <c r="H251" s="51">
        <v>17</v>
      </c>
      <c r="I251" s="51">
        <v>143</v>
      </c>
    </row>
    <row r="252" spans="5:9" x14ac:dyDescent="0.25">
      <c r="E252">
        <f t="shared" si="26"/>
        <v>37</v>
      </c>
      <c r="G252" t="s">
        <v>277</v>
      </c>
      <c r="H252">
        <v>9</v>
      </c>
      <c r="I252" s="51">
        <v>143</v>
      </c>
    </row>
    <row r="253" spans="5:9" x14ac:dyDescent="0.25">
      <c r="E253">
        <f t="shared" si="26"/>
        <v>37</v>
      </c>
      <c r="G253" t="s">
        <v>278</v>
      </c>
      <c r="H253" s="51">
        <v>16</v>
      </c>
      <c r="I253" s="51">
        <v>143</v>
      </c>
    </row>
    <row r="254" spans="5:9" x14ac:dyDescent="0.25">
      <c r="E254">
        <f t="shared" si="26"/>
        <v>37</v>
      </c>
      <c r="G254" t="s">
        <v>279</v>
      </c>
      <c r="H254" s="51">
        <v>11</v>
      </c>
      <c r="I254" s="51">
        <v>143</v>
      </c>
    </row>
    <row r="255" spans="5:9" x14ac:dyDescent="0.25">
      <c r="E255">
        <f>+$F$255</f>
        <v>4</v>
      </c>
      <c r="F255">
        <v>4</v>
      </c>
      <c r="G255" t="s">
        <v>271</v>
      </c>
      <c r="H255" s="51">
        <v>31</v>
      </c>
      <c r="I255" s="51">
        <v>182</v>
      </c>
    </row>
    <row r="256" spans="5:9" x14ac:dyDescent="0.25">
      <c r="E256">
        <f t="shared" ref="E256:E263" si="27">+$F$255</f>
        <v>4</v>
      </c>
      <c r="G256" t="s">
        <v>272</v>
      </c>
      <c r="H256" s="51">
        <v>27</v>
      </c>
      <c r="I256" s="51">
        <v>182</v>
      </c>
    </row>
    <row r="257" spans="5:9" x14ac:dyDescent="0.25">
      <c r="E257">
        <f t="shared" si="27"/>
        <v>4</v>
      </c>
      <c r="G257" t="s">
        <v>273</v>
      </c>
      <c r="H257" s="51">
        <v>48</v>
      </c>
      <c r="I257" s="51">
        <v>182</v>
      </c>
    </row>
    <row r="258" spans="5:9" x14ac:dyDescent="0.25">
      <c r="E258">
        <f t="shared" si="27"/>
        <v>4</v>
      </c>
      <c r="G258" t="s">
        <v>274</v>
      </c>
      <c r="H258">
        <v>45</v>
      </c>
      <c r="I258" s="51">
        <v>182</v>
      </c>
    </row>
    <row r="259" spans="5:9" x14ac:dyDescent="0.25">
      <c r="E259">
        <f t="shared" si="27"/>
        <v>4</v>
      </c>
      <c r="G259" t="s">
        <v>275</v>
      </c>
      <c r="H259" s="51">
        <v>66</v>
      </c>
      <c r="I259" s="51">
        <v>182</v>
      </c>
    </row>
    <row r="260" spans="5:9" x14ac:dyDescent="0.25">
      <c r="E260">
        <f t="shared" si="27"/>
        <v>4</v>
      </c>
      <c r="G260" t="s">
        <v>276</v>
      </c>
      <c r="H260">
        <v>48</v>
      </c>
      <c r="I260" s="51">
        <v>182</v>
      </c>
    </row>
    <row r="261" spans="5:9" x14ac:dyDescent="0.25">
      <c r="E261">
        <f t="shared" si="27"/>
        <v>4</v>
      </c>
      <c r="G261" t="s">
        <v>277</v>
      </c>
      <c r="H261" s="51">
        <v>14</v>
      </c>
      <c r="I261" s="51">
        <v>182</v>
      </c>
    </row>
    <row r="262" spans="5:9" x14ac:dyDescent="0.25">
      <c r="E262">
        <f t="shared" si="27"/>
        <v>4</v>
      </c>
      <c r="G262" t="s">
        <v>278</v>
      </c>
      <c r="H262" s="51">
        <v>18</v>
      </c>
      <c r="I262" s="51">
        <v>182</v>
      </c>
    </row>
    <row r="263" spans="5:9" x14ac:dyDescent="0.25">
      <c r="E263">
        <f t="shared" si="27"/>
        <v>4</v>
      </c>
      <c r="G263" t="s">
        <v>279</v>
      </c>
      <c r="H263" s="51">
        <v>27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271</v>
      </c>
      <c r="H264" s="51">
        <v>19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272</v>
      </c>
      <c r="H265">
        <v>13</v>
      </c>
      <c r="I265" s="51">
        <v>222</v>
      </c>
    </row>
    <row r="266" spans="5:9" x14ac:dyDescent="0.25">
      <c r="E266">
        <f t="shared" si="28"/>
        <v>40</v>
      </c>
      <c r="G266" t="s">
        <v>273</v>
      </c>
      <c r="H266" s="51">
        <v>34</v>
      </c>
      <c r="I266" s="51">
        <v>222</v>
      </c>
    </row>
    <row r="267" spans="5:9" x14ac:dyDescent="0.25">
      <c r="E267">
        <f t="shared" si="28"/>
        <v>40</v>
      </c>
      <c r="G267" t="s">
        <v>274</v>
      </c>
      <c r="H267" s="51">
        <v>32</v>
      </c>
      <c r="I267" s="51">
        <v>222</v>
      </c>
    </row>
    <row r="268" spans="5:9" x14ac:dyDescent="0.25">
      <c r="E268">
        <f t="shared" si="28"/>
        <v>40</v>
      </c>
      <c r="G268" t="s">
        <v>275</v>
      </c>
      <c r="H268">
        <v>47</v>
      </c>
      <c r="I268" s="51">
        <v>222</v>
      </c>
    </row>
    <row r="269" spans="5:9" x14ac:dyDescent="0.25">
      <c r="E269">
        <f t="shared" si="28"/>
        <v>40</v>
      </c>
      <c r="G269" t="s">
        <v>276</v>
      </c>
      <c r="H269" s="51">
        <v>37</v>
      </c>
      <c r="I269" s="51">
        <v>222</v>
      </c>
    </row>
    <row r="270" spans="5:9" x14ac:dyDescent="0.25">
      <c r="E270">
        <f t="shared" si="28"/>
        <v>40</v>
      </c>
      <c r="G270" t="s">
        <v>277</v>
      </c>
      <c r="H270" s="51">
        <v>29</v>
      </c>
      <c r="I270" s="51">
        <v>222</v>
      </c>
    </row>
    <row r="271" spans="5:9" x14ac:dyDescent="0.25">
      <c r="E271">
        <f t="shared" si="28"/>
        <v>40</v>
      </c>
      <c r="G271" t="s">
        <v>278</v>
      </c>
      <c r="H271" s="51">
        <v>17</v>
      </c>
      <c r="I271" s="51">
        <v>222</v>
      </c>
    </row>
    <row r="272" spans="5:9" x14ac:dyDescent="0.25">
      <c r="E272">
        <f t="shared" si="28"/>
        <v>40</v>
      </c>
      <c r="G272" t="s">
        <v>279</v>
      </c>
      <c r="H272" s="51">
        <v>7</v>
      </c>
      <c r="I272" s="51">
        <v>222</v>
      </c>
    </row>
    <row r="273" spans="5:9" x14ac:dyDescent="0.25">
      <c r="E273">
        <f>+$F$273</f>
        <v>42</v>
      </c>
      <c r="F273">
        <v>42</v>
      </c>
      <c r="G273" t="s">
        <v>271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272</v>
      </c>
      <c r="H274" s="51">
        <v>1</v>
      </c>
      <c r="I274" s="51">
        <v>52</v>
      </c>
    </row>
    <row r="275" spans="5:9" x14ac:dyDescent="0.25">
      <c r="E275">
        <f t="shared" si="29"/>
        <v>42</v>
      </c>
      <c r="G275" t="s">
        <v>273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274</v>
      </c>
      <c r="H276">
        <v>4</v>
      </c>
      <c r="I276" s="51">
        <v>52</v>
      </c>
    </row>
    <row r="277" spans="5:9" x14ac:dyDescent="0.25">
      <c r="E277">
        <f t="shared" si="29"/>
        <v>42</v>
      </c>
      <c r="G277" t="s">
        <v>275</v>
      </c>
      <c r="H277" s="51">
        <v>5</v>
      </c>
      <c r="I277" s="51">
        <v>52</v>
      </c>
    </row>
    <row r="278" spans="5:9" x14ac:dyDescent="0.25">
      <c r="E278">
        <f t="shared" si="29"/>
        <v>42</v>
      </c>
      <c r="G278" t="s">
        <v>276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277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278</v>
      </c>
      <c r="H280" s="51">
        <v>6</v>
      </c>
      <c r="I280" s="51">
        <v>52</v>
      </c>
    </row>
    <row r="281" spans="5:9" x14ac:dyDescent="0.25">
      <c r="E281">
        <f t="shared" si="29"/>
        <v>42</v>
      </c>
      <c r="G281" t="s">
        <v>279</v>
      </c>
      <c r="H281" s="51">
        <v>7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271</v>
      </c>
      <c r="H282" s="51">
        <v>9</v>
      </c>
      <c r="I282" s="51">
        <v>93</v>
      </c>
    </row>
    <row r="283" spans="5:9" x14ac:dyDescent="0.25">
      <c r="E283">
        <f t="shared" ref="E283:E290" si="30">+$F$282</f>
        <v>43</v>
      </c>
      <c r="G283" t="s">
        <v>272</v>
      </c>
      <c r="H283" s="51"/>
      <c r="I283" s="51">
        <v>93</v>
      </c>
    </row>
    <row r="284" spans="5:9" x14ac:dyDescent="0.25">
      <c r="E284">
        <f t="shared" si="30"/>
        <v>43</v>
      </c>
      <c r="G284" t="s">
        <v>273</v>
      </c>
      <c r="H284">
        <v>3</v>
      </c>
      <c r="I284" s="51">
        <v>93</v>
      </c>
    </row>
    <row r="285" spans="5:9" x14ac:dyDescent="0.25">
      <c r="E285">
        <f t="shared" si="30"/>
        <v>43</v>
      </c>
      <c r="G285" t="s">
        <v>274</v>
      </c>
      <c r="I285" s="51">
        <v>93</v>
      </c>
    </row>
    <row r="286" spans="5:9" x14ac:dyDescent="0.25">
      <c r="E286">
        <f t="shared" si="30"/>
        <v>43</v>
      </c>
      <c r="G286" t="s">
        <v>275</v>
      </c>
      <c r="I286" s="51">
        <v>93</v>
      </c>
    </row>
    <row r="287" spans="5:9" x14ac:dyDescent="0.25">
      <c r="E287">
        <f t="shared" si="30"/>
        <v>43</v>
      </c>
      <c r="G287" t="s">
        <v>276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277</v>
      </c>
      <c r="H288">
        <v>5</v>
      </c>
      <c r="I288" s="51">
        <v>93</v>
      </c>
    </row>
    <row r="289" spans="5:9" x14ac:dyDescent="0.25">
      <c r="E289">
        <f t="shared" si="30"/>
        <v>43</v>
      </c>
      <c r="G289" t="s">
        <v>278</v>
      </c>
      <c r="H289" s="51">
        <v>2</v>
      </c>
      <c r="I289" s="51">
        <v>93</v>
      </c>
    </row>
    <row r="290" spans="5:9" x14ac:dyDescent="0.25">
      <c r="E290">
        <f t="shared" si="30"/>
        <v>43</v>
      </c>
      <c r="G290" t="s">
        <v>279</v>
      </c>
      <c r="H290">
        <v>3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271</v>
      </c>
      <c r="H291">
        <v>27</v>
      </c>
      <c r="I291" s="51">
        <v>174</v>
      </c>
    </row>
    <row r="292" spans="5:9" x14ac:dyDescent="0.25">
      <c r="E292">
        <f t="shared" ref="E292:E299" si="31">+$F$291</f>
        <v>44</v>
      </c>
      <c r="G292" t="s">
        <v>272</v>
      </c>
      <c r="H292">
        <v>35</v>
      </c>
      <c r="I292" s="51">
        <v>174</v>
      </c>
    </row>
    <row r="293" spans="5:9" x14ac:dyDescent="0.25">
      <c r="E293">
        <f t="shared" si="31"/>
        <v>44</v>
      </c>
      <c r="G293" t="s">
        <v>273</v>
      </c>
      <c r="H293">
        <v>73</v>
      </c>
      <c r="I293" s="51">
        <v>174</v>
      </c>
    </row>
    <row r="294" spans="5:9" x14ac:dyDescent="0.25">
      <c r="E294">
        <f t="shared" si="31"/>
        <v>44</v>
      </c>
      <c r="G294" t="s">
        <v>274</v>
      </c>
      <c r="H294">
        <v>41</v>
      </c>
      <c r="I294" s="51">
        <v>174</v>
      </c>
    </row>
    <row r="295" spans="5:9" x14ac:dyDescent="0.25">
      <c r="E295">
        <f t="shared" si="31"/>
        <v>44</v>
      </c>
      <c r="G295" t="s">
        <v>275</v>
      </c>
      <c r="H295">
        <v>94</v>
      </c>
      <c r="I295" s="51">
        <v>174</v>
      </c>
    </row>
    <row r="296" spans="5:9" x14ac:dyDescent="0.25">
      <c r="E296">
        <f t="shared" si="31"/>
        <v>44</v>
      </c>
      <c r="G296" t="s">
        <v>276</v>
      </c>
      <c r="H296">
        <v>68</v>
      </c>
      <c r="I296" s="51">
        <v>174</v>
      </c>
    </row>
    <row r="297" spans="5:9" x14ac:dyDescent="0.25">
      <c r="E297">
        <f t="shared" si="31"/>
        <v>44</v>
      </c>
      <c r="G297" t="s">
        <v>277</v>
      </c>
      <c r="H297" s="51">
        <v>16</v>
      </c>
      <c r="I297" s="51">
        <v>174</v>
      </c>
    </row>
    <row r="298" spans="5:9" x14ac:dyDescent="0.25">
      <c r="E298">
        <f t="shared" si="31"/>
        <v>44</v>
      </c>
      <c r="G298" t="s">
        <v>278</v>
      </c>
      <c r="H298">
        <v>19</v>
      </c>
      <c r="I298" s="51">
        <v>174</v>
      </c>
    </row>
    <row r="299" spans="5:9" x14ac:dyDescent="0.25">
      <c r="E299">
        <f t="shared" si="31"/>
        <v>44</v>
      </c>
      <c r="G299" t="s">
        <v>279</v>
      </c>
      <c r="H299" s="51">
        <v>23</v>
      </c>
      <c r="I299" s="51">
        <v>174</v>
      </c>
    </row>
    <row r="300" spans="5:9" x14ac:dyDescent="0.25">
      <c r="E300">
        <f>+$F$300</f>
        <v>49</v>
      </c>
      <c r="F300">
        <v>49</v>
      </c>
      <c r="G300" t="s">
        <v>271</v>
      </c>
      <c r="H300" s="51">
        <v>13</v>
      </c>
      <c r="I300" s="51">
        <v>244</v>
      </c>
    </row>
    <row r="301" spans="5:9" x14ac:dyDescent="0.25">
      <c r="E301">
        <f t="shared" ref="E301:E308" si="32">+$F$300</f>
        <v>49</v>
      </c>
      <c r="G301" t="s">
        <v>272</v>
      </c>
      <c r="H301" s="51">
        <v>9</v>
      </c>
      <c r="I301" s="51">
        <v>244</v>
      </c>
    </row>
    <row r="302" spans="5:9" x14ac:dyDescent="0.25">
      <c r="E302">
        <f t="shared" si="32"/>
        <v>49</v>
      </c>
      <c r="G302" t="s">
        <v>273</v>
      </c>
      <c r="H302" s="51">
        <v>31</v>
      </c>
      <c r="I302" s="51">
        <v>244</v>
      </c>
    </row>
    <row r="303" spans="5:9" x14ac:dyDescent="0.25">
      <c r="E303">
        <f t="shared" si="32"/>
        <v>49</v>
      </c>
      <c r="G303" t="s">
        <v>274</v>
      </c>
      <c r="H303" s="51">
        <v>16</v>
      </c>
      <c r="I303" s="51">
        <v>244</v>
      </c>
    </row>
    <row r="304" spans="5:9" x14ac:dyDescent="0.25">
      <c r="E304">
        <f t="shared" si="32"/>
        <v>49</v>
      </c>
      <c r="G304" t="s">
        <v>275</v>
      </c>
      <c r="H304" s="51">
        <v>33</v>
      </c>
      <c r="I304" s="51">
        <v>244</v>
      </c>
    </row>
    <row r="305" spans="5:9" x14ac:dyDescent="0.25">
      <c r="E305">
        <f t="shared" si="32"/>
        <v>49</v>
      </c>
      <c r="G305" t="s">
        <v>276</v>
      </c>
      <c r="H305" s="51">
        <v>18</v>
      </c>
      <c r="I305" s="51">
        <v>244</v>
      </c>
    </row>
    <row r="306" spans="5:9" x14ac:dyDescent="0.25">
      <c r="E306">
        <f t="shared" si="32"/>
        <v>49</v>
      </c>
      <c r="G306" t="s">
        <v>277</v>
      </c>
      <c r="H306" s="51">
        <v>27</v>
      </c>
      <c r="I306" s="51">
        <v>244</v>
      </c>
    </row>
    <row r="307" spans="5:9" x14ac:dyDescent="0.25">
      <c r="E307">
        <f t="shared" si="32"/>
        <v>49</v>
      </c>
      <c r="G307" t="s">
        <v>278</v>
      </c>
      <c r="H307">
        <v>11</v>
      </c>
      <c r="I307" s="51">
        <v>244</v>
      </c>
    </row>
    <row r="308" spans="5:9" x14ac:dyDescent="0.25">
      <c r="E308">
        <f t="shared" si="32"/>
        <v>49</v>
      </c>
      <c r="G308" t="s">
        <v>279</v>
      </c>
      <c r="H308">
        <v>17</v>
      </c>
      <c r="I308" s="51">
        <v>244</v>
      </c>
    </row>
    <row r="309" spans="5:9" x14ac:dyDescent="0.25">
      <c r="E309">
        <f>+$F$309</f>
        <v>5</v>
      </c>
      <c r="F309">
        <v>5</v>
      </c>
      <c r="G309" t="s">
        <v>271</v>
      </c>
      <c r="H309">
        <v>74</v>
      </c>
      <c r="I309" s="51">
        <v>261</v>
      </c>
    </row>
    <row r="310" spans="5:9" x14ac:dyDescent="0.25">
      <c r="E310">
        <f t="shared" ref="E310:E317" si="33">+$F$309</f>
        <v>5</v>
      </c>
      <c r="G310" t="s">
        <v>272</v>
      </c>
      <c r="H310">
        <v>43</v>
      </c>
      <c r="I310" s="51">
        <v>261</v>
      </c>
    </row>
    <row r="311" spans="5:9" x14ac:dyDescent="0.25">
      <c r="E311">
        <f t="shared" si="33"/>
        <v>5</v>
      </c>
      <c r="G311" t="s">
        <v>273</v>
      </c>
      <c r="H311">
        <v>103</v>
      </c>
      <c r="I311" s="51">
        <v>261</v>
      </c>
    </row>
    <row r="312" spans="5:9" x14ac:dyDescent="0.25">
      <c r="E312">
        <f t="shared" si="33"/>
        <v>5</v>
      </c>
      <c r="G312" t="s">
        <v>274</v>
      </c>
      <c r="H312">
        <v>65</v>
      </c>
      <c r="I312" s="51">
        <v>261</v>
      </c>
    </row>
    <row r="313" spans="5:9" x14ac:dyDescent="0.25">
      <c r="E313">
        <f t="shared" si="33"/>
        <v>5</v>
      </c>
      <c r="G313" t="s">
        <v>275</v>
      </c>
      <c r="H313">
        <v>125</v>
      </c>
      <c r="I313" s="51">
        <v>261</v>
      </c>
    </row>
    <row r="314" spans="5:9" x14ac:dyDescent="0.25">
      <c r="E314">
        <f t="shared" si="33"/>
        <v>5</v>
      </c>
      <c r="G314" t="s">
        <v>276</v>
      </c>
      <c r="H314">
        <v>81</v>
      </c>
      <c r="I314" s="51">
        <v>261</v>
      </c>
    </row>
    <row r="315" spans="5:9" x14ac:dyDescent="0.25">
      <c r="E315">
        <f t="shared" si="33"/>
        <v>5</v>
      </c>
      <c r="G315" t="s">
        <v>277</v>
      </c>
      <c r="H315" s="51">
        <v>35</v>
      </c>
      <c r="I315" s="51">
        <v>261</v>
      </c>
    </row>
    <row r="316" spans="5:9" x14ac:dyDescent="0.25">
      <c r="E316">
        <f t="shared" si="33"/>
        <v>5</v>
      </c>
      <c r="G316" t="s">
        <v>278</v>
      </c>
      <c r="H316">
        <v>28</v>
      </c>
      <c r="I316" s="51">
        <v>261</v>
      </c>
    </row>
    <row r="317" spans="5:9" x14ac:dyDescent="0.25">
      <c r="E317">
        <f t="shared" si="33"/>
        <v>5</v>
      </c>
      <c r="G317" t="s">
        <v>279</v>
      </c>
      <c r="H317" s="51">
        <v>28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271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272</v>
      </c>
      <c r="H319" s="51">
        <v>1</v>
      </c>
      <c r="I319" s="51">
        <v>104</v>
      </c>
    </row>
    <row r="320" spans="5:9" x14ac:dyDescent="0.25">
      <c r="E320">
        <f t="shared" si="34"/>
        <v>52</v>
      </c>
      <c r="G320" t="s">
        <v>273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274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275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276</v>
      </c>
      <c r="I323" s="51">
        <v>104</v>
      </c>
    </row>
    <row r="324" spans="5:9" x14ac:dyDescent="0.25">
      <c r="E324">
        <f t="shared" si="34"/>
        <v>52</v>
      </c>
      <c r="G324" t="s">
        <v>277</v>
      </c>
      <c r="H324" s="51">
        <v>34</v>
      </c>
      <c r="I324" s="51">
        <v>104</v>
      </c>
    </row>
    <row r="325" spans="5:9" x14ac:dyDescent="0.25">
      <c r="E325">
        <f t="shared" si="34"/>
        <v>52</v>
      </c>
      <c r="G325" t="s">
        <v>278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279</v>
      </c>
      <c r="H326" s="51"/>
      <c r="I326" s="51">
        <v>104</v>
      </c>
    </row>
    <row r="327" spans="5:9" x14ac:dyDescent="0.25">
      <c r="E327">
        <f>+$F$327</f>
        <v>53</v>
      </c>
      <c r="F327">
        <v>53</v>
      </c>
      <c r="G327" t="s">
        <v>271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272</v>
      </c>
      <c r="H328">
        <v>4</v>
      </c>
      <c r="I328" s="51">
        <v>105</v>
      </c>
    </row>
    <row r="329" spans="5:9" x14ac:dyDescent="0.25">
      <c r="E329">
        <f t="shared" si="35"/>
        <v>53</v>
      </c>
      <c r="G329" t="s">
        <v>273</v>
      </c>
      <c r="H329" s="51">
        <v>1</v>
      </c>
      <c r="I329" s="51">
        <v>105</v>
      </c>
    </row>
    <row r="330" spans="5:9" x14ac:dyDescent="0.25">
      <c r="E330">
        <f t="shared" si="35"/>
        <v>53</v>
      </c>
      <c r="G330" t="s">
        <v>274</v>
      </c>
      <c r="I330" s="51">
        <v>105</v>
      </c>
    </row>
    <row r="331" spans="5:9" x14ac:dyDescent="0.25">
      <c r="E331">
        <f t="shared" si="35"/>
        <v>53</v>
      </c>
      <c r="G331" t="s">
        <v>275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276</v>
      </c>
      <c r="H332">
        <v>2</v>
      </c>
      <c r="I332" s="51">
        <v>105</v>
      </c>
    </row>
    <row r="333" spans="5:9" x14ac:dyDescent="0.25">
      <c r="E333">
        <f t="shared" si="35"/>
        <v>53</v>
      </c>
      <c r="G333" t="s">
        <v>277</v>
      </c>
      <c r="H333" s="51">
        <v>35</v>
      </c>
      <c r="I333" s="51">
        <v>105</v>
      </c>
    </row>
    <row r="334" spans="5:9" x14ac:dyDescent="0.25">
      <c r="E334">
        <f t="shared" si="35"/>
        <v>53</v>
      </c>
      <c r="G334" t="s">
        <v>278</v>
      </c>
      <c r="H334" s="51">
        <v>1</v>
      </c>
      <c r="I334" s="51">
        <v>105</v>
      </c>
    </row>
    <row r="335" spans="5:9" x14ac:dyDescent="0.25">
      <c r="E335">
        <f t="shared" si="35"/>
        <v>53</v>
      </c>
      <c r="G335" t="s">
        <v>279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271</v>
      </c>
      <c r="H336" s="51">
        <v>37</v>
      </c>
      <c r="I336" s="51">
        <v>198</v>
      </c>
    </row>
    <row r="337" spans="5:9" x14ac:dyDescent="0.25">
      <c r="E337">
        <f t="shared" ref="E337:E344" si="36">+$F$336</f>
        <v>54</v>
      </c>
      <c r="G337" t="s">
        <v>272</v>
      </c>
      <c r="H337" s="51">
        <v>33</v>
      </c>
      <c r="I337" s="51">
        <v>198</v>
      </c>
    </row>
    <row r="338" spans="5:9" x14ac:dyDescent="0.25">
      <c r="E338">
        <f t="shared" si="36"/>
        <v>54</v>
      </c>
      <c r="G338" t="s">
        <v>273</v>
      </c>
      <c r="H338" s="51">
        <v>76</v>
      </c>
      <c r="I338" s="51">
        <v>198</v>
      </c>
    </row>
    <row r="339" spans="5:9" x14ac:dyDescent="0.25">
      <c r="E339">
        <f t="shared" si="36"/>
        <v>54</v>
      </c>
      <c r="G339" t="s">
        <v>274</v>
      </c>
      <c r="H339" s="51">
        <v>62</v>
      </c>
      <c r="I339" s="51">
        <v>198</v>
      </c>
    </row>
    <row r="340" spans="5:9" x14ac:dyDescent="0.25">
      <c r="E340">
        <f t="shared" si="36"/>
        <v>54</v>
      </c>
      <c r="G340" t="s">
        <v>275</v>
      </c>
      <c r="H340">
        <v>81</v>
      </c>
      <c r="I340" s="51">
        <v>198</v>
      </c>
    </row>
    <row r="341" spans="5:9" x14ac:dyDescent="0.25">
      <c r="E341">
        <f t="shared" si="36"/>
        <v>54</v>
      </c>
      <c r="G341" t="s">
        <v>276</v>
      </c>
      <c r="H341" s="51">
        <v>58</v>
      </c>
      <c r="I341" s="51">
        <v>198</v>
      </c>
    </row>
    <row r="342" spans="5:9" x14ac:dyDescent="0.25">
      <c r="E342">
        <f t="shared" si="36"/>
        <v>54</v>
      </c>
      <c r="G342" t="s">
        <v>277</v>
      </c>
      <c r="H342" s="51">
        <v>21</v>
      </c>
      <c r="I342" s="51">
        <v>198</v>
      </c>
    </row>
    <row r="343" spans="5:9" x14ac:dyDescent="0.25">
      <c r="E343">
        <f t="shared" si="36"/>
        <v>54</v>
      </c>
      <c r="G343" t="s">
        <v>278</v>
      </c>
      <c r="H343" s="51">
        <v>25</v>
      </c>
      <c r="I343" s="51">
        <v>198</v>
      </c>
    </row>
    <row r="344" spans="5:9" x14ac:dyDescent="0.25">
      <c r="E344">
        <f t="shared" si="36"/>
        <v>54</v>
      </c>
      <c r="G344" t="s">
        <v>279</v>
      </c>
      <c r="H344" s="51">
        <v>20</v>
      </c>
      <c r="I344" s="51">
        <v>198</v>
      </c>
    </row>
    <row r="345" spans="5:9" x14ac:dyDescent="0.25">
      <c r="E345">
        <f>+$F$345</f>
        <v>56</v>
      </c>
      <c r="F345">
        <v>56</v>
      </c>
      <c r="G345" t="s">
        <v>271</v>
      </c>
      <c r="H345">
        <v>7</v>
      </c>
      <c r="I345" s="51">
        <v>198</v>
      </c>
    </row>
    <row r="346" spans="5:9" x14ac:dyDescent="0.25">
      <c r="E346">
        <f t="shared" ref="E346:E353" si="37">+$F$345</f>
        <v>56</v>
      </c>
      <c r="G346" t="s">
        <v>272</v>
      </c>
      <c r="H346" s="51">
        <v>4</v>
      </c>
      <c r="I346" s="51">
        <v>198</v>
      </c>
    </row>
    <row r="347" spans="5:9" x14ac:dyDescent="0.25">
      <c r="E347">
        <f t="shared" si="37"/>
        <v>56</v>
      </c>
      <c r="G347" t="s">
        <v>273</v>
      </c>
      <c r="H347" s="51">
        <v>36</v>
      </c>
      <c r="I347" s="51">
        <v>198</v>
      </c>
    </row>
    <row r="348" spans="5:9" x14ac:dyDescent="0.25">
      <c r="E348">
        <f t="shared" si="37"/>
        <v>56</v>
      </c>
      <c r="G348" t="s">
        <v>274</v>
      </c>
      <c r="H348">
        <v>15</v>
      </c>
      <c r="I348" s="51">
        <v>198</v>
      </c>
    </row>
    <row r="349" spans="5:9" x14ac:dyDescent="0.25">
      <c r="E349">
        <f t="shared" si="37"/>
        <v>56</v>
      </c>
      <c r="G349" t="s">
        <v>275</v>
      </c>
      <c r="H349" s="51">
        <v>26</v>
      </c>
      <c r="I349" s="51">
        <v>198</v>
      </c>
    </row>
    <row r="350" spans="5:9" x14ac:dyDescent="0.25">
      <c r="E350">
        <f t="shared" si="37"/>
        <v>56</v>
      </c>
      <c r="G350" t="s">
        <v>276</v>
      </c>
      <c r="H350" s="51">
        <v>16</v>
      </c>
      <c r="I350" s="51">
        <v>198</v>
      </c>
    </row>
    <row r="351" spans="5:9" x14ac:dyDescent="0.25">
      <c r="E351">
        <f t="shared" si="37"/>
        <v>56</v>
      </c>
      <c r="G351" t="s">
        <v>277</v>
      </c>
      <c r="H351" s="51">
        <v>28</v>
      </c>
      <c r="I351" s="51">
        <v>198</v>
      </c>
    </row>
    <row r="352" spans="5:9" x14ac:dyDescent="0.25">
      <c r="E352">
        <f t="shared" si="37"/>
        <v>56</v>
      </c>
      <c r="G352" t="s">
        <v>278</v>
      </c>
      <c r="H352">
        <v>7</v>
      </c>
      <c r="I352" s="51">
        <v>198</v>
      </c>
    </row>
    <row r="353" spans="5:9" x14ac:dyDescent="0.25">
      <c r="E353">
        <f t="shared" si="37"/>
        <v>56</v>
      </c>
      <c r="G353" t="s">
        <v>279</v>
      </c>
      <c r="H353" s="51">
        <v>9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271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272</v>
      </c>
      <c r="H355" s="51">
        <v>4</v>
      </c>
      <c r="I355" s="51">
        <v>105</v>
      </c>
    </row>
    <row r="356" spans="5:9" x14ac:dyDescent="0.25">
      <c r="E356">
        <f t="shared" si="38"/>
        <v>57</v>
      </c>
      <c r="G356" t="s">
        <v>273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274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275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276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277</v>
      </c>
      <c r="H360" s="51">
        <v>20</v>
      </c>
      <c r="I360" s="51">
        <v>105</v>
      </c>
    </row>
    <row r="361" spans="5:9" x14ac:dyDescent="0.25">
      <c r="E361">
        <f t="shared" si="38"/>
        <v>57</v>
      </c>
      <c r="G361" t="s">
        <v>278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279</v>
      </c>
      <c r="H362" s="51">
        <v>1</v>
      </c>
      <c r="I362" s="51">
        <v>105</v>
      </c>
    </row>
    <row r="363" spans="5:9" x14ac:dyDescent="0.25">
      <c r="E363">
        <f>+$F$363</f>
        <v>58</v>
      </c>
      <c r="F363">
        <v>58</v>
      </c>
      <c r="G363" t="s">
        <v>271</v>
      </c>
      <c r="H363" s="51">
        <v>4</v>
      </c>
      <c r="I363" s="51">
        <v>122</v>
      </c>
    </row>
    <row r="364" spans="5:9" x14ac:dyDescent="0.25">
      <c r="E364">
        <f t="shared" ref="E364:E371" si="39">+$F$363</f>
        <v>58</v>
      </c>
      <c r="G364" t="s">
        <v>272</v>
      </c>
      <c r="H364" s="51">
        <v>9</v>
      </c>
      <c r="I364" s="51">
        <v>122</v>
      </c>
    </row>
    <row r="365" spans="5:9" x14ac:dyDescent="0.25">
      <c r="E365">
        <f t="shared" si="39"/>
        <v>58</v>
      </c>
      <c r="G365" t="s">
        <v>273</v>
      </c>
      <c r="H365" s="51">
        <v>6</v>
      </c>
      <c r="I365" s="51">
        <v>122</v>
      </c>
    </row>
    <row r="366" spans="5:9" x14ac:dyDescent="0.25">
      <c r="E366">
        <f t="shared" si="39"/>
        <v>58</v>
      </c>
      <c r="G366" t="s">
        <v>274</v>
      </c>
      <c r="H366" s="51">
        <v>16</v>
      </c>
      <c r="I366" s="51">
        <v>122</v>
      </c>
    </row>
    <row r="367" spans="5:9" x14ac:dyDescent="0.25">
      <c r="E367">
        <f t="shared" si="39"/>
        <v>58</v>
      </c>
      <c r="G367" t="s">
        <v>275</v>
      </c>
      <c r="H367" s="51">
        <v>13</v>
      </c>
      <c r="I367" s="51">
        <v>122</v>
      </c>
    </row>
    <row r="368" spans="5:9" x14ac:dyDescent="0.25">
      <c r="E368">
        <f t="shared" si="39"/>
        <v>58</v>
      </c>
      <c r="G368" t="s">
        <v>276</v>
      </c>
      <c r="H368" s="51">
        <v>19</v>
      </c>
      <c r="I368" s="51">
        <v>122</v>
      </c>
    </row>
    <row r="369" spans="5:9" x14ac:dyDescent="0.25">
      <c r="E369">
        <f t="shared" si="39"/>
        <v>58</v>
      </c>
      <c r="G369" t="s">
        <v>277</v>
      </c>
      <c r="H369" s="51">
        <v>6</v>
      </c>
      <c r="I369" s="51">
        <v>122</v>
      </c>
    </row>
    <row r="370" spans="5:9" x14ac:dyDescent="0.25">
      <c r="E370">
        <f t="shared" si="39"/>
        <v>58</v>
      </c>
      <c r="G370" t="s">
        <v>278</v>
      </c>
      <c r="H370" s="51">
        <v>4</v>
      </c>
      <c r="I370" s="51">
        <v>122</v>
      </c>
    </row>
    <row r="371" spans="5:9" x14ac:dyDescent="0.25">
      <c r="E371">
        <f t="shared" si="39"/>
        <v>58</v>
      </c>
      <c r="G371" t="s">
        <v>279</v>
      </c>
      <c r="H371" s="35">
        <v>3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271</v>
      </c>
      <c r="H372">
        <v>20</v>
      </c>
      <c r="I372">
        <v>126</v>
      </c>
    </row>
    <row r="373" spans="5:9" x14ac:dyDescent="0.25">
      <c r="E373">
        <f t="shared" ref="E373:E380" si="40">+$F$372</f>
        <v>59</v>
      </c>
      <c r="G373" t="s">
        <v>272</v>
      </c>
      <c r="H373">
        <v>15</v>
      </c>
      <c r="I373">
        <v>126</v>
      </c>
    </row>
    <row r="374" spans="5:9" x14ac:dyDescent="0.25">
      <c r="E374">
        <f t="shared" si="40"/>
        <v>59</v>
      </c>
      <c r="G374" t="s">
        <v>273</v>
      </c>
      <c r="H374">
        <v>8</v>
      </c>
      <c r="I374">
        <v>126</v>
      </c>
    </row>
    <row r="375" spans="5:9" x14ac:dyDescent="0.25">
      <c r="E375">
        <f t="shared" si="40"/>
        <v>59</v>
      </c>
      <c r="G375" t="s">
        <v>274</v>
      </c>
      <c r="H375">
        <v>26</v>
      </c>
      <c r="I375">
        <v>126</v>
      </c>
    </row>
    <row r="376" spans="5:9" x14ac:dyDescent="0.25">
      <c r="E376">
        <f t="shared" si="40"/>
        <v>59</v>
      </c>
      <c r="G376" t="s">
        <v>275</v>
      </c>
      <c r="H376">
        <v>26</v>
      </c>
      <c r="I376">
        <v>126</v>
      </c>
    </row>
    <row r="377" spans="5:9" x14ac:dyDescent="0.25">
      <c r="E377">
        <f t="shared" si="40"/>
        <v>59</v>
      </c>
      <c r="G377" t="s">
        <v>276</v>
      </c>
      <c r="H377">
        <v>23</v>
      </c>
      <c r="I377">
        <v>126</v>
      </c>
    </row>
    <row r="378" spans="5:9" x14ac:dyDescent="0.25">
      <c r="E378">
        <f t="shared" si="40"/>
        <v>59</v>
      </c>
      <c r="G378" t="s">
        <v>277</v>
      </c>
      <c r="H378">
        <v>7</v>
      </c>
      <c r="I378">
        <v>126</v>
      </c>
    </row>
    <row r="379" spans="5:9" x14ac:dyDescent="0.25">
      <c r="E379">
        <f t="shared" si="40"/>
        <v>59</v>
      </c>
      <c r="G379" t="s">
        <v>278</v>
      </c>
      <c r="H379">
        <v>3</v>
      </c>
      <c r="I379">
        <v>126</v>
      </c>
    </row>
    <row r="380" spans="5:9" x14ac:dyDescent="0.25">
      <c r="E380">
        <f t="shared" si="40"/>
        <v>59</v>
      </c>
      <c r="G380" t="s">
        <v>279</v>
      </c>
      <c r="H380">
        <v>2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271</v>
      </c>
      <c r="I381">
        <v>46</v>
      </c>
    </row>
    <row r="382" spans="5:9" x14ac:dyDescent="0.25">
      <c r="E382">
        <f t="shared" ref="E382:E389" si="41">+$F$381</f>
        <v>60</v>
      </c>
      <c r="G382" t="s">
        <v>272</v>
      </c>
      <c r="I382">
        <v>46</v>
      </c>
    </row>
    <row r="383" spans="5:9" x14ac:dyDescent="0.25">
      <c r="E383">
        <f t="shared" si="41"/>
        <v>60</v>
      </c>
      <c r="G383" t="s">
        <v>273</v>
      </c>
      <c r="H383">
        <v>1</v>
      </c>
      <c r="I383">
        <v>46</v>
      </c>
    </row>
    <row r="384" spans="5:9" x14ac:dyDescent="0.25">
      <c r="E384">
        <f t="shared" si="41"/>
        <v>60</v>
      </c>
      <c r="G384" t="s">
        <v>274</v>
      </c>
      <c r="H384">
        <v>1</v>
      </c>
      <c r="I384">
        <v>46</v>
      </c>
    </row>
    <row r="385" spans="5:9" x14ac:dyDescent="0.25">
      <c r="E385">
        <f t="shared" si="41"/>
        <v>60</v>
      </c>
      <c r="G385" t="s">
        <v>275</v>
      </c>
      <c r="H385">
        <v>1</v>
      </c>
      <c r="I385">
        <v>46</v>
      </c>
    </row>
    <row r="386" spans="5:9" x14ac:dyDescent="0.25">
      <c r="E386">
        <f t="shared" si="41"/>
        <v>60</v>
      </c>
      <c r="G386" t="s">
        <v>276</v>
      </c>
      <c r="H386">
        <v>1</v>
      </c>
      <c r="I386">
        <v>46</v>
      </c>
    </row>
    <row r="387" spans="5:9" x14ac:dyDescent="0.25">
      <c r="E387">
        <f t="shared" si="41"/>
        <v>60</v>
      </c>
      <c r="G387" t="s">
        <v>277</v>
      </c>
      <c r="I387">
        <v>46</v>
      </c>
    </row>
    <row r="388" spans="5:9" x14ac:dyDescent="0.25">
      <c r="E388">
        <f t="shared" si="41"/>
        <v>60</v>
      </c>
      <c r="G388" t="s">
        <v>278</v>
      </c>
      <c r="I388">
        <v>46</v>
      </c>
    </row>
    <row r="389" spans="5:9" x14ac:dyDescent="0.25">
      <c r="E389">
        <f t="shared" si="41"/>
        <v>60</v>
      </c>
      <c r="G389" t="s">
        <v>279</v>
      </c>
      <c r="H389">
        <v>1</v>
      </c>
      <c r="I389">
        <v>46</v>
      </c>
    </row>
    <row r="390" spans="5:9" x14ac:dyDescent="0.25">
      <c r="E390">
        <f>+$F$390</f>
        <v>7</v>
      </c>
      <c r="F390">
        <v>7</v>
      </c>
      <c r="G390" t="s">
        <v>271</v>
      </c>
      <c r="H390">
        <v>1</v>
      </c>
      <c r="I390">
        <v>116</v>
      </c>
    </row>
    <row r="391" spans="5:9" x14ac:dyDescent="0.25">
      <c r="E391">
        <f t="shared" ref="E391:E398" si="42">+$F$390</f>
        <v>7</v>
      </c>
      <c r="G391" t="s">
        <v>272</v>
      </c>
      <c r="H391">
        <v>2</v>
      </c>
      <c r="I391">
        <v>116</v>
      </c>
    </row>
    <row r="392" spans="5:9" x14ac:dyDescent="0.25">
      <c r="E392">
        <f t="shared" si="42"/>
        <v>7</v>
      </c>
      <c r="G392" t="s">
        <v>273</v>
      </c>
      <c r="H392">
        <v>5</v>
      </c>
      <c r="I392">
        <v>116</v>
      </c>
    </row>
    <row r="393" spans="5:9" x14ac:dyDescent="0.25">
      <c r="E393">
        <f t="shared" si="42"/>
        <v>7</v>
      </c>
      <c r="G393" t="s">
        <v>274</v>
      </c>
      <c r="I393">
        <v>116</v>
      </c>
    </row>
    <row r="394" spans="5:9" x14ac:dyDescent="0.25">
      <c r="E394">
        <f t="shared" si="42"/>
        <v>7</v>
      </c>
      <c r="G394" t="s">
        <v>275</v>
      </c>
      <c r="H394">
        <v>4</v>
      </c>
      <c r="I394">
        <v>116</v>
      </c>
    </row>
    <row r="395" spans="5:9" x14ac:dyDescent="0.25">
      <c r="E395">
        <f t="shared" si="42"/>
        <v>7</v>
      </c>
      <c r="G395" t="s">
        <v>276</v>
      </c>
      <c r="H395">
        <v>1</v>
      </c>
      <c r="I395">
        <v>116</v>
      </c>
    </row>
    <row r="396" spans="5:9" x14ac:dyDescent="0.25">
      <c r="E396">
        <f t="shared" si="42"/>
        <v>7</v>
      </c>
      <c r="G396" t="s">
        <v>277</v>
      </c>
      <c r="H396">
        <v>6</v>
      </c>
      <c r="I396">
        <v>116</v>
      </c>
    </row>
    <row r="397" spans="5:9" x14ac:dyDescent="0.25">
      <c r="E397">
        <f t="shared" si="42"/>
        <v>7</v>
      </c>
      <c r="G397" t="s">
        <v>278</v>
      </c>
      <c r="H397">
        <v>3</v>
      </c>
      <c r="I397">
        <v>116</v>
      </c>
    </row>
    <row r="398" spans="5:9" x14ac:dyDescent="0.25">
      <c r="E398">
        <f t="shared" si="42"/>
        <v>7</v>
      </c>
      <c r="G398" t="s">
        <v>279</v>
      </c>
      <c r="H398">
        <v>3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271</v>
      </c>
      <c r="H399">
        <v>22</v>
      </c>
      <c r="I399">
        <v>195</v>
      </c>
    </row>
    <row r="400" spans="5:9" x14ac:dyDescent="0.25">
      <c r="E400">
        <f t="shared" ref="E400:E407" si="43">+$F$399</f>
        <v>8</v>
      </c>
      <c r="G400" t="s">
        <v>272</v>
      </c>
      <c r="H400">
        <v>12</v>
      </c>
      <c r="I400">
        <v>195</v>
      </c>
    </row>
    <row r="401" spans="5:9" x14ac:dyDescent="0.25">
      <c r="E401">
        <f t="shared" si="43"/>
        <v>8</v>
      </c>
      <c r="G401" t="s">
        <v>273</v>
      </c>
      <c r="H401">
        <v>41</v>
      </c>
      <c r="I401">
        <v>195</v>
      </c>
    </row>
    <row r="402" spans="5:9" x14ac:dyDescent="0.25">
      <c r="E402">
        <f t="shared" si="43"/>
        <v>8</v>
      </c>
      <c r="G402" t="s">
        <v>274</v>
      </c>
      <c r="H402">
        <v>30</v>
      </c>
      <c r="I402">
        <v>195</v>
      </c>
    </row>
    <row r="403" spans="5:9" x14ac:dyDescent="0.25">
      <c r="E403">
        <f t="shared" si="43"/>
        <v>8</v>
      </c>
      <c r="G403" t="s">
        <v>275</v>
      </c>
      <c r="H403">
        <v>58</v>
      </c>
      <c r="I403">
        <v>195</v>
      </c>
    </row>
    <row r="404" spans="5:9" x14ac:dyDescent="0.25">
      <c r="E404">
        <f t="shared" si="43"/>
        <v>8</v>
      </c>
      <c r="G404" t="s">
        <v>276</v>
      </c>
      <c r="H404">
        <v>37</v>
      </c>
      <c r="I404">
        <v>195</v>
      </c>
    </row>
    <row r="405" spans="5:9" x14ac:dyDescent="0.25">
      <c r="E405">
        <f t="shared" si="43"/>
        <v>8</v>
      </c>
      <c r="G405" t="s">
        <v>277</v>
      </c>
      <c r="H405">
        <v>6</v>
      </c>
      <c r="I405">
        <v>195</v>
      </c>
    </row>
    <row r="406" spans="5:9" x14ac:dyDescent="0.25">
      <c r="E406">
        <f t="shared" si="43"/>
        <v>8</v>
      </c>
      <c r="G406" t="s">
        <v>278</v>
      </c>
      <c r="H406">
        <v>13</v>
      </c>
      <c r="I406">
        <v>195</v>
      </c>
    </row>
    <row r="407" spans="5:9" x14ac:dyDescent="0.25">
      <c r="E407">
        <f t="shared" si="43"/>
        <v>8</v>
      </c>
      <c r="G407" t="s">
        <v>279</v>
      </c>
      <c r="H407">
        <v>17</v>
      </c>
      <c r="I407">
        <v>195</v>
      </c>
    </row>
    <row r="408" spans="5:9" x14ac:dyDescent="0.25">
      <c r="F408">
        <v>9</v>
      </c>
      <c r="G408" t="s">
        <v>271</v>
      </c>
      <c r="H408">
        <v>30</v>
      </c>
      <c r="I408">
        <v>156</v>
      </c>
    </row>
    <row r="409" spans="5:9" x14ac:dyDescent="0.25">
      <c r="G409" t="s">
        <v>272</v>
      </c>
      <c r="H409">
        <v>27</v>
      </c>
      <c r="I409">
        <v>156</v>
      </c>
    </row>
    <row r="410" spans="5:9" x14ac:dyDescent="0.25">
      <c r="G410" t="s">
        <v>273</v>
      </c>
      <c r="H410">
        <v>43</v>
      </c>
      <c r="I410">
        <v>156</v>
      </c>
    </row>
    <row r="411" spans="5:9" x14ac:dyDescent="0.25">
      <c r="G411" t="s">
        <v>274</v>
      </c>
      <c r="H411">
        <v>38</v>
      </c>
      <c r="I411">
        <v>156</v>
      </c>
    </row>
    <row r="412" spans="5:9" x14ac:dyDescent="0.25">
      <c r="G412" t="s">
        <v>275</v>
      </c>
      <c r="H412">
        <v>62</v>
      </c>
      <c r="I412">
        <v>156</v>
      </c>
    </row>
    <row r="413" spans="5:9" x14ac:dyDescent="0.25">
      <c r="G413" t="s">
        <v>276</v>
      </c>
      <c r="H413">
        <v>45</v>
      </c>
      <c r="I413">
        <v>156</v>
      </c>
    </row>
    <row r="414" spans="5:9" x14ac:dyDescent="0.25">
      <c r="G414" t="s">
        <v>277</v>
      </c>
      <c r="H414">
        <v>9</v>
      </c>
      <c r="I414">
        <v>156</v>
      </c>
    </row>
    <row r="415" spans="5:9" x14ac:dyDescent="0.25">
      <c r="G415" t="s">
        <v>278</v>
      </c>
      <c r="H415">
        <v>16</v>
      </c>
      <c r="I415">
        <v>156</v>
      </c>
    </row>
    <row r="416" spans="5:9" x14ac:dyDescent="0.25">
      <c r="G416" t="s">
        <v>279</v>
      </c>
      <c r="H416">
        <v>19</v>
      </c>
      <c r="I416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B33" sqref="B33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227</v>
      </c>
      <c r="B1" s="132" t="s">
        <v>228</v>
      </c>
      <c r="C1" s="133"/>
      <c r="D1" s="134" t="s">
        <v>229</v>
      </c>
    </row>
    <row r="2" spans="1:4" x14ac:dyDescent="0.25">
      <c r="A2" s="135" t="s">
        <v>230</v>
      </c>
      <c r="B2" s="135" t="str">
        <f>+AVANCE!B16</f>
        <v>2 - OJEDA NORBERTO</v>
      </c>
      <c r="C2" s="133"/>
      <c r="D2" s="133">
        <v>0.15071662808641975</v>
      </c>
    </row>
    <row r="3" spans="1:4" x14ac:dyDescent="0.25">
      <c r="A3" s="135" t="s">
        <v>231</v>
      </c>
      <c r="B3" s="135" t="str">
        <f>+AVANCE!B17</f>
        <v>3 - VIDAL NAHUEL</v>
      </c>
      <c r="C3" s="133"/>
      <c r="D3" s="133">
        <v>0.26634870113168718</v>
      </c>
    </row>
    <row r="4" spans="1:4" x14ac:dyDescent="0.25">
      <c r="A4" s="135" t="s">
        <v>232</v>
      </c>
      <c r="B4" s="135" t="str">
        <f>+AVANCE!B18</f>
        <v>18 - HERRERA PABLO</v>
      </c>
      <c r="C4" s="133"/>
      <c r="D4" s="133">
        <v>0.22999903549382714</v>
      </c>
    </row>
    <row r="5" spans="1:4" x14ac:dyDescent="0.25">
      <c r="A5" s="135" t="s">
        <v>233</v>
      </c>
      <c r="B5" s="135" t="str">
        <f>+AVANCE!B19</f>
        <v>21 - CATAN MATIAS</v>
      </c>
      <c r="C5" s="133"/>
      <c r="D5" s="133">
        <v>0.23246945730452676</v>
      </c>
    </row>
    <row r="6" spans="1:4" x14ac:dyDescent="0.25">
      <c r="A6" s="135" t="s">
        <v>234</v>
      </c>
      <c r="B6" s="135" t="str">
        <f>+AVANCE!B20</f>
        <v>23 - DELGADO JOSÉ</v>
      </c>
      <c r="C6" s="133"/>
      <c r="D6" s="133">
        <v>0.20460808899176955</v>
      </c>
    </row>
    <row r="7" spans="1:4" x14ac:dyDescent="0.25">
      <c r="A7" s="135" t="s">
        <v>235</v>
      </c>
      <c r="B7" s="135" t="str">
        <f>+AVANCE!B21</f>
        <v>31 - RENZO RAMOS</v>
      </c>
      <c r="C7" s="133"/>
      <c r="D7" s="133">
        <v>0.2486332947530864</v>
      </c>
    </row>
    <row r="8" spans="1:4" x14ac:dyDescent="0.25">
      <c r="A8" s="135" t="s">
        <v>236</v>
      </c>
      <c r="B8" s="135" t="str">
        <f>+AVANCE!B22</f>
        <v>44 - MONGES CESAR LUIS</v>
      </c>
      <c r="C8" s="133"/>
      <c r="D8" s="133">
        <v>0.22467399691358025</v>
      </c>
    </row>
    <row r="9" spans="1:4" x14ac:dyDescent="0.25">
      <c r="A9" s="135" t="s">
        <v>237</v>
      </c>
      <c r="B9" s="135" t="str">
        <f>+AVANCE!B23</f>
        <v>54 - BARTSCHAT EMILIANO NAHUEL</v>
      </c>
      <c r="C9" s="133"/>
      <c r="D9" s="133">
        <v>0.22230613425925927</v>
      </c>
    </row>
    <row r="10" spans="1:4" x14ac:dyDescent="0.25">
      <c r="A10" s="135" t="s">
        <v>238</v>
      </c>
      <c r="B10" s="135" t="str">
        <f>+AVANCE!B42</f>
        <v>56 - JUAN ANDRES SANCHEZ</v>
      </c>
      <c r="C10" s="133"/>
      <c r="D10" s="133">
        <v>8.7914094650205762E-2</v>
      </c>
    </row>
    <row r="11" spans="1:4" x14ac:dyDescent="0.25">
      <c r="A11" s="135" t="s">
        <v>239</v>
      </c>
      <c r="B11" s="135" t="str">
        <f>+AVANCE!B9</f>
        <v>4 - TUR SPRINGER FERNANDO</v>
      </c>
      <c r="C11" s="133"/>
      <c r="D11" s="133">
        <v>0.2383159722222222</v>
      </c>
    </row>
    <row r="12" spans="1:4" x14ac:dyDescent="0.25">
      <c r="A12" s="135" t="s">
        <v>240</v>
      </c>
      <c r="B12" s="135" t="str">
        <f>+AVANCE!B8</f>
        <v>5 - SCHELOVER RAUL</v>
      </c>
      <c r="C12" s="133"/>
      <c r="D12" s="133">
        <v>0.27321116255144035</v>
      </c>
    </row>
    <row r="13" spans="1:4" x14ac:dyDescent="0.25">
      <c r="A13" s="135" t="s">
        <v>241</v>
      </c>
      <c r="B13" s="135" t="str">
        <f>+AVANCE!B7</f>
        <v>8 - PARRA MAXIMILIANO</v>
      </c>
      <c r="C13" s="133"/>
      <c r="D13" s="133">
        <v>0.23825810185185176</v>
      </c>
    </row>
    <row r="14" spans="1:4" x14ac:dyDescent="0.25">
      <c r="A14" s="135" t="s">
        <v>242</v>
      </c>
      <c r="B14" s="135" t="str">
        <f>+AVANCE!B6</f>
        <v>11 - SANCHEZ RICARDO</v>
      </c>
      <c r="C14" s="133"/>
      <c r="D14" s="133">
        <v>0.27006301440329217</v>
      </c>
    </row>
    <row r="15" spans="1:4" x14ac:dyDescent="0.25">
      <c r="A15" s="135" t="s">
        <v>243</v>
      </c>
      <c r="B15" s="135" t="str">
        <f>+AVANCE!B5</f>
        <v>12 - GUTIERREZ MARCOS DAVID</v>
      </c>
      <c r="C15" s="133"/>
      <c r="D15" s="133">
        <v>0.22656957304526748</v>
      </c>
    </row>
    <row r="16" spans="1:4" x14ac:dyDescent="0.25">
      <c r="A16" s="135" t="s">
        <v>244</v>
      </c>
      <c r="B16" s="135" t="str">
        <f>+AVANCE!B4</f>
        <v>16 - GOMEZ MATÍAS</v>
      </c>
      <c r="C16" s="133"/>
      <c r="D16" s="133">
        <v>0.22884548611111113</v>
      </c>
    </row>
    <row r="17" spans="1:4" x14ac:dyDescent="0.25">
      <c r="A17" s="135" t="s">
        <v>245</v>
      </c>
      <c r="B17" s="135" t="str">
        <f>+AVANCE!B3</f>
        <v>19 - GONZALEZ MARCELO</v>
      </c>
      <c r="C17" s="133"/>
      <c r="D17" s="133">
        <v>0.24085455246913581</v>
      </c>
    </row>
    <row r="18" spans="1:4" x14ac:dyDescent="0.25">
      <c r="A18" s="135" t="s">
        <v>246</v>
      </c>
      <c r="B18" s="135" t="str">
        <f>+AVANCE!B2</f>
        <v>20 - FLORES JAVIER</v>
      </c>
      <c r="C18" s="133"/>
      <c r="D18" s="133">
        <v>0.25471675668724281</v>
      </c>
    </row>
    <row r="19" spans="1:4" x14ac:dyDescent="0.25">
      <c r="A19" s="135" t="s">
        <v>247</v>
      </c>
      <c r="B19" s="135" t="str">
        <f>+AVANCE!B41</f>
        <v>49 - ESCOBAR RAÚL</v>
      </c>
      <c r="C19" s="133"/>
      <c r="D19" s="133">
        <v>0.24575713734567897</v>
      </c>
    </row>
    <row r="20" spans="1:4" x14ac:dyDescent="0.25">
      <c r="A20" s="135" t="s">
        <v>248</v>
      </c>
      <c r="B20" s="135" t="str">
        <f>+AVANCE!B37</f>
        <v>1 - VERA ERNESTO</v>
      </c>
      <c r="C20" s="133"/>
      <c r="D20" s="133">
        <v>0.28491030092592595</v>
      </c>
    </row>
    <row r="21" spans="1:4" x14ac:dyDescent="0.25">
      <c r="A21" s="135" t="s">
        <v>249</v>
      </c>
      <c r="B21" s="135" t="str">
        <f>+AVANCE!B27</f>
        <v>9 - ESTIGARRIBIA DAVID</v>
      </c>
      <c r="C21" s="133"/>
      <c r="D21" s="133">
        <v>0.23830761316872429</v>
      </c>
    </row>
    <row r="22" spans="1:4" x14ac:dyDescent="0.25">
      <c r="A22" s="135" t="s">
        <v>250</v>
      </c>
      <c r="B22" s="135" t="str">
        <f>+AVANCE!B30</f>
        <v>10 - BRITEZ EMMANUEL</v>
      </c>
      <c r="C22" s="133"/>
      <c r="D22" s="133">
        <v>0.23375578703703703</v>
      </c>
    </row>
    <row r="23" spans="1:4" x14ac:dyDescent="0.25">
      <c r="A23" s="135" t="s">
        <v>251</v>
      </c>
      <c r="B23" s="135" t="str">
        <f>+AVANCE!B34</f>
        <v>24 - MARTINEZ JORGE NICOLAS</v>
      </c>
      <c r="C23" s="133"/>
      <c r="D23" s="133">
        <v>0.20357960390946506</v>
      </c>
    </row>
    <row r="24" spans="1:4" x14ac:dyDescent="0.25">
      <c r="A24" s="135" t="s">
        <v>252</v>
      </c>
      <c r="B24" s="135" t="str">
        <f>+AVANCE!B29</f>
        <v>27 - GOMEZ ADRIÁN</v>
      </c>
      <c r="C24" s="133"/>
      <c r="D24" s="133">
        <v>0.26268164866255145</v>
      </c>
    </row>
    <row r="25" spans="1:4" x14ac:dyDescent="0.25">
      <c r="A25" s="135" t="s">
        <v>253</v>
      </c>
      <c r="B25" s="135" t="str">
        <f>+AVANCE!B31</f>
        <v>28 - GOMEZ PABLO</v>
      </c>
      <c r="C25" s="133"/>
      <c r="D25" s="133">
        <v>0.19930073302469142</v>
      </c>
    </row>
    <row r="26" spans="1:4" x14ac:dyDescent="0.25">
      <c r="A26" s="135" t="s">
        <v>254</v>
      </c>
      <c r="B26" s="135" t="str">
        <f>+AVANCE!B32</f>
        <v>33 - NICOLAS AZULA</v>
      </c>
      <c r="C26" s="133"/>
      <c r="D26" s="133">
        <v>0.23281764403292185</v>
      </c>
    </row>
    <row r="27" spans="1:4" x14ac:dyDescent="0.25">
      <c r="A27" s="135" t="s">
        <v>255</v>
      </c>
      <c r="B27" s="135" t="str">
        <f>+AVANCE!B26</f>
        <v>36 - COSARINSKI DIEGO</v>
      </c>
      <c r="C27" s="133"/>
      <c r="D27" s="133">
        <v>0.23525655864197528</v>
      </c>
    </row>
    <row r="28" spans="1:4" x14ac:dyDescent="0.25">
      <c r="A28" s="135" t="s">
        <v>256</v>
      </c>
      <c r="B28" s="135" t="str">
        <f>+AVANCE!B33</f>
        <v>37 - SALAJ EMILIO</v>
      </c>
      <c r="C28" s="133"/>
      <c r="D28" s="133">
        <v>0.26416087962962953</v>
      </c>
    </row>
    <row r="29" spans="1:4" x14ac:dyDescent="0.25">
      <c r="A29" s="135" t="s">
        <v>257</v>
      </c>
      <c r="B29" s="135" t="str">
        <f>+AVANCE!B28</f>
        <v>40 - IBARROLA JORGE</v>
      </c>
      <c r="C29" s="133"/>
      <c r="D29" s="133">
        <v>0.19831886574074076</v>
      </c>
    </row>
    <row r="30" spans="1:4" x14ac:dyDescent="0.25">
      <c r="A30" s="135" t="s">
        <v>258</v>
      </c>
      <c r="B30" s="135" t="str">
        <f>+AVANCE!B13</f>
        <v>52 - RAVAROTTO EMANUEL</v>
      </c>
      <c r="C30" s="133"/>
      <c r="D30" s="133">
        <v>0.19230002572016466</v>
      </c>
    </row>
    <row r="31" spans="1:4" x14ac:dyDescent="0.25">
      <c r="A31" s="135" t="s">
        <v>259</v>
      </c>
      <c r="B31" s="135" t="str">
        <f>+AVANCE!B14</f>
        <v>53 - SANDOVAL RODRIGO</v>
      </c>
      <c r="C31" s="133"/>
      <c r="D31" s="133">
        <v>0.17871849279835392</v>
      </c>
    </row>
    <row r="32" spans="1:4" x14ac:dyDescent="0.25">
      <c r="A32" s="135" t="s">
        <v>260</v>
      </c>
      <c r="B32" s="135" t="str">
        <f>+AVANCE!B12</f>
        <v>15 - GALARZA GERARDO</v>
      </c>
      <c r="C32" s="133"/>
      <c r="D32" s="133">
        <v>0.1781458976337448</v>
      </c>
    </row>
    <row r="33" spans="1:4" x14ac:dyDescent="0.25">
      <c r="A33" s="135" t="s">
        <v>261</v>
      </c>
      <c r="B33" s="135" t="str">
        <f>+AVANCE!B11</f>
        <v>22 - ALMIRON NICOLAS</v>
      </c>
      <c r="C33" s="133"/>
      <c r="D33" s="133">
        <v>0.1792975180041152</v>
      </c>
    </row>
    <row r="34" spans="1:4" x14ac:dyDescent="0.25">
      <c r="A34" s="135" t="s">
        <v>262</v>
      </c>
      <c r="B34" s="135" t="str">
        <f>+AVANCE!B35</f>
        <v>7 - VALLEJOS EDUARDO</v>
      </c>
      <c r="C34" s="133"/>
      <c r="D34" s="133">
        <v>0.11472961676954729</v>
      </c>
    </row>
    <row r="35" spans="1:4" x14ac:dyDescent="0.25">
      <c r="A35" s="135" t="s">
        <v>263</v>
      </c>
      <c r="B35" s="135" t="str">
        <f>+AVANCE!B25</f>
        <v>32 - CABRAL GONZALO</v>
      </c>
      <c r="C35" s="133"/>
      <c r="D35" s="133">
        <v>0.11771797839506172</v>
      </c>
    </row>
    <row r="36" spans="1:4" x14ac:dyDescent="0.25">
      <c r="A36" s="135" t="s">
        <v>264</v>
      </c>
      <c r="B36" s="135" t="str">
        <f>+AVANCE!B36</f>
        <v>57 - ROUBINEAU SEBASTIAN</v>
      </c>
      <c r="C36" s="133"/>
      <c r="D36" s="133">
        <v>0.1445563271604938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28001295</v>
      </c>
      <c r="C2" s="87">
        <v>32969064.085886825</v>
      </c>
      <c r="D2" s="87">
        <v>0</v>
      </c>
      <c r="E2" s="87">
        <v>32969064.085886825</v>
      </c>
      <c r="F2" s="88">
        <v>1.1774121191854456</v>
      </c>
      <c r="G2" s="87">
        <v>32969064.085886825</v>
      </c>
      <c r="H2" s="88">
        <v>1.1774121191854456</v>
      </c>
      <c r="I2" s="87">
        <v>1268040.9263802625</v>
      </c>
      <c r="J2" s="87" t="e">
        <v>#DIV/0!</v>
      </c>
      <c r="K2" s="87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6">
        <v>26876745</v>
      </c>
      <c r="C3" s="87">
        <v>29130364.756566606</v>
      </c>
      <c r="D3" s="87">
        <v>0</v>
      </c>
      <c r="E3" s="87">
        <v>29130364.756566606</v>
      </c>
      <c r="F3" s="88">
        <v>1.0838501744376636</v>
      </c>
      <c r="G3" s="87">
        <v>29130364.75656661</v>
      </c>
      <c r="H3" s="88">
        <v>1.0838501744376638</v>
      </c>
      <c r="I3" s="87">
        <v>1120398.6444833311</v>
      </c>
      <c r="J3" s="87" t="e">
        <v>#DIV/0!</v>
      </c>
      <c r="K3" s="87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6">
        <v>24627645</v>
      </c>
      <c r="C4" s="87">
        <v>20258833.614688918</v>
      </c>
      <c r="D4" s="87">
        <v>0</v>
      </c>
      <c r="E4" s="87">
        <v>20258833.614688918</v>
      </c>
      <c r="F4" s="88">
        <v>0.82260539384455633</v>
      </c>
      <c r="G4" s="87">
        <v>20258833.614688918</v>
      </c>
      <c r="H4" s="88">
        <v>0.82260539384455633</v>
      </c>
      <c r="I4" s="87">
        <v>779185.90825726604</v>
      </c>
      <c r="J4" s="87" t="e">
        <v>#DIV/0!</v>
      </c>
      <c r="K4" s="87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6">
        <v>24627645</v>
      </c>
      <c r="C5" s="87">
        <v>26537938.241926376</v>
      </c>
      <c r="D5" s="87">
        <v>0</v>
      </c>
      <c r="E5" s="87">
        <v>26537938.241926376</v>
      </c>
      <c r="F5" s="88">
        <v>1.0775670285131353</v>
      </c>
      <c r="G5" s="87">
        <v>26537938.241926376</v>
      </c>
      <c r="H5" s="88">
        <v>1.0775670285131353</v>
      </c>
      <c r="I5" s="87">
        <v>1020689.9323817837</v>
      </c>
      <c r="J5" s="87" t="e">
        <v>#DIV/0!</v>
      </c>
      <c r="K5" s="87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20410582.5</v>
      </c>
      <c r="C6" s="87">
        <v>17576102.641826726</v>
      </c>
      <c r="D6" s="87">
        <v>0</v>
      </c>
      <c r="E6" s="87">
        <v>17576102.641826726</v>
      </c>
      <c r="F6" s="88">
        <v>0.86112694930812128</v>
      </c>
      <c r="G6" s="87">
        <v>17576102.641826726</v>
      </c>
      <c r="H6" s="88">
        <v>0.86112694930812128</v>
      </c>
      <c r="I6" s="87">
        <v>676003.94776256639</v>
      </c>
      <c r="J6" s="87" t="e">
        <v>#DIV/0!</v>
      </c>
      <c r="K6" s="87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24065370</v>
      </c>
      <c r="C7" s="87">
        <v>24383408.810882814</v>
      </c>
      <c r="D7" s="87">
        <v>0</v>
      </c>
      <c r="E7" s="87">
        <v>24383408.810882814</v>
      </c>
      <c r="F7" s="88">
        <v>1.0132156210722219</v>
      </c>
      <c r="G7" s="87">
        <v>24383408.810882814</v>
      </c>
      <c r="H7" s="88">
        <v>1.0132156210722219</v>
      </c>
      <c r="I7" s="87">
        <v>937823.4158031852</v>
      </c>
      <c r="J7" s="87" t="e">
        <v>#DIV/0!</v>
      </c>
      <c r="K7" s="87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6">
        <v>31082562</v>
      </c>
      <c r="C8" s="87">
        <v>32899444.909960415</v>
      </c>
      <c r="D8" s="87">
        <v>0</v>
      </c>
      <c r="E8" s="87">
        <v>32899444.909960415</v>
      </c>
      <c r="F8" s="88">
        <v>1.0584534476263705</v>
      </c>
      <c r="G8" s="87">
        <v>32899444.909960411</v>
      </c>
      <c r="H8" s="88">
        <v>1.0584534476263705</v>
      </c>
      <c r="I8" s="87">
        <v>1265363.2657677082</v>
      </c>
      <c r="J8" s="87" t="e">
        <v>#DIV/0!</v>
      </c>
      <c r="K8" s="87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6">
        <v>31082562</v>
      </c>
      <c r="C9" s="87">
        <v>30879201.629310861</v>
      </c>
      <c r="D9" s="87">
        <v>0</v>
      </c>
      <c r="E9" s="87">
        <v>30879201.629310861</v>
      </c>
      <c r="F9" s="88">
        <v>0.99345741285132361</v>
      </c>
      <c r="G9" s="87">
        <v>30879201.629310865</v>
      </c>
      <c r="H9" s="88">
        <v>0.99345741285132372</v>
      </c>
      <c r="I9" s="87">
        <v>1187661.6011273409</v>
      </c>
      <c r="J9" s="87" t="e">
        <v>#DIV/0!</v>
      </c>
      <c r="K9" s="87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9">
        <v>210774406.5</v>
      </c>
      <c r="C10" s="89">
        <v>214634358.69104952</v>
      </c>
      <c r="D10" s="89">
        <v>0</v>
      </c>
      <c r="E10" s="89">
        <v>214634358.69104952</v>
      </c>
      <c r="F10" s="90">
        <v>1.0183131920765225</v>
      </c>
      <c r="G10" s="89">
        <v>214634358.69104952</v>
      </c>
      <c r="H10" s="90">
        <v>1.0183131920765225</v>
      </c>
      <c r="I10" s="89">
        <v>8255167.6419634428</v>
      </c>
      <c r="J10" s="91" t="e">
        <v>#DIV/0!</v>
      </c>
      <c r="K10" s="91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6">
        <v>84120750</v>
      </c>
      <c r="C11" s="87">
        <v>64387271.98183801</v>
      </c>
      <c r="D11" s="87">
        <v>0</v>
      </c>
      <c r="E11" s="87">
        <v>64387271.98183801</v>
      </c>
      <c r="F11" s="88">
        <v>0.76541485878143034</v>
      </c>
      <c r="G11" s="87">
        <v>64387271.98183801</v>
      </c>
      <c r="H11" s="88">
        <v>0.76541485878143034</v>
      </c>
      <c r="I11" s="87">
        <v>2476433.5377630005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6">
        <v>27439020</v>
      </c>
      <c r="C12" s="87">
        <v>21503763.720070578</v>
      </c>
      <c r="D12" s="87">
        <v>0</v>
      </c>
      <c r="E12" s="87">
        <v>21503763.720070578</v>
      </c>
      <c r="F12" s="88">
        <v>0.78369284763342784</v>
      </c>
      <c r="G12" s="87">
        <v>21503763.720070578</v>
      </c>
      <c r="H12" s="88">
        <v>0.78369284763342784</v>
      </c>
      <c r="I12" s="87">
        <v>827067.83538732992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6">
        <v>111352500</v>
      </c>
      <c r="C13" s="87">
        <v>81948670.721768543</v>
      </c>
      <c r="D13" s="87">
        <v>0</v>
      </c>
      <c r="E13" s="87">
        <v>81948670.721768543</v>
      </c>
      <c r="F13" s="88">
        <v>0.7359392085653087</v>
      </c>
      <c r="G13" s="87">
        <v>81948670.721768543</v>
      </c>
      <c r="H13" s="88">
        <v>0.7359392085653087</v>
      </c>
      <c r="I13" s="87">
        <v>3151871.9508372517</v>
      </c>
      <c r="J13" s="87" t="e">
        <v>#DIV/0!</v>
      </c>
      <c r="K13" s="87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6">
        <v>36823500</v>
      </c>
      <c r="C14" s="87">
        <v>27773181.596537951</v>
      </c>
      <c r="D14" s="87">
        <v>0</v>
      </c>
      <c r="E14" s="87">
        <v>27773181.596537951</v>
      </c>
      <c r="F14" s="88">
        <v>0.75422438379127332</v>
      </c>
      <c r="G14" s="87">
        <v>27773181.596537948</v>
      </c>
      <c r="H14" s="88">
        <v>0.75422438379127321</v>
      </c>
      <c r="I14" s="87">
        <v>1068199.2921745365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6">
        <v>36823500</v>
      </c>
      <c r="C15" s="87">
        <v>40412110.7009774</v>
      </c>
      <c r="D15" s="87">
        <v>0</v>
      </c>
      <c r="E15" s="87">
        <v>40412110.7009774</v>
      </c>
      <c r="F15" s="88">
        <v>1.0974543620507937</v>
      </c>
      <c r="G15" s="87">
        <v>40412110.7009774</v>
      </c>
      <c r="H15" s="88">
        <v>1.0974543620507937</v>
      </c>
      <c r="I15" s="87">
        <v>1554311.9500375923</v>
      </c>
      <c r="J15" s="87" t="e">
        <v>#DIV/0!</v>
      </c>
      <c r="K15" s="87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9">
        <v>296559270</v>
      </c>
      <c r="C16" s="89">
        <v>236024998.72119248</v>
      </c>
      <c r="D16" s="89">
        <v>0</v>
      </c>
      <c r="E16" s="89">
        <v>236024998.72119248</v>
      </c>
      <c r="F16" s="90">
        <v>0.79587800010835097</v>
      </c>
      <c r="G16" s="89">
        <v>236024998.72119248</v>
      </c>
      <c r="H16" s="90">
        <v>0.79587800010835097</v>
      </c>
      <c r="I16" s="89">
        <v>9077884.5661997106</v>
      </c>
      <c r="J16" s="91" t="e">
        <v>#DIV/0!</v>
      </c>
      <c r="K16" s="91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1">
        <v>25450000</v>
      </c>
      <c r="C17" s="87">
        <v>16519194.256903937</v>
      </c>
      <c r="D17" s="87">
        <v>0</v>
      </c>
      <c r="E17" s="87">
        <v>16519194.256903937</v>
      </c>
      <c r="F17" s="88">
        <v>0.64908425370938849</v>
      </c>
      <c r="G17" s="87">
        <v>16519194.256903937</v>
      </c>
      <c r="H17" s="88">
        <v>0.64908425370938849</v>
      </c>
      <c r="I17" s="87">
        <v>635353.62526553601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1">
        <v>22430000</v>
      </c>
      <c r="C18" s="87">
        <v>14871118.704486541</v>
      </c>
      <c r="D18" s="87">
        <v>0</v>
      </c>
      <c r="E18" s="87">
        <v>14871118.704486541</v>
      </c>
      <c r="F18" s="88">
        <v>0.66300127973635936</v>
      </c>
      <c r="G18" s="87">
        <v>14871118.704486541</v>
      </c>
      <c r="H18" s="88">
        <v>0.66300127973635936</v>
      </c>
      <c r="I18" s="87">
        <v>571966.10401871311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1">
        <v>22430000</v>
      </c>
      <c r="C19" s="87">
        <v>17383067.799878713</v>
      </c>
      <c r="D19" s="87">
        <v>0</v>
      </c>
      <c r="E19" s="87">
        <v>17383067.799878713</v>
      </c>
      <c r="F19" s="88">
        <v>0.7749918769451053</v>
      </c>
      <c r="G19" s="87">
        <v>17383067.799878713</v>
      </c>
      <c r="H19" s="88">
        <v>0.7749918769451053</v>
      </c>
      <c r="I19" s="87">
        <v>668579.53076456592</v>
      </c>
      <c r="J19" s="87" t="e">
        <v>#DIV/0!</v>
      </c>
      <c r="K19" s="87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1">
        <v>29000000</v>
      </c>
      <c r="C20" s="87">
        <v>24462624.729524348</v>
      </c>
      <c r="D20" s="87">
        <v>0</v>
      </c>
      <c r="E20" s="87">
        <v>24462624.729524348</v>
      </c>
      <c r="F20" s="88">
        <v>0.84353878377670166</v>
      </c>
      <c r="G20" s="87">
        <v>24462624.729524348</v>
      </c>
      <c r="H20" s="88">
        <v>0.84353878377670166</v>
      </c>
      <c r="I20" s="87">
        <v>940870.18190478266</v>
      </c>
      <c r="J20" s="87" t="e">
        <v>#DIV/0!</v>
      </c>
      <c r="K20" s="87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1">
        <v>22000000</v>
      </c>
      <c r="C21" s="87">
        <v>19224920.576570924</v>
      </c>
      <c r="D21" s="87">
        <v>0</v>
      </c>
      <c r="E21" s="87">
        <v>19224920.576570924</v>
      </c>
      <c r="F21" s="88">
        <v>0.87386002620776926</v>
      </c>
      <c r="G21" s="87">
        <v>19224920.576570924</v>
      </c>
      <c r="H21" s="88">
        <v>0.87386002620776926</v>
      </c>
      <c r="I21" s="87">
        <v>739420.02217580483</v>
      </c>
      <c r="J21" s="87" t="e">
        <v>#DIV/0!</v>
      </c>
      <c r="K21" s="87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1">
        <v>27500000</v>
      </c>
      <c r="C22" s="87">
        <v>22580286.482825678</v>
      </c>
      <c r="D22" s="87">
        <v>0</v>
      </c>
      <c r="E22" s="87">
        <v>22580286.482825678</v>
      </c>
      <c r="F22" s="88">
        <v>0.82110132664820645</v>
      </c>
      <c r="G22" s="87">
        <v>22580286.482825678</v>
      </c>
      <c r="H22" s="88">
        <v>0.82110132664820645</v>
      </c>
      <c r="I22" s="87">
        <v>868472.55703175685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1">
        <v>23800000</v>
      </c>
      <c r="C23" s="87">
        <v>18758064.323494539</v>
      </c>
      <c r="D23" s="87">
        <v>0</v>
      </c>
      <c r="E23" s="87">
        <v>18758064.323494539</v>
      </c>
      <c r="F23" s="88">
        <v>0.78815396317203945</v>
      </c>
      <c r="G23" s="87">
        <v>18758064.323494539</v>
      </c>
      <c r="H23" s="88">
        <v>0.78815396317203945</v>
      </c>
      <c r="I23" s="87">
        <v>721464.01244209765</v>
      </c>
      <c r="J23" s="87" t="e">
        <v>#DIV/0!</v>
      </c>
      <c r="K23" s="87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1">
        <v>28500000</v>
      </c>
      <c r="C24" s="87">
        <v>25700325.30407371</v>
      </c>
      <c r="D24" s="87">
        <v>0</v>
      </c>
      <c r="E24" s="87">
        <v>25700325.30407371</v>
      </c>
      <c r="F24" s="88">
        <v>0.90176580014293717</v>
      </c>
      <c r="G24" s="87">
        <v>25700325.30407371</v>
      </c>
      <c r="H24" s="88">
        <v>0.90176580014293717</v>
      </c>
      <c r="I24" s="87">
        <v>988474.0501566811</v>
      </c>
      <c r="J24" s="87" t="e">
        <v>#DIV/0!</v>
      </c>
      <c r="K24" s="87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1">
        <v>46900000</v>
      </c>
      <c r="C25" s="87">
        <v>26132280.684891887</v>
      </c>
      <c r="D25" s="87">
        <v>0</v>
      </c>
      <c r="E25" s="87">
        <v>26132280.684891887</v>
      </c>
      <c r="F25" s="88">
        <v>0.55719148581859035</v>
      </c>
      <c r="G25" s="87">
        <v>26132280.684891887</v>
      </c>
      <c r="H25" s="88">
        <v>0.55719148581859035</v>
      </c>
      <c r="I25" s="87">
        <v>1005087.7186496879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1">
        <v>248010000</v>
      </c>
      <c r="C26" s="91">
        <v>185631882.86265028</v>
      </c>
      <c r="D26" s="91">
        <v>0</v>
      </c>
      <c r="E26" s="91">
        <v>185631882.86265028</v>
      </c>
      <c r="F26" s="90">
        <v>0.74848547583827374</v>
      </c>
      <c r="G26" s="89">
        <v>185631882.86265028</v>
      </c>
      <c r="H26" s="90">
        <v>0.74848547583827374</v>
      </c>
      <c r="I26" s="89">
        <v>7139687.8024096256</v>
      </c>
      <c r="J26" s="91" t="e">
        <v>#DIV/0!</v>
      </c>
      <c r="K26" s="91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2" t="s">
        <v>101</v>
      </c>
      <c r="B27" s="131">
        <v>72908793.5625</v>
      </c>
      <c r="C27" s="87">
        <v>59705699.342645526</v>
      </c>
      <c r="D27" s="87">
        <v>0</v>
      </c>
      <c r="E27" s="87">
        <v>59705699.342645526</v>
      </c>
      <c r="F27" s="88">
        <v>0.81890944048420833</v>
      </c>
      <c r="G27" s="87">
        <v>59705699.342645526</v>
      </c>
      <c r="H27" s="88">
        <v>0.81890944048420833</v>
      </c>
      <c r="I27" s="87">
        <v>2296373.0516402125</v>
      </c>
      <c r="J27" s="87" t="e">
        <v>#DIV/0!</v>
      </c>
      <c r="K27" s="87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31">
        <v>20300095.462500002</v>
      </c>
      <c r="C28" s="87">
        <v>7088486.5581214279</v>
      </c>
      <c r="D28" s="87">
        <v>0</v>
      </c>
      <c r="E28" s="87">
        <v>7088486.5581214279</v>
      </c>
      <c r="F28" s="88">
        <v>0.3491848878846831</v>
      </c>
      <c r="G28" s="87">
        <v>7088486.5581214279</v>
      </c>
      <c r="H28" s="88">
        <v>0.3491848878846831</v>
      </c>
      <c r="I28" s="87">
        <v>272634.09838928567</v>
      </c>
      <c r="J28" s="87" t="e">
        <v>#DIV/0!</v>
      </c>
      <c r="K28" s="87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31">
        <v>21701087.966249999</v>
      </c>
      <c r="C29" s="87">
        <v>11524508.445087066</v>
      </c>
      <c r="D29" s="87">
        <v>0</v>
      </c>
      <c r="E29" s="87">
        <v>11524508.445087066</v>
      </c>
      <c r="F29" s="88">
        <v>0.53105671305559565</v>
      </c>
      <c r="G29" s="87">
        <v>11524508.445087066</v>
      </c>
      <c r="H29" s="88">
        <v>0.53105671305559565</v>
      </c>
      <c r="I29" s="87">
        <v>443250.32481104101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31">
        <v>33166353.149999999</v>
      </c>
      <c r="C30" s="87">
        <v>32454209.159729112</v>
      </c>
      <c r="D30" s="87">
        <v>0</v>
      </c>
      <c r="E30" s="87">
        <v>32454209.159729112</v>
      </c>
      <c r="F30" s="88">
        <v>0.97852811893275982</v>
      </c>
      <c r="G30" s="87">
        <v>32454209.159729108</v>
      </c>
      <c r="H30" s="88">
        <v>0.97852811893275971</v>
      </c>
      <c r="I30" s="87">
        <v>1248238.813835735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31">
        <v>21701087.966249999</v>
      </c>
      <c r="C31" s="87">
        <v>18178588.533045053</v>
      </c>
      <c r="D31" s="87">
        <v>0</v>
      </c>
      <c r="E31" s="87">
        <v>18178588.533045053</v>
      </c>
      <c r="F31" s="88">
        <v>0.83768097531869312</v>
      </c>
      <c r="G31" s="87">
        <v>18178588.533045053</v>
      </c>
      <c r="H31" s="88">
        <v>0.83768097531869312</v>
      </c>
      <c r="I31" s="87">
        <v>699176.48204019433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31">
        <v>21701087.966249999</v>
      </c>
      <c r="C32" s="87">
        <v>22255930.735474538</v>
      </c>
      <c r="D32" s="87">
        <v>0</v>
      </c>
      <c r="E32" s="87">
        <v>22255930.735474538</v>
      </c>
      <c r="F32" s="88">
        <v>1.0255675093381236</v>
      </c>
      <c r="G32" s="87">
        <v>22255930.735474538</v>
      </c>
      <c r="H32" s="88">
        <v>1.0255675093381236</v>
      </c>
      <c r="I32" s="87">
        <v>855997.33597978996</v>
      </c>
      <c r="J32" s="87" t="e">
        <v>#DIV/0!</v>
      </c>
      <c r="K32" s="87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31">
        <v>20586012.300000001</v>
      </c>
      <c r="C33" s="87">
        <v>21491454.209792644</v>
      </c>
      <c r="D33" s="87">
        <v>0</v>
      </c>
      <c r="E33" s="87">
        <v>21491454.209792644</v>
      </c>
      <c r="F33" s="88">
        <v>1.0439833561059635</v>
      </c>
      <c r="G33" s="87">
        <v>21491454.209792644</v>
      </c>
      <c r="H33" s="88">
        <v>1.0439833561059635</v>
      </c>
      <c r="I33" s="87">
        <v>826594.39268433244</v>
      </c>
      <c r="J33" s="87" t="e">
        <v>#DIV/0!</v>
      </c>
      <c r="K33" s="87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31">
        <v>21701087.966249999</v>
      </c>
      <c r="C34" s="87">
        <v>6604694.92388489</v>
      </c>
      <c r="D34" s="87">
        <v>0</v>
      </c>
      <c r="E34" s="87">
        <v>6604694.92388489</v>
      </c>
      <c r="F34" s="88">
        <v>0.30434856234658164</v>
      </c>
      <c r="G34" s="87">
        <v>6604694.92388489</v>
      </c>
      <c r="H34" s="88">
        <v>0.30434856234658164</v>
      </c>
      <c r="I34" s="87">
        <v>254026.72784172653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31">
        <v>20586012.300000001</v>
      </c>
      <c r="C35" s="87">
        <v>10300686.076064574</v>
      </c>
      <c r="D35" s="87">
        <v>0</v>
      </c>
      <c r="E35" s="87">
        <v>10300686.076064574</v>
      </c>
      <c r="F35" s="88">
        <v>0.50037306526162784</v>
      </c>
      <c r="G35" s="87">
        <v>10300686.076064574</v>
      </c>
      <c r="H35" s="88">
        <v>0.50037306526162784</v>
      </c>
      <c r="I35" s="87">
        <v>396180.23369479127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31">
        <v>21729679.650000002</v>
      </c>
      <c r="C36" s="87">
        <v>17015924.868190646</v>
      </c>
      <c r="D36" s="87">
        <v>0</v>
      </c>
      <c r="E36" s="87">
        <v>17015924.868190646</v>
      </c>
      <c r="F36" s="88">
        <v>0.78307297402751375</v>
      </c>
      <c r="G36" s="87">
        <v>17015924.868190646</v>
      </c>
      <c r="H36" s="88">
        <v>0.78307297402751375</v>
      </c>
      <c r="I36" s="87">
        <v>654458.64877656335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31">
        <v>102930061.49999999</v>
      </c>
      <c r="C37" s="87">
        <v>71043541.40915364</v>
      </c>
      <c r="D37" s="87">
        <v>0</v>
      </c>
      <c r="E37" s="87">
        <v>71043541.40915364</v>
      </c>
      <c r="F37" s="88">
        <v>0.6902117843304082</v>
      </c>
      <c r="G37" s="87">
        <v>71043541.40915364</v>
      </c>
      <c r="H37" s="88">
        <v>0.6902117843304082</v>
      </c>
      <c r="I37" s="87">
        <v>2732443.9003520631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31">
        <v>29964084.57</v>
      </c>
      <c r="C38" s="87">
        <v>34108717.03855706</v>
      </c>
      <c r="D38" s="87">
        <v>0</v>
      </c>
      <c r="E38" s="87">
        <v>34108717.03855706</v>
      </c>
      <c r="F38" s="88">
        <v>1.1383200097061086</v>
      </c>
      <c r="G38" s="87">
        <v>34108717.03855706</v>
      </c>
      <c r="H38" s="88">
        <v>1.1383200097061086</v>
      </c>
      <c r="I38" s="87">
        <v>1311873.7322521945</v>
      </c>
      <c r="J38" s="87" t="e">
        <v>#DIV/0!</v>
      </c>
      <c r="K38" s="87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31">
        <v>32594519.474999998</v>
      </c>
      <c r="C39" s="87">
        <v>24484653.207060494</v>
      </c>
      <c r="D39" s="87">
        <v>0</v>
      </c>
      <c r="E39" s="87">
        <v>24484653.207060494</v>
      </c>
      <c r="F39" s="88">
        <v>0.75118926744234493</v>
      </c>
      <c r="G39" s="87">
        <v>24484653.207060494</v>
      </c>
      <c r="H39" s="88">
        <v>0.75118926744234493</v>
      </c>
      <c r="I39" s="87">
        <v>941717.43104078819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222</v>
      </c>
      <c r="B40" s="91">
        <v>441569963.83499998</v>
      </c>
      <c r="C40" s="91">
        <v>336257094.50680667</v>
      </c>
      <c r="D40" s="91">
        <v>0</v>
      </c>
      <c r="E40" s="91">
        <v>336257094.50680667</v>
      </c>
      <c r="F40" s="90">
        <v>0.76150354880671811</v>
      </c>
      <c r="G40" s="89">
        <v>336257094.50680667</v>
      </c>
      <c r="H40" s="90">
        <v>0.76150354880671811</v>
      </c>
      <c r="I40" s="89">
        <v>12932965.173338719</v>
      </c>
      <c r="J40" s="91" t="e">
        <v>#DIV/0!</v>
      </c>
      <c r="K40" s="91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5" t="s">
        <v>42</v>
      </c>
      <c r="B41" s="96">
        <v>1196913633.8701973</v>
      </c>
      <c r="C41" s="96">
        <v>972548334.78169894</v>
      </c>
      <c r="D41" s="96">
        <v>0</v>
      </c>
      <c r="E41" s="96">
        <v>972548334.78169894</v>
      </c>
      <c r="F41" s="97">
        <v>0.81254679306892219</v>
      </c>
      <c r="G41" s="96">
        <v>972548334.78169882</v>
      </c>
      <c r="H41" s="97">
        <v>0.81254679306892208</v>
      </c>
      <c r="I41" s="96">
        <v>37405705.183911495</v>
      </c>
      <c r="J41" s="96" t="e">
        <v>#DIV/0!</v>
      </c>
      <c r="K41" s="96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28561320.900000002</v>
      </c>
      <c r="C2" s="87">
        <v>39721295.804930009</v>
      </c>
      <c r="D2" s="87">
        <v>39088385.959280692</v>
      </c>
      <c r="E2" s="87">
        <v>632909.84564931691</v>
      </c>
      <c r="F2" s="88">
        <v>1.3907373522395459</v>
      </c>
      <c r="G2" s="87">
        <v>39721295.804930009</v>
      </c>
      <c r="H2" s="88">
        <v>1.3907373522395459</v>
      </c>
      <c r="I2" s="87">
        <v>1727012.8610839134</v>
      </c>
      <c r="J2" s="87" t="e">
        <v>#DIV/0!</v>
      </c>
      <c r="K2" s="87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6">
        <v>27414279.900000002</v>
      </c>
      <c r="C3" s="87">
        <v>29249180.313359585</v>
      </c>
      <c r="D3" s="87">
        <v>28088897.73557714</v>
      </c>
      <c r="E3" s="87">
        <v>1160282.5777824447</v>
      </c>
      <c r="F3" s="88">
        <v>1.0669322856574315</v>
      </c>
      <c r="G3" s="87">
        <v>29249180.313359588</v>
      </c>
      <c r="H3" s="88">
        <v>1.0669322856574317</v>
      </c>
      <c r="I3" s="87">
        <v>1271703.4918851994</v>
      </c>
      <c r="J3" s="87" t="e">
        <v>#DIV/0!</v>
      </c>
      <c r="K3" s="87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6">
        <v>25120197.900000002</v>
      </c>
      <c r="C4" s="87">
        <v>23167100.132401947</v>
      </c>
      <c r="D4" s="87">
        <v>21799243.674501382</v>
      </c>
      <c r="E4" s="87">
        <v>1367856.4579005651</v>
      </c>
      <c r="F4" s="88">
        <v>0.92224990522076833</v>
      </c>
      <c r="G4" s="87">
        <v>23167100.132401947</v>
      </c>
      <c r="H4" s="88">
        <v>0.92224990522076833</v>
      </c>
      <c r="I4" s="87">
        <v>1007265.2231479108</v>
      </c>
      <c r="J4" s="87" t="e">
        <v>#DIV/0!</v>
      </c>
      <c r="K4" s="87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6">
        <v>25120197.900000002</v>
      </c>
      <c r="C5" s="87">
        <v>31630958.851832926</v>
      </c>
      <c r="D5" s="87">
        <v>30307629.482775476</v>
      </c>
      <c r="E5" s="87">
        <v>1323329.3690574504</v>
      </c>
      <c r="F5" s="88">
        <v>1.2591843017221183</v>
      </c>
      <c r="G5" s="87">
        <v>31630958.851832926</v>
      </c>
      <c r="H5" s="88">
        <v>1.2591843017221183</v>
      </c>
      <c r="I5" s="87">
        <v>1375259.080514475</v>
      </c>
      <c r="J5" s="87" t="e">
        <v>#DIV/0!</v>
      </c>
      <c r="K5" s="87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6">
        <v>20818794.149999999</v>
      </c>
      <c r="C6" s="87">
        <v>15488445.984929243</v>
      </c>
      <c r="D6" s="87">
        <v>15012989.485614467</v>
      </c>
      <c r="E6" s="87">
        <v>475456.49931477569</v>
      </c>
      <c r="F6" s="88">
        <v>0.7439646058909346</v>
      </c>
      <c r="G6" s="87">
        <v>15488445.984929241</v>
      </c>
      <c r="H6" s="88">
        <v>0.74396460589093449</v>
      </c>
      <c r="I6" s="87">
        <v>673410.69499692356</v>
      </c>
      <c r="J6" s="87" t="e">
        <v>#DIV/0!</v>
      </c>
      <c r="K6" s="87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6">
        <v>24546677.400000002</v>
      </c>
      <c r="C7" s="87">
        <v>18088953.14564018</v>
      </c>
      <c r="D7" s="87">
        <v>17362470.332684334</v>
      </c>
      <c r="E7" s="87">
        <v>726482.81295584515</v>
      </c>
      <c r="F7" s="88">
        <v>0.73692063699179822</v>
      </c>
      <c r="G7" s="87">
        <v>18088953.14564018</v>
      </c>
      <c r="H7" s="88">
        <v>0.73692063699179822</v>
      </c>
      <c r="I7" s="87">
        <v>786476.22372348607</v>
      </c>
      <c r="J7" s="87" t="e">
        <v>#DIV/0!</v>
      </c>
      <c r="K7" s="87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6">
        <v>31704213.240000002</v>
      </c>
      <c r="C8" s="87">
        <v>25692634.698936395</v>
      </c>
      <c r="D8" s="87">
        <v>25203128.493070193</v>
      </c>
      <c r="E8" s="87">
        <v>489506.20586620271</v>
      </c>
      <c r="F8" s="88">
        <v>0.81038550001048359</v>
      </c>
      <c r="G8" s="87">
        <v>25692634.698936392</v>
      </c>
      <c r="H8" s="88">
        <v>0.81038550001048348</v>
      </c>
      <c r="I8" s="87">
        <v>1117071.0738667997</v>
      </c>
      <c r="J8" s="87" t="e">
        <v>#DIV/0!</v>
      </c>
      <c r="K8" s="87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6">
        <v>31704213.240000002</v>
      </c>
      <c r="C9" s="87">
        <v>32620850.48761525</v>
      </c>
      <c r="D9" s="87">
        <v>30865958.704523828</v>
      </c>
      <c r="E9" s="87">
        <v>1754891.7830914222</v>
      </c>
      <c r="F9" s="88">
        <v>1.0289121587934174</v>
      </c>
      <c r="G9" s="87">
        <v>32620850.48761525</v>
      </c>
      <c r="H9" s="88">
        <v>1.0289121587934174</v>
      </c>
      <c r="I9" s="87">
        <v>1418297.8472876195</v>
      </c>
      <c r="J9" s="87" t="e">
        <v>#DIV/0!</v>
      </c>
      <c r="K9" s="87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9">
        <v>214989894.63</v>
      </c>
      <c r="C10" s="89">
        <v>215659419.41964552</v>
      </c>
      <c r="D10" s="87">
        <v>207728703.86802754</v>
      </c>
      <c r="E10" s="89">
        <v>7930715.5516180228</v>
      </c>
      <c r="F10" s="90">
        <v>1.003114215162521</v>
      </c>
      <c r="G10" s="89">
        <v>215659419.41964555</v>
      </c>
      <c r="H10" s="90">
        <v>1.003114215162521</v>
      </c>
      <c r="I10" s="89">
        <v>9376496.4965063278</v>
      </c>
      <c r="J10" s="91" t="e">
        <v>#DIV/0!</v>
      </c>
      <c r="K10" s="91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6">
        <v>85803165</v>
      </c>
      <c r="C11" s="87">
        <v>74801914.352921605</v>
      </c>
      <c r="D11" s="87">
        <v>72706629.068820506</v>
      </c>
      <c r="E11" s="87">
        <v>2095285.2841010988</v>
      </c>
      <c r="F11" s="88">
        <v>0.87178502509693678</v>
      </c>
      <c r="G11" s="87">
        <v>74801914.352921605</v>
      </c>
      <c r="H11" s="88">
        <v>0.87178502509693678</v>
      </c>
      <c r="I11" s="87">
        <v>3252257.1457792004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6">
        <v>27987800.400000002</v>
      </c>
      <c r="C12" s="87">
        <v>21624275.946476139</v>
      </c>
      <c r="D12" s="87">
        <v>21624275.946476139</v>
      </c>
      <c r="E12" s="87">
        <v>0</v>
      </c>
      <c r="F12" s="88">
        <v>0.77263220536888411</v>
      </c>
      <c r="G12" s="87">
        <v>21624275.946476139</v>
      </c>
      <c r="H12" s="88">
        <v>0.77263220536888411</v>
      </c>
      <c r="I12" s="87">
        <v>940185.91071635392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6">
        <v>113579550</v>
      </c>
      <c r="C13" s="87">
        <v>110562899.82800557</v>
      </c>
      <c r="D13" s="87">
        <v>101026142.33835626</v>
      </c>
      <c r="E13" s="87">
        <v>9536757.4896493107</v>
      </c>
      <c r="F13" s="88">
        <v>0.97344019964866535</v>
      </c>
      <c r="G13" s="87">
        <v>110562899.82800557</v>
      </c>
      <c r="H13" s="88">
        <v>0.97344019964866535</v>
      </c>
      <c r="I13" s="87">
        <v>4807082.6012176331</v>
      </c>
      <c r="J13" s="87" t="e">
        <v>#DIV/0!</v>
      </c>
      <c r="K13" s="87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6">
        <v>37559970</v>
      </c>
      <c r="C14" s="87">
        <v>25974209.55841786</v>
      </c>
      <c r="D14" s="87">
        <v>25893547.49941786</v>
      </c>
      <c r="E14" s="87">
        <v>80662.059000000358</v>
      </c>
      <c r="F14" s="88">
        <v>0.69153967797146432</v>
      </c>
      <c r="G14" s="87">
        <v>25974209.55841786</v>
      </c>
      <c r="H14" s="88">
        <v>0.69153967797146432</v>
      </c>
      <c r="I14" s="87">
        <v>1129313.4590616461</v>
      </c>
      <c r="J14" s="87" t="e">
        <v>#DIV/0!</v>
      </c>
      <c r="K14" s="87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6">
        <v>37559970</v>
      </c>
      <c r="C15" s="87">
        <v>32322953.369331002</v>
      </c>
      <c r="D15" s="87">
        <v>32261497.488231003</v>
      </c>
      <c r="E15" s="87">
        <v>61455.881099998951</v>
      </c>
      <c r="F15" s="88">
        <v>0.86056920091605515</v>
      </c>
      <c r="G15" s="87">
        <v>32322953.369330999</v>
      </c>
      <c r="H15" s="88">
        <v>0.86056920091605504</v>
      </c>
      <c r="I15" s="87">
        <v>1405345.7986665652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9">
        <v>302490455.39999998</v>
      </c>
      <c r="C16" s="89">
        <v>265286253.05515218</v>
      </c>
      <c r="D16" s="87">
        <v>253512092.34130177</v>
      </c>
      <c r="E16" s="89">
        <v>11774160.713850409</v>
      </c>
      <c r="F16" s="90">
        <v>0.87700702061606994</v>
      </c>
      <c r="G16" s="89">
        <v>265286253.05515218</v>
      </c>
      <c r="H16" s="90">
        <v>0.87700702061606994</v>
      </c>
      <c r="I16" s="89">
        <v>11534184.915441399</v>
      </c>
      <c r="J16" s="91" t="e">
        <v>#DIV/0!</v>
      </c>
      <c r="K16" s="91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1">
        <v>25959000</v>
      </c>
      <c r="C17" s="87">
        <v>15605041.260327421</v>
      </c>
      <c r="D17" s="87">
        <v>15500623.615824336</v>
      </c>
      <c r="E17" s="87">
        <v>104417.64450308494</v>
      </c>
      <c r="F17" s="88">
        <v>0.60114184908229984</v>
      </c>
      <c r="G17" s="87">
        <v>15605041.260327421</v>
      </c>
      <c r="H17" s="88">
        <v>0.60114184908229984</v>
      </c>
      <c r="I17" s="87">
        <v>678480.05479684437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1">
        <v>22878600</v>
      </c>
      <c r="C18" s="87">
        <v>17851342.96152376</v>
      </c>
      <c r="D18" s="87">
        <v>17014009.254922275</v>
      </c>
      <c r="E18" s="87">
        <v>837333.70660148561</v>
      </c>
      <c r="F18" s="88">
        <v>0.78026378194136703</v>
      </c>
      <c r="G18" s="87">
        <v>17851342.96152376</v>
      </c>
      <c r="H18" s="88">
        <v>0.78026378194136703</v>
      </c>
      <c r="I18" s="87">
        <v>776145.34615320701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1">
        <v>22878600</v>
      </c>
      <c r="C19" s="87">
        <v>10599982.803041937</v>
      </c>
      <c r="D19" s="87">
        <v>10521737.597443596</v>
      </c>
      <c r="E19" s="87">
        <v>78245.205598341301</v>
      </c>
      <c r="F19" s="88">
        <v>0.46331431132332995</v>
      </c>
      <c r="G19" s="87">
        <v>10599982.803041937</v>
      </c>
      <c r="H19" s="88">
        <v>0.46331431132332995</v>
      </c>
      <c r="I19" s="87">
        <v>460868.81752356247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1">
        <v>29580000</v>
      </c>
      <c r="C20" s="87">
        <v>34177594.392626554</v>
      </c>
      <c r="D20" s="87">
        <v>33008585.287439648</v>
      </c>
      <c r="E20" s="87">
        <v>1169009.1051869057</v>
      </c>
      <c r="F20" s="88">
        <v>1.1554291545850761</v>
      </c>
      <c r="G20" s="87">
        <v>34177594.392626554</v>
      </c>
      <c r="H20" s="88">
        <v>1.1554291545850761</v>
      </c>
      <c r="I20" s="87">
        <v>1485982.3648968067</v>
      </c>
      <c r="J20" s="87" t="e">
        <v>#DIV/0!</v>
      </c>
      <c r="K20" s="87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1">
        <v>22440000</v>
      </c>
      <c r="C21" s="87">
        <v>12127167.111694176</v>
      </c>
      <c r="D21" s="87">
        <v>11481793.993264897</v>
      </c>
      <c r="E21" s="87">
        <v>645373.11842927895</v>
      </c>
      <c r="F21" s="88">
        <v>0.54042634187585459</v>
      </c>
      <c r="G21" s="87">
        <v>12127167.111694176</v>
      </c>
      <c r="H21" s="88">
        <v>0.54042634187585459</v>
      </c>
      <c r="I21" s="87">
        <v>527268.13529105112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1">
        <v>28050000</v>
      </c>
      <c r="C22" s="87">
        <v>33728904.59836892</v>
      </c>
      <c r="D22" s="87">
        <v>33154329.616430718</v>
      </c>
      <c r="E22" s="87">
        <v>574574.98193820193</v>
      </c>
      <c r="F22" s="88">
        <v>1.2024564919204606</v>
      </c>
      <c r="G22" s="87">
        <v>33728904.59836892</v>
      </c>
      <c r="H22" s="88">
        <v>1.2024564919204606</v>
      </c>
      <c r="I22" s="87">
        <v>1466474.1129725617</v>
      </c>
      <c r="J22" s="87" t="e">
        <v>#DIV/0!</v>
      </c>
      <c r="K22" s="87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1">
        <v>24276000</v>
      </c>
      <c r="C23" s="87">
        <v>12651685.240351029</v>
      </c>
      <c r="D23" s="87">
        <v>12317875.193543613</v>
      </c>
      <c r="E23" s="87">
        <v>333810.04680741578</v>
      </c>
      <c r="F23" s="88">
        <v>0.52116020927463458</v>
      </c>
      <c r="G23" s="87">
        <v>12651685.240351029</v>
      </c>
      <c r="H23" s="88">
        <v>0.52116020927463458</v>
      </c>
      <c r="I23" s="87">
        <v>550073.27131960995</v>
      </c>
      <c r="J23" s="87" t="e">
        <v>#DIV/0!</v>
      </c>
      <c r="K23" s="87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1">
        <v>29070000</v>
      </c>
      <c r="C24" s="87">
        <v>38353470.654762641</v>
      </c>
      <c r="D24" s="87">
        <v>37139380.786093235</v>
      </c>
      <c r="E24" s="87">
        <v>1214089.8686694056</v>
      </c>
      <c r="F24" s="88">
        <v>1.3193488357331489</v>
      </c>
      <c r="G24" s="87">
        <v>38353470.654762641</v>
      </c>
      <c r="H24" s="88">
        <v>1.3193488357331489</v>
      </c>
      <c r="I24" s="87">
        <v>1667542.2023809843</v>
      </c>
      <c r="J24" s="87" t="e">
        <v>#DIV/0!</v>
      </c>
      <c r="K24" s="87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1">
        <v>47838000</v>
      </c>
      <c r="C25" s="87">
        <v>31318621.314489596</v>
      </c>
      <c r="D25" s="87">
        <v>31103523.355648097</v>
      </c>
      <c r="E25" s="87">
        <v>215097.95884149894</v>
      </c>
      <c r="F25" s="88">
        <v>0.65468082517014914</v>
      </c>
      <c r="G25" s="87">
        <v>31318621.314489599</v>
      </c>
      <c r="H25" s="88">
        <v>0.65468082517014925</v>
      </c>
      <c r="I25" s="87">
        <v>1361679.1875865043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1">
        <v>252970200</v>
      </c>
      <c r="C26" s="91">
        <v>206413810.33718604</v>
      </c>
      <c r="D26" s="87">
        <v>201241858.7006104</v>
      </c>
      <c r="E26" s="91">
        <v>5171951.6365756392</v>
      </c>
      <c r="F26" s="90">
        <v>0.8159609722298754</v>
      </c>
      <c r="G26" s="89">
        <v>206413810.33718604</v>
      </c>
      <c r="H26" s="90">
        <v>0.8159609722298754</v>
      </c>
      <c r="I26" s="89">
        <v>8974513.4929211326</v>
      </c>
      <c r="J26" s="91" t="e">
        <v>#DIV/0!</v>
      </c>
      <c r="K26" s="91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2" t="s">
        <v>101</v>
      </c>
      <c r="B27" s="93">
        <v>74366969.433750004</v>
      </c>
      <c r="C27" s="87">
        <v>43313537.14189031</v>
      </c>
      <c r="D27" s="87">
        <v>41559348.464299306</v>
      </c>
      <c r="E27" s="87">
        <v>1754188.6775910035</v>
      </c>
      <c r="F27" s="88">
        <v>0.58242977321371525</v>
      </c>
      <c r="G27" s="87">
        <v>43313537.14189031</v>
      </c>
      <c r="H27" s="88">
        <v>0.58242977321371525</v>
      </c>
      <c r="I27" s="87">
        <v>1883197.267038709</v>
      </c>
      <c r="J27" s="87" t="e">
        <v>#DIV/0!</v>
      </c>
      <c r="K27" s="87">
        <v>0</v>
      </c>
      <c r="M27">
        <v>36</v>
      </c>
      <c r="N27" s="12" t="s">
        <v>221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221</v>
      </c>
      <c r="B28" s="93">
        <v>20706097.371750001</v>
      </c>
      <c r="C28" s="87">
        <v>6453883.7615043065</v>
      </c>
      <c r="D28" s="87">
        <v>6050926.821155739</v>
      </c>
      <c r="E28" s="87">
        <v>402956.94034856744</v>
      </c>
      <c r="F28" s="88">
        <v>0.31169001312191014</v>
      </c>
      <c r="G28" s="87">
        <v>6453883.7615043065</v>
      </c>
      <c r="H28" s="88">
        <v>0.31169001312191014</v>
      </c>
      <c r="I28" s="87">
        <v>280603.64180453506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3">
        <v>22135109.725575</v>
      </c>
      <c r="C29" s="87">
        <v>19608593.591750432</v>
      </c>
      <c r="D29" s="87">
        <v>19175936.90643641</v>
      </c>
      <c r="E29" s="87">
        <v>432656.685314022</v>
      </c>
      <c r="F29" s="88">
        <v>0.88585933545631257</v>
      </c>
      <c r="G29" s="87">
        <v>19608593.591750432</v>
      </c>
      <c r="H29" s="88">
        <v>0.88585933545631257</v>
      </c>
      <c r="I29" s="87">
        <v>852547.5474674101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3">
        <v>33829680.213</v>
      </c>
      <c r="C30" s="87">
        <v>33118968.899577077</v>
      </c>
      <c r="D30" s="87">
        <v>32872546.812199574</v>
      </c>
      <c r="E30" s="87">
        <v>246422.08737750351</v>
      </c>
      <c r="F30" s="88">
        <v>0.97899148590976592</v>
      </c>
      <c r="G30" s="87">
        <v>33118968.899577081</v>
      </c>
      <c r="H30" s="88">
        <v>0.97899148590976603</v>
      </c>
      <c r="I30" s="87">
        <v>1439955.1695468295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3">
        <v>22135109.725575</v>
      </c>
      <c r="C31" s="87">
        <v>19202946.352352865</v>
      </c>
      <c r="D31" s="87">
        <v>18440800.189399764</v>
      </c>
      <c r="E31" s="87">
        <v>762146.1629531011</v>
      </c>
      <c r="F31" s="88">
        <v>0.86753337075920156</v>
      </c>
      <c r="G31" s="87">
        <v>19202946.352352865</v>
      </c>
      <c r="H31" s="88">
        <v>0.86753337075920156</v>
      </c>
      <c r="I31" s="87">
        <v>834910.71097186371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3">
        <v>22135109.725575</v>
      </c>
      <c r="C32" s="87">
        <v>20751171.897853132</v>
      </c>
      <c r="D32" s="87">
        <v>20370056.977541555</v>
      </c>
      <c r="E32" s="87">
        <v>381114.92031157762</v>
      </c>
      <c r="F32" s="88">
        <v>0.93747770646364315</v>
      </c>
      <c r="G32" s="87">
        <v>20751171.897853132</v>
      </c>
      <c r="H32" s="88">
        <v>0.93747770646364315</v>
      </c>
      <c r="I32" s="87">
        <v>902224.86512404925</v>
      </c>
      <c r="J32" s="87" t="e">
        <v>#DIV/0!</v>
      </c>
      <c r="K32" s="87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3">
        <v>21997732.546</v>
      </c>
      <c r="C33" s="87">
        <v>11626466.4509042</v>
      </c>
      <c r="D33" s="87">
        <v>11510549.837186433</v>
      </c>
      <c r="E33" s="87">
        <v>115916.61371776648</v>
      </c>
      <c r="F33" s="88">
        <v>0.52853022131221072</v>
      </c>
      <c r="G33" s="87">
        <v>11626466.4509042</v>
      </c>
      <c r="H33" s="88">
        <v>0.52853022131221072</v>
      </c>
      <c r="I33" s="87">
        <v>505498.54134366085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3">
        <v>21135109.725575</v>
      </c>
      <c r="C34" s="87">
        <v>8982720.9587669112</v>
      </c>
      <c r="D34" s="87">
        <v>8776556.043086078</v>
      </c>
      <c r="E34" s="87">
        <v>206164.91568083316</v>
      </c>
      <c r="F34" s="88">
        <v>0.42501416247189738</v>
      </c>
      <c r="G34" s="87">
        <v>8982720.9587669112</v>
      </c>
      <c r="H34" s="88">
        <v>0.42501416247189738</v>
      </c>
      <c r="I34" s="87">
        <v>390553.08516377874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3">
        <v>21343732.546</v>
      </c>
      <c r="C35" s="87">
        <v>12183134.330827992</v>
      </c>
      <c r="D35" s="87">
        <v>11763869.810356865</v>
      </c>
      <c r="E35" s="87">
        <v>419264.5204711277</v>
      </c>
      <c r="F35" s="88">
        <v>0.57080617481365592</v>
      </c>
      <c r="G35" s="87">
        <v>12183134.330827992</v>
      </c>
      <c r="H35" s="88">
        <v>0.57080617481365592</v>
      </c>
      <c r="I35" s="87">
        <v>529701.49264469533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3">
        <v>22164273.243000004</v>
      </c>
      <c r="C36" s="87">
        <v>19501354.447575051</v>
      </c>
      <c r="D36" s="87">
        <v>19287420.138053946</v>
      </c>
      <c r="E36" s="87">
        <v>213934.30952110514</v>
      </c>
      <c r="F36" s="88">
        <v>0.87985535252025626</v>
      </c>
      <c r="G36" s="87">
        <v>19501354.447575051</v>
      </c>
      <c r="H36" s="88">
        <v>0.87985535252025626</v>
      </c>
      <c r="I36" s="87">
        <v>847884.97598152398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3">
        <v>104988662.72999999</v>
      </c>
      <c r="C37" s="87">
        <v>66545844.062023886</v>
      </c>
      <c r="D37" s="87">
        <v>60977569.303423889</v>
      </c>
      <c r="E37" s="87">
        <v>5568274.7585999966</v>
      </c>
      <c r="F37" s="88">
        <v>0.63383838151325211</v>
      </c>
      <c r="G37" s="87">
        <v>66545844.062023893</v>
      </c>
      <c r="H37" s="88">
        <v>0.63383838151325222</v>
      </c>
      <c r="I37" s="87">
        <v>2893297.5679140822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3">
        <v>30563366.261399999</v>
      </c>
      <c r="C38" s="87">
        <v>24829923.867717449</v>
      </c>
      <c r="D38" s="87">
        <v>22201832.933717448</v>
      </c>
      <c r="E38" s="87">
        <v>2628090.9340000004</v>
      </c>
      <c r="F38" s="88">
        <v>0.81240801995938516</v>
      </c>
      <c r="G38" s="87">
        <v>24829923.867717445</v>
      </c>
      <c r="H38" s="88">
        <v>0.81240801995938505</v>
      </c>
      <c r="I38" s="87">
        <v>1079561.9072920629</v>
      </c>
      <c r="J38" s="87" t="e">
        <v>#DIV/0!</v>
      </c>
      <c r="K38" s="87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3">
        <v>32900000.864500001</v>
      </c>
      <c r="C39" s="87">
        <v>18657991.416046772</v>
      </c>
      <c r="D39" s="87">
        <v>18414643.724608365</v>
      </c>
      <c r="E39" s="87">
        <v>243347.69143840671</v>
      </c>
      <c r="F39" s="88">
        <v>0.56711218619386894</v>
      </c>
      <c r="G39" s="87">
        <v>18657991.416046772</v>
      </c>
      <c r="H39" s="88">
        <v>0.56711218619386894</v>
      </c>
      <c r="I39" s="87">
        <v>811217.01808899012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222</v>
      </c>
      <c r="B40" s="94">
        <v>450401363.1117</v>
      </c>
      <c r="C40" s="91">
        <v>304776537.17879039</v>
      </c>
      <c r="D40" s="87">
        <v>291402057.96146536</v>
      </c>
      <c r="E40" s="91">
        <v>13374479.217325032</v>
      </c>
      <c r="F40" s="90">
        <v>0.67667765273438019</v>
      </c>
      <c r="G40" s="89">
        <v>304776537.17879039</v>
      </c>
      <c r="H40" s="90">
        <v>0.67667765273438019</v>
      </c>
      <c r="I40" s="89">
        <v>13251153.790382192</v>
      </c>
      <c r="J40" s="91" t="e">
        <v>#DIV/0!</v>
      </c>
      <c r="K40" s="91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5" t="s">
        <v>42</v>
      </c>
      <c r="B41" s="96">
        <v>1220851906.5476012</v>
      </c>
      <c r="C41" s="96">
        <v>992136019.99077415</v>
      </c>
      <c r="D41" s="87">
        <v>953884712.87140512</v>
      </c>
      <c r="E41" s="96">
        <v>38251307.11936903</v>
      </c>
      <c r="F41" s="97">
        <v>0.81265877922605401</v>
      </c>
      <c r="G41" s="96">
        <v>992136019.99077415</v>
      </c>
      <c r="H41" s="97">
        <v>0.81265877922605401</v>
      </c>
      <c r="I41" s="96">
        <v>43136348.695251048</v>
      </c>
      <c r="J41" s="96" t="e">
        <v>#DIV/0!</v>
      </c>
      <c r="K41" s="96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8">
        <v>40000000</v>
      </c>
      <c r="C43" s="87">
        <v>10630405.111527519</v>
      </c>
      <c r="D43" s="87">
        <v>10303829.39647151</v>
      </c>
      <c r="E43" s="87">
        <v>326575.71505600959</v>
      </c>
      <c r="F43" s="88">
        <v>0.26576012778818797</v>
      </c>
      <c r="G43" s="87">
        <v>10630405.111527519</v>
      </c>
      <c r="H43" s="88">
        <v>0.26576012778818797</v>
      </c>
      <c r="I43" s="87">
        <v>462191.52658815304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3919003.8076639166</v>
      </c>
      <c r="D44" s="87">
        <v>3713552.9338194197</v>
      </c>
      <c r="E44" s="87">
        <v>205450.87384449691</v>
      </c>
      <c r="F44" s="88">
        <v>0.13063346025546388</v>
      </c>
      <c r="G44" s="87">
        <v>3919003.8076639166</v>
      </c>
      <c r="H44" s="88">
        <v>0.13063346025546388</v>
      </c>
      <c r="I44" s="87">
        <v>170391.46989843115</v>
      </c>
      <c r="J44" s="87" t="e">
        <v>#DIV/0!</v>
      </c>
      <c r="K44" s="87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29846580.340500001</v>
      </c>
      <c r="C2" s="87">
        <v>44992728.148662589</v>
      </c>
      <c r="D2" s="87">
        <v>43196156.75717549</v>
      </c>
      <c r="E2" s="87">
        <v>1796571.3914870992</v>
      </c>
      <c r="F2" s="88">
        <v>1.5074667729223969</v>
      </c>
      <c r="G2" s="87">
        <v>44992728.148662589</v>
      </c>
      <c r="H2" s="88">
        <v>1.5074667729223969</v>
      </c>
      <c r="I2" s="87">
        <v>1799709.1259465036</v>
      </c>
      <c r="J2" s="87" t="e">
        <v>#DIV/0!</v>
      </c>
      <c r="K2" s="87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6">
        <v>28647922.495500002</v>
      </c>
      <c r="C3" s="87">
        <v>31728460.186828334</v>
      </c>
      <c r="D3" s="87">
        <v>29580587.160731103</v>
      </c>
      <c r="E3" s="87">
        <v>2147873.0260972306</v>
      </c>
      <c r="F3" s="88">
        <v>1.1075309280040191</v>
      </c>
      <c r="G3" s="87">
        <v>31728460.186828334</v>
      </c>
      <c r="H3" s="88">
        <v>1.1075309280040191</v>
      </c>
      <c r="I3" s="87">
        <v>1269138.4074731334</v>
      </c>
      <c r="J3" s="87" t="e">
        <v>#DIV/0!</v>
      </c>
      <c r="K3" s="87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6">
        <v>26250606.805500001</v>
      </c>
      <c r="C4" s="87">
        <v>34522641.233895414</v>
      </c>
      <c r="D4" s="87">
        <v>33182283.28369379</v>
      </c>
      <c r="E4" s="87">
        <v>1340357.9502016231</v>
      </c>
      <c r="F4" s="88">
        <v>1.31511783669177</v>
      </c>
      <c r="G4" s="87">
        <v>34522641.233895414</v>
      </c>
      <c r="H4" s="88">
        <v>1.31511783669177</v>
      </c>
      <c r="I4" s="87">
        <v>1380905.6493558167</v>
      </c>
      <c r="J4" s="87" t="e">
        <v>#DIV/0!</v>
      </c>
      <c r="K4" s="87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6">
        <v>26250606.805500001</v>
      </c>
      <c r="C5" s="87">
        <v>32158041.89763388</v>
      </c>
      <c r="D5" s="87">
        <v>31359846.504306898</v>
      </c>
      <c r="E5" s="87">
        <v>798195.39332698286</v>
      </c>
      <c r="F5" s="88">
        <v>1.2250399442536375</v>
      </c>
      <c r="G5" s="87">
        <v>32158041.89763388</v>
      </c>
      <c r="H5" s="88">
        <v>1.2250399442536375</v>
      </c>
      <c r="I5" s="87">
        <v>1286321.6759053553</v>
      </c>
      <c r="J5" s="87" t="e">
        <v>#DIV/0!</v>
      </c>
      <c r="K5" s="87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21755639.886749998</v>
      </c>
      <c r="C6" s="87">
        <v>21881067.67146546</v>
      </c>
      <c r="D6" s="87">
        <v>20297608.90327448</v>
      </c>
      <c r="E6" s="87">
        <v>1583458.76819098</v>
      </c>
      <c r="F6" s="88">
        <v>1.0057652997277204</v>
      </c>
      <c r="G6" s="87">
        <v>21881067.67146546</v>
      </c>
      <c r="H6" s="88">
        <v>1.0057652997277204</v>
      </c>
      <c r="I6" s="87">
        <v>875242.70685861842</v>
      </c>
      <c r="J6" s="87" t="e">
        <v>#DIV/0!</v>
      </c>
      <c r="K6" s="87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25651277.883000001</v>
      </c>
      <c r="C7" s="87">
        <v>26031710.328191068</v>
      </c>
      <c r="D7" s="87">
        <v>25004169.617499664</v>
      </c>
      <c r="E7" s="87">
        <v>1027540.7106914036</v>
      </c>
      <c r="F7" s="88">
        <v>1.0148309353992533</v>
      </c>
      <c r="G7" s="87">
        <v>26031710.328191068</v>
      </c>
      <c r="H7" s="88">
        <v>1.0148309353992533</v>
      </c>
      <c r="I7" s="87">
        <v>1041268.4131276427</v>
      </c>
      <c r="J7" s="87" t="e">
        <v>#DIV/0!</v>
      </c>
      <c r="K7" s="87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6">
        <v>33130902.8358</v>
      </c>
      <c r="C8" s="87">
        <v>38828238.330632553</v>
      </c>
      <c r="D8" s="87">
        <v>36984925.46887406</v>
      </c>
      <c r="E8" s="87">
        <v>1843312.8617584929</v>
      </c>
      <c r="F8" s="88">
        <v>1.1719643899554777</v>
      </c>
      <c r="G8" s="87">
        <v>38828238.330632553</v>
      </c>
      <c r="H8" s="88">
        <v>1.1719643899554777</v>
      </c>
      <c r="I8" s="87">
        <v>1553129.5332253021</v>
      </c>
      <c r="J8" s="87" t="e">
        <v>#DIV/0!</v>
      </c>
      <c r="K8" s="87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6">
        <v>33130902.8358</v>
      </c>
      <c r="C9" s="87">
        <v>38657150.922049813</v>
      </c>
      <c r="D9" s="87">
        <v>37691401.765709355</v>
      </c>
      <c r="E9" s="87">
        <v>965749.1563404575</v>
      </c>
      <c r="F9" s="88">
        <v>1.1668004072704701</v>
      </c>
      <c r="G9" s="87">
        <v>38657150.922049813</v>
      </c>
      <c r="H9" s="88">
        <v>1.1668004072704701</v>
      </c>
      <c r="I9" s="87">
        <v>1546286.0368819926</v>
      </c>
      <c r="J9" s="87" t="e">
        <v>#DIV/0!</v>
      </c>
      <c r="K9" s="87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9">
        <v>224664439.88834998</v>
      </c>
      <c r="C10" s="89">
        <v>268800038.7193591</v>
      </c>
      <c r="D10" s="87">
        <v>257296979.46126485</v>
      </c>
      <c r="E10" s="89">
        <v>11503059.25809427</v>
      </c>
      <c r="F10" s="90">
        <v>1.1964512000784053</v>
      </c>
      <c r="G10" s="89">
        <v>268800038.7193591</v>
      </c>
      <c r="H10" s="90">
        <v>1.1964512000784053</v>
      </c>
      <c r="I10" s="89">
        <v>10752001.548774363</v>
      </c>
      <c r="J10" s="91" t="e">
        <v>#DIV/0!</v>
      </c>
      <c r="K10" s="91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6">
        <v>89664307.424999997</v>
      </c>
      <c r="C11" s="87">
        <v>91610853.242948338</v>
      </c>
      <c r="D11" s="87">
        <v>87112277.601407588</v>
      </c>
      <c r="E11" s="87">
        <v>4498575.6415407509</v>
      </c>
      <c r="F11" s="88">
        <v>1.0217092606171807</v>
      </c>
      <c r="G11" s="87">
        <v>91610853.242948338</v>
      </c>
      <c r="H11" s="88">
        <v>1.0217092606171807</v>
      </c>
      <c r="I11" s="87">
        <v>3664434.1297179335</v>
      </c>
      <c r="J11" s="87" t="e">
        <v>#DIV/0!</v>
      </c>
      <c r="K11" s="87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6">
        <v>29247251.418000001</v>
      </c>
      <c r="C12" s="87">
        <v>31373237.738229495</v>
      </c>
      <c r="D12" s="87">
        <v>31383571.426629495</v>
      </c>
      <c r="E12" s="87">
        <v>-10333.688400000334</v>
      </c>
      <c r="F12" s="88">
        <v>1.0726901235895647</v>
      </c>
      <c r="G12" s="87">
        <v>31373237.738229498</v>
      </c>
      <c r="H12" s="88">
        <v>1.0726901235895649</v>
      </c>
      <c r="I12" s="87">
        <v>1254929.5095291799</v>
      </c>
      <c r="J12" s="87" t="e">
        <v>#DIV/0!</v>
      </c>
      <c r="K12" s="87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6">
        <v>118690629.74999999</v>
      </c>
      <c r="C13" s="87">
        <v>109777168.95247295</v>
      </c>
      <c r="D13" s="87">
        <v>93454146.738462254</v>
      </c>
      <c r="E13" s="87">
        <v>16323022.214010701</v>
      </c>
      <c r="F13" s="88">
        <v>0.92490173136412202</v>
      </c>
      <c r="G13" s="87">
        <v>109777168.95247295</v>
      </c>
      <c r="H13" s="88">
        <v>0.92490173136412202</v>
      </c>
      <c r="I13" s="87">
        <v>4391086.758098918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6">
        <v>39250168.649999999</v>
      </c>
      <c r="C14" s="87">
        <v>27654392.255925596</v>
      </c>
      <c r="D14" s="87">
        <v>26877028.917045593</v>
      </c>
      <c r="E14" s="87">
        <v>777363.3388800025</v>
      </c>
      <c r="F14" s="88">
        <v>0.70456747593938296</v>
      </c>
      <c r="G14" s="87">
        <v>27654392.255925596</v>
      </c>
      <c r="H14" s="88">
        <v>0.70456747593938296</v>
      </c>
      <c r="I14" s="87">
        <v>1106175.6902370239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6">
        <v>39250168.649999999</v>
      </c>
      <c r="C15" s="87">
        <v>38224313.330693163</v>
      </c>
      <c r="D15" s="87">
        <v>34543335.888878584</v>
      </c>
      <c r="E15" s="87">
        <v>3680977.4418145791</v>
      </c>
      <c r="F15" s="88">
        <v>0.97386367104675264</v>
      </c>
      <c r="G15" s="87">
        <v>38224313.330693163</v>
      </c>
      <c r="H15" s="88">
        <v>0.97386367104675264</v>
      </c>
      <c r="I15" s="87">
        <v>1528972.5332277266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9">
        <v>316102525.89299995</v>
      </c>
      <c r="C16" s="89">
        <v>298639965.52026957</v>
      </c>
      <c r="D16" s="87">
        <v>273370360.57242352</v>
      </c>
      <c r="E16" s="89">
        <v>25269604.947846055</v>
      </c>
      <c r="F16" s="90">
        <v>0.94475665664676967</v>
      </c>
      <c r="G16" s="89">
        <v>298639965.52026957</v>
      </c>
      <c r="H16" s="90">
        <v>0.94475665664676967</v>
      </c>
      <c r="I16" s="89">
        <v>11945598.620810783</v>
      </c>
      <c r="J16" s="91" t="e">
        <v>#DIV/0!</v>
      </c>
      <c r="K16" s="91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1">
        <v>27127155</v>
      </c>
      <c r="C17" s="87">
        <v>28722737.224970914</v>
      </c>
      <c r="D17" s="87">
        <v>27827593.972716652</v>
      </c>
      <c r="E17" s="87">
        <v>895143.25225426257</v>
      </c>
      <c r="F17" s="88">
        <v>1.0588186348686737</v>
      </c>
      <c r="G17" s="87">
        <v>28722737.224970914</v>
      </c>
      <c r="H17" s="88">
        <v>1.0588186348686737</v>
      </c>
      <c r="I17" s="87">
        <v>1148909.4889988366</v>
      </c>
      <c r="J17" s="87" t="e">
        <v>#DIV/0!</v>
      </c>
      <c r="K17" s="87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1">
        <v>23078600</v>
      </c>
      <c r="C18" s="87">
        <v>23018518.361370903</v>
      </c>
      <c r="D18" s="87">
        <v>21612527.454155579</v>
      </c>
      <c r="E18" s="87">
        <v>1405990.9072153233</v>
      </c>
      <c r="F18" s="88">
        <v>0.99739665150272994</v>
      </c>
      <c r="G18" s="87">
        <v>23018518.361370903</v>
      </c>
      <c r="H18" s="88">
        <v>0.99739665150272994</v>
      </c>
      <c r="I18" s="87">
        <v>920740.73445483611</v>
      </c>
      <c r="J18" s="87" t="e">
        <v>#DIV/0!</v>
      </c>
      <c r="K18" s="87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1">
        <v>23908137</v>
      </c>
      <c r="C19" s="87">
        <v>24067202.723870337</v>
      </c>
      <c r="D19" s="87">
        <v>22895917.42486066</v>
      </c>
      <c r="E19" s="87">
        <v>1171285.299009677</v>
      </c>
      <c r="F19" s="88">
        <v>1.0066532044663428</v>
      </c>
      <c r="G19" s="87">
        <v>24067202.723870337</v>
      </c>
      <c r="H19" s="88">
        <v>1.0066532044663428</v>
      </c>
      <c r="I19" s="87">
        <v>962688.10895481345</v>
      </c>
      <c r="J19" s="87" t="e">
        <v>#DIV/0!</v>
      </c>
      <c r="K19" s="87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1">
        <v>31020000</v>
      </c>
      <c r="C20" s="87">
        <v>37294138.673980869</v>
      </c>
      <c r="D20" s="87">
        <v>33765356.894991159</v>
      </c>
      <c r="E20" s="87">
        <v>3528781.7789897099</v>
      </c>
      <c r="F20" s="88">
        <v>1.2022610791096346</v>
      </c>
      <c r="G20" s="87">
        <v>37294138.673980869</v>
      </c>
      <c r="H20" s="88">
        <v>1.2022610791096346</v>
      </c>
      <c r="I20" s="87">
        <v>1491765.5469592349</v>
      </c>
      <c r="J20" s="87" t="e">
        <v>#DIV/0!</v>
      </c>
      <c r="K20" s="87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1">
        <v>23540000</v>
      </c>
      <c r="C21" s="87">
        <v>21299626.308028236</v>
      </c>
      <c r="D21" s="87">
        <v>20077314.829677377</v>
      </c>
      <c r="E21" s="87">
        <v>1222311.4783508591</v>
      </c>
      <c r="F21" s="88">
        <v>0.90482694596551549</v>
      </c>
      <c r="G21" s="87">
        <v>21299626.308028236</v>
      </c>
      <c r="H21" s="88">
        <v>0.90482694596551549</v>
      </c>
      <c r="I21" s="87">
        <v>851985.05232112948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1">
        <v>29350800</v>
      </c>
      <c r="C22" s="87">
        <v>35308921.719403759</v>
      </c>
      <c r="D22" s="87">
        <v>34647670.184300654</v>
      </c>
      <c r="E22" s="87">
        <v>661251.53510310501</v>
      </c>
      <c r="F22" s="88">
        <v>1.2029969104557203</v>
      </c>
      <c r="G22" s="87">
        <v>35308921.719403759</v>
      </c>
      <c r="H22" s="88">
        <v>1.2029969104557203</v>
      </c>
      <c r="I22" s="87">
        <v>1412356.8687761503</v>
      </c>
      <c r="J22" s="87" t="e">
        <v>#DIV/0!</v>
      </c>
      <c r="K22" s="87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1">
        <v>25368420</v>
      </c>
      <c r="C23" s="87">
        <v>26777939.430022314</v>
      </c>
      <c r="D23" s="87">
        <v>25902239.606673926</v>
      </c>
      <c r="E23" s="87">
        <v>875699.82334838808</v>
      </c>
      <c r="F23" s="88">
        <v>1.0555619715387208</v>
      </c>
      <c r="G23" s="87">
        <v>26777939.430022314</v>
      </c>
      <c r="H23" s="88">
        <v>1.0555619715387208</v>
      </c>
      <c r="I23" s="87">
        <v>1071117.5772008926</v>
      </c>
      <c r="J23" s="87" t="e">
        <v>#DIV/0!</v>
      </c>
      <c r="K23" s="87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1">
        <v>30970000</v>
      </c>
      <c r="C24" s="87">
        <v>45619297.437876552</v>
      </c>
      <c r="D24" s="87">
        <v>42627280.626458116</v>
      </c>
      <c r="E24" s="87">
        <v>2992016.8114184365</v>
      </c>
      <c r="F24" s="88">
        <v>1.4730157390337923</v>
      </c>
      <c r="G24" s="87">
        <v>45619297.437876552</v>
      </c>
      <c r="H24" s="88">
        <v>1.4730157390337923</v>
      </c>
      <c r="I24" s="87">
        <v>1824771.897515062</v>
      </c>
      <c r="J24" s="87" t="e">
        <v>#DIV/0!</v>
      </c>
      <c r="K24" s="87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1">
        <v>49990710</v>
      </c>
      <c r="C25" s="87">
        <v>53077079.197368316</v>
      </c>
      <c r="D25" s="87">
        <v>53077079.197368316</v>
      </c>
      <c r="E25" s="87">
        <v>0</v>
      </c>
      <c r="F25" s="88">
        <v>1.0617388550266302</v>
      </c>
      <c r="G25" s="87">
        <v>53077079.197368316</v>
      </c>
      <c r="H25" s="88">
        <v>1.0617388550266302</v>
      </c>
      <c r="I25" s="87">
        <v>2123083.1678947327</v>
      </c>
      <c r="J25" s="87" t="e">
        <v>#DIV/0!</v>
      </c>
      <c r="K25" s="87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1">
        <v>264353822</v>
      </c>
      <c r="C26" s="91">
        <v>295185461.07689214</v>
      </c>
      <c r="D26" s="87">
        <v>282432980.1912024</v>
      </c>
      <c r="E26" s="91">
        <v>12752480.885689735</v>
      </c>
      <c r="F26" s="90">
        <v>1.1166301997967412</v>
      </c>
      <c r="G26" s="89">
        <v>295185461.07689214</v>
      </c>
      <c r="H26" s="90">
        <v>1.1166301997967412</v>
      </c>
      <c r="I26" s="89">
        <v>11807418.443075685</v>
      </c>
      <c r="J26" s="91" t="e">
        <v>#DIV/0!</v>
      </c>
      <c r="K26" s="91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2" t="s">
        <v>101</v>
      </c>
      <c r="B27" s="98">
        <v>75800000</v>
      </c>
      <c r="C27" s="87">
        <v>82043239.698842674</v>
      </c>
      <c r="D27" s="87">
        <v>78542689.750818998</v>
      </c>
      <c r="E27" s="87">
        <v>3500549.9480236769</v>
      </c>
      <c r="F27" s="88">
        <v>1.0823646398264206</v>
      </c>
      <c r="G27" s="87">
        <v>82043239.698842674</v>
      </c>
      <c r="H27" s="88">
        <v>1.0823646398264206</v>
      </c>
      <c r="I27" s="87">
        <v>3281729.5879537072</v>
      </c>
      <c r="J27" s="87" t="e">
        <v>#DIV/0!</v>
      </c>
      <c r="K27" s="87">
        <v>615324.29774131998</v>
      </c>
      <c r="M27">
        <v>36</v>
      </c>
      <c r="N27" s="12" t="s">
        <v>221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221</v>
      </c>
      <c r="B28" s="98">
        <v>20000000</v>
      </c>
      <c r="C28" s="87">
        <v>12939850.199293612</v>
      </c>
      <c r="D28" s="87">
        <v>12423643.784844864</v>
      </c>
      <c r="E28" s="87">
        <v>516206.41444874741</v>
      </c>
      <c r="F28" s="88">
        <v>0.64699250996468061</v>
      </c>
      <c r="G28" s="87">
        <v>12939850.199293612</v>
      </c>
      <c r="H28" s="88">
        <v>0.64699250996468061</v>
      </c>
      <c r="I28" s="87">
        <v>517594.00797174446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8">
        <v>23800000</v>
      </c>
      <c r="C29" s="87">
        <v>19809268.744348615</v>
      </c>
      <c r="D29" s="87">
        <v>18819845.241651498</v>
      </c>
      <c r="E29" s="87">
        <v>989423.50269711763</v>
      </c>
      <c r="F29" s="88">
        <v>0.83232221614910151</v>
      </c>
      <c r="G29" s="87">
        <v>19809268.744348615</v>
      </c>
      <c r="H29" s="88">
        <v>0.83232221614910151</v>
      </c>
      <c r="I29" s="87">
        <v>792370.74977394461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8">
        <v>35352015.822584994</v>
      </c>
      <c r="C30" s="87">
        <v>35366560.552370474</v>
      </c>
      <c r="D30" s="87">
        <v>33774258.58379899</v>
      </c>
      <c r="E30" s="87">
        <v>1592301.9685714841</v>
      </c>
      <c r="F30" s="88">
        <v>1.0004114257545729</v>
      </c>
      <c r="G30" s="87">
        <v>35366560.552370474</v>
      </c>
      <c r="H30" s="88">
        <v>1.0004114257545729</v>
      </c>
      <c r="I30" s="87">
        <v>1414662.4220948189</v>
      </c>
      <c r="J30" s="87" t="e">
        <v>#DIV/0!</v>
      </c>
      <c r="K30" s="87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8">
        <v>23500000</v>
      </c>
      <c r="C31" s="87">
        <v>17421399.532723755</v>
      </c>
      <c r="D31" s="87">
        <v>16694855.93618655</v>
      </c>
      <c r="E31" s="87">
        <v>726543.59653720446</v>
      </c>
      <c r="F31" s="88">
        <v>0.7413361503286704</v>
      </c>
      <c r="G31" s="87">
        <v>17421399.532723755</v>
      </c>
      <c r="H31" s="88">
        <v>0.7413361503286704</v>
      </c>
      <c r="I31" s="87">
        <v>696855.98130895023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8">
        <v>23800000</v>
      </c>
      <c r="C32" s="87">
        <v>30410217.836748093</v>
      </c>
      <c r="D32" s="87">
        <v>29155171.621185325</v>
      </c>
      <c r="E32" s="87">
        <v>1255046.2155627683</v>
      </c>
      <c r="F32" s="88">
        <v>1.2777402452415165</v>
      </c>
      <c r="G32" s="87">
        <v>30410217.836748093</v>
      </c>
      <c r="H32" s="88">
        <v>1.2777402452415165</v>
      </c>
      <c r="I32" s="87">
        <v>1216408.7134699237</v>
      </c>
      <c r="J32" s="87" t="e">
        <v>#DIV/0!</v>
      </c>
      <c r="K32" s="87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8">
        <v>24500000</v>
      </c>
      <c r="C33" s="87">
        <v>22241465.148322437</v>
      </c>
      <c r="D33" s="87">
        <v>21301181.85215893</v>
      </c>
      <c r="E33" s="87">
        <v>940283.29616350681</v>
      </c>
      <c r="F33" s="88">
        <v>0.90781490401316067</v>
      </c>
      <c r="G33" s="87">
        <v>22241465.148322437</v>
      </c>
      <c r="H33" s="88">
        <v>0.90781490401316067</v>
      </c>
      <c r="I33" s="87">
        <v>889658.60593289742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8">
        <v>20000000</v>
      </c>
      <c r="C34" s="87">
        <v>11996898.850355042</v>
      </c>
      <c r="D34" s="87">
        <v>11340625.339748388</v>
      </c>
      <c r="E34" s="87">
        <v>656273.51060665399</v>
      </c>
      <c r="F34" s="88">
        <v>0.59984494251775211</v>
      </c>
      <c r="G34" s="87">
        <v>11996898.850355042</v>
      </c>
      <c r="H34" s="88">
        <v>0.59984494251775211</v>
      </c>
      <c r="I34" s="87">
        <v>479875.95401420171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8">
        <v>22800000</v>
      </c>
      <c r="C35" s="87">
        <v>16045483.464407872</v>
      </c>
      <c r="D35" s="87">
        <v>15458927.638532573</v>
      </c>
      <c r="E35" s="87">
        <v>586555.82587529905</v>
      </c>
      <c r="F35" s="88">
        <v>0.70374927475473126</v>
      </c>
      <c r="G35" s="87">
        <v>16045483.464407871</v>
      </c>
      <c r="H35" s="88">
        <v>0.70374927475473115</v>
      </c>
      <c r="I35" s="87">
        <v>641819.33857631485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8">
        <v>24500000</v>
      </c>
      <c r="C36" s="87">
        <v>24813222.464656744</v>
      </c>
      <c r="D36" s="87">
        <v>24039548.18529366</v>
      </c>
      <c r="E36" s="87">
        <v>773674.27936308458</v>
      </c>
      <c r="F36" s="88">
        <v>1.0127845903941528</v>
      </c>
      <c r="G36" s="87">
        <v>24813222.464656744</v>
      </c>
      <c r="H36" s="88">
        <v>1.0127845903941528</v>
      </c>
      <c r="I36" s="87">
        <v>992528.89858626982</v>
      </c>
      <c r="J36" s="87" t="e">
        <v>#DIV/0!</v>
      </c>
      <c r="K36" s="87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8">
        <v>109713152.55284998</v>
      </c>
      <c r="C37" s="87">
        <v>121409568.83007464</v>
      </c>
      <c r="D37" s="87">
        <v>121409568.83007464</v>
      </c>
      <c r="E37" s="87">
        <v>0</v>
      </c>
      <c r="F37" s="88">
        <v>1.1066090619498914</v>
      </c>
      <c r="G37" s="87">
        <v>121409568.83007465</v>
      </c>
      <c r="H37" s="88">
        <v>1.1066090619498914</v>
      </c>
      <c r="I37" s="87">
        <v>4856382.753202986</v>
      </c>
      <c r="J37" s="87" t="e">
        <v>#DIV/0!</v>
      </c>
      <c r="K37" s="87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8">
        <v>32904256.07</v>
      </c>
      <c r="C38" s="87">
        <v>22457150.025485538</v>
      </c>
      <c r="D38" s="87">
        <v>19451113.784705538</v>
      </c>
      <c r="E38" s="87">
        <v>3006036.2407799996</v>
      </c>
      <c r="F38" s="88">
        <v>0.68249985587610762</v>
      </c>
      <c r="G38" s="87">
        <v>22457150.025485538</v>
      </c>
      <c r="H38" s="88">
        <v>0.68249985587610762</v>
      </c>
      <c r="I38" s="87">
        <v>898286.0010194215</v>
      </c>
      <c r="J38" s="87" t="e">
        <v>#DIV/0!</v>
      </c>
      <c r="K38" s="87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8">
        <v>34000000</v>
      </c>
      <c r="C39" s="87">
        <v>37284573.35936065</v>
      </c>
      <c r="D39" s="87">
        <v>36534725.979826093</v>
      </c>
      <c r="E39" s="87">
        <v>749847.37953455746</v>
      </c>
      <c r="F39" s="88">
        <v>1.0966050988047249</v>
      </c>
      <c r="G39" s="87">
        <v>37284573.35936065</v>
      </c>
      <c r="H39" s="88">
        <v>1.0966050988047249</v>
      </c>
      <c r="I39" s="87">
        <v>1491382.934374426</v>
      </c>
      <c r="J39" s="87" t="e">
        <v>#DIV/0!</v>
      </c>
      <c r="K39" s="87">
        <v>559268.6003904097</v>
      </c>
      <c r="N39" s="3" t="s">
        <v>222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222</v>
      </c>
      <c r="B40" s="94">
        <v>470669424.45172644</v>
      </c>
      <c r="C40" s="91">
        <v>454238898.70699006</v>
      </c>
      <c r="D40" s="87">
        <v>438946156.528826</v>
      </c>
      <c r="E40" s="91">
        <v>15292742.178164065</v>
      </c>
      <c r="F40" s="90">
        <v>0.96509115550924951</v>
      </c>
      <c r="G40" s="89">
        <v>454238898.70699012</v>
      </c>
      <c r="H40" s="90">
        <v>0.96509115550924962</v>
      </c>
      <c r="I40" s="89">
        <v>18169555.948279604</v>
      </c>
      <c r="J40" s="91" t="e">
        <v>#DIV/0!</v>
      </c>
      <c r="K40" s="91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5" t="s">
        <v>42</v>
      </c>
      <c r="B41" s="96">
        <v>1275790242.3422432</v>
      </c>
      <c r="C41" s="96">
        <v>1316864364.0235109</v>
      </c>
      <c r="D41" s="87">
        <v>1252046476.7537167</v>
      </c>
      <c r="E41" s="96">
        <v>64817887.269794226</v>
      </c>
      <c r="F41" s="97">
        <v>1.032195042976547</v>
      </c>
      <c r="G41" s="96">
        <v>1316864364.0235109</v>
      </c>
      <c r="H41" s="97">
        <v>1.032195042976547</v>
      </c>
      <c r="I41" s="96">
        <v>52674574.560940437</v>
      </c>
      <c r="J41" s="96" t="e">
        <v>#DIV/0!</v>
      </c>
      <c r="K41" s="96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8">
        <v>40000000</v>
      </c>
      <c r="C43" s="87">
        <v>16160703.587675566</v>
      </c>
      <c r="D43" s="87">
        <v>16160703.587675566</v>
      </c>
      <c r="E43" s="87">
        <v>0</v>
      </c>
      <c r="F43" s="88">
        <v>0.40401758969188917</v>
      </c>
      <c r="G43" s="87">
        <v>16160703.587675566</v>
      </c>
      <c r="H43" s="88">
        <v>0.40401758969188917</v>
      </c>
      <c r="I43" s="87">
        <v>646428.14350702264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7660108.9048522357</v>
      </c>
      <c r="D44" s="87">
        <v>7691698.2686022352</v>
      </c>
      <c r="E44" s="87">
        <v>-31589.363749999553</v>
      </c>
      <c r="F44" s="88">
        <v>0.25533696349507451</v>
      </c>
      <c r="G44" s="87">
        <v>7660108.9048522348</v>
      </c>
      <c r="H44" s="88">
        <v>0.25533696349507451</v>
      </c>
      <c r="I44" s="87">
        <v>306404.3561940894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30741977.750715002</v>
      </c>
      <c r="C2" s="87">
        <v>39818671.535286605</v>
      </c>
      <c r="D2" s="87">
        <v>38382152.426511236</v>
      </c>
      <c r="E2" s="87">
        <v>1436519.1087753698</v>
      </c>
      <c r="F2" s="88">
        <v>1.2952540613415966</v>
      </c>
      <c r="G2" s="87">
        <v>39818671.535286605</v>
      </c>
      <c r="H2" s="88">
        <v>1.2952540613415966</v>
      </c>
      <c r="I2" s="87">
        <v>1659111.3139702752</v>
      </c>
      <c r="J2" s="87" t="e">
        <v>#DIV/0!</v>
      </c>
      <c r="K2" s="87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6">
        <v>29507360.170365002</v>
      </c>
      <c r="C3" s="87">
        <v>34425294.911571734</v>
      </c>
      <c r="D3" s="87">
        <v>32492713.315706059</v>
      </c>
      <c r="E3" s="87">
        <v>1932581.5958656743</v>
      </c>
      <c r="F3" s="88">
        <v>1.1666680690109967</v>
      </c>
      <c r="G3" s="87">
        <v>34425294.911571734</v>
      </c>
      <c r="H3" s="88">
        <v>1.1666680690109967</v>
      </c>
      <c r="I3" s="87">
        <v>1434387.2879821556</v>
      </c>
      <c r="J3" s="87" t="e">
        <v>#DIV/0!</v>
      </c>
      <c r="K3" s="87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6">
        <v>27038125.009665001</v>
      </c>
      <c r="C4" s="87">
        <v>30983085.948290985</v>
      </c>
      <c r="D4" s="87">
        <v>29980996.852587178</v>
      </c>
      <c r="E4" s="87">
        <v>1002089.0957038067</v>
      </c>
      <c r="F4" s="88">
        <v>1.1459036429935814</v>
      </c>
      <c r="G4" s="87">
        <v>30983085.948290985</v>
      </c>
      <c r="H4" s="88">
        <v>1.1459036429935814</v>
      </c>
      <c r="I4" s="87">
        <v>1290961.9145121244</v>
      </c>
      <c r="J4" s="87" t="e">
        <v>#DIV/0!</v>
      </c>
      <c r="K4" s="87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6">
        <v>27038125.009665001</v>
      </c>
      <c r="C5" s="87">
        <v>31442511.170989752</v>
      </c>
      <c r="D5" s="87">
        <v>30971581.519086085</v>
      </c>
      <c r="E5" s="87">
        <v>470929.65190366656</v>
      </c>
      <c r="F5" s="88">
        <v>1.1628953989875543</v>
      </c>
      <c r="G5" s="87">
        <v>31442511.170989752</v>
      </c>
      <c r="H5" s="88">
        <v>1.1628953989875543</v>
      </c>
      <c r="I5" s="87">
        <v>1310104.632124573</v>
      </c>
      <c r="J5" s="87" t="e">
        <v>#DIV/0!</v>
      </c>
      <c r="K5" s="87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6">
        <v>22408309.083352499</v>
      </c>
      <c r="C6" s="87">
        <v>15712937.795380671</v>
      </c>
      <c r="D6" s="87">
        <v>15370350.500321532</v>
      </c>
      <c r="E6" s="87">
        <v>342587.29505913891</v>
      </c>
      <c r="F6" s="88">
        <v>0.70121032947791984</v>
      </c>
      <c r="G6" s="87">
        <v>15712937.795380671</v>
      </c>
      <c r="H6" s="88">
        <v>0.70121032947791984</v>
      </c>
      <c r="I6" s="87">
        <v>654705.74147419457</v>
      </c>
      <c r="J6" s="87" t="e">
        <v>#DIV/0!</v>
      </c>
      <c r="K6" s="87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6">
        <v>26420816.219490003</v>
      </c>
      <c r="C7" s="87">
        <v>21037673.697775695</v>
      </c>
      <c r="D7" s="87">
        <v>20409246.732949637</v>
      </c>
      <c r="E7" s="87">
        <v>628426.9648260586</v>
      </c>
      <c r="F7" s="88">
        <v>0.79625373883251604</v>
      </c>
      <c r="G7" s="87">
        <v>21037673.697775695</v>
      </c>
      <c r="H7" s="88">
        <v>0.79625373883251604</v>
      </c>
      <c r="I7" s="87">
        <v>876569.73740732064</v>
      </c>
      <c r="J7" s="87" t="e">
        <v>#DIV/0!</v>
      </c>
      <c r="K7" s="87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6">
        <v>34124829.920874</v>
      </c>
      <c r="C8" s="87">
        <v>36321844.916340284</v>
      </c>
      <c r="D8" s="87">
        <v>34680470.683944441</v>
      </c>
      <c r="E8" s="87">
        <v>1641374.2323958427</v>
      </c>
      <c r="F8" s="88">
        <v>1.0643817126872295</v>
      </c>
      <c r="G8" s="87">
        <v>36321844.916340284</v>
      </c>
      <c r="H8" s="88">
        <v>1.0643817126872295</v>
      </c>
      <c r="I8" s="87">
        <v>1513410.2048475118</v>
      </c>
      <c r="J8" s="87" t="e">
        <v>#DIV/0!</v>
      </c>
      <c r="K8" s="87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6">
        <v>34124829.920874</v>
      </c>
      <c r="C9" s="87">
        <v>39634220.308995903</v>
      </c>
      <c r="D9" s="87">
        <v>38178336.801874101</v>
      </c>
      <c r="E9" s="87">
        <v>1455883.5071218014</v>
      </c>
      <c r="F9" s="88">
        <v>1.1614481420389977</v>
      </c>
      <c r="G9" s="87">
        <v>39634220.308995903</v>
      </c>
      <c r="H9" s="88">
        <v>1.1614481420389977</v>
      </c>
      <c r="I9" s="87">
        <v>1651425.8462081626</v>
      </c>
      <c r="J9" s="87" t="e">
        <v>#DIV/0!</v>
      </c>
      <c r="K9" s="87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9">
        <v>231404373.08500049</v>
      </c>
      <c r="C10" s="89">
        <v>249376240.28463167</v>
      </c>
      <c r="D10" s="87">
        <v>240465848.83298028</v>
      </c>
      <c r="E10" s="89">
        <v>8910391.451651359</v>
      </c>
      <c r="F10" s="90">
        <v>1.0776643369355412</v>
      </c>
      <c r="G10" s="89">
        <v>249376240.28463167</v>
      </c>
      <c r="H10" s="90">
        <v>1.0776643369355412</v>
      </c>
      <c r="I10" s="89">
        <v>10390676.67852632</v>
      </c>
      <c r="J10" s="91" t="e">
        <v>#DIV/0!</v>
      </c>
      <c r="K10" s="91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6">
        <v>92354236.647750005</v>
      </c>
      <c r="C11" s="87">
        <v>91382684.446631193</v>
      </c>
      <c r="D11" s="87">
        <v>78998182.076838285</v>
      </c>
      <c r="E11" s="87">
        <v>12384502.369792908</v>
      </c>
      <c r="F11" s="88">
        <v>0.98948015557938696</v>
      </c>
      <c r="G11" s="87">
        <v>91382684.446631193</v>
      </c>
      <c r="H11" s="88">
        <v>0.98948015557938696</v>
      </c>
      <c r="I11" s="87">
        <v>3807611.8519429662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6">
        <v>30124668.960540004</v>
      </c>
      <c r="C12" s="87">
        <v>20951634.077469252</v>
      </c>
      <c r="D12" s="87">
        <v>20951634.077469252</v>
      </c>
      <c r="E12" s="87">
        <v>0</v>
      </c>
      <c r="F12" s="88">
        <v>0.69549757060944251</v>
      </c>
      <c r="G12" s="87">
        <v>20951634.077469252</v>
      </c>
      <c r="H12" s="88">
        <v>0.69549757060944251</v>
      </c>
      <c r="I12" s="87">
        <v>872984.75322788546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6">
        <v>122251348.64249998</v>
      </c>
      <c r="C13" s="87">
        <v>81078998.773096651</v>
      </c>
      <c r="D13" s="87">
        <v>78531862.457030341</v>
      </c>
      <c r="E13" s="87">
        <v>2547136.3160663098</v>
      </c>
      <c r="F13" s="88">
        <v>0.66321557736100101</v>
      </c>
      <c r="G13" s="87">
        <v>81078998.773096651</v>
      </c>
      <c r="H13" s="88">
        <v>0.66321557736100101</v>
      </c>
      <c r="I13" s="87">
        <v>3378291.6155456938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6">
        <v>40427673.7095</v>
      </c>
      <c r="C14" s="87">
        <v>39036663.42616079</v>
      </c>
      <c r="D14" s="87">
        <v>37851538.414763339</v>
      </c>
      <c r="E14" s="87">
        <v>1185125.0113974512</v>
      </c>
      <c r="F14" s="88">
        <v>0.9655926211996626</v>
      </c>
      <c r="G14" s="87">
        <v>39036663.42616079</v>
      </c>
      <c r="H14" s="88">
        <v>0.9655926211996626</v>
      </c>
      <c r="I14" s="87">
        <v>1626527.6427566996</v>
      </c>
      <c r="J14" s="87" t="e">
        <v>#DIV/0!</v>
      </c>
      <c r="K14" s="87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6">
        <v>40427673.7095</v>
      </c>
      <c r="C15" s="87">
        <v>46508428.539753534</v>
      </c>
      <c r="D15" s="87">
        <v>45915996.103353538</v>
      </c>
      <c r="E15" s="87">
        <v>592432.43639999628</v>
      </c>
      <c r="F15" s="88">
        <v>1.1504107031719866</v>
      </c>
      <c r="G15" s="87">
        <v>46508428.539753534</v>
      </c>
      <c r="H15" s="88">
        <v>1.1504107031719866</v>
      </c>
      <c r="I15" s="87">
        <v>1937851.1891563972</v>
      </c>
      <c r="J15" s="87" t="e">
        <v>#DIV/0!</v>
      </c>
      <c r="K15" s="87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9">
        <v>325585601.66978997</v>
      </c>
      <c r="C16" s="89">
        <v>278958409.26311141</v>
      </c>
      <c r="D16" s="87">
        <v>262249213.12945476</v>
      </c>
      <c r="E16" s="89">
        <v>16709196.133656651</v>
      </c>
      <c r="F16" s="90">
        <v>0.85678975922907052</v>
      </c>
      <c r="G16" s="89">
        <v>278958409.26311141</v>
      </c>
      <c r="H16" s="90">
        <v>0.85678975922907052</v>
      </c>
      <c r="I16" s="89">
        <v>11623267.052629642</v>
      </c>
      <c r="J16" s="91" t="e">
        <v>#DIV/0!</v>
      </c>
      <c r="K16" s="91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1">
        <v>27940969.650000002</v>
      </c>
      <c r="C17" s="87">
        <v>19539554.67881345</v>
      </c>
      <c r="D17" s="87">
        <v>18511481.821642894</v>
      </c>
      <c r="E17" s="87">
        <v>1028072.8571705557</v>
      </c>
      <c r="F17" s="88">
        <v>0.69931555431231962</v>
      </c>
      <c r="G17" s="87">
        <v>19539554.67881345</v>
      </c>
      <c r="H17" s="88">
        <v>0.69931555431231962</v>
      </c>
      <c r="I17" s="87">
        <v>814148.11161722708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1">
        <v>23770958</v>
      </c>
      <c r="C18" s="87">
        <v>18010273.76547106</v>
      </c>
      <c r="D18" s="87">
        <v>17637911.696073696</v>
      </c>
      <c r="E18" s="87">
        <v>372362.06939736381</v>
      </c>
      <c r="F18" s="88">
        <v>0.75765872647922139</v>
      </c>
      <c r="G18" s="87">
        <v>18010273.76547106</v>
      </c>
      <c r="H18" s="88">
        <v>0.75765872647922139</v>
      </c>
      <c r="I18" s="87">
        <v>750428.07356129412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1">
        <v>24625381.109999999</v>
      </c>
      <c r="C19" s="87">
        <v>20256320.790835518</v>
      </c>
      <c r="D19" s="87">
        <v>19942352.806676645</v>
      </c>
      <c r="E19" s="87">
        <v>313967.98415887356</v>
      </c>
      <c r="F19" s="88">
        <v>0.82257897655885326</v>
      </c>
      <c r="G19" s="87">
        <v>20256320.790835518</v>
      </c>
      <c r="H19" s="88">
        <v>0.82257897655885326</v>
      </c>
      <c r="I19" s="87">
        <v>844013.36628481327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1">
        <v>31950600</v>
      </c>
      <c r="C20" s="87">
        <v>32603870.30427184</v>
      </c>
      <c r="D20" s="87">
        <v>30464977.149072044</v>
      </c>
      <c r="E20" s="87">
        <v>2138893.155199796</v>
      </c>
      <c r="F20" s="88">
        <v>1.0204462609237961</v>
      </c>
      <c r="G20" s="87">
        <v>32603870.30427184</v>
      </c>
      <c r="H20" s="88">
        <v>1.0204462609237961</v>
      </c>
      <c r="I20" s="87">
        <v>1358494.5960113266</v>
      </c>
      <c r="J20" s="87" t="e">
        <v>#DIV/0!</v>
      </c>
      <c r="K20" s="87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1">
        <v>24246200</v>
      </c>
      <c r="C21" s="87">
        <v>21254078.570695039</v>
      </c>
      <c r="D21" s="87">
        <v>20863297.783106934</v>
      </c>
      <c r="E21" s="87">
        <v>390780.78758810461</v>
      </c>
      <c r="F21" s="88">
        <v>0.87659421149273031</v>
      </c>
      <c r="G21" s="87">
        <v>21254078.570695039</v>
      </c>
      <c r="H21" s="88">
        <v>0.87659421149273031</v>
      </c>
      <c r="I21" s="87">
        <v>885586.60711229325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1">
        <v>30231324</v>
      </c>
      <c r="C22" s="87">
        <v>28200822.57017931</v>
      </c>
      <c r="D22" s="87">
        <v>27252487.000636328</v>
      </c>
      <c r="E22" s="87">
        <v>948335.56954298168</v>
      </c>
      <c r="F22" s="88">
        <v>0.93283451859995647</v>
      </c>
      <c r="G22" s="87">
        <v>28200822.57017931</v>
      </c>
      <c r="H22" s="88">
        <v>0.93283451859995647</v>
      </c>
      <c r="I22" s="87">
        <v>1175034.2737574712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1">
        <v>26129472.600000001</v>
      </c>
      <c r="C23" s="87">
        <v>20127157.755923368</v>
      </c>
      <c r="D23" s="87">
        <v>19392227.644457728</v>
      </c>
      <c r="E23" s="87">
        <v>734930.11146564037</v>
      </c>
      <c r="F23" s="88">
        <v>0.77028564885474826</v>
      </c>
      <c r="G23" s="87">
        <v>20127157.755923368</v>
      </c>
      <c r="H23" s="88">
        <v>0.77028564885474826</v>
      </c>
      <c r="I23" s="87">
        <v>838631.57316347363</v>
      </c>
      <c r="J23" s="87" t="e">
        <v>#DIV/0!</v>
      </c>
      <c r="K23" s="87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1">
        <v>31899100</v>
      </c>
      <c r="C24" s="87">
        <v>37191738.050137773</v>
      </c>
      <c r="D24" s="87">
        <v>37037499.180309229</v>
      </c>
      <c r="E24" s="87">
        <v>154238.86982854456</v>
      </c>
      <c r="F24" s="88">
        <v>1.1659180995745264</v>
      </c>
      <c r="G24" s="87">
        <v>37191738.050137773</v>
      </c>
      <c r="H24" s="88">
        <v>1.1659180995745264</v>
      </c>
      <c r="I24" s="87">
        <v>1549655.7520890739</v>
      </c>
      <c r="J24" s="87" t="e">
        <v>#DIV/0!</v>
      </c>
      <c r="K24" s="87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1">
        <v>51490431.300000004</v>
      </c>
      <c r="C25" s="87">
        <v>61158235.968446337</v>
      </c>
      <c r="D25" s="87">
        <v>62845721.087741278</v>
      </c>
      <c r="E25" s="87">
        <v>-1687485.1192949414</v>
      </c>
      <c r="F25" s="88">
        <v>1.1877592481624122</v>
      </c>
      <c r="G25" s="87">
        <v>61158235.968446344</v>
      </c>
      <c r="H25" s="88">
        <v>1.1877592481624122</v>
      </c>
      <c r="I25" s="87">
        <v>2548259.8320185975</v>
      </c>
      <c r="J25" s="87" t="e">
        <v>#DIV/0!</v>
      </c>
      <c r="K25" s="87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1">
        <v>272284436.66000003</v>
      </c>
      <c r="C26" s="91">
        <v>258342052.45477369</v>
      </c>
      <c r="D26" s="87">
        <v>253947956.16971678</v>
      </c>
      <c r="E26" s="91">
        <v>4394096.2850569189</v>
      </c>
      <c r="F26" s="90">
        <v>0.94879478101557413</v>
      </c>
      <c r="G26" s="89">
        <v>258342052.45477372</v>
      </c>
      <c r="H26" s="90">
        <v>0.94879478101557424</v>
      </c>
      <c r="I26" s="89">
        <v>10764252.185615571</v>
      </c>
      <c r="J26" s="91" t="e">
        <v>#DIV/0!</v>
      </c>
      <c r="K26" s="91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2" t="s">
        <v>101</v>
      </c>
      <c r="B27" s="98">
        <v>78074000</v>
      </c>
      <c r="C27" s="87">
        <v>77072215.391178802</v>
      </c>
      <c r="D27" s="87">
        <v>75226365.361191273</v>
      </c>
      <c r="E27" s="87">
        <v>1845850.0299875289</v>
      </c>
      <c r="F27" s="88">
        <v>0.98716878078718651</v>
      </c>
      <c r="G27" s="87">
        <v>77072215.391178802</v>
      </c>
      <c r="H27" s="88">
        <v>0.98716878078718651</v>
      </c>
      <c r="I27" s="87">
        <v>3211342.3079657834</v>
      </c>
      <c r="J27" s="87" t="e">
        <v>#DIV/0!</v>
      </c>
      <c r="K27" s="87">
        <v>0</v>
      </c>
      <c r="M27">
        <v>36</v>
      </c>
      <c r="N27" s="12" t="s">
        <v>223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223</v>
      </c>
      <c r="B28" s="98">
        <v>21000000</v>
      </c>
      <c r="C28" s="87">
        <v>9485511.4323376957</v>
      </c>
      <c r="D28" s="87">
        <v>9320573.7666386589</v>
      </c>
      <c r="E28" s="87">
        <v>164937.66569903679</v>
      </c>
      <c r="F28" s="88">
        <v>0.45169102058750932</v>
      </c>
      <c r="G28" s="87">
        <v>9485511.4323376957</v>
      </c>
      <c r="H28" s="88">
        <v>0.45169102058750932</v>
      </c>
      <c r="I28" s="87">
        <v>395229.64301407064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8">
        <v>24514000</v>
      </c>
      <c r="C29" s="87">
        <v>18129971.027611572</v>
      </c>
      <c r="D29" s="87">
        <v>17592967.566130582</v>
      </c>
      <c r="E29" s="87">
        <v>537003.46148099005</v>
      </c>
      <c r="F29" s="88">
        <v>0.73957620248068745</v>
      </c>
      <c r="G29" s="87">
        <v>18129971.027611572</v>
      </c>
      <c r="H29" s="88">
        <v>0.73957620248068745</v>
      </c>
      <c r="I29" s="87">
        <v>755415.45948381547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8">
        <v>36412576.297262542</v>
      </c>
      <c r="C30" s="87">
        <v>17544543.519893952</v>
      </c>
      <c r="D30" s="87">
        <v>17464454.603893951</v>
      </c>
      <c r="E30" s="87">
        <v>80088.916000001132</v>
      </c>
      <c r="F30" s="88">
        <v>0.48182648150641655</v>
      </c>
      <c r="G30" s="87">
        <v>17544543.519893952</v>
      </c>
      <c r="H30" s="88">
        <v>0.48182648150641655</v>
      </c>
      <c r="I30" s="87">
        <v>731022.64666224795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8">
        <v>24205000</v>
      </c>
      <c r="C31" s="87">
        <v>21583379.530833326</v>
      </c>
      <c r="D31" s="87">
        <v>20925002.007663183</v>
      </c>
      <c r="E31" s="87">
        <v>658377.52317014337</v>
      </c>
      <c r="F31" s="88">
        <v>0.89169095355642747</v>
      </c>
      <c r="G31" s="87">
        <v>21583379.530833326</v>
      </c>
      <c r="H31" s="88">
        <v>0.89169095355642747</v>
      </c>
      <c r="I31" s="87">
        <v>899307.48045138863</v>
      </c>
      <c r="J31" s="87" t="e">
        <v>#DIV/0!</v>
      </c>
      <c r="K31" s="87">
        <v>0</v>
      </c>
      <c r="M31">
        <v>10</v>
      </c>
      <c r="N31" s="12" t="s">
        <v>224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224</v>
      </c>
      <c r="B32" s="98">
        <v>24000000</v>
      </c>
      <c r="C32" s="87">
        <v>16088796.362979436</v>
      </c>
      <c r="D32" s="87">
        <v>15428148.704640051</v>
      </c>
      <c r="E32" s="87">
        <v>660647.65833938494</v>
      </c>
      <c r="F32" s="88">
        <v>0.67036651512414314</v>
      </c>
      <c r="G32" s="87">
        <v>16088796.362979438</v>
      </c>
      <c r="H32" s="88">
        <v>0.67036651512414325</v>
      </c>
      <c r="I32" s="87">
        <v>670366.51512414322</v>
      </c>
      <c r="J32" s="87" t="e">
        <v>#DIV/0!</v>
      </c>
      <c r="K32" s="87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8">
        <v>25235000</v>
      </c>
      <c r="C33" s="87">
        <v>16147931.300912788</v>
      </c>
      <c r="D33" s="87">
        <v>15774950.664548337</v>
      </c>
      <c r="E33" s="87">
        <v>372980.63636445068</v>
      </c>
      <c r="F33" s="88">
        <v>0.63990217162325291</v>
      </c>
      <c r="G33" s="87">
        <v>16147931.30091279</v>
      </c>
      <c r="H33" s="88">
        <v>0.63990217162325302</v>
      </c>
      <c r="I33" s="87">
        <v>672830.47087136621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8">
        <v>21000000</v>
      </c>
      <c r="C34" s="87">
        <v>10182739.196154164</v>
      </c>
      <c r="D34" s="87">
        <v>9826903.0216558874</v>
      </c>
      <c r="E34" s="87">
        <v>355836.17449827679</v>
      </c>
      <c r="F34" s="88">
        <v>0.48489234267400783</v>
      </c>
      <c r="G34" s="87">
        <v>10182739.196154164</v>
      </c>
      <c r="H34" s="88">
        <v>0.48489234267400783</v>
      </c>
      <c r="I34" s="87">
        <v>424280.79983975686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8">
        <v>23484000</v>
      </c>
      <c r="C35" s="87">
        <v>12199626.288747994</v>
      </c>
      <c r="D35" s="87">
        <v>11962084.295876404</v>
      </c>
      <c r="E35" s="87">
        <v>237541.99287158996</v>
      </c>
      <c r="F35" s="88">
        <v>0.51948672665423246</v>
      </c>
      <c r="G35" s="87">
        <v>12199626.288747994</v>
      </c>
      <c r="H35" s="88">
        <v>0.51948672665423246</v>
      </c>
      <c r="I35" s="87">
        <v>508317.76203116641</v>
      </c>
      <c r="J35" s="87" t="e">
        <v>#DIV/0!</v>
      </c>
      <c r="K35" s="87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8">
        <v>25235000</v>
      </c>
      <c r="C36" s="87">
        <v>15341981.696633715</v>
      </c>
      <c r="D36" s="87">
        <v>14125312.527919717</v>
      </c>
      <c r="E36" s="87">
        <v>1216669.168713998</v>
      </c>
      <c r="F36" s="88">
        <v>0.60796440248201766</v>
      </c>
      <c r="G36" s="87">
        <v>15341981.696633715</v>
      </c>
      <c r="H36" s="88">
        <v>0.60796440248201766</v>
      </c>
      <c r="I36" s="87">
        <v>639249.23735973809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8">
        <v>114000000</v>
      </c>
      <c r="C37" s="87">
        <v>60310074.301579997</v>
      </c>
      <c r="D37" s="87">
        <v>63084633.19438</v>
      </c>
      <c r="E37" s="87">
        <v>-2774558.8928000033</v>
      </c>
      <c r="F37" s="88">
        <v>0.52903573948754379</v>
      </c>
      <c r="G37" s="87">
        <v>60310074.301579997</v>
      </c>
      <c r="H37" s="88">
        <v>0.52903573948754379</v>
      </c>
      <c r="I37" s="87">
        <v>2512919.7625658331</v>
      </c>
      <c r="J37" s="87" t="e">
        <v>#DIV/0!</v>
      </c>
      <c r="K37" s="87">
        <v>0</v>
      </c>
      <c r="M37">
        <v>57</v>
      </c>
      <c r="N37" s="12" t="s">
        <v>225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225</v>
      </c>
      <c r="B38" s="98">
        <v>33000000</v>
      </c>
      <c r="C38" s="87">
        <v>8530829.1755289156</v>
      </c>
      <c r="D38" s="87">
        <v>8075916.3275289154</v>
      </c>
      <c r="E38" s="87">
        <v>454912.84800000023</v>
      </c>
      <c r="F38" s="88">
        <v>0.25850997501602774</v>
      </c>
      <c r="G38" s="87">
        <v>8530829.1755289156</v>
      </c>
      <c r="H38" s="88">
        <v>0.25850997501602774</v>
      </c>
      <c r="I38" s="87">
        <v>355451.21564703813</v>
      </c>
      <c r="J38" s="87" t="e">
        <v>#DIV/0!</v>
      </c>
      <c r="K38" s="87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8">
        <v>34629931.18</v>
      </c>
      <c r="C39" s="87">
        <v>30911208.95904449</v>
      </c>
      <c r="D39" s="87">
        <v>29484602.898633268</v>
      </c>
      <c r="E39" s="87">
        <v>1426606.0604112223</v>
      </c>
      <c r="F39" s="88">
        <v>0.89261537363079713</v>
      </c>
      <c r="G39" s="87">
        <v>30911208.959044494</v>
      </c>
      <c r="H39" s="88">
        <v>0.89261537363079724</v>
      </c>
      <c r="I39" s="87">
        <v>1287967.0399601872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222</v>
      </c>
      <c r="B40" s="94">
        <v>484789507.47726256</v>
      </c>
      <c r="C40" s="91">
        <v>313528808.18343693</v>
      </c>
      <c r="D40" s="87">
        <v>308291914.94070017</v>
      </c>
      <c r="E40" s="91">
        <v>5236893.2427367568</v>
      </c>
      <c r="F40" s="90">
        <v>0.64673183587444283</v>
      </c>
      <c r="G40" s="89">
        <v>313528808.18343693</v>
      </c>
      <c r="H40" s="90">
        <v>0.64673183587444283</v>
      </c>
      <c r="I40" s="89">
        <v>13063700.340976538</v>
      </c>
      <c r="J40" s="91" t="e">
        <v>#DIV/0!</v>
      </c>
      <c r="K40" s="91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5" t="s">
        <v>42</v>
      </c>
      <c r="B41" s="96">
        <v>1314063949.6125104</v>
      </c>
      <c r="C41" s="96">
        <v>1100205510.1859536</v>
      </c>
      <c r="D41" s="87">
        <v>1064954933.0728519</v>
      </c>
      <c r="E41" s="96">
        <v>35250577.113101721</v>
      </c>
      <c r="F41" s="97">
        <v>0.83725416142066822</v>
      </c>
      <c r="G41" s="96">
        <v>1100205510.1859536</v>
      </c>
      <c r="H41" s="97">
        <v>0.83725416142066822</v>
      </c>
      <c r="I41" s="96">
        <v>45841896.257748067</v>
      </c>
      <c r="J41" s="96" t="e">
        <v>#DIV/0!</v>
      </c>
      <c r="K41" s="96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8">
        <v>40000000</v>
      </c>
      <c r="C43" s="87">
        <v>19702264.930524979</v>
      </c>
      <c r="D43" s="87">
        <v>19702264.930524979</v>
      </c>
      <c r="E43" s="87">
        <v>0</v>
      </c>
      <c r="F43" s="88">
        <v>0.49255662326312449</v>
      </c>
      <c r="G43" s="87">
        <v>19702264.930524979</v>
      </c>
      <c r="H43" s="88">
        <v>0.49255662326312449</v>
      </c>
      <c r="I43" s="87">
        <v>820927.70543854078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7943645.3323342865</v>
      </c>
      <c r="D44" s="87">
        <v>7943645.3323342865</v>
      </c>
      <c r="E44" s="87">
        <v>0</v>
      </c>
      <c r="F44" s="88">
        <v>0.26478817774447622</v>
      </c>
      <c r="G44" s="87">
        <v>7943645.3323342865</v>
      </c>
      <c r="H44" s="88">
        <v>0.26478817774447622</v>
      </c>
      <c r="I44" s="87">
        <v>330985.22218059527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  <c r="N1" s="82" t="s">
        <v>205</v>
      </c>
      <c r="P1" s="83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5" t="s">
        <v>206</v>
      </c>
      <c r="B2" s="69" t="s">
        <v>94</v>
      </c>
      <c r="C2" s="102">
        <v>30741977.750715002</v>
      </c>
      <c r="D2" s="103">
        <v>45393596.318009116</v>
      </c>
      <c r="E2" s="103">
        <v>44565213.776346438</v>
      </c>
      <c r="F2" s="103">
        <v>828382.54166267812</v>
      </c>
      <c r="G2" s="104">
        <v>1.4765997388360397</v>
      </c>
      <c r="H2" s="103">
        <v>45393596.318009116</v>
      </c>
      <c r="I2" s="104">
        <v>1.4765997388360397</v>
      </c>
      <c r="J2" s="103">
        <v>1891399.8465837131</v>
      </c>
      <c r="K2" s="103" t="e">
        <v>#DIV/0!</v>
      </c>
      <c r="L2" s="105">
        <v>907871.92636018235</v>
      </c>
      <c r="N2" s="151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6"/>
      <c r="B3" s="19" t="s">
        <v>93</v>
      </c>
      <c r="C3" s="106">
        <v>29507360.170365002</v>
      </c>
      <c r="D3" s="87">
        <v>35395968.509754337</v>
      </c>
      <c r="E3" s="87">
        <v>34367103.860738821</v>
      </c>
      <c r="F3" s="87">
        <v>1028864.649015516</v>
      </c>
      <c r="G3" s="88">
        <v>1.1995640513211145</v>
      </c>
      <c r="H3" s="87">
        <v>35395968.509754337</v>
      </c>
      <c r="I3" s="88">
        <v>1.1995640513211145</v>
      </c>
      <c r="J3" s="87">
        <v>1474832.0212397641</v>
      </c>
      <c r="K3" s="87" t="e">
        <v>#DIV/0!</v>
      </c>
      <c r="L3" s="107">
        <v>707919.37019508681</v>
      </c>
      <c r="N3" s="151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6"/>
      <c r="B4" s="19" t="s">
        <v>91</v>
      </c>
      <c r="C4" s="106">
        <v>27038125.009665001</v>
      </c>
      <c r="D4" s="87">
        <v>27694208.38973878</v>
      </c>
      <c r="E4" s="87">
        <v>27411105.047851767</v>
      </c>
      <c r="F4" s="87">
        <v>283103.34188701212</v>
      </c>
      <c r="G4" s="88">
        <v>1.0242651211886644</v>
      </c>
      <c r="H4" s="87">
        <v>27694208.389738783</v>
      </c>
      <c r="I4" s="88">
        <v>1.0242651211886644</v>
      </c>
      <c r="J4" s="87">
        <v>1153925.3495724492</v>
      </c>
      <c r="K4" s="87" t="e">
        <v>#DIV/0!</v>
      </c>
      <c r="L4" s="107">
        <v>276942.08389738784</v>
      </c>
      <c r="N4" s="151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6"/>
      <c r="B5" s="19" t="s">
        <v>89</v>
      </c>
      <c r="C5" s="106">
        <v>27038125.009665001</v>
      </c>
      <c r="D5" s="87">
        <v>34958252.60867209</v>
      </c>
      <c r="E5" s="87">
        <v>33251965.370231558</v>
      </c>
      <c r="F5" s="87">
        <v>1706287.2384405322</v>
      </c>
      <c r="G5" s="88">
        <v>1.2929244389607628</v>
      </c>
      <c r="H5" s="87">
        <v>34958252.60867209</v>
      </c>
      <c r="I5" s="88">
        <v>1.2929244389607628</v>
      </c>
      <c r="J5" s="87">
        <v>1456593.8586946705</v>
      </c>
      <c r="K5" s="87" t="e">
        <v>#DIV/0!</v>
      </c>
      <c r="L5" s="107">
        <v>699165.05217344186</v>
      </c>
      <c r="N5" s="151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6"/>
      <c r="B6" s="19" t="s">
        <v>209</v>
      </c>
      <c r="C6" s="106">
        <v>22408309.083352499</v>
      </c>
      <c r="D6" s="87">
        <v>17283627.579417564</v>
      </c>
      <c r="E6" s="87">
        <v>16972113.7561673</v>
      </c>
      <c r="F6" s="87">
        <v>311513.82325026393</v>
      </c>
      <c r="G6" s="88">
        <v>0.77130440833921976</v>
      </c>
      <c r="H6" s="87">
        <v>17283627.579417564</v>
      </c>
      <c r="I6" s="88">
        <v>0.77130440833921976</v>
      </c>
      <c r="J6" s="87">
        <v>720151.1491423985</v>
      </c>
      <c r="K6" s="87" t="e">
        <v>#DIV/0!</v>
      </c>
      <c r="L6" s="107">
        <v>0</v>
      </c>
      <c r="N6" s="151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6"/>
      <c r="B7" s="19" t="s">
        <v>85</v>
      </c>
      <c r="C7" s="106">
        <v>26420816.219490003</v>
      </c>
      <c r="D7" s="87">
        <v>26532043.464193381</v>
      </c>
      <c r="E7" s="87">
        <v>24547361.284495667</v>
      </c>
      <c r="F7" s="87">
        <v>1984682.1796977147</v>
      </c>
      <c r="G7" s="88">
        <v>1.0042098337833079</v>
      </c>
      <c r="H7" s="87">
        <v>26532043.464193381</v>
      </c>
      <c r="I7" s="88">
        <v>1.0042098337833079</v>
      </c>
      <c r="J7" s="87">
        <v>1105501.8110080576</v>
      </c>
      <c r="K7" s="87" t="e">
        <v>#DIV/0!</v>
      </c>
      <c r="L7" s="107">
        <v>265320.43464193383</v>
      </c>
      <c r="N7" s="151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6"/>
      <c r="B8" s="19" t="s">
        <v>84</v>
      </c>
      <c r="C8" s="106">
        <v>34124829.920874</v>
      </c>
      <c r="D8" s="87">
        <v>36334954.893270783</v>
      </c>
      <c r="E8" s="87">
        <v>35445411.591822572</v>
      </c>
      <c r="F8" s="87">
        <v>889543.30144821107</v>
      </c>
      <c r="G8" s="88">
        <v>1.064765889750116</v>
      </c>
      <c r="H8" s="87">
        <v>36334954.893270783</v>
      </c>
      <c r="I8" s="88">
        <v>1.064765889750116</v>
      </c>
      <c r="J8" s="87">
        <v>1513956.4538862826</v>
      </c>
      <c r="K8" s="87" t="e">
        <v>#DIV/0!</v>
      </c>
      <c r="L8" s="107">
        <v>454186.93616588484</v>
      </c>
      <c r="N8" s="151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6"/>
      <c r="B9" s="19" t="s">
        <v>83</v>
      </c>
      <c r="C9" s="106">
        <v>34124829.920874</v>
      </c>
      <c r="D9" s="87">
        <v>40070884.359823771</v>
      </c>
      <c r="E9" s="87">
        <v>39408089.840277895</v>
      </c>
      <c r="F9" s="87">
        <v>662794.51954587549</v>
      </c>
      <c r="G9" s="88">
        <v>1.1742442219561833</v>
      </c>
      <c r="H9" s="87">
        <v>40070884.359823771</v>
      </c>
      <c r="I9" s="88">
        <v>1.1742442219561833</v>
      </c>
      <c r="J9" s="87">
        <v>1669620.1816593239</v>
      </c>
      <c r="K9" s="87" t="e">
        <v>#DIV/0!</v>
      </c>
      <c r="L9" s="107">
        <v>801417.68719647545</v>
      </c>
      <c r="N9" s="151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7"/>
      <c r="B10" s="3"/>
      <c r="C10" s="108">
        <v>231404373.08500049</v>
      </c>
      <c r="D10" s="108">
        <v>263663536.1228798</v>
      </c>
      <c r="E10" s="109">
        <v>255968364.52793205</v>
      </c>
      <c r="F10" s="108">
        <v>7695171.5949478038</v>
      </c>
      <c r="G10" s="110">
        <v>1.1394060216227191</v>
      </c>
      <c r="H10" s="108">
        <v>263663536.1228798</v>
      </c>
      <c r="I10" s="110">
        <v>1.1394060216227191</v>
      </c>
      <c r="J10" s="108">
        <v>10985980.671786658</v>
      </c>
      <c r="K10" s="111" t="e">
        <v>#DIV/0!</v>
      </c>
      <c r="L10" s="112"/>
      <c r="N10" s="151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5" t="s">
        <v>207</v>
      </c>
      <c r="B11" s="69" t="s">
        <v>96</v>
      </c>
      <c r="C11" s="102">
        <v>92354236.647750005</v>
      </c>
      <c r="D11" s="103">
        <v>94799866.546719819</v>
      </c>
      <c r="E11" s="103">
        <v>93863435.05905427</v>
      </c>
      <c r="F11" s="103">
        <v>936431.48766554892</v>
      </c>
      <c r="G11" s="104">
        <v>1.0264809713960144</v>
      </c>
      <c r="H11" s="103">
        <v>94799866.546719819</v>
      </c>
      <c r="I11" s="104">
        <v>1.0264809713960144</v>
      </c>
      <c r="J11" s="103">
        <v>3949994.4394466593</v>
      </c>
      <c r="K11" s="103" t="e">
        <v>#DIV/0!</v>
      </c>
      <c r="L11" s="105">
        <v>473999.33273359912</v>
      </c>
      <c r="N11" s="151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6"/>
      <c r="B12" s="19" t="s">
        <v>106</v>
      </c>
      <c r="C12" s="106">
        <v>30124668.960540004</v>
      </c>
      <c r="D12" s="87">
        <v>22603163.745717153</v>
      </c>
      <c r="E12" s="87">
        <v>22603163.745717153</v>
      </c>
      <c r="F12" s="87">
        <v>0</v>
      </c>
      <c r="G12" s="88">
        <v>0.75032073465520255</v>
      </c>
      <c r="H12" s="87">
        <v>22603163.745717153</v>
      </c>
      <c r="I12" s="88">
        <v>0.75032073465520255</v>
      </c>
      <c r="J12" s="87">
        <v>941798.48940488137</v>
      </c>
      <c r="K12" s="87" t="e">
        <v>#DIV/0!</v>
      </c>
      <c r="L12" s="107">
        <v>0</v>
      </c>
      <c r="N12" s="151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6"/>
      <c r="B13" s="19" t="s">
        <v>90</v>
      </c>
      <c r="C13" s="106">
        <v>122251348.64249998</v>
      </c>
      <c r="D13" s="87">
        <v>141940010.40242097</v>
      </c>
      <c r="E13" s="87">
        <v>127305877.76156662</v>
      </c>
      <c r="F13" s="87">
        <v>14634132.640854344</v>
      </c>
      <c r="G13" s="88">
        <v>1.161050671248598</v>
      </c>
      <c r="H13" s="87">
        <v>141940010.40242097</v>
      </c>
      <c r="I13" s="88">
        <v>1.161050671248598</v>
      </c>
      <c r="J13" s="87">
        <v>5914167.100100874</v>
      </c>
      <c r="K13" s="87" t="e">
        <v>#DIV/0!</v>
      </c>
      <c r="L13" s="107">
        <v>1774250.1300302623</v>
      </c>
      <c r="N13" s="151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6"/>
      <c r="B14" s="19" t="s">
        <v>111</v>
      </c>
      <c r="C14" s="106">
        <v>40427673.7095</v>
      </c>
      <c r="D14" s="87">
        <v>45912073.796316572</v>
      </c>
      <c r="E14" s="87">
        <v>45568237.209316574</v>
      </c>
      <c r="F14" s="87">
        <v>343836.5869999975</v>
      </c>
      <c r="G14" s="88">
        <v>1.1356595515790908</v>
      </c>
      <c r="H14" s="87">
        <v>45912073.796316572</v>
      </c>
      <c r="I14" s="88">
        <v>1.1356595515790908</v>
      </c>
      <c r="J14" s="87">
        <v>1913003.0748465238</v>
      </c>
      <c r="K14" s="87" t="e">
        <v>#DIV/0!</v>
      </c>
      <c r="L14" s="107">
        <v>688681.10694474855</v>
      </c>
      <c r="N14" s="151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6"/>
      <c r="B15" s="19" t="s">
        <v>107</v>
      </c>
      <c r="C15" s="106">
        <v>40427673.7095</v>
      </c>
      <c r="D15" s="87">
        <v>43411568.362539537</v>
      </c>
      <c r="E15" s="87">
        <v>38423938.748043507</v>
      </c>
      <c r="F15" s="87">
        <v>4987629.6144960299</v>
      </c>
      <c r="G15" s="88">
        <v>1.0738082204403059</v>
      </c>
      <c r="H15" s="87">
        <v>43411568.362539537</v>
      </c>
      <c r="I15" s="88">
        <v>1.0738082204403059</v>
      </c>
      <c r="J15" s="87">
        <v>1808815.3484391475</v>
      </c>
      <c r="K15" s="87" t="e">
        <v>#DIV/0!</v>
      </c>
      <c r="L15" s="107">
        <v>542644.60453174426</v>
      </c>
      <c r="N15" s="152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7"/>
      <c r="B16" s="3"/>
      <c r="C16" s="108">
        <v>325585601.66978997</v>
      </c>
      <c r="D16" s="108">
        <v>348666682.85371405</v>
      </c>
      <c r="E16" s="109">
        <v>327764652.52369809</v>
      </c>
      <c r="F16" s="108">
        <v>20902030.330015957</v>
      </c>
      <c r="G16" s="110">
        <v>1.0708909763378696</v>
      </c>
      <c r="H16" s="108">
        <v>348666682.85371405</v>
      </c>
      <c r="I16" s="110">
        <v>1.0708909763378696</v>
      </c>
      <c r="J16" s="108">
        <v>14527778.452238085</v>
      </c>
      <c r="K16" s="111" t="e">
        <v>#DIV/0!</v>
      </c>
      <c r="L16" s="112"/>
      <c r="N16" s="150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8" t="s">
        <v>208</v>
      </c>
      <c r="B17" s="69" t="s">
        <v>81</v>
      </c>
      <c r="C17" s="70">
        <v>27940969.650000002</v>
      </c>
      <c r="D17" s="103">
        <v>23008075.675733715</v>
      </c>
      <c r="E17" s="103">
        <v>21141017.51366502</v>
      </c>
      <c r="F17" s="103">
        <v>1867058.1620686948</v>
      </c>
      <c r="G17" s="104">
        <v>0.82345301412020655</v>
      </c>
      <c r="H17" s="103">
        <v>23008075.675733715</v>
      </c>
      <c r="I17" s="104">
        <v>0.82345301412020655</v>
      </c>
      <c r="J17" s="103">
        <v>958669.81982223818</v>
      </c>
      <c r="K17" s="103" t="e">
        <v>#DIV/0!</v>
      </c>
      <c r="L17" s="105">
        <v>0</v>
      </c>
      <c r="N17" s="151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9"/>
      <c r="B18" s="19" t="s">
        <v>82</v>
      </c>
      <c r="C18" s="71">
        <v>23770958</v>
      </c>
      <c r="D18" s="87">
        <v>21347280.195745856</v>
      </c>
      <c r="E18" s="87">
        <v>20795973.727495987</v>
      </c>
      <c r="F18" s="87">
        <v>551306.4682498686</v>
      </c>
      <c r="G18" s="88">
        <v>0.89804038170215339</v>
      </c>
      <c r="H18" s="87">
        <v>21347280.195745856</v>
      </c>
      <c r="I18" s="88">
        <v>0.89804038170215339</v>
      </c>
      <c r="J18" s="87">
        <v>889470.00815607735</v>
      </c>
      <c r="K18" s="87" t="e">
        <v>#DIV/0!</v>
      </c>
      <c r="L18" s="107">
        <v>0</v>
      </c>
      <c r="N18" s="151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9"/>
      <c r="B19" s="19" t="s">
        <v>92</v>
      </c>
      <c r="C19" s="71">
        <v>24625381.109999999</v>
      </c>
      <c r="D19" s="87">
        <v>20914182.851266399</v>
      </c>
      <c r="E19" s="87">
        <v>20409449.258921277</v>
      </c>
      <c r="F19" s="87">
        <v>504733.59234512225</v>
      </c>
      <c r="G19" s="88">
        <v>0.84929377368188064</v>
      </c>
      <c r="H19" s="87">
        <v>20914182.851266399</v>
      </c>
      <c r="I19" s="88">
        <v>0.84929377368188064</v>
      </c>
      <c r="J19" s="87">
        <v>871424.28546943329</v>
      </c>
      <c r="K19" s="87" t="e">
        <v>#DIV/0!</v>
      </c>
      <c r="L19" s="107">
        <v>0</v>
      </c>
      <c r="N19" s="151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9"/>
      <c r="B20" s="19" t="s">
        <v>95</v>
      </c>
      <c r="C20" s="71">
        <v>31950600</v>
      </c>
      <c r="D20" s="87">
        <v>35530749.500093952</v>
      </c>
      <c r="E20" s="87">
        <v>34626618.946611986</v>
      </c>
      <c r="F20" s="87">
        <v>904130.55348196626</v>
      </c>
      <c r="G20" s="88">
        <v>1.1120526531612538</v>
      </c>
      <c r="H20" s="87">
        <v>35530749.500093952</v>
      </c>
      <c r="I20" s="88">
        <v>1.1120526531612538</v>
      </c>
      <c r="J20" s="87">
        <v>1480447.8958372481</v>
      </c>
      <c r="K20" s="87" t="e">
        <v>#DIV/0!</v>
      </c>
      <c r="L20" s="107">
        <v>532961.24250140926</v>
      </c>
      <c r="N20" s="151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9"/>
      <c r="B21" s="19" t="s">
        <v>97</v>
      </c>
      <c r="C21" s="71">
        <v>24246200</v>
      </c>
      <c r="D21" s="87">
        <v>24311433.850570053</v>
      </c>
      <c r="E21" s="87">
        <v>23897306.933388211</v>
      </c>
      <c r="F21" s="87">
        <v>414126.91718184203</v>
      </c>
      <c r="G21" s="88">
        <v>1.002690477294176</v>
      </c>
      <c r="H21" s="87">
        <v>24311433.850570053</v>
      </c>
      <c r="I21" s="88">
        <v>1.002690477294176</v>
      </c>
      <c r="J21" s="87">
        <v>1012976.4104404189</v>
      </c>
      <c r="K21" s="87" t="e">
        <v>#DIV/0!</v>
      </c>
      <c r="L21" s="107">
        <v>243114.33850570052</v>
      </c>
      <c r="N21" s="151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9"/>
      <c r="B22" s="19" t="s">
        <v>100</v>
      </c>
      <c r="C22" s="71">
        <v>30231324</v>
      </c>
      <c r="D22" s="87">
        <v>31990809.200218577</v>
      </c>
      <c r="E22" s="87">
        <v>31311977.261892878</v>
      </c>
      <c r="F22" s="87">
        <v>678831.93832569942</v>
      </c>
      <c r="G22" s="88">
        <v>1.0582007324660534</v>
      </c>
      <c r="H22" s="87">
        <v>31990809.200218577</v>
      </c>
      <c r="I22" s="88">
        <v>1.0582007324660534</v>
      </c>
      <c r="J22" s="87">
        <v>1332950.3833424407</v>
      </c>
      <c r="K22" s="87" t="e">
        <v>#DIV/0!</v>
      </c>
      <c r="L22" s="107">
        <v>399885.11500273226</v>
      </c>
      <c r="N22" s="151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9"/>
      <c r="B23" s="19" t="s">
        <v>160</v>
      </c>
      <c r="C23" s="71">
        <v>26129472.600000001</v>
      </c>
      <c r="D23" s="87">
        <v>23951255.389476955</v>
      </c>
      <c r="E23" s="87">
        <v>23685597.93476541</v>
      </c>
      <c r="F23" s="87">
        <v>265657.45471154526</v>
      </c>
      <c r="G23" s="88">
        <v>0.9166375363227558</v>
      </c>
      <c r="H23" s="87">
        <v>23951255.389476955</v>
      </c>
      <c r="I23" s="88">
        <v>0.9166375363227558</v>
      </c>
      <c r="J23" s="87">
        <v>997968.97456153983</v>
      </c>
      <c r="K23" s="87" t="e">
        <v>#DIV/0!</v>
      </c>
      <c r="L23" s="107">
        <v>0</v>
      </c>
      <c r="N23" s="151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9"/>
      <c r="B24" s="19" t="s">
        <v>108</v>
      </c>
      <c r="C24" s="71">
        <v>31899100</v>
      </c>
      <c r="D24" s="87">
        <v>35498698.652202927</v>
      </c>
      <c r="E24" s="87">
        <v>34270013.917461805</v>
      </c>
      <c r="F24" s="87">
        <v>1228684.7347411215</v>
      </c>
      <c r="G24" s="88">
        <v>1.1128432668069923</v>
      </c>
      <c r="H24" s="87">
        <v>35498698.652202927</v>
      </c>
      <c r="I24" s="88">
        <v>1.1128432668069923</v>
      </c>
      <c r="J24" s="87">
        <v>1479112.4438417887</v>
      </c>
      <c r="K24" s="87" t="e">
        <v>#DIV/0!</v>
      </c>
      <c r="L24" s="107">
        <v>532480.47978304385</v>
      </c>
      <c r="N24" s="151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9"/>
      <c r="B25" s="19" t="s">
        <v>139</v>
      </c>
      <c r="C25" s="71">
        <v>51490431.300000004</v>
      </c>
      <c r="D25" s="87">
        <v>57026560.142817684</v>
      </c>
      <c r="E25" s="87">
        <v>54103973.955256805</v>
      </c>
      <c r="F25" s="87">
        <v>2922586.1875608787</v>
      </c>
      <c r="G25" s="88">
        <v>1.1075176242079308</v>
      </c>
      <c r="H25" s="87">
        <v>57026560.142817676</v>
      </c>
      <c r="I25" s="88">
        <v>1.1075176242079308</v>
      </c>
      <c r="J25" s="87">
        <v>2376106.6726174033</v>
      </c>
      <c r="K25" s="87" t="e">
        <v>#DIV/0!</v>
      </c>
      <c r="L25" s="107">
        <v>855398.40214226511</v>
      </c>
      <c r="N25" s="152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0"/>
      <c r="B26" s="72"/>
      <c r="C26" s="111">
        <v>272284436.66000003</v>
      </c>
      <c r="D26" s="111">
        <v>273579045.45812613</v>
      </c>
      <c r="E26" s="109">
        <v>264241929.44945937</v>
      </c>
      <c r="F26" s="111">
        <v>9337116.0086667538</v>
      </c>
      <c r="G26" s="110">
        <v>1.0047546191549048</v>
      </c>
      <c r="H26" s="108">
        <v>273579045.45812613</v>
      </c>
      <c r="I26" s="110">
        <v>1.0047546191549048</v>
      </c>
      <c r="J26" s="108">
        <v>11399126.894088589</v>
      </c>
      <c r="K26" s="111" t="e">
        <v>#DIV/0!</v>
      </c>
      <c r="L26" s="112"/>
      <c r="N26" s="150" t="s">
        <v>222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5" t="s">
        <v>226</v>
      </c>
      <c r="B27" s="69" t="s">
        <v>211</v>
      </c>
      <c r="C27" s="113">
        <v>78074000</v>
      </c>
      <c r="D27" s="103">
        <v>63653251.999823965</v>
      </c>
      <c r="E27" s="103">
        <v>60993697.249844171</v>
      </c>
      <c r="F27" s="103">
        <v>2659554.749979794</v>
      </c>
      <c r="G27" s="104">
        <v>0.81529384942264982</v>
      </c>
      <c r="H27" s="103">
        <v>63653251.999823958</v>
      </c>
      <c r="I27" s="104">
        <v>0.81529384942264982</v>
      </c>
      <c r="J27" s="103">
        <v>2652218.8333259984</v>
      </c>
      <c r="K27" s="103" t="e">
        <v>#DIV/0!</v>
      </c>
      <c r="L27" s="105">
        <v>0</v>
      </c>
      <c r="N27" s="151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6"/>
      <c r="B28" s="19" t="s">
        <v>213</v>
      </c>
      <c r="C28" s="114">
        <v>21000000</v>
      </c>
      <c r="D28" s="87">
        <v>6100258.9696078347</v>
      </c>
      <c r="E28" s="87">
        <v>5732153.5467419727</v>
      </c>
      <c r="F28" s="87">
        <v>368105.42286586203</v>
      </c>
      <c r="G28" s="88">
        <v>0.29048852236227785</v>
      </c>
      <c r="H28" s="87">
        <v>6100258.9696078347</v>
      </c>
      <c r="I28" s="88">
        <v>0.29048852236227785</v>
      </c>
      <c r="J28" s="87">
        <v>254177.45706699311</v>
      </c>
      <c r="K28" s="87" t="e">
        <v>#DIV/0!</v>
      </c>
      <c r="L28" s="107">
        <v>0</v>
      </c>
      <c r="N28" s="151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6"/>
      <c r="B29" s="19" t="s">
        <v>86</v>
      </c>
      <c r="C29" s="114">
        <v>24514000</v>
      </c>
      <c r="D29" s="87">
        <v>19492468.816566739</v>
      </c>
      <c r="E29" s="87">
        <v>19123999.889380991</v>
      </c>
      <c r="F29" s="87">
        <v>368468.92718574777</v>
      </c>
      <c r="G29" s="88">
        <v>0.79515659690653251</v>
      </c>
      <c r="H29" s="87">
        <v>19492468.816566739</v>
      </c>
      <c r="I29" s="88">
        <v>0.79515659690653251</v>
      </c>
      <c r="J29" s="87">
        <v>812186.20069028076</v>
      </c>
      <c r="K29" s="87" t="e">
        <v>#DIV/0!</v>
      </c>
      <c r="L29" s="107">
        <v>0</v>
      </c>
      <c r="N29" s="151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6"/>
      <c r="B30" s="19" t="s">
        <v>212</v>
      </c>
      <c r="C30" s="114">
        <v>36412576.297262542</v>
      </c>
      <c r="D30" s="87">
        <v>16503922.715982895</v>
      </c>
      <c r="E30" s="87">
        <v>16440938.962380162</v>
      </c>
      <c r="F30" s="87">
        <v>62983.753602733836</v>
      </c>
      <c r="G30" s="88">
        <v>0.45324787186847976</v>
      </c>
      <c r="H30" s="87">
        <v>16503922.715982895</v>
      </c>
      <c r="I30" s="88">
        <v>0.45324787186847976</v>
      </c>
      <c r="J30" s="87">
        <v>687663.44649928727</v>
      </c>
      <c r="K30" s="87" t="e">
        <v>#DIV/0!</v>
      </c>
      <c r="L30" s="107">
        <v>0</v>
      </c>
      <c r="N30" s="151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6"/>
      <c r="B31" s="19" t="s">
        <v>98</v>
      </c>
      <c r="C31" s="114">
        <v>24205000</v>
      </c>
      <c r="D31" s="87">
        <v>24517374.682820804</v>
      </c>
      <c r="E31" s="87">
        <v>23357151.213069141</v>
      </c>
      <c r="F31" s="87">
        <v>1160223.4697516635</v>
      </c>
      <c r="G31" s="88">
        <v>1.012905378344177</v>
      </c>
      <c r="H31" s="87">
        <v>24517374.682820804</v>
      </c>
      <c r="I31" s="88">
        <v>1.012905378344177</v>
      </c>
      <c r="J31" s="87">
        <v>1021557.2784508668</v>
      </c>
      <c r="K31" s="87" t="e">
        <v>#DIV/0!</v>
      </c>
      <c r="L31" s="107">
        <v>245173.74682820804</v>
      </c>
      <c r="N31" s="151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6"/>
      <c r="B32" s="19" t="s">
        <v>210</v>
      </c>
      <c r="C32" s="114">
        <v>24000000</v>
      </c>
      <c r="D32" s="87">
        <v>17154799.836579047</v>
      </c>
      <c r="E32" s="87">
        <v>16908593.902502269</v>
      </c>
      <c r="F32" s="87">
        <v>246205.93407677859</v>
      </c>
      <c r="G32" s="88">
        <v>0.71478332652412702</v>
      </c>
      <c r="H32" s="87">
        <v>17154799.836579047</v>
      </c>
      <c r="I32" s="88">
        <v>0.71478332652412702</v>
      </c>
      <c r="J32" s="87">
        <v>714783.32652412693</v>
      </c>
      <c r="K32" s="87" t="e">
        <v>#DIV/0!</v>
      </c>
      <c r="L32" s="107">
        <v>0</v>
      </c>
      <c r="N32" s="151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6"/>
      <c r="B33" s="19" t="s">
        <v>99</v>
      </c>
      <c r="C33" s="114">
        <v>25235000</v>
      </c>
      <c r="D33" s="87">
        <v>17519075.335839655</v>
      </c>
      <c r="E33" s="87">
        <v>17369561.614148464</v>
      </c>
      <c r="F33" s="87">
        <v>149513.7216911912</v>
      </c>
      <c r="G33" s="88">
        <v>0.69423718390488032</v>
      </c>
      <c r="H33" s="87">
        <v>17519075.335839655</v>
      </c>
      <c r="I33" s="88">
        <v>0.69423718390488032</v>
      </c>
      <c r="J33" s="87">
        <v>729961.47232665226</v>
      </c>
      <c r="K33" s="87" t="e">
        <v>#DIV/0!</v>
      </c>
      <c r="L33" s="107">
        <v>0</v>
      </c>
      <c r="N33" s="151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6"/>
      <c r="B34" s="19" t="s">
        <v>138</v>
      </c>
      <c r="C34" s="114">
        <v>21000000</v>
      </c>
      <c r="D34" s="87">
        <v>11197769.09014947</v>
      </c>
      <c r="E34" s="87">
        <v>10993267.219244162</v>
      </c>
      <c r="F34" s="87">
        <v>204501.87090530805</v>
      </c>
      <c r="G34" s="88">
        <v>0.53322709953092717</v>
      </c>
      <c r="H34" s="87">
        <v>11197769.09014947</v>
      </c>
      <c r="I34" s="88">
        <v>0.53322709953092717</v>
      </c>
      <c r="J34" s="87">
        <v>466573.71208956122</v>
      </c>
      <c r="K34" s="87" t="e">
        <v>#DIV/0!</v>
      </c>
      <c r="L34" s="107">
        <v>0</v>
      </c>
      <c r="N34" s="151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6"/>
      <c r="B35" s="19" t="s">
        <v>103</v>
      </c>
      <c r="C35" s="114">
        <v>23484000</v>
      </c>
      <c r="D35" s="87">
        <v>10613494.78936974</v>
      </c>
      <c r="E35" s="87">
        <v>10509964.217061797</v>
      </c>
      <c r="F35" s="87">
        <v>103530.57230794244</v>
      </c>
      <c r="G35" s="88">
        <v>0.45194578391116247</v>
      </c>
      <c r="H35" s="87">
        <v>10613494.78936974</v>
      </c>
      <c r="I35" s="88">
        <v>0.45194578391116247</v>
      </c>
      <c r="J35" s="87">
        <v>442228.94955707248</v>
      </c>
      <c r="K35" s="87" t="e">
        <v>#DIV/0!</v>
      </c>
      <c r="L35" s="107">
        <v>0</v>
      </c>
      <c r="N35" s="151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6"/>
      <c r="B36" s="19" t="s">
        <v>204</v>
      </c>
      <c r="C36" s="114">
        <v>25235000</v>
      </c>
      <c r="D36" s="87">
        <v>13926527.261858521</v>
      </c>
      <c r="E36" s="87">
        <v>13690253.038083088</v>
      </c>
      <c r="F36" s="87">
        <v>236274.22377543338</v>
      </c>
      <c r="G36" s="88">
        <v>0.55187347976455403</v>
      </c>
      <c r="H36" s="87">
        <v>13926527.261858521</v>
      </c>
      <c r="I36" s="88">
        <v>0.55187347976455403</v>
      </c>
      <c r="J36" s="87">
        <v>580271.96924410504</v>
      </c>
      <c r="K36" s="87" t="e">
        <v>#DIV/0!</v>
      </c>
      <c r="L36" s="107">
        <v>0</v>
      </c>
      <c r="N36" s="151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6"/>
      <c r="B37" s="19" t="s">
        <v>110</v>
      </c>
      <c r="C37" s="114">
        <v>114000000</v>
      </c>
      <c r="D37" s="87">
        <v>101537604.46397878</v>
      </c>
      <c r="E37" s="87">
        <v>92863269.600187495</v>
      </c>
      <c r="F37" s="87">
        <v>8674334.8637912869</v>
      </c>
      <c r="G37" s="88">
        <v>0.89068074091209459</v>
      </c>
      <c r="H37" s="87">
        <v>101537604.46397877</v>
      </c>
      <c r="I37" s="88">
        <v>0.89068074091209448</v>
      </c>
      <c r="J37" s="87">
        <v>4230733.519332449</v>
      </c>
      <c r="K37" s="87" t="e">
        <v>#DIV/0!</v>
      </c>
      <c r="L37" s="107">
        <v>0</v>
      </c>
      <c r="N37" s="151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6"/>
      <c r="B38" s="19" t="s">
        <v>214</v>
      </c>
      <c r="C38" s="114">
        <v>33000000</v>
      </c>
      <c r="D38" s="87">
        <v>9981301.8801112529</v>
      </c>
      <c r="E38" s="87">
        <v>9981301.8801112529</v>
      </c>
      <c r="F38" s="87">
        <v>0</v>
      </c>
      <c r="G38" s="88">
        <v>0.30246369333670464</v>
      </c>
      <c r="H38" s="87">
        <v>9981301.8801112529</v>
      </c>
      <c r="I38" s="88">
        <v>0.30246369333670464</v>
      </c>
      <c r="J38" s="87">
        <v>415887.57833796885</v>
      </c>
      <c r="K38" s="87" t="e">
        <v>#DIV/0!</v>
      </c>
      <c r="L38" s="107">
        <v>0</v>
      </c>
      <c r="N38" s="151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6"/>
      <c r="B39" s="19" t="s">
        <v>80</v>
      </c>
      <c r="C39" s="114">
        <v>34629931.18</v>
      </c>
      <c r="D39" s="87">
        <v>26579488.905197218</v>
      </c>
      <c r="E39" s="87">
        <v>25810750.454407562</v>
      </c>
      <c r="F39" s="87">
        <v>768738.45078965649</v>
      </c>
      <c r="G39" s="88">
        <v>0.76752935970452651</v>
      </c>
      <c r="H39" s="87">
        <v>26579488.905197218</v>
      </c>
      <c r="I39" s="88">
        <v>0.76752935970452651</v>
      </c>
      <c r="J39" s="87">
        <v>1107478.7043832175</v>
      </c>
      <c r="K39" s="87" t="e">
        <v>#DIV/0!</v>
      </c>
      <c r="L39" s="107">
        <v>0</v>
      </c>
      <c r="N39" s="152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7"/>
      <c r="B40" s="3"/>
      <c r="C40" s="115">
        <v>484789507.47726256</v>
      </c>
      <c r="D40" s="111">
        <v>338777338.74788594</v>
      </c>
      <c r="E40" s="109">
        <v>323774902.78716254</v>
      </c>
      <c r="F40" s="111">
        <v>15002435.9607234</v>
      </c>
      <c r="G40" s="110">
        <v>0.69881326539183641</v>
      </c>
      <c r="H40" s="108">
        <v>338777338.74788594</v>
      </c>
      <c r="I40" s="110">
        <v>0.69881326539183641</v>
      </c>
      <c r="J40" s="108">
        <v>14115722.447828582</v>
      </c>
      <c r="K40" s="111" t="e">
        <v>#DIV/0!</v>
      </c>
      <c r="L40" s="112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6" t="s">
        <v>42</v>
      </c>
      <c r="B41" s="117"/>
      <c r="C41" s="118">
        <v>1314063949.6125104</v>
      </c>
      <c r="D41" s="118">
        <v>1224686603.1826057</v>
      </c>
      <c r="E41" s="119">
        <v>1171749849.2882519</v>
      </c>
      <c r="F41" s="118">
        <v>52936753.894353867</v>
      </c>
      <c r="G41" s="120">
        <v>0.93198402067398611</v>
      </c>
      <c r="H41" s="118">
        <v>1224686603.1826057</v>
      </c>
      <c r="I41" s="120">
        <v>0.93198402067398611</v>
      </c>
      <c r="J41" s="118">
        <v>51028608.465941906</v>
      </c>
      <c r="K41" s="118" t="e">
        <v>#DIV/0!</v>
      </c>
      <c r="L41" s="121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8">
        <v>40000000</v>
      </c>
      <c r="D43" s="87">
        <v>25646776.862735603</v>
      </c>
      <c r="E43" s="87">
        <v>22657877.380181327</v>
      </c>
      <c r="F43" s="87">
        <v>2988899.4825542755</v>
      </c>
      <c r="G43" s="88">
        <v>0.64116942156839007</v>
      </c>
      <c r="H43" s="87">
        <v>25646776.862735607</v>
      </c>
      <c r="I43" s="88">
        <v>0.64116942156839019</v>
      </c>
      <c r="J43" s="87">
        <v>1068615.7026139835</v>
      </c>
      <c r="K43" s="87" t="e">
        <v>#DIV/0!</v>
      </c>
      <c r="L43" s="87">
        <v>0</v>
      </c>
    </row>
    <row r="44" spans="1:22" ht="15.75" x14ac:dyDescent="0.25">
      <c r="B44" s="19" t="s">
        <v>145</v>
      </c>
      <c r="C44" s="98">
        <v>30000000</v>
      </c>
      <c r="D44" s="87">
        <v>17009020.678149343</v>
      </c>
      <c r="E44" s="87">
        <v>16555407.699089281</v>
      </c>
      <c r="F44" s="87">
        <v>453612.97906006128</v>
      </c>
      <c r="G44" s="88">
        <v>0.56696735593831138</v>
      </c>
      <c r="H44" s="87">
        <v>17009020.678149343</v>
      </c>
      <c r="I44" s="88">
        <v>0.56696735593831138</v>
      </c>
      <c r="J44" s="87">
        <v>708709.19492288923</v>
      </c>
      <c r="K44" s="87" t="e">
        <v>#DIV/0!</v>
      </c>
      <c r="L44" s="87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</row>
    <row r="2" spans="1:12" ht="15.75" x14ac:dyDescent="0.25">
      <c r="A2" s="125" t="s">
        <v>206</v>
      </c>
      <c r="B2" s="69" t="s">
        <v>94</v>
      </c>
      <c r="C2" s="102">
        <v>32279076.638250753</v>
      </c>
      <c r="D2" s="103">
        <v>46789531.022179514</v>
      </c>
      <c r="E2" s="103">
        <v>45597042.635797866</v>
      </c>
      <c r="F2" s="103">
        <v>1192488.3863816485</v>
      </c>
      <c r="G2" s="104">
        <v>1.4495312721161873</v>
      </c>
      <c r="H2" s="103">
        <v>46789531.022179514</v>
      </c>
      <c r="I2" s="104">
        <v>1.4495312721161873</v>
      </c>
      <c r="J2" s="103">
        <v>1949563.792590813</v>
      </c>
      <c r="K2" s="103" t="e">
        <v>#DIV/0!</v>
      </c>
      <c r="L2" s="105">
        <v>935790.62044359033</v>
      </c>
    </row>
    <row r="3" spans="1:12" ht="15.75" x14ac:dyDescent="0.25">
      <c r="A3" s="126"/>
      <c r="B3" s="19" t="s">
        <v>93</v>
      </c>
      <c r="C3" s="106">
        <v>30982728.178883255</v>
      </c>
      <c r="D3" s="87">
        <v>38817126.106857061</v>
      </c>
      <c r="E3" s="87">
        <v>37990396.607466161</v>
      </c>
      <c r="F3" s="87">
        <v>826729.49939090014</v>
      </c>
      <c r="G3" s="88">
        <v>1.2528633980436061</v>
      </c>
      <c r="H3" s="87">
        <v>38817126.106857061</v>
      </c>
      <c r="I3" s="88">
        <v>1.2528633980436061</v>
      </c>
      <c r="J3" s="87">
        <v>1617380.2544523776</v>
      </c>
      <c r="K3" s="87" t="e">
        <v>#DIV/0!</v>
      </c>
      <c r="L3" s="107">
        <v>776342.5221371412</v>
      </c>
    </row>
    <row r="4" spans="1:12" ht="15.75" x14ac:dyDescent="0.25">
      <c r="A4" s="126"/>
      <c r="B4" s="19" t="s">
        <v>91</v>
      </c>
      <c r="C4" s="106">
        <v>28390031.260148253</v>
      </c>
      <c r="D4" s="87">
        <v>33436278.446677495</v>
      </c>
      <c r="E4" s="87">
        <v>32127304.163806073</v>
      </c>
      <c r="F4" s="87">
        <v>1308974.2828714214</v>
      </c>
      <c r="G4" s="88">
        <v>1.1777471514662534</v>
      </c>
      <c r="H4" s="87">
        <v>33436278.446677491</v>
      </c>
      <c r="I4" s="88">
        <v>1.1777471514662532</v>
      </c>
      <c r="J4" s="87">
        <v>1393178.2686115622</v>
      </c>
      <c r="K4" s="87" t="e">
        <v>#DIV/0!</v>
      </c>
      <c r="L4" s="107">
        <v>668725.5689335498</v>
      </c>
    </row>
    <row r="5" spans="1:12" ht="15.75" x14ac:dyDescent="0.25">
      <c r="A5" s="126"/>
      <c r="B5" s="19" t="s">
        <v>89</v>
      </c>
      <c r="C5" s="106">
        <v>28390031.260148253</v>
      </c>
      <c r="D5" s="87">
        <v>35139863.288381539</v>
      </c>
      <c r="E5" s="87">
        <v>34257637.396055132</v>
      </c>
      <c r="F5" s="87">
        <v>882225.89232640713</v>
      </c>
      <c r="G5" s="88">
        <v>1.23775359619657</v>
      </c>
      <c r="H5" s="87">
        <v>35139863.288381539</v>
      </c>
      <c r="I5" s="88">
        <v>1.23775359619657</v>
      </c>
      <c r="J5" s="87">
        <v>1464160.9703492308</v>
      </c>
      <c r="K5" s="87" t="e">
        <v>#DIV/0!</v>
      </c>
      <c r="L5" s="107">
        <v>702797.26576763077</v>
      </c>
    </row>
    <row r="6" spans="1:12" ht="15.75" x14ac:dyDescent="0.25">
      <c r="A6" s="126"/>
      <c r="B6" s="19" t="s">
        <v>209</v>
      </c>
      <c r="C6" s="106">
        <v>23528724.537520126</v>
      </c>
      <c r="D6" s="87">
        <v>26856361.149994925</v>
      </c>
      <c r="E6" s="87">
        <v>25015491.549096961</v>
      </c>
      <c r="F6" s="87">
        <v>1840869.6008979641</v>
      </c>
      <c r="G6" s="88">
        <v>1.1414286867598105</v>
      </c>
      <c r="H6" s="87">
        <v>26856361.149994925</v>
      </c>
      <c r="I6" s="88">
        <v>1.1414286867598105</v>
      </c>
      <c r="J6" s="87">
        <v>1119015.0479164552</v>
      </c>
      <c r="K6" s="87" t="e">
        <v>#DIV/0!</v>
      </c>
      <c r="L6" s="107">
        <v>537127.22299989848</v>
      </c>
    </row>
    <row r="7" spans="1:12" ht="15.75" x14ac:dyDescent="0.25">
      <c r="A7" s="126"/>
      <c r="B7" s="19" t="s">
        <v>85</v>
      </c>
      <c r="C7" s="106">
        <v>27741857.030464504</v>
      </c>
      <c r="D7" s="87">
        <v>21935047.685194649</v>
      </c>
      <c r="E7" s="87">
        <v>21605185.998899002</v>
      </c>
      <c r="F7" s="87">
        <v>329861.68629564717</v>
      </c>
      <c r="G7" s="88">
        <v>0.79068418747551206</v>
      </c>
      <c r="H7" s="87">
        <v>21935047.685194649</v>
      </c>
      <c r="I7" s="88">
        <v>0.79068418747551206</v>
      </c>
      <c r="J7" s="87">
        <v>913960.32021644374</v>
      </c>
      <c r="K7" s="87" t="e">
        <v>#DIV/0!</v>
      </c>
      <c r="L7" s="107">
        <v>0</v>
      </c>
    </row>
    <row r="8" spans="1:12" ht="15.75" x14ac:dyDescent="0.25">
      <c r="A8" s="126"/>
      <c r="B8" s="19" t="s">
        <v>84</v>
      </c>
      <c r="C8" s="106">
        <v>35831071.416917704</v>
      </c>
      <c r="D8" s="87">
        <v>40520335.94111871</v>
      </c>
      <c r="E8" s="87">
        <v>38810951.591422051</v>
      </c>
      <c r="F8" s="87">
        <v>1709384.3496966586</v>
      </c>
      <c r="G8" s="88">
        <v>1.1308714570557596</v>
      </c>
      <c r="H8" s="87">
        <v>40520335.94111871</v>
      </c>
      <c r="I8" s="88">
        <v>1.1308714570557596</v>
      </c>
      <c r="J8" s="87">
        <v>1688347.3308799462</v>
      </c>
      <c r="K8" s="87" t="e">
        <v>#DIV/0!</v>
      </c>
      <c r="L8" s="107">
        <v>607805.03911678062</v>
      </c>
    </row>
    <row r="9" spans="1:12" ht="15.75" x14ac:dyDescent="0.25">
      <c r="A9" s="126"/>
      <c r="B9" s="19" t="s">
        <v>83</v>
      </c>
      <c r="C9" s="106">
        <v>35831071.416917704</v>
      </c>
      <c r="D9" s="87">
        <v>41738637.969319664</v>
      </c>
      <c r="E9" s="87">
        <v>39990211.496653654</v>
      </c>
      <c r="F9" s="87">
        <v>1748426.4726660103</v>
      </c>
      <c r="G9" s="88">
        <v>1.164872729694951</v>
      </c>
      <c r="H9" s="87">
        <v>41738637.969319664</v>
      </c>
      <c r="I9" s="88">
        <v>1.164872729694951</v>
      </c>
      <c r="J9" s="87">
        <v>1739109.9153883194</v>
      </c>
      <c r="K9" s="87" t="e">
        <v>#DIV/0!</v>
      </c>
      <c r="L9" s="107">
        <v>834772.75938639324</v>
      </c>
    </row>
    <row r="10" spans="1:12" ht="16.5" thickBot="1" x14ac:dyDescent="0.3">
      <c r="A10" s="127"/>
      <c r="B10" s="3"/>
      <c r="C10" s="108">
        <v>242974591.73925051</v>
      </c>
      <c r="D10" s="108">
        <v>285233181.60972357</v>
      </c>
      <c r="E10" s="109">
        <v>275394221.43919694</v>
      </c>
      <c r="F10" s="108">
        <v>9838960.1705266573</v>
      </c>
      <c r="G10" s="110">
        <v>1.1739218474161408</v>
      </c>
      <c r="H10" s="108">
        <v>285233181.60972357</v>
      </c>
      <c r="I10" s="110">
        <v>1.1739218474161408</v>
      </c>
      <c r="J10" s="108">
        <v>11884715.900405148</v>
      </c>
      <c r="K10" s="111" t="e">
        <v>#DIV/0!</v>
      </c>
      <c r="L10" s="112"/>
    </row>
    <row r="11" spans="1:12" ht="15.75" x14ac:dyDescent="0.25">
      <c r="A11" s="125" t="s">
        <v>207</v>
      </c>
      <c r="B11" s="69" t="s">
        <v>96</v>
      </c>
      <c r="C11" s="102">
        <v>96971948.480137512</v>
      </c>
      <c r="D11" s="103">
        <v>109506883.40895881</v>
      </c>
      <c r="E11" s="103">
        <v>107046963.46643755</v>
      </c>
      <c r="F11" s="103">
        <v>2459919.9425212592</v>
      </c>
      <c r="G11" s="104">
        <v>1.1292635151225077</v>
      </c>
      <c r="H11" s="103">
        <v>109506883.40895881</v>
      </c>
      <c r="I11" s="104">
        <v>1.1292635151225077</v>
      </c>
      <c r="J11" s="103">
        <v>4562786.808706617</v>
      </c>
      <c r="K11" s="103" t="e">
        <v>#DIV/0!</v>
      </c>
      <c r="L11" s="105">
        <v>1095068.8340895881</v>
      </c>
    </row>
    <row r="12" spans="1:12" ht="15.75" x14ac:dyDescent="0.25">
      <c r="A12" s="126"/>
      <c r="B12" s="19" t="s">
        <v>106</v>
      </c>
      <c r="C12" s="106">
        <v>31630902.408567004</v>
      </c>
      <c r="D12" s="87">
        <v>37819097.976955846</v>
      </c>
      <c r="E12" s="87">
        <v>37507204.335448697</v>
      </c>
      <c r="F12" s="87">
        <v>311893.64150714874</v>
      </c>
      <c r="G12" s="88">
        <v>1.1956376548622532</v>
      </c>
      <c r="H12" s="87">
        <v>37819097.976955846</v>
      </c>
      <c r="I12" s="88">
        <v>1.1956376548622532</v>
      </c>
      <c r="J12" s="87">
        <v>1575795.7490398269</v>
      </c>
      <c r="K12" s="87" t="e">
        <v>#DIV/0!</v>
      </c>
      <c r="L12" s="107">
        <v>756381.95953911694</v>
      </c>
    </row>
    <row r="13" spans="1:12" ht="15.75" x14ac:dyDescent="0.25">
      <c r="A13" s="126"/>
      <c r="B13" s="19" t="s">
        <v>90</v>
      </c>
      <c r="C13" s="106">
        <v>128363916.07462499</v>
      </c>
      <c r="D13" s="87">
        <v>128539493.63379455</v>
      </c>
      <c r="E13" s="87">
        <v>107458900.02742086</v>
      </c>
      <c r="F13" s="87">
        <v>21080593.606373683</v>
      </c>
      <c r="G13" s="88">
        <v>1.0013678108656914</v>
      </c>
      <c r="H13" s="87">
        <v>128539493.63379455</v>
      </c>
      <c r="I13" s="88">
        <v>1.0013678108656914</v>
      </c>
      <c r="J13" s="87">
        <v>5355812.2347414391</v>
      </c>
      <c r="K13" s="87" t="e">
        <v>#DIV/0!</v>
      </c>
      <c r="L13" s="107">
        <v>642697.46816897276</v>
      </c>
    </row>
    <row r="14" spans="1:12" ht="15.75" x14ac:dyDescent="0.25">
      <c r="A14" s="126"/>
      <c r="B14" s="19" t="s">
        <v>111</v>
      </c>
      <c r="C14" s="106">
        <v>42449057.394974999</v>
      </c>
      <c r="D14" s="87">
        <v>39140279.651432775</v>
      </c>
      <c r="E14" s="87">
        <v>38089399.671858914</v>
      </c>
      <c r="F14" s="87">
        <v>1050879.9795738608</v>
      </c>
      <c r="G14" s="88">
        <v>0.92205297486926274</v>
      </c>
      <c r="H14" s="87">
        <v>39140279.651432775</v>
      </c>
      <c r="I14" s="88">
        <v>0.92205297486926274</v>
      </c>
      <c r="J14" s="87">
        <v>1630844.9854763655</v>
      </c>
      <c r="K14" s="87" t="e">
        <v>#DIV/0!</v>
      </c>
      <c r="L14" s="107">
        <v>0</v>
      </c>
    </row>
    <row r="15" spans="1:12" ht="15.75" x14ac:dyDescent="0.25">
      <c r="A15" s="126"/>
      <c r="B15" s="19" t="s">
        <v>107</v>
      </c>
      <c r="C15" s="106">
        <v>42449057.394974999</v>
      </c>
      <c r="D15" s="87">
        <v>51508469.291534513</v>
      </c>
      <c r="E15" s="87">
        <v>45407233.8525308</v>
      </c>
      <c r="F15" s="87">
        <v>6101235.4390037134</v>
      </c>
      <c r="G15" s="88">
        <v>1.2134184467811515</v>
      </c>
      <c r="H15" s="87">
        <v>51508469.291534513</v>
      </c>
      <c r="I15" s="88">
        <v>1.2134184467811515</v>
      </c>
      <c r="J15" s="87">
        <v>2146186.2204806046</v>
      </c>
      <c r="K15" s="87" t="e">
        <v>#DIV/0!</v>
      </c>
      <c r="L15" s="107">
        <v>772627.03937301761</v>
      </c>
    </row>
    <row r="16" spans="1:12" ht="16.5" thickBot="1" x14ac:dyDescent="0.3">
      <c r="A16" s="127"/>
      <c r="B16" s="3"/>
      <c r="C16" s="108">
        <v>341864881.75327951</v>
      </c>
      <c r="D16" s="108">
        <v>366514223.96267653</v>
      </c>
      <c r="E16" s="109">
        <v>335509701.35369682</v>
      </c>
      <c r="F16" s="108">
        <v>31004522.608979702</v>
      </c>
      <c r="G16" s="110">
        <v>1.0721025865042968</v>
      </c>
      <c r="H16" s="108">
        <v>366514223.96267653</v>
      </c>
      <c r="I16" s="110">
        <v>1.0721025865042968</v>
      </c>
      <c r="J16" s="108">
        <v>15271425.998444855</v>
      </c>
      <c r="K16" s="111" t="e">
        <v>#DIV/0!</v>
      </c>
      <c r="L16" s="112"/>
    </row>
    <row r="17" spans="1:12" ht="15.75" x14ac:dyDescent="0.25">
      <c r="A17" s="128" t="s">
        <v>208</v>
      </c>
      <c r="B17" s="69" t="s">
        <v>81</v>
      </c>
      <c r="C17" s="70">
        <v>29338018.132500004</v>
      </c>
      <c r="D17" s="103">
        <v>19719555.307688124</v>
      </c>
      <c r="E17" s="103">
        <v>18802479.760139175</v>
      </c>
      <c r="F17" s="103">
        <v>917075.54754894972</v>
      </c>
      <c r="G17" s="104">
        <v>0.67215021882624171</v>
      </c>
      <c r="H17" s="103">
        <v>19719555.307688124</v>
      </c>
      <c r="I17" s="104">
        <v>0.67215021882624171</v>
      </c>
      <c r="J17" s="103">
        <v>821648.13782033848</v>
      </c>
      <c r="K17" s="103" t="e">
        <v>#DIV/0!</v>
      </c>
      <c r="L17" s="105">
        <v>0</v>
      </c>
    </row>
    <row r="18" spans="1:12" ht="15.75" x14ac:dyDescent="0.25">
      <c r="A18" s="129"/>
      <c r="B18" s="19" t="s">
        <v>82</v>
      </c>
      <c r="C18" s="71">
        <v>24959505.900000002</v>
      </c>
      <c r="D18" s="87">
        <v>21983568.342330094</v>
      </c>
      <c r="E18" s="87">
        <v>20717753.349515107</v>
      </c>
      <c r="F18" s="87">
        <v>1265814.9928149879</v>
      </c>
      <c r="G18" s="88">
        <v>0.88076937221461959</v>
      </c>
      <c r="H18" s="87">
        <v>21983568.342330094</v>
      </c>
      <c r="I18" s="88">
        <v>0.88076937221461959</v>
      </c>
      <c r="J18" s="87">
        <v>915982.0142637539</v>
      </c>
      <c r="K18" s="87" t="e">
        <v>#DIV/0!</v>
      </c>
      <c r="L18" s="107">
        <v>0</v>
      </c>
    </row>
    <row r="19" spans="1:12" ht="15.75" x14ac:dyDescent="0.25">
      <c r="A19" s="129"/>
      <c r="B19" s="19" t="s">
        <v>92</v>
      </c>
      <c r="C19" s="71">
        <v>25856650.1655</v>
      </c>
      <c r="D19" s="87">
        <v>21823999.631053858</v>
      </c>
      <c r="E19" s="87">
        <v>21195317.753972314</v>
      </c>
      <c r="F19" s="87">
        <v>628681.87708154321</v>
      </c>
      <c r="G19" s="88">
        <v>0.84403816779689333</v>
      </c>
      <c r="H19" s="87">
        <v>21823999.631053858</v>
      </c>
      <c r="I19" s="88">
        <v>0.84403816779689333</v>
      </c>
      <c r="J19" s="87">
        <v>909333.31796057743</v>
      </c>
      <c r="K19" s="87" t="e">
        <v>#DIV/0!</v>
      </c>
      <c r="L19" s="107">
        <v>0</v>
      </c>
    </row>
    <row r="20" spans="1:12" ht="15.75" x14ac:dyDescent="0.25">
      <c r="A20" s="129"/>
      <c r="B20" s="19" t="s">
        <v>95</v>
      </c>
      <c r="C20" s="71">
        <v>33548130</v>
      </c>
      <c r="D20" s="87">
        <v>46880747.882440269</v>
      </c>
      <c r="E20" s="87">
        <v>45288523.133737519</v>
      </c>
      <c r="F20" s="87">
        <v>1592224.7487027496</v>
      </c>
      <c r="G20" s="88">
        <v>1.3974176170904389</v>
      </c>
      <c r="H20" s="87">
        <v>46880747.882440269</v>
      </c>
      <c r="I20" s="88">
        <v>1.3974176170904389</v>
      </c>
      <c r="J20" s="87">
        <v>1953364.495101678</v>
      </c>
      <c r="K20" s="87" t="e">
        <v>#DIV/0!</v>
      </c>
      <c r="L20" s="107">
        <v>937614.95764880534</v>
      </c>
    </row>
    <row r="21" spans="1:12" ht="15.75" x14ac:dyDescent="0.25">
      <c r="A21" s="129"/>
      <c r="B21" s="19" t="s">
        <v>97</v>
      </c>
      <c r="C21" s="71">
        <v>25458510</v>
      </c>
      <c r="D21" s="87">
        <v>26026854.067610081</v>
      </c>
      <c r="E21" s="87">
        <v>24833322.870954808</v>
      </c>
      <c r="F21" s="87">
        <v>1193531.1966552734</v>
      </c>
      <c r="G21" s="88">
        <v>1.0223243256423915</v>
      </c>
      <c r="H21" s="87">
        <v>26026854.067610078</v>
      </c>
      <c r="I21" s="88">
        <v>1.0223243256423913</v>
      </c>
      <c r="J21" s="87">
        <v>1084452.2528170866</v>
      </c>
      <c r="K21" s="87" t="e">
        <v>#DIV/0!</v>
      </c>
      <c r="L21" s="107">
        <v>260268.54067610079</v>
      </c>
    </row>
    <row r="22" spans="1:12" ht="15.75" x14ac:dyDescent="0.25">
      <c r="A22" s="129"/>
      <c r="B22" s="19" t="s">
        <v>219</v>
      </c>
      <c r="C22" s="71">
        <v>31742890.200000003</v>
      </c>
      <c r="D22" s="87">
        <v>32141338.909916095</v>
      </c>
      <c r="E22" s="87">
        <v>29990683.655022953</v>
      </c>
      <c r="F22" s="87">
        <v>2150655.2548931427</v>
      </c>
      <c r="G22" s="88">
        <v>1.0125523765292201</v>
      </c>
      <c r="H22" s="87">
        <v>32141338.909916095</v>
      </c>
      <c r="I22" s="88">
        <v>1.0125523765292201</v>
      </c>
      <c r="J22" s="87">
        <v>1339222.4545798374</v>
      </c>
      <c r="K22" s="87" t="e">
        <v>#DIV/0!</v>
      </c>
      <c r="L22" s="107">
        <v>321413.38909916097</v>
      </c>
    </row>
    <row r="23" spans="1:12" ht="15.75" x14ac:dyDescent="0.25">
      <c r="A23" s="129"/>
      <c r="B23" s="19" t="s">
        <v>160</v>
      </c>
      <c r="C23" s="71">
        <v>27435946.230000004</v>
      </c>
      <c r="D23" s="87">
        <v>25710568.579956032</v>
      </c>
      <c r="E23" s="87">
        <v>25061497.754885402</v>
      </c>
      <c r="F23" s="87">
        <v>649070.82507063076</v>
      </c>
      <c r="G23" s="88">
        <v>0.93711251525353456</v>
      </c>
      <c r="H23" s="87">
        <v>25710568.579956032</v>
      </c>
      <c r="I23" s="88">
        <v>0.93711251525353456</v>
      </c>
      <c r="J23" s="87">
        <v>1071273.6908315013</v>
      </c>
      <c r="K23" s="87" t="e">
        <v>#DIV/0!</v>
      </c>
      <c r="L23" s="107">
        <v>0</v>
      </c>
    </row>
    <row r="24" spans="1:12" ht="15.75" x14ac:dyDescent="0.25">
      <c r="A24" s="129"/>
      <c r="B24" s="19" t="s">
        <v>220</v>
      </c>
      <c r="C24" s="71">
        <v>33494055</v>
      </c>
      <c r="D24" s="87">
        <v>40082800.76103171</v>
      </c>
      <c r="E24" s="87">
        <v>38511020.179810099</v>
      </c>
      <c r="F24" s="87">
        <v>1571780.5812216103</v>
      </c>
      <c r="G24" s="88">
        <v>1.1967138873161733</v>
      </c>
      <c r="H24" s="87">
        <v>40082800.76103171</v>
      </c>
      <c r="I24" s="88">
        <v>1.1967138873161733</v>
      </c>
      <c r="J24" s="87">
        <v>1670116.6983763212</v>
      </c>
      <c r="K24" s="87" t="e">
        <v>#DIV/0!</v>
      </c>
      <c r="L24" s="107">
        <v>801656.01522063417</v>
      </c>
    </row>
    <row r="25" spans="1:12" ht="15.75" x14ac:dyDescent="0.25">
      <c r="A25" s="129"/>
      <c r="B25" s="19" t="s">
        <v>139</v>
      </c>
      <c r="C25" s="71">
        <v>54064952.86500001</v>
      </c>
      <c r="D25" s="87">
        <v>52746975.667182915</v>
      </c>
      <c r="E25" s="87">
        <v>53020207.657182917</v>
      </c>
      <c r="F25" s="87">
        <v>-273231.99000000209</v>
      </c>
      <c r="G25" s="88">
        <v>0.97562233705986801</v>
      </c>
      <c r="H25" s="87">
        <v>52746975.667182922</v>
      </c>
      <c r="I25" s="88">
        <v>0.97562233705986812</v>
      </c>
      <c r="J25" s="87">
        <v>2197790.6527992883</v>
      </c>
      <c r="K25" s="87" t="e">
        <v>#DIV/0!</v>
      </c>
      <c r="L25" s="107">
        <v>0</v>
      </c>
    </row>
    <row r="26" spans="1:12" ht="16.5" thickBot="1" x14ac:dyDescent="0.3">
      <c r="A26" s="130"/>
      <c r="B26" s="72"/>
      <c r="C26" s="111">
        <v>285898658.49300003</v>
      </c>
      <c r="D26" s="111">
        <v>287116409.1492092</v>
      </c>
      <c r="E26" s="109">
        <v>277420806.11522031</v>
      </c>
      <c r="F26" s="111">
        <v>9695603.033988893</v>
      </c>
      <c r="G26" s="110">
        <v>1.0042593786995295</v>
      </c>
      <c r="H26" s="108">
        <v>287116409.1492092</v>
      </c>
      <c r="I26" s="110">
        <v>1.0042593786995295</v>
      </c>
      <c r="J26" s="108">
        <v>11963183.714550383</v>
      </c>
      <c r="K26" s="111" t="e">
        <v>#DIV/0!</v>
      </c>
      <c r="L26" s="112"/>
    </row>
    <row r="27" spans="1:12" ht="15.75" x14ac:dyDescent="0.25">
      <c r="A27" s="125" t="s">
        <v>216</v>
      </c>
      <c r="B27" s="69" t="s">
        <v>211</v>
      </c>
      <c r="C27" s="113">
        <v>81977700</v>
      </c>
      <c r="D27" s="103">
        <v>82008915.323856413</v>
      </c>
      <c r="E27" s="103">
        <v>79349932.648902804</v>
      </c>
      <c r="F27" s="103">
        <v>2658982.6749536097</v>
      </c>
      <c r="G27" s="104">
        <v>1.0003807782342808</v>
      </c>
      <c r="H27" s="103">
        <v>82008915.323856413</v>
      </c>
      <c r="I27" s="104">
        <v>1.0003807782342808</v>
      </c>
      <c r="J27" s="103">
        <v>3417038.1384940171</v>
      </c>
      <c r="K27" s="103" t="e">
        <v>#DIV/0!</v>
      </c>
      <c r="L27" s="105">
        <v>410044.57661928207</v>
      </c>
    </row>
    <row r="28" spans="1:12" ht="15.75" x14ac:dyDescent="0.25">
      <c r="A28" s="126"/>
      <c r="B28" s="19" t="s">
        <v>213</v>
      </c>
      <c r="C28" s="114">
        <v>21000000</v>
      </c>
      <c r="D28" s="87">
        <v>13952963.300386658</v>
      </c>
      <c r="E28" s="87">
        <v>13582204.364812182</v>
      </c>
      <c r="F28" s="87">
        <v>370758.93557447568</v>
      </c>
      <c r="G28" s="88">
        <v>0.66442682382793605</v>
      </c>
      <c r="H28" s="87">
        <v>13952963.300386656</v>
      </c>
      <c r="I28" s="88">
        <v>0.66442682382793605</v>
      </c>
      <c r="J28" s="87">
        <v>581373.47084944404</v>
      </c>
      <c r="K28" s="87" t="e">
        <v>#DIV/0!</v>
      </c>
      <c r="L28" s="107">
        <v>0</v>
      </c>
    </row>
    <row r="29" spans="1:12" ht="15.75" x14ac:dyDescent="0.25">
      <c r="A29" s="126"/>
      <c r="B29" s="19" t="s">
        <v>86</v>
      </c>
      <c r="C29" s="114">
        <v>25739700</v>
      </c>
      <c r="D29" s="87">
        <v>21961957.090655975</v>
      </c>
      <c r="E29" s="87">
        <v>21103395.521965481</v>
      </c>
      <c r="F29" s="87">
        <v>858561.5686904937</v>
      </c>
      <c r="G29" s="88">
        <v>0.85323283063345634</v>
      </c>
      <c r="H29" s="87">
        <v>21961957.090655975</v>
      </c>
      <c r="I29" s="88">
        <v>0.85323283063345634</v>
      </c>
      <c r="J29" s="87">
        <v>915081.545443999</v>
      </c>
      <c r="K29" s="87" t="e">
        <v>#DIV/0!</v>
      </c>
      <c r="L29" s="107">
        <v>0</v>
      </c>
    </row>
    <row r="30" spans="1:12" ht="15.75" x14ac:dyDescent="0.25">
      <c r="A30" s="126"/>
      <c r="B30" s="19" t="s">
        <v>212</v>
      </c>
      <c r="C30" s="114">
        <v>38233205.112125672</v>
      </c>
      <c r="D30" s="87">
        <v>21863190.112295818</v>
      </c>
      <c r="E30" s="87">
        <v>21279417.512409199</v>
      </c>
      <c r="F30" s="87">
        <v>583772.59988661855</v>
      </c>
      <c r="G30" s="88">
        <v>0.57183775328744024</v>
      </c>
      <c r="H30" s="87">
        <v>21863190.112295818</v>
      </c>
      <c r="I30" s="88">
        <v>0.57183775328744024</v>
      </c>
      <c r="J30" s="87">
        <v>910966.25467899244</v>
      </c>
      <c r="K30" s="87" t="e">
        <v>#DIV/0!</v>
      </c>
      <c r="L30" s="107">
        <v>0</v>
      </c>
    </row>
    <row r="31" spans="1:12" ht="15.75" x14ac:dyDescent="0.25">
      <c r="A31" s="126"/>
      <c r="B31" s="19" t="s">
        <v>98</v>
      </c>
      <c r="C31" s="114">
        <v>25415250</v>
      </c>
      <c r="D31" s="87">
        <v>26313436.609832209</v>
      </c>
      <c r="E31" s="87">
        <v>25866298.235398188</v>
      </c>
      <c r="F31" s="87">
        <v>447138.37443402037</v>
      </c>
      <c r="G31" s="88">
        <v>1.0353404593632645</v>
      </c>
      <c r="H31" s="87">
        <v>26313436.609832205</v>
      </c>
      <c r="I31" s="88">
        <v>1.0353404593632645</v>
      </c>
      <c r="J31" s="87">
        <v>1096393.1920763419</v>
      </c>
      <c r="K31" s="87" t="e">
        <v>#DIV/0!</v>
      </c>
      <c r="L31" s="107">
        <v>263134.36609832203</v>
      </c>
    </row>
    <row r="32" spans="1:12" ht="15.75" x14ac:dyDescent="0.25">
      <c r="A32" s="126"/>
      <c r="B32" s="19" t="s">
        <v>210</v>
      </c>
      <c r="C32" s="114">
        <v>25200000</v>
      </c>
      <c r="D32" s="87">
        <v>18151384.413142633</v>
      </c>
      <c r="E32" s="87">
        <v>17244550.074721541</v>
      </c>
      <c r="F32" s="87">
        <v>906834.33842109144</v>
      </c>
      <c r="G32" s="88">
        <v>0.7202930322675648</v>
      </c>
      <c r="H32" s="87">
        <v>18151384.413142633</v>
      </c>
      <c r="I32" s="88">
        <v>0.7202930322675648</v>
      </c>
      <c r="J32" s="87">
        <v>756307.68388094299</v>
      </c>
      <c r="K32" s="87" t="e">
        <v>#DIV/0!</v>
      </c>
      <c r="L32" s="107">
        <v>0</v>
      </c>
    </row>
    <row r="33" spans="1:12" ht="15.75" x14ac:dyDescent="0.25">
      <c r="A33" s="126"/>
      <c r="B33" s="19" t="s">
        <v>99</v>
      </c>
      <c r="C33" s="114">
        <v>26496750</v>
      </c>
      <c r="D33" s="87">
        <v>20837293.557389762</v>
      </c>
      <c r="E33" s="87">
        <v>20072218.044281825</v>
      </c>
      <c r="F33" s="87">
        <v>765075.51310793683</v>
      </c>
      <c r="G33" s="88">
        <v>0.78640941086698413</v>
      </c>
      <c r="H33" s="87">
        <v>20837293.557389762</v>
      </c>
      <c r="I33" s="88">
        <v>0.78640941086698413</v>
      </c>
      <c r="J33" s="87">
        <v>868220.56489124009</v>
      </c>
      <c r="K33" s="87" t="e">
        <v>#DIV/0!</v>
      </c>
      <c r="L33" s="107">
        <v>0</v>
      </c>
    </row>
    <row r="34" spans="1:12" ht="15.75" x14ac:dyDescent="0.25">
      <c r="A34" s="126"/>
      <c r="B34" s="19" t="s">
        <v>138</v>
      </c>
      <c r="C34" s="114">
        <v>21000000</v>
      </c>
      <c r="D34" s="87">
        <v>13727467.509959595</v>
      </c>
      <c r="E34" s="87">
        <v>13039481.563812835</v>
      </c>
      <c r="F34" s="87">
        <v>687985.94614676014</v>
      </c>
      <c r="G34" s="88">
        <v>0.65368892904569498</v>
      </c>
      <c r="H34" s="87">
        <v>13727467.509959595</v>
      </c>
      <c r="I34" s="88">
        <v>0.65368892904569498</v>
      </c>
      <c r="J34" s="87">
        <v>571977.81291498314</v>
      </c>
      <c r="K34" s="87" t="e">
        <v>#DIV/0!</v>
      </c>
      <c r="L34" s="107">
        <v>0</v>
      </c>
    </row>
    <row r="35" spans="1:12" ht="15.75" x14ac:dyDescent="0.25">
      <c r="A35" s="126"/>
      <c r="B35" s="19" t="s">
        <v>103</v>
      </c>
      <c r="C35" s="114">
        <v>24658200</v>
      </c>
      <c r="D35" s="87">
        <v>7728017.7449721582</v>
      </c>
      <c r="E35" s="87">
        <v>7427038.0634731874</v>
      </c>
      <c r="F35" s="87">
        <v>300979.68149897084</v>
      </c>
      <c r="G35" s="88">
        <v>0.31340559103957943</v>
      </c>
      <c r="H35" s="87">
        <v>7728017.7449721582</v>
      </c>
      <c r="I35" s="88">
        <v>0.31340559103957943</v>
      </c>
      <c r="J35" s="87">
        <v>322000.73937383993</v>
      </c>
      <c r="K35" s="87" t="e">
        <v>#DIV/0!</v>
      </c>
      <c r="L35" s="107">
        <v>0</v>
      </c>
    </row>
    <row r="36" spans="1:12" ht="15.75" x14ac:dyDescent="0.25">
      <c r="A36" s="126"/>
      <c r="B36" s="19" t="s">
        <v>204</v>
      </c>
      <c r="C36" s="114">
        <v>25235000</v>
      </c>
      <c r="D36" s="87">
        <v>14092423.235800521</v>
      </c>
      <c r="E36" s="87">
        <v>13787711.752287488</v>
      </c>
      <c r="F36" s="87">
        <v>304711.48351303302</v>
      </c>
      <c r="G36" s="88">
        <v>0.55844752271846732</v>
      </c>
      <c r="H36" s="87">
        <v>14092423.23580052</v>
      </c>
      <c r="I36" s="88">
        <v>0.5584475227184672</v>
      </c>
      <c r="J36" s="87">
        <v>587184.30149168835</v>
      </c>
      <c r="K36" s="87" t="e">
        <v>#DIV/0!</v>
      </c>
      <c r="L36" s="107">
        <v>0</v>
      </c>
    </row>
    <row r="37" spans="1:12" ht="15.75" x14ac:dyDescent="0.25">
      <c r="A37" s="126"/>
      <c r="B37" s="19" t="s">
        <v>110</v>
      </c>
      <c r="C37" s="114">
        <v>122011750</v>
      </c>
      <c r="D37" s="87">
        <v>65662670.917833798</v>
      </c>
      <c r="E37" s="87">
        <v>59403378.702583797</v>
      </c>
      <c r="F37" s="87">
        <v>6259292.2152500004</v>
      </c>
      <c r="G37" s="88">
        <v>0.53816678244377114</v>
      </c>
      <c r="H37" s="87">
        <v>65662670.917833805</v>
      </c>
      <c r="I37" s="88">
        <v>0.53816678244377125</v>
      </c>
      <c r="J37" s="87">
        <v>2735944.6215764084</v>
      </c>
      <c r="K37" s="87" t="e">
        <v>#DIV/0!</v>
      </c>
      <c r="L37" s="107">
        <v>0</v>
      </c>
    </row>
    <row r="38" spans="1:12" ht="15.75" x14ac:dyDescent="0.25">
      <c r="A38" s="126"/>
      <c r="B38" s="19" t="s">
        <v>214</v>
      </c>
      <c r="C38" s="114">
        <v>35700000</v>
      </c>
      <c r="D38" s="87">
        <v>16480410.572651757</v>
      </c>
      <c r="E38" s="87">
        <v>17136087.737651758</v>
      </c>
      <c r="F38" s="87">
        <v>-655677.16500000097</v>
      </c>
      <c r="G38" s="88">
        <v>0.46163615049444695</v>
      </c>
      <c r="H38" s="87">
        <v>16480410.572651755</v>
      </c>
      <c r="I38" s="88">
        <v>0.4616361504944469</v>
      </c>
      <c r="J38" s="87">
        <v>686683.77386048983</v>
      </c>
      <c r="K38" s="87" t="e">
        <v>#DIV/0!</v>
      </c>
      <c r="L38" s="107">
        <v>0</v>
      </c>
    </row>
    <row r="39" spans="1:12" ht="15.75" x14ac:dyDescent="0.25">
      <c r="A39" s="126"/>
      <c r="B39" s="19" t="s">
        <v>80</v>
      </c>
      <c r="C39" s="114">
        <v>36361427.739</v>
      </c>
      <c r="D39" s="87">
        <v>25054842.418592516</v>
      </c>
      <c r="E39" s="87">
        <v>24470367.165487725</v>
      </c>
      <c r="F39" s="87">
        <v>584475.25310479105</v>
      </c>
      <c r="G39" s="88">
        <v>0.68905001746451133</v>
      </c>
      <c r="H39" s="87">
        <v>25054842.418592516</v>
      </c>
      <c r="I39" s="88">
        <v>0.68905001746451133</v>
      </c>
      <c r="J39" s="87">
        <v>1043951.7674413548</v>
      </c>
      <c r="K39" s="87" t="e">
        <v>#DIV/0!</v>
      </c>
      <c r="L39" s="107">
        <v>0</v>
      </c>
    </row>
    <row r="40" spans="1:12" ht="16.5" thickBot="1" x14ac:dyDescent="0.3">
      <c r="A40" s="127"/>
      <c r="B40" s="3"/>
      <c r="C40" s="115">
        <v>509028982.85112572</v>
      </c>
      <c r="D40" s="111">
        <v>347834972.80736977</v>
      </c>
      <c r="E40" s="109">
        <v>333762081.387788</v>
      </c>
      <c r="F40" s="111">
        <v>14072891.419581771</v>
      </c>
      <c r="G40" s="110">
        <v>0.68333038888887809</v>
      </c>
      <c r="H40" s="108">
        <v>347834972.80736977</v>
      </c>
      <c r="I40" s="110">
        <v>0.68333038888887809</v>
      </c>
      <c r="J40" s="108">
        <v>14493123.866973741</v>
      </c>
      <c r="K40" s="111" t="e">
        <v>#DIV/0!</v>
      </c>
      <c r="L40" s="112"/>
    </row>
    <row r="41" spans="1:12" ht="16.5" thickBot="1" x14ac:dyDescent="0.3">
      <c r="A41" s="116" t="s">
        <v>42</v>
      </c>
      <c r="B41" s="117"/>
      <c r="C41" s="118">
        <v>1379767147.0931361</v>
      </c>
      <c r="D41" s="118">
        <v>1286698787.5289791</v>
      </c>
      <c r="E41" s="119">
        <v>1222086810.2959023</v>
      </c>
      <c r="F41" s="118">
        <v>64611977.233076811</v>
      </c>
      <c r="G41" s="120">
        <v>0.93254777825357604</v>
      </c>
      <c r="H41" s="118">
        <v>1286698787.5289791</v>
      </c>
      <c r="I41" s="141">
        <v>0.93254777825357604</v>
      </c>
      <c r="J41" s="118">
        <v>53612449.480374128</v>
      </c>
      <c r="K41" s="118" t="e">
        <v>#DIV/0!</v>
      </c>
      <c r="L41" s="121"/>
    </row>
    <row r="42" spans="1:1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</row>
    <row r="43" spans="1:12" ht="15.75" x14ac:dyDescent="0.25">
      <c r="B43" s="19" t="s">
        <v>144</v>
      </c>
      <c r="C43" s="98">
        <v>40000000</v>
      </c>
      <c r="D43" s="87">
        <v>31200035.617086809</v>
      </c>
      <c r="E43" s="87">
        <v>31230263.361085694</v>
      </c>
      <c r="F43" s="87">
        <v>-30227.743998885155</v>
      </c>
      <c r="G43" s="88">
        <v>0.78000089042717025</v>
      </c>
      <c r="H43" s="87">
        <v>31200035.617086805</v>
      </c>
      <c r="I43" s="88">
        <v>0.78000089042717013</v>
      </c>
      <c r="J43" s="87">
        <v>1300001.4840452836</v>
      </c>
      <c r="K43" s="87" t="e">
        <v>#DIV/0!</v>
      </c>
      <c r="L43" s="87">
        <v>0</v>
      </c>
    </row>
    <row r="44" spans="1:12" ht="15.75" x14ac:dyDescent="0.25">
      <c r="B44" s="19" t="s">
        <v>145</v>
      </c>
      <c r="C44" s="98">
        <v>30000000</v>
      </c>
      <c r="D44" s="87">
        <v>24332681.799774844</v>
      </c>
      <c r="E44" s="87">
        <v>24332681.799774844</v>
      </c>
      <c r="F44" s="87">
        <v>0</v>
      </c>
      <c r="G44" s="88">
        <v>0.81108939332582819</v>
      </c>
      <c r="H44" s="87">
        <v>24332681.799774844</v>
      </c>
      <c r="I44" s="88">
        <v>0.81108939332582819</v>
      </c>
      <c r="J44" s="87">
        <v>1013861.7416572851</v>
      </c>
      <c r="K44" s="87" t="e">
        <v>#DIV/0!</v>
      </c>
      <c r="L44" s="87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2026-07-15T17:20:37Z</dcterms:modified>
</cp:coreProperties>
</file>