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9CD65A72-776C-4954-B430-B292785468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<sst xmlns="http://schemas.openxmlformats.org/spreadsheetml/2006/main" count="902" uniqueCount="235">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</sst>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58505.265374438502</v>
      </c>
      <c r="D2" s="96">
        <v>273974.59280026332</v>
      </c>
      <c r="E2" s="96">
        <v>942730778.12102687</v>
      </c>
      <c r="F2" s="96">
        <v>0</v>
      </c>
      <c r="G2" s="96">
        <v>422317.67258803378</v>
      </c>
      <c r="H2" s="96">
        <v>422317.85</v>
      </c>
    </row>
    <row r="3" spans="1:8" x14ac:dyDescent="0.25">
      <c r="A3" s="96" t="s">
        <v>81</v>
      </c>
      <c r="B3" s="96">
        <v>1</v>
      </c>
      <c r="C3" s="96">
        <v>622.19177948770005</v>
      </c>
      <c r="D3" s="96">
        <v>1024.1983945085001</v>
      </c>
      <c r="E3" s="96">
        <v>14077255.752934411</v>
      </c>
      <c r="F3" s="96">
        <v>0</v>
      </c>
      <c r="G3" s="96">
        <v>422317.67258803378</v>
      </c>
      <c r="H3" s="96">
        <v>422317.85</v>
      </c>
    </row>
    <row r="4" spans="1:8" x14ac:dyDescent="0.25">
      <c r="A4" s="96" t="s">
        <v>82</v>
      </c>
      <c r="B4" s="96">
        <v>1</v>
      </c>
      <c r="C4" s="96">
        <v>440.13645833089998</v>
      </c>
      <c r="D4" s="96">
        <v>818.46919643310002</v>
      </c>
      <c r="E4" s="96">
        <v>11896290.267721681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565.20448412489998</v>
      </c>
      <c r="D5" s="96">
        <v>2169.8357738070999</v>
      </c>
      <c r="E5" s="96">
        <v>12287251.632388951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1081.1318253964</v>
      </c>
      <c r="D6" s="96">
        <v>2961.7110714546002</v>
      </c>
      <c r="E6" s="96">
        <v>22371668.480170313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1080.4690436484</v>
      </c>
      <c r="D7" s="96">
        <v>4106.5442619117002</v>
      </c>
      <c r="E7" s="96">
        <v>21392847.025956277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2500.4697407408999</v>
      </c>
      <c r="D8" s="96">
        <v>4082.9464768558</v>
      </c>
      <c r="E8" s="96">
        <v>34946802.602325797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673.67959920659996</v>
      </c>
      <c r="D9" s="96">
        <v>2908.0165416699001</v>
      </c>
      <c r="E9" s="96">
        <v>12584516.890795717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560.69205357119995</v>
      </c>
      <c r="D10" s="96">
        <v>1571.6719217456</v>
      </c>
      <c r="E10" s="96">
        <v>13277219.730041685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536.77748809349998</v>
      </c>
      <c r="D11" s="96">
        <v>1482.3370952391001</v>
      </c>
      <c r="E11" s="96">
        <v>9453417.9587769005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890.29010317129996</v>
      </c>
      <c r="D12" s="96">
        <v>4240.1128690380001</v>
      </c>
      <c r="E12" s="96">
        <v>15064484.982327275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1062.2566785690999</v>
      </c>
      <c r="D13" s="96">
        <v>2589.6907381013002</v>
      </c>
      <c r="E13" s="96">
        <v>19347743.856695283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4036.6059523814001</v>
      </c>
      <c r="D14" s="96">
        <v>36547.9324999979</v>
      </c>
      <c r="E14" s="96">
        <v>65596238.911079958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905.74484126790003</v>
      </c>
      <c r="D15" s="96">
        <v>3575.1241666564001</v>
      </c>
      <c r="E15" s="96">
        <v>16877139.689307179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508.7474603151</v>
      </c>
      <c r="D16" s="96">
        <v>2464.3705357250001</v>
      </c>
      <c r="E16" s="96">
        <v>13261392.359808654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1088.9443769812999</v>
      </c>
      <c r="D17" s="96">
        <v>2991.6753928728999</v>
      </c>
      <c r="E17" s="96">
        <v>21783715.745983802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1474.1537380929999</v>
      </c>
      <c r="D18" s="96">
        <v>6402.1041190419</v>
      </c>
      <c r="E18" s="96">
        <v>26937005.080985263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1274.6862883563001</v>
      </c>
      <c r="D19" s="96">
        <v>4655.9612381137003</v>
      </c>
      <c r="E19" s="96">
        <v>25788895.62215988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3786.6001944444001</v>
      </c>
      <c r="D20" s="96">
        <v>17533.019333324501</v>
      </c>
      <c r="E20" s="96">
        <v>59333161.464760199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615.33484126650001</v>
      </c>
      <c r="D21" s="96">
        <v>2414.6612381065002</v>
      </c>
      <c r="E21" s="96">
        <v>13501972.617272178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471.90600396650001</v>
      </c>
      <c r="D22" s="96">
        <v>1692.1829523797001</v>
      </c>
      <c r="E22" s="96">
        <v>8338730.6322451513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1994.7653571408</v>
      </c>
      <c r="D23" s="96">
        <v>11279.0875118984</v>
      </c>
      <c r="E23" s="96">
        <v>38129967.134491101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3181.4264880953001</v>
      </c>
      <c r="D24" s="96">
        <v>23090.136053568302</v>
      </c>
      <c r="E24" s="96">
        <v>53743536.921917096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675.41417856889996</v>
      </c>
      <c r="D25" s="96">
        <v>2959.9912500175001</v>
      </c>
      <c r="E25" s="96">
        <v>12802627.864902593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840.58888888670003</v>
      </c>
      <c r="D26" s="96">
        <v>1768.1776904830001</v>
      </c>
      <c r="E26" s="96">
        <v>11452040.387756737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8164.9607142857003</v>
      </c>
      <c r="D27" s="96">
        <v>17737.549999999799</v>
      </c>
      <c r="E27" s="96">
        <v>77097707.321156248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843.38471891239999</v>
      </c>
      <c r="D28" s="96">
        <v>3562.4468378097999</v>
      </c>
      <c r="E28" s="96">
        <v>16175526.924235191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3409.3926984126001</v>
      </c>
      <c r="D29" s="96">
        <v>8462.8200000057004</v>
      </c>
      <c r="E29" s="96">
        <v>44876701.927839369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380.3535317459</v>
      </c>
      <c r="D30" s="96">
        <v>1614.2358333394</v>
      </c>
      <c r="E30" s="96">
        <v>7764107.8530795742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482.57172618800001</v>
      </c>
      <c r="D31" s="96">
        <v>1264.4274999972999</v>
      </c>
      <c r="E31" s="96">
        <v>8057680.7929911632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199.12043650769999</v>
      </c>
      <c r="D32" s="96">
        <v>758.23749999760003</v>
      </c>
      <c r="E32" s="96">
        <v>4443564.7834526366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687.86361111040003</v>
      </c>
      <c r="D33" s="96">
        <v>2289.3245833386</v>
      </c>
      <c r="E33" s="96">
        <v>11230314.217942577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67.860218253900001</v>
      </c>
      <c r="D34" s="96">
        <v>852.25708333290004</v>
      </c>
      <c r="E34" s="96">
        <v>1880938.5392911113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920.18333333329997</v>
      </c>
      <c r="D35" s="96">
        <v>6152.3953333332001</v>
      </c>
      <c r="E35" s="96">
        <v>11751173.096258886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908.63172222030005</v>
      </c>
      <c r="D36" s="96">
        <v>3152.3417857279001</v>
      </c>
      <c r="E36" s="96">
        <v>16282414.11621139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1476.2325992066001</v>
      </c>
      <c r="D37" s="96">
        <v>6167.8120714330998</v>
      </c>
      <c r="E37" s="96">
        <v>23783410.400892016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1059.3671717167999</v>
      </c>
      <c r="D38" s="96">
        <v>12934.8299999956</v>
      </c>
      <c r="E38" s="96">
        <v>25426733.026460908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1412.2499999997999</v>
      </c>
      <c r="D39" s="96">
        <v>17526.469999996902</v>
      </c>
      <c r="E39" s="96">
        <v>31390792.999044314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1541.5790343914</v>
      </c>
      <c r="D40" s="96">
        <v>8432.6859272794009</v>
      </c>
      <c r="E40" s="96">
        <v>20694916.407701585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3199.6933730157998</v>
      </c>
      <c r="D41" s="96">
        <v>14966.0536071483</v>
      </c>
      <c r="E41" s="96">
        <v>35975298.026544489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253.7277777779</v>
      </c>
      <c r="D42" s="96">
        <v>2997.1500000016999</v>
      </c>
      <c r="E42" s="96">
        <v>5839858.4783710102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327.19568452329997</v>
      </c>
      <c r="D43" s="96">
        <v>1610.1215919577</v>
      </c>
      <c r="E43" s="96">
        <v>11610713.574258471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1299.0927579371</v>
      </c>
      <c r="D44" s="96">
        <v>13197.747773807199</v>
      </c>
      <c r="E44" s="96">
        <v>18973242.700626545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525.60740079460004</v>
      </c>
      <c r="D45" s="96">
        <v>4990.7270488104004</v>
      </c>
      <c r="E45" s="96">
        <v>11195454.161089208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477.97899999999998</v>
      </c>
      <c r="D46" s="96">
        <v>-24.9999999996</v>
      </c>
      <c r="E46" s="96">
        <v>4034305.1607760922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26937005.080985263</v>
      </c>
      <c r="E2" s="59">
        <v>25816464.992216989</v>
      </c>
      <c r="F2" s="59">
        <f t="shared" ref="F2:F9" si="0">+D2-E2</f>
        <v>1120540.0887682736</v>
      </c>
      <c r="G2" s="60">
        <f t="shared" ref="G2:G41" si="1">+D2/C2</f>
        <v>0.83450358208403252</v>
      </c>
      <c r="H2" s="59">
        <f>+D2/$N$3*$N$4</f>
        <v>46177722.995974734</v>
      </c>
      <c r="I2" s="60">
        <f t="shared" ref="I2:I41" si="2">+H2/C2</f>
        <v>1.4305775692869127</v>
      </c>
      <c r="J2" s="59">
        <f>+D2/$N$3</f>
        <v>1924071.7914989474</v>
      </c>
      <c r="K2" s="59">
        <f t="shared" ref="K2:K41" si="3">+(C2-D2)/$N$2</f>
        <v>534207.15572654898</v>
      </c>
      <c r="L2" s="61" cm="1">
        <f t="array" ref="L2">+_xlfn.IFS(I2&gt;114%,H2*0.02,I2&gt;109%,H2*0.015,I2&gt;104%,H2*0.0125,I2&gt;99%,H2*0.01,I2&lt;99%,H2*0)</f>
        <v>923554.45991949469</v>
      </c>
      <c r="M2" s="53" t="s">
        <v>36</v>
      </c>
      <c r="N2">
        <v>10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21783715.745983802</v>
      </c>
      <c r="E3" s="4">
        <v>20167812.79109044</v>
      </c>
      <c r="F3" s="4">
        <f t="shared" si="0"/>
        <v>1615902.9548933618</v>
      </c>
      <c r="G3" s="5">
        <f t="shared" si="1"/>
        <v>0.70309223965728174</v>
      </c>
      <c r="H3" s="4">
        <f t="shared" ref="H3:H41" si="4">+D3/$N$3*$N$4</f>
        <v>37343512.707400799</v>
      </c>
      <c r="I3" s="5">
        <f t="shared" si="2"/>
        <v>1.2053009822696257</v>
      </c>
      <c r="J3" s="4">
        <f t="shared" ref="J3:J41" si="5">+D3/$N$3</f>
        <v>1555979.6961417</v>
      </c>
      <c r="K3" s="4">
        <f t="shared" si="3"/>
        <v>919901.2432899453</v>
      </c>
      <c r="L3" s="63" cm="1">
        <f t="array" ref="L3">+_xlfn.IFS(I3&gt;114%,H3*0.02,I3&gt;109%,H3*0.015,I3&gt;104%,H3*0.0125,I3&gt;99%,H3*0.01,I3&lt;99%,H3*0)</f>
        <v>746870.25414801599</v>
      </c>
      <c r="M3" s="53" t="s">
        <v>40</v>
      </c>
      <c r="N3">
        <f>N4-N2</f>
        <v>14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16877139.689307179</v>
      </c>
      <c r="E4" s="4">
        <v>15725839.167291585</v>
      </c>
      <c r="F4" s="4">
        <f t="shared" si="0"/>
        <v>1151300.5220155939</v>
      </c>
      <c r="G4" s="5">
        <f t="shared" si="1"/>
        <v>0.59447414955819411</v>
      </c>
      <c r="H4" s="4">
        <f t="shared" si="4"/>
        <v>28932239.467383735</v>
      </c>
      <c r="I4" s="5">
        <f t="shared" si="2"/>
        <v>1.0190985420997614</v>
      </c>
      <c r="J4" s="4">
        <f t="shared" si="5"/>
        <v>1205509.9778076557</v>
      </c>
      <c r="K4" s="4">
        <f t="shared" si="3"/>
        <v>1151289.1570841074</v>
      </c>
      <c r="L4" s="63" cm="1">
        <f t="array" ref="L4">+_xlfn.IFS(I4&gt;114%,H4*0.02,I4&gt;109%,H4*0.015,I4&gt;104%,H4*0.0125,I4&gt;99%,H4*0.01,I4&lt;99%,H4*0)</f>
        <v>289322.39467383735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19347743.856695283</v>
      </c>
      <c r="E5" s="4">
        <v>17565663.927074969</v>
      </c>
      <c r="F5" s="4">
        <f t="shared" si="0"/>
        <v>1782079.9296203144</v>
      </c>
      <c r="G5" s="5">
        <f t="shared" si="1"/>
        <v>0.68149780038650964</v>
      </c>
      <c r="H5" s="4">
        <f t="shared" si="4"/>
        <v>33167560.897191916</v>
      </c>
      <c r="I5" s="5">
        <f t="shared" si="2"/>
        <v>1.1682819435197309</v>
      </c>
      <c r="J5" s="4">
        <f t="shared" si="5"/>
        <v>1381981.7040496632</v>
      </c>
      <c r="K5" s="4">
        <f t="shared" si="3"/>
        <v>904228.74034529703</v>
      </c>
      <c r="L5" s="63" cm="1">
        <f t="array" ref="L5">+_xlfn.IFS(I5&gt;114%,H5*0.02,I5&gt;109%,H5*0.015,I5&gt;104%,H5*0.0125,I5&gt;99%,H5*0.01,I5&lt;99%,H5*0)</f>
        <v>663351.21794383833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15064484.982327275</v>
      </c>
      <c r="E6" s="4">
        <v>13449925.580210861</v>
      </c>
      <c r="F6" s="4">
        <f t="shared" si="0"/>
        <v>1614559.4021164142</v>
      </c>
      <c r="G6" s="5">
        <f t="shared" si="1"/>
        <v>0.64025931190212482</v>
      </c>
      <c r="H6" s="4">
        <f t="shared" si="4"/>
        <v>25824831.398275327</v>
      </c>
      <c r="I6" s="5">
        <f t="shared" si="2"/>
        <v>1.0975873918322139</v>
      </c>
      <c r="J6" s="4">
        <f t="shared" si="5"/>
        <v>1076034.6415948053</v>
      </c>
      <c r="K6" s="4">
        <f t="shared" si="3"/>
        <v>846423.95551928505</v>
      </c>
      <c r="L6" s="63" cm="1">
        <f t="array" ref="L6">+_xlfn.IFS(I6&gt;114%,H6*0.02,I6&gt;109%,H6*0.015,I6&gt;104%,H6*0.0125,I6&gt;99%,H6*0.01,I6&lt;99%,H6*0)</f>
        <v>387372.47097412992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12584516.890795717</v>
      </c>
      <c r="E7" s="4">
        <v>11583284.080894364</v>
      </c>
      <c r="F7" s="4">
        <f t="shared" ref="F7:F8" si="6">+D7-E7</f>
        <v>1001232.809901353</v>
      </c>
      <c r="G7" s="5">
        <f t="shared" si="1"/>
        <v>0.45362921728621586</v>
      </c>
      <c r="H7" s="4">
        <f t="shared" si="4"/>
        <v>21573457.527078371</v>
      </c>
      <c r="I7" s="5">
        <f t="shared" si="2"/>
        <v>0.77765008677637004</v>
      </c>
      <c r="J7" s="4">
        <f t="shared" si="5"/>
        <v>898894.06362826552</v>
      </c>
      <c r="K7" s="4">
        <f t="shared" si="3"/>
        <v>1515734.0139668786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21392847.025956277</v>
      </c>
      <c r="E8" s="4">
        <v>20343953.298605677</v>
      </c>
      <c r="F8" s="4">
        <f t="shared" si="6"/>
        <v>1048893.7273506001</v>
      </c>
      <c r="G8" s="5">
        <f t="shared" si="1"/>
        <v>0.59704737201510549</v>
      </c>
      <c r="H8" s="4">
        <f t="shared" si="4"/>
        <v>36673452.044496477</v>
      </c>
      <c r="I8" s="5">
        <f t="shared" si="2"/>
        <v>1.0235097805973237</v>
      </c>
      <c r="J8" s="4">
        <f t="shared" si="5"/>
        <v>1528060.5018540197</v>
      </c>
      <c r="K8" s="4">
        <f t="shared" si="3"/>
        <v>1443822.4390961428</v>
      </c>
      <c r="L8" s="63" cm="1">
        <f t="array" ref="L8">+_xlfn.IFS(I8&gt;114%,H8*0.02,I8&gt;109%,H8*0.015,I8&gt;104%,H8*0.0125,I8&gt;99%,H8*0.01,I8&lt;99%,H8*0)</f>
        <v>366734.52044496476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22371668.480170313</v>
      </c>
      <c r="E9" s="4">
        <v>21241812.405432917</v>
      </c>
      <c r="F9" s="4">
        <f t="shared" si="0"/>
        <v>1129856.0747373961</v>
      </c>
      <c r="G9" s="5">
        <f t="shared" si="1"/>
        <v>0.62436504395476966</v>
      </c>
      <c r="H9" s="4">
        <f t="shared" si="4"/>
        <v>38351431.680291966</v>
      </c>
      <c r="I9" s="5">
        <f t="shared" si="2"/>
        <v>1.0703400753510337</v>
      </c>
      <c r="J9" s="4">
        <f t="shared" si="5"/>
        <v>1597976.3200121652</v>
      </c>
      <c r="K9" s="4">
        <f t="shared" si="3"/>
        <v>1345940.2936747391</v>
      </c>
      <c r="L9" s="63" cm="1">
        <f t="array" ref="L9">+_xlfn.IFS(I9&gt;114%,H9*0.02,I9&gt;109%,H9*0.015,I9&gt;104%,H9*0.0125,I9&gt;99%,H9*0.01,I9&lt;99%,H9*0)</f>
        <v>479392.89600364957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156359121.75222111</v>
      </c>
      <c r="E10" s="65">
        <v>145894756.24281782</v>
      </c>
      <c r="F10" s="64">
        <f>+SUM(F2:F9)</f>
        <v>10464365.509403307</v>
      </c>
      <c r="G10" s="66">
        <f t="shared" si="1"/>
        <v>0.6435204629133352</v>
      </c>
      <c r="H10" s="64">
        <f t="shared" si="4"/>
        <v>268044208.71809334</v>
      </c>
      <c r="I10" s="66">
        <f t="shared" si="2"/>
        <v>1.1031779364228602</v>
      </c>
      <c r="J10" s="64">
        <f t="shared" si="5"/>
        <v>11168508.696587222</v>
      </c>
      <c r="K10" s="67">
        <f t="shared" si="3"/>
        <v>8661546.9987029396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59333161.464760199</v>
      </c>
      <c r="E11" s="59">
        <v>55125480.325350739</v>
      </c>
      <c r="F11" s="59">
        <f t="shared" ref="F11:F16" si="7">+D11-E11</f>
        <v>4207681.1394094601</v>
      </c>
      <c r="G11" s="60">
        <f t="shared" si="1"/>
        <v>0.61185902103342016</v>
      </c>
      <c r="H11" s="59">
        <f t="shared" si="4"/>
        <v>101713991.08244604</v>
      </c>
      <c r="I11" s="60">
        <f t="shared" si="2"/>
        <v>1.0489011789144345</v>
      </c>
      <c r="J11" s="59">
        <f t="shared" si="5"/>
        <v>4238082.9617685853</v>
      </c>
      <c r="K11" s="59">
        <f t="shared" si="3"/>
        <v>3763878.7015377311</v>
      </c>
      <c r="L11" s="61" cm="1">
        <f t="array" ref="L11">+_xlfn.IFS(I11&gt;114%,H11*0.0125,I11&gt;109%,H11*0.01,I11&gt;104%,H11*0.0075,I11&gt;99%,H11*0.005,I11&lt;99%,H11*0)</f>
        <v>762854.93311834522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23783410.400892016</v>
      </c>
      <c r="E12" s="4">
        <v>23371700.396195162</v>
      </c>
      <c r="F12" s="4">
        <f t="shared" si="7"/>
        <v>411710.00469685346</v>
      </c>
      <c r="G12" s="5">
        <f t="shared" si="1"/>
        <v>0.75190426418091849</v>
      </c>
      <c r="H12" s="4">
        <f t="shared" si="4"/>
        <v>40771560.687243454</v>
      </c>
      <c r="I12" s="5">
        <f t="shared" si="2"/>
        <v>1.2889787385958602</v>
      </c>
      <c r="J12" s="4">
        <f t="shared" si="5"/>
        <v>1698815.028635144</v>
      </c>
      <c r="K12" s="4">
        <f t="shared" si="3"/>
        <v>784749.20076749881</v>
      </c>
      <c r="L12" s="63" cm="1">
        <f t="array" ref="L12">+_xlfn.IFS(I12&gt;114%,H12*0.02,I12&gt;109%,H12*0.015,I12&gt;104%,H12*0.0125,I12&gt;99%,H12*0.01,I12&lt;99%,H12*0)</f>
        <v>815431.21374486911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65596238.911079958</v>
      </c>
      <c r="E13" s="4">
        <v>64304217.001077607</v>
      </c>
      <c r="F13" s="4">
        <f t="shared" si="7"/>
        <v>1292021.9100023508</v>
      </c>
      <c r="G13" s="5">
        <f t="shared" si="1"/>
        <v>0.51101774483839579</v>
      </c>
      <c r="H13" s="4">
        <f t="shared" si="4"/>
        <v>112450695.27613705</v>
      </c>
      <c r="I13" s="5">
        <f t="shared" si="2"/>
        <v>0.87603041972296403</v>
      </c>
      <c r="J13" s="4">
        <f t="shared" si="5"/>
        <v>4685445.6365057109</v>
      </c>
      <c r="K13" s="4">
        <f t="shared" si="3"/>
        <v>6276767.7163545024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25426733.026460908</v>
      </c>
      <c r="E14" s="4">
        <v>24556777.325660907</v>
      </c>
      <c r="F14" s="4">
        <f t="shared" si="7"/>
        <v>869955.70080000162</v>
      </c>
      <c r="G14" s="5">
        <f t="shared" si="1"/>
        <v>0.59899405515352744</v>
      </c>
      <c r="H14" s="4">
        <f t="shared" si="4"/>
        <v>43588685.188218698</v>
      </c>
      <c r="I14" s="5">
        <f t="shared" si="2"/>
        <v>1.0268469516917613</v>
      </c>
      <c r="J14" s="4">
        <f t="shared" si="5"/>
        <v>1816195.2161757792</v>
      </c>
      <c r="K14" s="4">
        <f t="shared" si="3"/>
        <v>1702232.436851409</v>
      </c>
      <c r="L14" s="63" cm="1">
        <f t="array" ref="L14">+_xlfn.IFS(I14&gt;109%,H14*0.015,I14&gt;104%,H14*0.0125,I14&gt;99%,H14*0.01,I14&lt;99%,H14*0)</f>
        <v>435886.85188218701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31390792.999044314</v>
      </c>
      <c r="E15" s="4">
        <v>29449983.687544316</v>
      </c>
      <c r="F15" s="4">
        <f t="shared" si="7"/>
        <v>1940809.311499998</v>
      </c>
      <c r="G15" s="5">
        <f t="shared" si="1"/>
        <v>0.73949328737651232</v>
      </c>
      <c r="H15" s="4">
        <f t="shared" si="4"/>
        <v>53812787.998361684</v>
      </c>
      <c r="I15" s="5">
        <f t="shared" si="2"/>
        <v>1.2677027783597354</v>
      </c>
      <c r="J15" s="4">
        <f t="shared" si="5"/>
        <v>2242199.4999317368</v>
      </c>
      <c r="K15" s="4">
        <f t="shared" si="3"/>
        <v>1105826.4395930686</v>
      </c>
      <c r="L15" s="63" cm="1">
        <f t="array" ref="L15">+_xlfn.IFS(I15&gt;109%,H15*0.015,I15&gt;104%,H15*0.0125,I15&gt;99%,H15*0.01,I15&lt;99%,H15*0)</f>
        <v>807191.81997542526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205530336.80223739</v>
      </c>
      <c r="E16" s="65">
        <v>196808158.73582876</v>
      </c>
      <c r="F16" s="64">
        <f t="shared" si="7"/>
        <v>8722178.0664086342</v>
      </c>
      <c r="G16" s="66">
        <f t="shared" si="1"/>
        <v>0.60120342208933464</v>
      </c>
      <c r="H16" s="64">
        <f t="shared" si="4"/>
        <v>352337720.23240697</v>
      </c>
      <c r="I16" s="66">
        <f t="shared" si="2"/>
        <v>1.030634437867431</v>
      </c>
      <c r="J16" s="64">
        <f t="shared" si="5"/>
        <v>14680738.343016956</v>
      </c>
      <c r="K16" s="67">
        <f t="shared" si="3"/>
        <v>13633454.495104212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11896290.267721681</v>
      </c>
      <c r="E17" s="59">
        <v>10621962.126144474</v>
      </c>
      <c r="F17" s="59">
        <f t="shared" ref="F17:F40" si="8">+D17-E17</f>
        <v>1274328.1415772066</v>
      </c>
      <c r="G17" s="60">
        <f t="shared" si="1"/>
        <v>0.40549058951406247</v>
      </c>
      <c r="H17" s="59">
        <f t="shared" si="4"/>
        <v>20393640.458951451</v>
      </c>
      <c r="I17" s="60">
        <f t="shared" si="2"/>
        <v>0.69512672488124994</v>
      </c>
      <c r="J17" s="59">
        <f t="shared" si="5"/>
        <v>849735.01912297716</v>
      </c>
      <c r="K17" s="59">
        <f t="shared" si="3"/>
        <v>1744172.7864778326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12287251.632388951</v>
      </c>
      <c r="E18" s="4">
        <v>10967412.891714148</v>
      </c>
      <c r="F18" s="4">
        <f t="shared" si="8"/>
        <v>1319838.740674803</v>
      </c>
      <c r="G18" s="5">
        <f t="shared" si="1"/>
        <v>0.49228745479248248</v>
      </c>
      <c r="H18" s="4">
        <f t="shared" si="4"/>
        <v>21063859.941238202</v>
      </c>
      <c r="I18" s="5">
        <f t="shared" si="2"/>
        <v>0.84392135107282717</v>
      </c>
      <c r="J18" s="4">
        <f t="shared" si="5"/>
        <v>877660.83088492509</v>
      </c>
      <c r="K18" s="4">
        <f t="shared" si="3"/>
        <v>1267225.4267611052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13261392.359808654</v>
      </c>
      <c r="E19" s="4">
        <v>12119565.962394305</v>
      </c>
      <c r="F19" s="4">
        <f t="shared" si="8"/>
        <v>1141826.397414349</v>
      </c>
      <c r="G19" s="5">
        <f t="shared" si="1"/>
        <v>0.51288130035897139</v>
      </c>
      <c r="H19" s="4">
        <f t="shared" si="4"/>
        <v>22733815.473957691</v>
      </c>
      <c r="I19" s="5">
        <f t="shared" si="2"/>
        <v>0.87922508632966523</v>
      </c>
      <c r="J19" s="4">
        <f t="shared" si="5"/>
        <v>947242.31141490384</v>
      </c>
      <c r="K19" s="4">
        <f t="shared" si="3"/>
        <v>1259525.7805691347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25788895.62215988</v>
      </c>
      <c r="E20" s="4">
        <v>23966157.061793938</v>
      </c>
      <c r="F20" s="4">
        <f t="shared" si="8"/>
        <v>1822738.5603659414</v>
      </c>
      <c r="G20" s="5">
        <f t="shared" si="1"/>
        <v>0.76871335666577778</v>
      </c>
      <c r="H20" s="4">
        <f t="shared" si="4"/>
        <v>44209535.352274075</v>
      </c>
      <c r="I20" s="5">
        <f t="shared" si="2"/>
        <v>1.3177943257127618</v>
      </c>
      <c r="J20" s="4">
        <f t="shared" si="5"/>
        <v>1842063.9730114199</v>
      </c>
      <c r="K20" s="4">
        <f t="shared" si="3"/>
        <v>775923.43778401206</v>
      </c>
      <c r="L20" s="63" cm="1">
        <f t="array" ref="L20">+_xlfn.IFS(I20&gt;114%,H20*0.02,I20&gt;109%,H20*0.015,I20&gt;104%,H20*0.0125,I20&gt;99%,H20*0.01,I20&lt;99%,H20*0)</f>
        <v>884190.70704548154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13501972.617272178</v>
      </c>
      <c r="E21" s="4">
        <v>12810368.916756971</v>
      </c>
      <c r="F21" s="4">
        <f t="shared" ref="F21:F23" si="9">+D21-E21</f>
        <v>691603.7005152069</v>
      </c>
      <c r="G21" s="5">
        <f t="shared" si="1"/>
        <v>0.53035203620605365</v>
      </c>
      <c r="H21" s="4">
        <f t="shared" si="4"/>
        <v>23146238.772466592</v>
      </c>
      <c r="I21" s="5">
        <f t="shared" si="2"/>
        <v>0.90917491921037774</v>
      </c>
      <c r="J21" s="4">
        <f t="shared" si="5"/>
        <v>964426.61551944131</v>
      </c>
      <c r="K21" s="4">
        <f t="shared" si="3"/>
        <v>1195653.7382727822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16175526.924235191</v>
      </c>
      <c r="E22" s="4">
        <v>15729400.126823407</v>
      </c>
      <c r="F22" s="4">
        <f t="shared" si="9"/>
        <v>446126.79741178453</v>
      </c>
      <c r="G22" s="5">
        <f t="shared" si="1"/>
        <v>0.50957952544079266</v>
      </c>
      <c r="H22" s="4">
        <f t="shared" si="4"/>
        <v>27729474.727260329</v>
      </c>
      <c r="I22" s="5">
        <f t="shared" si="2"/>
        <v>0.87356490075564464</v>
      </c>
      <c r="J22" s="4">
        <f t="shared" si="5"/>
        <v>1155394.7803025136</v>
      </c>
      <c r="K22" s="4">
        <f t="shared" si="3"/>
        <v>1556736.3275764813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16282414.11621139</v>
      </c>
      <c r="E23" s="4">
        <v>15219121.752963766</v>
      </c>
      <c r="F23" s="4">
        <f t="shared" si="9"/>
        <v>1063292.3632476237</v>
      </c>
      <c r="G23" s="5">
        <f t="shared" si="1"/>
        <v>0.59347011324899324</v>
      </c>
      <c r="H23" s="4">
        <f t="shared" si="4"/>
        <v>27912709.913505241</v>
      </c>
      <c r="I23" s="5">
        <f t="shared" si="2"/>
        <v>1.0173773369982742</v>
      </c>
      <c r="J23" s="4">
        <f t="shared" si="5"/>
        <v>1163029.579729385</v>
      </c>
      <c r="K23" s="4">
        <f t="shared" si="3"/>
        <v>1115353.2113788615</v>
      </c>
      <c r="L23" s="63" cm="1">
        <f t="array" ref="L23">+_xlfn.IFS(I23&gt;114%,H23*0.02,I23&gt;109%,H23*0.015,I23&gt;104%,H23*0.0125,I23&gt;99%,H23*0.01,I23&lt;99%,H23*0)</f>
        <v>279127.09913505241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20694916.407701585</v>
      </c>
      <c r="E24" s="4">
        <v>19950659.881944489</v>
      </c>
      <c r="F24" s="4">
        <f t="shared" si="8"/>
        <v>744256.52575709671</v>
      </c>
      <c r="G24" s="5">
        <f t="shared" si="1"/>
        <v>0.61786834731421991</v>
      </c>
      <c r="H24" s="4">
        <f t="shared" si="4"/>
        <v>35476999.55605986</v>
      </c>
      <c r="I24" s="5">
        <f t="shared" si="2"/>
        <v>1.0592028811100913</v>
      </c>
      <c r="J24" s="4">
        <f t="shared" si="5"/>
        <v>1478208.3148358276</v>
      </c>
      <c r="K24" s="4">
        <f t="shared" si="3"/>
        <v>1279913.8592298415</v>
      </c>
      <c r="L24" s="63" cm="1">
        <f t="array" ref="L24">+_xlfn.IFS(I24&gt;114%,H24*0.02,I24&gt;109%,H24*0.015,I24&gt;104%,H24*0.0125,I24&gt;99%,H24*0.01,I24&lt;99%,H24*0)</f>
        <v>443462.49445074826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35975298.026544489</v>
      </c>
      <c r="E25" s="4">
        <v>22089067.174868885</v>
      </c>
      <c r="F25" s="4">
        <f t="shared" si="8"/>
        <v>13886230.851675604</v>
      </c>
      <c r="G25" s="5">
        <f t="shared" si="1"/>
        <v>0.66540884843411729</v>
      </c>
      <c r="H25" s="4">
        <f t="shared" si="4"/>
        <v>61671939.474076264</v>
      </c>
      <c r="I25" s="5">
        <f t="shared" si="2"/>
        <v>1.1407008830299155</v>
      </c>
      <c r="J25" s="4">
        <f t="shared" si="5"/>
        <v>2569664.1447531777</v>
      </c>
      <c r="K25" s="4">
        <f t="shared" si="3"/>
        <v>1808965.483845552</v>
      </c>
      <c r="L25" s="63" cm="1">
        <f t="array" ref="L25">+_xlfn.IFS(I25&gt;109%,H25*0.015,I25&gt;104%,H25*0.0125,I25&gt;99%,H25*0.01,I25&lt;99%,H25*0)</f>
        <v>925079.09211114387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165863957.974044</v>
      </c>
      <c r="E26" s="65">
        <v>143473715.8954044</v>
      </c>
      <c r="F26" s="67">
        <f>+D26-E26</f>
        <v>22390242.078639597</v>
      </c>
      <c r="G26" s="66">
        <f t="shared" si="1"/>
        <v>0.58014947970840169</v>
      </c>
      <c r="H26" s="64">
        <f t="shared" si="4"/>
        <v>284338213.66978967</v>
      </c>
      <c r="I26" s="66">
        <f t="shared" si="2"/>
        <v>0.99454196521440286</v>
      </c>
      <c r="J26" s="64">
        <f t="shared" si="5"/>
        <v>11847425.56957457</v>
      </c>
      <c r="K26" s="67">
        <f t="shared" si="3"/>
        <v>12003470.051895604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44876701.927839369</v>
      </c>
      <c r="E27" s="59">
        <v>43692487.08063937</v>
      </c>
      <c r="F27" s="59">
        <f t="shared" si="8"/>
        <v>1184214.8471999988</v>
      </c>
      <c r="G27" s="60">
        <f t="shared" si="1"/>
        <v>0.54742572587227223</v>
      </c>
      <c r="H27" s="59">
        <f t="shared" si="4"/>
        <v>76931489.019153208</v>
      </c>
      <c r="I27" s="60">
        <f t="shared" si="2"/>
        <v>0.93844410149532387</v>
      </c>
      <c r="J27" s="59">
        <f t="shared" si="5"/>
        <v>3205478.7091313833</v>
      </c>
      <c r="K27" s="59">
        <f t="shared" si="3"/>
        <v>3710099.8072160631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8057680.7929911632</v>
      </c>
      <c r="E28" s="4">
        <v>7535974.4603506317</v>
      </c>
      <c r="F28" s="4">
        <f t="shared" si="8"/>
        <v>521706.33264053147</v>
      </c>
      <c r="G28" s="5">
        <f t="shared" si="1"/>
        <v>0.3836990853805316</v>
      </c>
      <c r="H28" s="4">
        <f t="shared" si="4"/>
        <v>13813167.073699139</v>
      </c>
      <c r="I28" s="5">
        <f t="shared" si="2"/>
        <v>0.65776986065234</v>
      </c>
      <c r="J28" s="4">
        <f t="shared" si="5"/>
        <v>575548.62807079742</v>
      </c>
      <c r="K28" s="4">
        <f t="shared" si="3"/>
        <v>1294231.9207008837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13277219.730041685</v>
      </c>
      <c r="E29" s="4">
        <v>12850915.177441016</v>
      </c>
      <c r="F29" s="4">
        <f t="shared" si="8"/>
        <v>426304.55260066874</v>
      </c>
      <c r="G29" s="5">
        <f t="shared" si="1"/>
        <v>0.51582651429665782</v>
      </c>
      <c r="H29" s="4">
        <f t="shared" si="4"/>
        <v>22760948.108642887</v>
      </c>
      <c r="I29" s="5">
        <f t="shared" si="2"/>
        <v>0.8842740245085563</v>
      </c>
      <c r="J29" s="4">
        <f t="shared" si="5"/>
        <v>948372.83786012034</v>
      </c>
      <c r="K29" s="4">
        <f t="shared" si="3"/>
        <v>1246248.0269958316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11230314.217942577</v>
      </c>
      <c r="E30" s="4">
        <v>9642556.4815232344</v>
      </c>
      <c r="F30" s="4">
        <f t="shared" si="8"/>
        <v>1587757.7364193425</v>
      </c>
      <c r="G30" s="5">
        <f t="shared" si="1"/>
        <v>0.29373195851636513</v>
      </c>
      <c r="H30" s="4">
        <f t="shared" si="4"/>
        <v>19251967.230758704</v>
      </c>
      <c r="I30" s="5">
        <f t="shared" si="2"/>
        <v>0.50354050031376885</v>
      </c>
      <c r="J30" s="4">
        <f t="shared" si="5"/>
        <v>802165.3012816126</v>
      </c>
      <c r="K30" s="4">
        <f t="shared" si="3"/>
        <v>2700289.0894183097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12802627.864902593</v>
      </c>
      <c r="E31" s="4">
        <v>11588903.613097664</v>
      </c>
      <c r="F31" s="4">
        <f t="shared" si="8"/>
        <v>1213724.2518049292</v>
      </c>
      <c r="G31" s="5">
        <f t="shared" si="1"/>
        <v>0.50373802598450113</v>
      </c>
      <c r="H31" s="4">
        <f t="shared" si="4"/>
        <v>21947362.05411873</v>
      </c>
      <c r="I31" s="5">
        <f t="shared" si="2"/>
        <v>0.8635509016877162</v>
      </c>
      <c r="J31" s="4">
        <f t="shared" si="5"/>
        <v>914473.41892161383</v>
      </c>
      <c r="K31" s="4">
        <f t="shared" si="3"/>
        <v>1261262.2135097408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9453417.9587769005</v>
      </c>
      <c r="E32" s="4">
        <v>8419876.3054508269</v>
      </c>
      <c r="F32" s="4">
        <f t="shared" si="8"/>
        <v>1033541.6533260737</v>
      </c>
      <c r="G32" s="5">
        <f t="shared" si="1"/>
        <v>0.37513563328479765</v>
      </c>
      <c r="H32" s="4">
        <f t="shared" si="4"/>
        <v>16205859.357903259</v>
      </c>
      <c r="I32" s="5">
        <f t="shared" si="2"/>
        <v>0.64308965705965315</v>
      </c>
      <c r="J32" s="4">
        <f t="shared" si="5"/>
        <v>675244.13991263579</v>
      </c>
      <c r="K32" s="4">
        <f t="shared" si="3"/>
        <v>1574658.20412231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11452040.387756737</v>
      </c>
      <c r="E33" s="4">
        <v>10653241.374119855</v>
      </c>
      <c r="F33" s="4">
        <f t="shared" si="8"/>
        <v>798799.01363688149</v>
      </c>
      <c r="G33" s="5">
        <f t="shared" si="1"/>
        <v>0.43220547379421009</v>
      </c>
      <c r="H33" s="4">
        <f t="shared" si="4"/>
        <v>19632069.236154407</v>
      </c>
      <c r="I33" s="5">
        <f t="shared" si="2"/>
        <v>0.74092366936150311</v>
      </c>
      <c r="J33" s="4">
        <f t="shared" si="5"/>
        <v>818002.88483976689</v>
      </c>
      <c r="K33" s="4">
        <f t="shared" si="3"/>
        <v>1504470.9612243264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7764107.8530795742</v>
      </c>
      <c r="E34" s="4">
        <v>7015916.0627130093</v>
      </c>
      <c r="F34" s="4">
        <f t="shared" si="8"/>
        <v>748191.79036656488</v>
      </c>
      <c r="G34" s="5">
        <f t="shared" si="1"/>
        <v>0.36971942157521781</v>
      </c>
      <c r="H34" s="4">
        <f t="shared" si="4"/>
        <v>13309899.176707841</v>
      </c>
      <c r="I34" s="5">
        <f t="shared" si="2"/>
        <v>0.63380472270037336</v>
      </c>
      <c r="J34" s="4">
        <f t="shared" si="5"/>
        <v>554579.13236282673</v>
      </c>
      <c r="K34" s="4">
        <f t="shared" si="3"/>
        <v>1323589.2146920427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4443564.7834526366</v>
      </c>
      <c r="E35" s="4">
        <v>4297511.625002631</v>
      </c>
      <c r="F35" s="4">
        <f t="shared" si="8"/>
        <v>146053.15845000558</v>
      </c>
      <c r="G35" s="5">
        <f t="shared" si="1"/>
        <v>0.18020637286795615</v>
      </c>
      <c r="H35" s="4">
        <f t="shared" si="4"/>
        <v>7617539.6287759487</v>
      </c>
      <c r="I35" s="5">
        <f t="shared" si="2"/>
        <v>0.30892521063078199</v>
      </c>
      <c r="J35" s="4">
        <f t="shared" si="5"/>
        <v>317397.48453233117</v>
      </c>
      <c r="K35" s="4">
        <f t="shared" si="3"/>
        <v>2021463.5216547363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8338730.6322451513</v>
      </c>
      <c r="E36" s="4">
        <v>7669142.5805392843</v>
      </c>
      <c r="F36" s="4">
        <f t="shared" si="8"/>
        <v>669588.05170586705</v>
      </c>
      <c r="G36" s="5">
        <f t="shared" si="1"/>
        <v>0.33044306052090949</v>
      </c>
      <c r="H36" s="4">
        <f t="shared" si="4"/>
        <v>14294966.798134543</v>
      </c>
      <c r="I36" s="5">
        <f t="shared" si="2"/>
        <v>0.56647381803584473</v>
      </c>
      <c r="J36" s="4">
        <f t="shared" si="5"/>
        <v>595623.61658893933</v>
      </c>
      <c r="K36" s="4">
        <f t="shared" si="3"/>
        <v>1689626.9367754846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34946802.602325797</v>
      </c>
      <c r="E37" s="4">
        <v>35141605.525244027</v>
      </c>
      <c r="F37" s="4">
        <f t="shared" si="8"/>
        <v>-194802.9229182303</v>
      </c>
      <c r="G37" s="5">
        <f t="shared" si="1"/>
        <v>0.28642161596998483</v>
      </c>
      <c r="H37" s="4">
        <f t="shared" si="4"/>
        <v>59908804.461129941</v>
      </c>
      <c r="I37" s="5">
        <f t="shared" si="2"/>
        <v>0.49100848451997403</v>
      </c>
      <c r="J37" s="4">
        <f t="shared" si="5"/>
        <v>2496200.1858804142</v>
      </c>
      <c r="K37" s="4">
        <f t="shared" si="3"/>
        <v>8706494.739767421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5839858.4783710102</v>
      </c>
      <c r="E38" s="4">
        <v>4784668.386799518</v>
      </c>
      <c r="F38" s="4">
        <f t="shared" ref="F38" si="10">+D38-E38</f>
        <v>1055190.0915714921</v>
      </c>
      <c r="G38" s="5">
        <f t="shared" si="1"/>
        <v>0.16358146998238124</v>
      </c>
      <c r="H38" s="4">
        <f t="shared" si="4"/>
        <v>10011185.962921731</v>
      </c>
      <c r="I38" s="5">
        <f t="shared" si="2"/>
        <v>0.28042537711265353</v>
      </c>
      <c r="J38" s="4">
        <f t="shared" si="5"/>
        <v>417132.74845507217</v>
      </c>
      <c r="K38" s="4">
        <f t="shared" si="3"/>
        <v>2986014.1521628993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14077255.752934411</v>
      </c>
      <c r="E39" s="4">
        <v>12792718.437014684</v>
      </c>
      <c r="F39" s="4">
        <f t="shared" si="8"/>
        <v>1284537.3159197271</v>
      </c>
      <c r="G39" s="5">
        <f t="shared" si="1"/>
        <v>0.38714804748537518</v>
      </c>
      <c r="H39" s="4">
        <f t="shared" si="4"/>
        <v>24132438.433601849</v>
      </c>
      <c r="I39" s="5">
        <f t="shared" si="2"/>
        <v>0.66368236711778605</v>
      </c>
      <c r="J39" s="4">
        <f t="shared" si="5"/>
        <v>1005518.2680667436</v>
      </c>
      <c r="K39" s="4">
        <f t="shared" si="3"/>
        <v>2228417.1986065591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186560322.98265964</v>
      </c>
      <c r="E40" s="65">
        <v>176085517.10993576</v>
      </c>
      <c r="F40" s="67">
        <f t="shared" si="8"/>
        <v>10474805.872723877</v>
      </c>
      <c r="G40" s="66">
        <f t="shared" si="1"/>
        <v>0.36650235893782579</v>
      </c>
      <c r="H40" s="64">
        <f t="shared" si="4"/>
        <v>319817696.54170227</v>
      </c>
      <c r="I40" s="66">
        <f t="shared" si="2"/>
        <v>0.62828975817912991</v>
      </c>
      <c r="J40" s="64">
        <f t="shared" si="5"/>
        <v>13325737.355904261</v>
      </c>
      <c r="K40" s="67">
        <f t="shared" si="3"/>
        <v>32246865.986846607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714313739.51116216</v>
      </c>
      <c r="E41" s="82">
        <v>662262147.98398674</v>
      </c>
      <c r="F41" s="81">
        <f>+D41-E41</f>
        <v>52051591.527175426</v>
      </c>
      <c r="G41" s="83">
        <f t="shared" si="1"/>
        <v>0.51770600642004205</v>
      </c>
      <c r="H41" s="81">
        <f t="shared" si="4"/>
        <v>1224537839.1619923</v>
      </c>
      <c r="I41" s="83">
        <f t="shared" si="2"/>
        <v>0.88749601100578634</v>
      </c>
      <c r="J41" s="81">
        <f t="shared" si="5"/>
        <v>51022409.96508301</v>
      </c>
      <c r="K41" s="81">
        <f t="shared" si="3"/>
        <v>66545340.75819739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11610713.574258471</v>
      </c>
      <c r="E43" s="4">
        <v>11698187.310080834</v>
      </c>
      <c r="F43" s="4">
        <f t="shared" ref="F43" si="11">+D43-E43</f>
        <v>-87473.735822362825</v>
      </c>
      <c r="G43" s="5">
        <f>+D43/C43</f>
        <v>0.29026783935646178</v>
      </c>
      <c r="H43" s="4">
        <f t="shared" ref="H43" si="12">+D43/$N$3*$N$4</f>
        <v>19904080.413014524</v>
      </c>
      <c r="I43" s="5">
        <f>+H43/C43</f>
        <v>0.49760201032536311</v>
      </c>
      <c r="J43" s="4">
        <f t="shared" ref="J43" si="13">+D43/$N$3</f>
        <v>829336.68387560511</v>
      </c>
      <c r="K43" s="4">
        <f>+(C43-D43)/$N$2</f>
        <v>2838928.6425741529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18973242.700626545</v>
      </c>
      <c r="E44" s="4">
        <v>18973242.700626545</v>
      </c>
      <c r="F44" s="4">
        <f t="shared" ref="F44" si="14">+D44-E44</f>
        <v>0</v>
      </c>
      <c r="G44" s="5">
        <f>+D44/C44</f>
        <v>0.63244142335421816</v>
      </c>
      <c r="H44" s="4">
        <f t="shared" ref="H44" si="15">+D44/$N$3*$N$4</f>
        <v>32525558.915359795</v>
      </c>
      <c r="I44" s="5">
        <f>+H44/C44</f>
        <v>1.0841852971786599</v>
      </c>
      <c r="J44" s="4">
        <f t="shared" ref="J44" si="16">+D44/$N$3</f>
        <v>1355231.6214733247</v>
      </c>
      <c r="K44" s="4">
        <f>+(C44-D44)/$N$2</f>
        <v>1102675.7299373455</v>
      </c>
      <c r="L44" s="4" cm="1">
        <f t="array" ref="L44">+_xlfn.IFS(I44&gt;114%,H44*0.02,I44&gt;109%,H44*0.015,I44&gt;104%,H44*0.0125,I44&gt;99%,H44*0.01,I44&lt;99%,H44*0)</f>
        <v>406569.48644199746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0.7567567567567568</v>
      </c>
      <c r="E2" s="13">
        <v>33</v>
      </c>
      <c r="F2" s="12">
        <f>+H2-E2</f>
        <v>23</v>
      </c>
      <c r="G2" s="13">
        <f>VLOOKUP(B2,'Base Cobertura'!$A:$C,3,FALSE)</f>
        <v>74</v>
      </c>
      <c r="H2" s="13">
        <f>VLOOKUP(B2,'Base Cobertura'!$A:$C,2,FALSE)</f>
        <v>56</v>
      </c>
      <c r="I2" s="17">
        <f>(+G2*$M$2)-H2</f>
        <v>6.8999999999999986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0.42738589211618255</v>
      </c>
      <c r="E3" s="13">
        <v>1</v>
      </c>
      <c r="F3" s="12">
        <f t="shared" ref="F3:F38" si="1">+H3-E3</f>
        <v>102</v>
      </c>
      <c r="G3" s="13">
        <f>VLOOKUP(B3,'Base Cobertura'!$A:$C,3,FALSE)</f>
        <v>241</v>
      </c>
      <c r="H3" s="13">
        <f>VLOOKUP(B3,'Base Cobertura'!$A:$C,2,FALSE)</f>
        <v>103</v>
      </c>
      <c r="I3" s="17">
        <f t="shared" ref="I3:I38" si="2">(+G3*$M$2)-H3</f>
        <v>101.85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59</v>
      </c>
      <c r="T3" s="12">
        <v>214</v>
      </c>
      <c r="U3" s="41">
        <f>+S3/T3</f>
        <v>0.27570093457943923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0.81057268722466957</v>
      </c>
      <c r="E4" s="13">
        <v>126</v>
      </c>
      <c r="F4" s="12">
        <f t="shared" si="1"/>
        <v>58</v>
      </c>
      <c r="G4" s="13">
        <f>VLOOKUP(B4,'Base Cobertura'!$A:$C,3,FALSE)</f>
        <v>227</v>
      </c>
      <c r="H4" s="13">
        <f>VLOOKUP(B4,'Base Cobertura'!$A:$C,2,FALSE)</f>
        <v>184</v>
      </c>
      <c r="I4" s="17">
        <f t="shared" si="2"/>
        <v>8.9499999999999886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36</v>
      </c>
      <c r="T4" s="13">
        <v>214</v>
      </c>
      <c r="U4" s="5">
        <f t="shared" ref="U4:U11" si="3">+S4/T4</f>
        <v>0.16822429906542055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0.72307692307692306</v>
      </c>
      <c r="E5" s="13">
        <v>21</v>
      </c>
      <c r="F5" s="12">
        <f t="shared" si="1"/>
        <v>26</v>
      </c>
      <c r="G5" s="13">
        <f>VLOOKUP(B5,'Base Cobertura'!$A:$C,3,FALSE)</f>
        <v>65</v>
      </c>
      <c r="H5" s="13">
        <f>VLOOKUP(B5,'Base Cobertura'!$A:$C,2,FALSE)</f>
        <v>47</v>
      </c>
      <c r="I5" s="17">
        <f t="shared" si="2"/>
        <v>8.25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75</v>
      </c>
      <c r="T5" s="13">
        <v>214</v>
      </c>
      <c r="U5" s="5">
        <f t="shared" si="3"/>
        <v>0.35046728971962615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0.80193236714975846</v>
      </c>
      <c r="E6" s="13">
        <v>100</v>
      </c>
      <c r="F6" s="12">
        <f t="shared" si="1"/>
        <v>66</v>
      </c>
      <c r="G6" s="13">
        <f>VLOOKUP(B6,'Base Cobertura'!$A:$C,3,FALSE)</f>
        <v>207</v>
      </c>
      <c r="H6" s="13">
        <f>VLOOKUP(B6,'Base Cobertura'!$A:$C,2,FALSE)</f>
        <v>166</v>
      </c>
      <c r="I6" s="17">
        <f t="shared" si="2"/>
        <v>9.9499999999999886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38</v>
      </c>
      <c r="T6" s="13">
        <v>214</v>
      </c>
      <c r="U6" s="5">
        <f t="shared" si="3"/>
        <v>0.17757009345794392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0.6767676767676768</v>
      </c>
      <c r="E7" s="13">
        <v>81</v>
      </c>
      <c r="F7" s="12">
        <f t="shared" si="1"/>
        <v>53</v>
      </c>
      <c r="G7" s="13">
        <f>VLOOKUP(B7,'Base Cobertura'!$A:$C,3,FALSE)</f>
        <v>198</v>
      </c>
      <c r="H7" s="13">
        <f>VLOOKUP(B7,'Base Cobertura'!$A:$C,2,FALSE)</f>
        <v>134</v>
      </c>
      <c r="I7" s="17">
        <f t="shared" si="2"/>
        <v>34.299999999999983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73</v>
      </c>
      <c r="T7" s="13">
        <v>214</v>
      </c>
      <c r="U7" s="5">
        <f t="shared" si="3"/>
        <v>0.34112149532710279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0.77570093457943923</v>
      </c>
      <c r="E8" s="13">
        <v>89</v>
      </c>
      <c r="F8" s="12">
        <f t="shared" si="1"/>
        <v>77</v>
      </c>
      <c r="G8" s="13">
        <f>VLOOKUP(B8,'Base Cobertura'!$A:$C,3,FALSE)</f>
        <v>214</v>
      </c>
      <c r="H8" s="13">
        <f>VLOOKUP(B8,'Base Cobertura'!$A:$C,2,FALSE)</f>
        <v>166</v>
      </c>
      <c r="I8" s="17">
        <f t="shared" si="2"/>
        <v>15.900000000000006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67</v>
      </c>
      <c r="T8" s="13">
        <v>214</v>
      </c>
      <c r="U8" s="5">
        <f t="shared" si="3"/>
        <v>0.31308411214953269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0.71084337349397586</v>
      </c>
      <c r="E9" s="13">
        <v>92</v>
      </c>
      <c r="F9" s="12">
        <f t="shared" si="1"/>
        <v>26</v>
      </c>
      <c r="G9" s="13">
        <f>VLOOKUP(B9,'Base Cobertura'!$A:$C,3,FALSE)</f>
        <v>166</v>
      </c>
      <c r="H9" s="13">
        <f>VLOOKUP(B9,'Base Cobertura'!$A:$C,2,FALSE)</f>
        <v>118</v>
      </c>
      <c r="I9" s="17">
        <f t="shared" si="2"/>
        <v>23.099999999999994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15</v>
      </c>
      <c r="T9" s="13">
        <v>214</v>
      </c>
      <c r="U9" s="5">
        <f t="shared" si="3"/>
        <v>7.0093457943925228E-2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0.6512820512820513</v>
      </c>
      <c r="E10" s="13">
        <v>64</v>
      </c>
      <c r="F10" s="12">
        <f t="shared" si="1"/>
        <v>63</v>
      </c>
      <c r="G10" s="13">
        <f>VLOOKUP(B10,'Base Cobertura'!$A:$C,3,FALSE)</f>
        <v>195</v>
      </c>
      <c r="H10" s="13">
        <f>VLOOKUP(B10,'Base Cobertura'!$A:$C,2,FALSE)</f>
        <v>127</v>
      </c>
      <c r="I10" s="17">
        <f t="shared" si="2"/>
        <v>38.75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18</v>
      </c>
      <c r="T10" s="13">
        <v>214</v>
      </c>
      <c r="U10" s="5">
        <f t="shared" si="3"/>
        <v>8.4112149532710276E-2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0.39603960396039606</v>
      </c>
      <c r="E11" s="31">
        <v>19</v>
      </c>
      <c r="F11" s="33">
        <f t="shared" si="1"/>
        <v>21</v>
      </c>
      <c r="G11" s="13">
        <f>VLOOKUP(B11,'Base Cobertura'!$A:$C,3,FALSE)</f>
        <v>101</v>
      </c>
      <c r="H11" s="13">
        <f>VLOOKUP(B11,'Base Cobertura'!$A:$C,2,FALSE)</f>
        <v>40</v>
      </c>
      <c r="I11" s="34">
        <f t="shared" si="2"/>
        <v>45.849999999999994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30</v>
      </c>
      <c r="T11" s="13">
        <v>214</v>
      </c>
      <c r="U11" s="5">
        <f t="shared" si="3"/>
        <v>0.14018691588785046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0.47619047619047616</v>
      </c>
      <c r="E12" s="31">
        <v>24</v>
      </c>
      <c r="F12" s="33">
        <f t="shared" si="1"/>
        <v>26</v>
      </c>
      <c r="G12" s="13">
        <f>VLOOKUP(B12,'Base Cobertura'!$A:$C,3,FALSE)</f>
        <v>105</v>
      </c>
      <c r="H12" s="13">
        <f>VLOOKUP(B12,'Base Cobertura'!$A:$C,2,FALSE)</f>
        <v>50</v>
      </c>
      <c r="I12" s="34">
        <f t="shared" si="2"/>
        <v>39.25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0.75478927203065138</v>
      </c>
      <c r="E13" s="13">
        <v>144</v>
      </c>
      <c r="F13" s="12">
        <f t="shared" si="1"/>
        <v>53</v>
      </c>
      <c r="G13" s="13">
        <f>VLOOKUP(B13,'Base Cobertura'!$A:$C,3,FALSE)</f>
        <v>261</v>
      </c>
      <c r="H13" s="13">
        <f>VLOOKUP(B13,'Base Cobertura'!$A:$C,2,FALSE)</f>
        <v>197</v>
      </c>
      <c r="I13" s="17">
        <f t="shared" si="2"/>
        <v>24.849999999999994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0.63736263736263732</v>
      </c>
      <c r="E14" s="13">
        <v>85</v>
      </c>
      <c r="F14" s="12">
        <f t="shared" si="1"/>
        <v>31</v>
      </c>
      <c r="G14" s="13">
        <f>VLOOKUP(B14,'Base Cobertura'!$A:$C,3,FALSE)</f>
        <v>182</v>
      </c>
      <c r="H14" s="13">
        <f>VLOOKUP(B14,'Base Cobertura'!$A:$C,2,FALSE)</f>
        <v>116</v>
      </c>
      <c r="I14" s="17">
        <f t="shared" si="2"/>
        <v>38.699999999999989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625</v>
      </c>
      <c r="G15" s="8">
        <f>+SUM(G2:G14)</f>
        <v>2236</v>
      </c>
      <c r="H15" s="8">
        <f>+SUM(H2:H14)</f>
        <v>1504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0.75155279503105588</v>
      </c>
      <c r="E16" s="13">
        <v>90</v>
      </c>
      <c r="F16" s="12">
        <f t="shared" si="1"/>
        <v>31</v>
      </c>
      <c r="G16" s="13">
        <f>VLOOKUP(B16,'Base Cobertura'!$A:$C,3,FALSE)</f>
        <v>161</v>
      </c>
      <c r="H16" s="13">
        <f>VLOOKUP(B16,'Base Cobertura'!$A:$C,2,FALSE)</f>
        <v>121</v>
      </c>
      <c r="I16" s="17">
        <f t="shared" si="2"/>
        <v>15.849999999999994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0.55940594059405946</v>
      </c>
      <c r="E17" s="13">
        <v>92</v>
      </c>
      <c r="F17" s="12">
        <f t="shared" si="1"/>
        <v>21</v>
      </c>
      <c r="G17" s="13">
        <f>VLOOKUP(B17,'Base Cobertura'!$A:$C,3,FALSE)</f>
        <v>202</v>
      </c>
      <c r="H17" s="13">
        <f>VLOOKUP(B17,'Base Cobertura'!$A:$C,2,FALSE)</f>
        <v>113</v>
      </c>
      <c r="I17" s="17">
        <f t="shared" si="2"/>
        <v>58.699999999999989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0.83040935672514615</v>
      </c>
      <c r="E18" s="13">
        <v>88</v>
      </c>
      <c r="F18" s="12">
        <f t="shared" si="1"/>
        <v>54</v>
      </c>
      <c r="G18" s="13">
        <f>VLOOKUP(B18,'Base Cobertura'!$A:$C,3,FALSE)</f>
        <v>171</v>
      </c>
      <c r="H18" s="13">
        <f>VLOOKUP(B18,'Base Cobertura'!$A:$C,2,FALSE)</f>
        <v>142</v>
      </c>
      <c r="I18" s="17">
        <f t="shared" si="2"/>
        <v>3.3499999999999943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0.7857142857142857</v>
      </c>
      <c r="E19" s="13">
        <v>95</v>
      </c>
      <c r="F19" s="12">
        <f t="shared" si="1"/>
        <v>26</v>
      </c>
      <c r="G19" s="13">
        <f>VLOOKUP(B19,'Base Cobertura'!$A:$C,3,FALSE)</f>
        <v>154</v>
      </c>
      <c r="H19" s="13">
        <f>VLOOKUP(B19,'Base Cobertura'!$A:$C,2,FALSE)</f>
        <v>121</v>
      </c>
      <c r="I19" s="17">
        <f t="shared" si="2"/>
        <v>9.9000000000000057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0.80790960451977401</v>
      </c>
      <c r="E20" s="13">
        <v>83</v>
      </c>
      <c r="F20" s="12">
        <f t="shared" si="1"/>
        <v>60</v>
      </c>
      <c r="G20" s="13">
        <f>VLOOKUP(B20,'Base Cobertura'!$A:$C,3,FALSE)</f>
        <v>177</v>
      </c>
      <c r="H20" s="13">
        <f>VLOOKUP(B20,'Base Cobertura'!$A:$C,2,FALSE)</f>
        <v>143</v>
      </c>
      <c r="I20" s="17">
        <f t="shared" si="2"/>
        <v>7.4499999999999886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0.75739644970414199</v>
      </c>
      <c r="E21" s="13">
        <v>64</v>
      </c>
      <c r="F21" s="12">
        <f t="shared" si="1"/>
        <v>64</v>
      </c>
      <c r="G21" s="13">
        <f>VLOOKUP(B21,'Base Cobertura'!$A:$C,3,FALSE)</f>
        <v>169</v>
      </c>
      <c r="H21" s="13">
        <f>VLOOKUP(B21,'Base Cobertura'!$A:$C,2,FALSE)</f>
        <v>128</v>
      </c>
      <c r="I21" s="17">
        <f t="shared" si="2"/>
        <v>15.650000000000006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0.35353535353535354</v>
      </c>
      <c r="E22" s="13">
        <v>66</v>
      </c>
      <c r="F22" s="12">
        <f t="shared" si="1"/>
        <v>4</v>
      </c>
      <c r="G22" s="13">
        <f>VLOOKUP(B22,'Base Cobertura'!$A:$C,3,FALSE)</f>
        <v>198</v>
      </c>
      <c r="H22" s="13">
        <f>VLOOKUP(B22,'Base Cobertura'!$A:$C,2,FALSE)</f>
        <v>70</v>
      </c>
      <c r="I22" s="17">
        <f t="shared" si="2"/>
        <v>98.299999999999983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0.72463768115942029</v>
      </c>
      <c r="E23" s="13">
        <v>70</v>
      </c>
      <c r="F23" s="12">
        <f t="shared" si="1"/>
        <v>30</v>
      </c>
      <c r="G23" s="13">
        <f>VLOOKUP(B23,'Base Cobertura'!$A:$C,3,FALSE)</f>
        <v>138</v>
      </c>
      <c r="H23" s="13">
        <f>VLOOKUP(B23,'Base Cobertura'!$A:$C,2,FALSE)</f>
        <v>100</v>
      </c>
      <c r="I23" s="17">
        <f t="shared" si="2"/>
        <v>17.299999999999997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0.76470588235294112</v>
      </c>
      <c r="E24" s="13">
        <v>79</v>
      </c>
      <c r="F24" s="12">
        <f t="shared" si="1"/>
        <v>51</v>
      </c>
      <c r="G24" s="13">
        <f>VLOOKUP(B24,'Base Cobertura'!$A:$C,3,FALSE)</f>
        <v>170</v>
      </c>
      <c r="H24" s="13">
        <f>VLOOKUP(B24,'Base Cobertura'!$A:$C,2,FALSE)</f>
        <v>130</v>
      </c>
      <c r="I24" s="17">
        <f t="shared" si="2"/>
        <v>14.5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341</v>
      </c>
      <c r="G25" s="8">
        <f>+SUM(G16:G24)</f>
        <v>1540</v>
      </c>
      <c r="H25" s="8">
        <f>+SUM(H16:H24)</f>
        <v>1068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0.74137931034482762</v>
      </c>
      <c r="E26" s="13">
        <v>20</v>
      </c>
      <c r="F26" s="12">
        <f>+H26-E26</f>
        <v>23</v>
      </c>
      <c r="G26" s="13">
        <f>VLOOKUP(B26,'Base Cobertura'!$A:$C,3,FALSE)</f>
        <v>58</v>
      </c>
      <c r="H26" s="13">
        <f>VLOOKUP(B26,'Base Cobertura'!$A:$C,2,FALSE)</f>
        <v>43</v>
      </c>
      <c r="I26" s="17">
        <f t="shared" si="2"/>
        <v>6.2999999999999972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0.65625</v>
      </c>
      <c r="E27" s="13">
        <v>68</v>
      </c>
      <c r="F27" s="12">
        <f t="shared" si="1"/>
        <v>37</v>
      </c>
      <c r="G27" s="13">
        <f>VLOOKUP(B27,'Base Cobertura'!$A:$C,3,FALSE)</f>
        <v>160</v>
      </c>
      <c r="H27" s="13">
        <f>VLOOKUP(B27,'Base Cobertura'!$A:$C,2,FALSE)</f>
        <v>105</v>
      </c>
      <c r="I27" s="17">
        <f t="shared" si="2"/>
        <v>31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0.7142857142857143</v>
      </c>
      <c r="E28" s="13">
        <v>80</v>
      </c>
      <c r="F28" s="12">
        <f t="shared" si="1"/>
        <v>35</v>
      </c>
      <c r="G28" s="13">
        <f>VLOOKUP(B28,'Base Cobertura'!$A:$C,3,FALSE)</f>
        <v>161</v>
      </c>
      <c r="H28" s="13">
        <f>VLOOKUP(B28,'Base Cobertura'!$A:$C,2,FALSE)</f>
        <v>115</v>
      </c>
      <c r="I28" s="17">
        <f t="shared" si="2"/>
        <v>21.849999999999994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0.4</v>
      </c>
      <c r="E29" s="13">
        <v>68</v>
      </c>
      <c r="F29" s="12">
        <f t="shared" si="1"/>
        <v>32</v>
      </c>
      <c r="G29" s="13">
        <f>VLOOKUP(B29,'Base Cobertura'!$A:$C,3,FALSE)</f>
        <v>250</v>
      </c>
      <c r="H29" s="13">
        <f>VLOOKUP(B29,'Base Cobertura'!$A:$C,2,FALSE)</f>
        <v>100</v>
      </c>
      <c r="I29" s="17">
        <f t="shared" si="2"/>
        <v>112.5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0.8848920863309353</v>
      </c>
      <c r="E30" s="13">
        <v>73</v>
      </c>
      <c r="F30" s="12">
        <f t="shared" si="1"/>
        <v>50</v>
      </c>
      <c r="G30" s="13">
        <f>VLOOKUP(B30,'Base Cobertura'!$A:$C,3,FALSE)</f>
        <v>139</v>
      </c>
      <c r="H30" s="13">
        <f>VLOOKUP(B30,'Base Cobertura'!$A:$C,2,FALSE)</f>
        <v>123</v>
      </c>
      <c r="I30" s="17">
        <f t="shared" si="2"/>
        <v>-4.8500000000000085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0.61878453038674031</v>
      </c>
      <c r="E31" s="13">
        <v>40</v>
      </c>
      <c r="F31" s="12">
        <f t="shared" si="1"/>
        <v>72</v>
      </c>
      <c r="G31" s="13">
        <f>VLOOKUP(B31,'Base Cobertura'!$A:$C,3,FALSE)</f>
        <v>181</v>
      </c>
      <c r="H31" s="13">
        <f>VLOOKUP(B31,'Base Cobertura'!$A:$C,2,FALSE)</f>
        <v>112</v>
      </c>
      <c r="I31" s="17">
        <f t="shared" si="2"/>
        <v>41.849999999999994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0.75</v>
      </c>
      <c r="E32" s="13">
        <v>67</v>
      </c>
      <c r="F32" s="12">
        <f t="shared" si="1"/>
        <v>59</v>
      </c>
      <c r="G32" s="13">
        <f>VLOOKUP(B32,'Base Cobertura'!$A:$C,3,FALSE)</f>
        <v>168</v>
      </c>
      <c r="H32" s="13">
        <f>VLOOKUP(B32,'Base Cobertura'!$A:$C,2,FALSE)</f>
        <v>126</v>
      </c>
      <c r="I32" s="17">
        <f t="shared" si="2"/>
        <v>16.799999999999983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0.72619047619047616</v>
      </c>
      <c r="E33" s="13">
        <v>66</v>
      </c>
      <c r="F33" s="12">
        <f t="shared" si="1"/>
        <v>56</v>
      </c>
      <c r="G33" s="13">
        <f>VLOOKUP(B33,'Base Cobertura'!$A:$C,3,FALSE)</f>
        <v>168</v>
      </c>
      <c r="H33" s="13">
        <f>VLOOKUP(B33,'Base Cobertura'!$A:$C,2,FALSE)</f>
        <v>122</v>
      </c>
      <c r="I33" s="17">
        <f t="shared" si="2"/>
        <v>20.799999999999983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0.6235955056179775</v>
      </c>
      <c r="E35" s="13">
        <v>81</v>
      </c>
      <c r="F35" s="12">
        <f t="shared" si="1"/>
        <v>30</v>
      </c>
      <c r="G35" s="13">
        <f>VLOOKUP(B35,'Base Cobertura'!$A:$C,3,FALSE)</f>
        <v>178</v>
      </c>
      <c r="H35" s="13">
        <f>VLOOKUP(B35,'Base Cobertura'!$A:$C,2,FALSE)</f>
        <v>111</v>
      </c>
      <c r="I35" s="17">
        <f t="shared" si="2"/>
        <v>40.299999999999983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9.5652173913043481E-2</v>
      </c>
      <c r="E36" s="13">
        <v>0</v>
      </c>
      <c r="F36" s="12">
        <f t="shared" si="1"/>
        <v>11</v>
      </c>
      <c r="G36" s="13">
        <f>VLOOKUP(B36,'Base Cobertura'!$A:$C,3,FALSE)</f>
        <v>115</v>
      </c>
      <c r="H36" s="13">
        <f>VLOOKUP(B36,'Base Cobertura'!$A:$C,2,FALSE)</f>
        <v>11</v>
      </c>
      <c r="I36" s="17">
        <f t="shared" si="2"/>
        <v>86.75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0.25</v>
      </c>
      <c r="E37" s="13">
        <v>17</v>
      </c>
      <c r="F37" s="12">
        <f t="shared" si="1"/>
        <v>9</v>
      </c>
      <c r="G37" s="13">
        <f>VLOOKUP(B37,'Base Cobertura'!$A:$C,3,FALSE)</f>
        <v>104</v>
      </c>
      <c r="H37" s="13">
        <f>VLOOKUP(B37,'Base Cobertura'!$A:$C,2,FALSE)</f>
        <v>26</v>
      </c>
      <c r="I37" s="17">
        <f t="shared" si="2"/>
        <v>62.399999999999991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0.69291338582677164</v>
      </c>
      <c r="E38" s="13">
        <v>60</v>
      </c>
      <c r="F38" s="12">
        <f t="shared" si="1"/>
        <v>28</v>
      </c>
      <c r="G38" s="13">
        <f>VLOOKUP(B38,'Base Cobertura'!$A:$C,3,FALSE)</f>
        <v>127</v>
      </c>
      <c r="H38" s="13">
        <f>VLOOKUP(B38,'Base Cobertura'!$A:$C,2,FALSE)</f>
        <v>88</v>
      </c>
      <c r="I38" s="17">
        <f t="shared" si="2"/>
        <v>19.950000000000003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429</v>
      </c>
      <c r="G39" s="8">
        <f>+SUM(G26:G38)</f>
        <v>1951</v>
      </c>
      <c r="H39" s="8">
        <f>+SUM(H26:H38)</f>
        <v>1151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1395</v>
      </c>
      <c r="G40" s="8">
        <f>+G15+G25+G39</f>
        <v>5727</v>
      </c>
      <c r="H40" s="8">
        <f>+H15+H25+H39</f>
        <v>3723</v>
      </c>
      <c r="I40" s="8"/>
      <c r="L40" s="1">
        <f>+H40/G40</f>
        <v>0.65007857517024625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0.28099173553719009</v>
      </c>
      <c r="E41" s="13">
        <v>60</v>
      </c>
      <c r="F41" s="12">
        <f t="shared" ref="F41:F42" si="5">+H41-E41</f>
        <v>-26</v>
      </c>
      <c r="G41" s="13">
        <f>VLOOKUP(B41,'Base Cobertura'!$A:$C,3,FALSE)</f>
        <v>121</v>
      </c>
      <c r="H41" s="13">
        <f>VLOOKUP(B41,'Base Cobertura'!$A:$C,2,FALSE)</f>
        <v>34</v>
      </c>
      <c r="I41" s="17">
        <f t="shared" ref="I41:I42" si="6">(+G41*$M$2)-H41</f>
        <v>68.849999999999994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0.35245901639344263</v>
      </c>
      <c r="E42" s="13">
        <v>60</v>
      </c>
      <c r="F42" s="12">
        <f t="shared" si="5"/>
        <v>-17</v>
      </c>
      <c r="G42" s="13">
        <f>VLOOKUP(B42,'Base Cobertura'!$A:$C,3,FALSE)</f>
        <v>122</v>
      </c>
      <c r="H42" s="13">
        <f>VLOOKUP(B42,'Base Cobertura'!$A:$C,2,FALSE)</f>
        <v>43</v>
      </c>
      <c r="I42" s="17">
        <f t="shared" si="6"/>
        <v>60.7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3432</v>
      </c>
      <c r="G3" t="s">
        <v>222</v>
      </c>
      <c r="H3" s="51">
        <v>1</v>
      </c>
      <c r="I3" s="51">
        <v>3432</v>
      </c>
    </row>
    <row r="4" spans="1:9" x14ac:dyDescent="0.25">
      <c r="A4">
        <v>1</v>
      </c>
      <c r="B4" s="51">
        <v>88</v>
      </c>
      <c r="C4" s="51">
        <v>127</v>
      </c>
      <c r="G4" t="s">
        <v>223</v>
      </c>
      <c r="H4">
        <v>2</v>
      </c>
      <c r="I4" s="51">
        <v>3432</v>
      </c>
    </row>
    <row r="5" spans="1:9" x14ac:dyDescent="0.25">
      <c r="A5">
        <v>10</v>
      </c>
      <c r="B5" s="51">
        <v>112</v>
      </c>
      <c r="C5" s="51">
        <v>181</v>
      </c>
      <c r="G5" t="s">
        <v>224</v>
      </c>
      <c r="H5" s="51">
        <v>1</v>
      </c>
      <c r="I5" s="51">
        <v>3432</v>
      </c>
    </row>
    <row r="6" spans="1:9" x14ac:dyDescent="0.25">
      <c r="A6">
        <v>100</v>
      </c>
      <c r="B6" s="51">
        <v>40</v>
      </c>
      <c r="C6" s="51">
        <v>2028</v>
      </c>
      <c r="G6" t="s">
        <v>225</v>
      </c>
      <c r="H6" s="51"/>
      <c r="I6" s="51">
        <v>3432</v>
      </c>
    </row>
    <row r="7" spans="1:9" x14ac:dyDescent="0.25">
      <c r="A7">
        <v>11</v>
      </c>
      <c r="B7" s="51">
        <v>118</v>
      </c>
      <c r="C7" s="51">
        <v>166</v>
      </c>
      <c r="G7" t="s">
        <v>226</v>
      </c>
      <c r="H7" s="51">
        <v>4</v>
      </c>
      <c r="I7" s="51">
        <v>3432</v>
      </c>
    </row>
    <row r="8" spans="1:9" x14ac:dyDescent="0.25">
      <c r="A8">
        <v>12</v>
      </c>
      <c r="B8" s="51">
        <v>166</v>
      </c>
      <c r="C8" s="51">
        <v>214</v>
      </c>
      <c r="G8" t="s">
        <v>227</v>
      </c>
      <c r="H8" s="51">
        <v>2</v>
      </c>
      <c r="I8" s="51">
        <v>3432</v>
      </c>
    </row>
    <row r="9" spans="1:9" x14ac:dyDescent="0.25">
      <c r="A9">
        <v>123</v>
      </c>
      <c r="B9" s="51">
        <v>33</v>
      </c>
      <c r="C9" s="51">
        <v>489</v>
      </c>
      <c r="G9" t="s">
        <v>228</v>
      </c>
      <c r="H9" s="51">
        <v>2</v>
      </c>
      <c r="I9" s="51">
        <v>3432</v>
      </c>
    </row>
    <row r="10" spans="1:9" x14ac:dyDescent="0.25">
      <c r="A10">
        <v>15</v>
      </c>
      <c r="B10" s="51">
        <v>47</v>
      </c>
      <c r="C10" s="51">
        <v>65</v>
      </c>
      <c r="G10" t="s">
        <v>229</v>
      </c>
      <c r="H10">
        <v>1</v>
      </c>
      <c r="I10" s="51">
        <v>3432</v>
      </c>
    </row>
    <row r="11" spans="1:9" x14ac:dyDescent="0.25">
      <c r="A11">
        <v>16</v>
      </c>
      <c r="B11" s="51">
        <v>134</v>
      </c>
      <c r="C11" s="51">
        <v>198</v>
      </c>
      <c r="G11" t="s">
        <v>230</v>
      </c>
      <c r="H11" s="51">
        <v>1</v>
      </c>
      <c r="I11" s="51">
        <v>3432</v>
      </c>
    </row>
    <row r="12" spans="1:9" x14ac:dyDescent="0.25">
      <c r="A12">
        <v>18</v>
      </c>
      <c r="B12" s="51">
        <v>143</v>
      </c>
      <c r="C12" s="51">
        <v>177</v>
      </c>
      <c r="E12">
        <f>+F12</f>
        <v>1</v>
      </c>
      <c r="F12">
        <v>1</v>
      </c>
      <c r="G12" t="s">
        <v>222</v>
      </c>
      <c r="H12">
        <v>35</v>
      </c>
      <c r="I12" s="51">
        <v>127</v>
      </c>
    </row>
    <row r="13" spans="1:9" x14ac:dyDescent="0.25">
      <c r="A13">
        <v>19</v>
      </c>
      <c r="B13" s="51">
        <v>166</v>
      </c>
      <c r="C13" s="51">
        <v>207</v>
      </c>
      <c r="E13">
        <f>+$E$12</f>
        <v>1</v>
      </c>
      <c r="G13" t="s">
        <v>223</v>
      </c>
      <c r="H13" s="51">
        <v>36</v>
      </c>
      <c r="I13" s="51">
        <v>127</v>
      </c>
    </row>
    <row r="14" spans="1:9" x14ac:dyDescent="0.25">
      <c r="A14">
        <v>2</v>
      </c>
      <c r="B14" s="51">
        <v>100</v>
      </c>
      <c r="C14" s="51">
        <v>138</v>
      </c>
      <c r="E14">
        <f t="shared" ref="E14:E20" si="0">+$E$12</f>
        <v>1</v>
      </c>
      <c r="G14" t="s">
        <v>224</v>
      </c>
      <c r="H14" s="51">
        <v>49</v>
      </c>
      <c r="I14" s="51">
        <v>127</v>
      </c>
    </row>
    <row r="15" spans="1:9" x14ac:dyDescent="0.25">
      <c r="A15">
        <v>20</v>
      </c>
      <c r="B15" s="51">
        <v>184</v>
      </c>
      <c r="C15" s="51">
        <v>227</v>
      </c>
      <c r="E15">
        <f t="shared" si="0"/>
        <v>1</v>
      </c>
      <c r="G15" t="s">
        <v>225</v>
      </c>
      <c r="H15" s="51">
        <v>32</v>
      </c>
      <c r="I15" s="51">
        <v>127</v>
      </c>
    </row>
    <row r="16" spans="1:9" x14ac:dyDescent="0.25">
      <c r="A16">
        <v>21</v>
      </c>
      <c r="B16" s="51">
        <v>142</v>
      </c>
      <c r="C16" s="51">
        <v>171</v>
      </c>
      <c r="E16">
        <f t="shared" si="0"/>
        <v>1</v>
      </c>
      <c r="G16" t="s">
        <v>226</v>
      </c>
      <c r="H16" s="51">
        <v>58</v>
      </c>
      <c r="I16" s="51">
        <v>127</v>
      </c>
    </row>
    <row r="17" spans="1:9" x14ac:dyDescent="0.25">
      <c r="A17">
        <v>22</v>
      </c>
      <c r="B17" s="51">
        <v>56</v>
      </c>
      <c r="C17" s="51">
        <v>74</v>
      </c>
      <c r="E17">
        <f t="shared" si="0"/>
        <v>1</v>
      </c>
      <c r="G17" t="s">
        <v>227</v>
      </c>
      <c r="H17" s="51">
        <v>54</v>
      </c>
      <c r="I17" s="51">
        <v>127</v>
      </c>
    </row>
    <row r="18" spans="1:9" x14ac:dyDescent="0.25">
      <c r="A18">
        <v>23</v>
      </c>
      <c r="B18" s="51">
        <v>121</v>
      </c>
      <c r="C18" s="51">
        <v>154</v>
      </c>
      <c r="E18">
        <f t="shared" si="0"/>
        <v>1</v>
      </c>
      <c r="G18" t="s">
        <v>228</v>
      </c>
      <c r="H18" s="51">
        <v>21</v>
      </c>
      <c r="I18" s="51">
        <v>127</v>
      </c>
    </row>
    <row r="19" spans="1:9" x14ac:dyDescent="0.25">
      <c r="A19">
        <v>24</v>
      </c>
      <c r="B19" s="51">
        <v>111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72</v>
      </c>
      <c r="C20" s="51">
        <v>172</v>
      </c>
      <c r="E20">
        <f t="shared" si="0"/>
        <v>1</v>
      </c>
      <c r="G20" t="s">
        <v>230</v>
      </c>
      <c r="H20">
        <v>30</v>
      </c>
      <c r="I20" s="51">
        <v>127</v>
      </c>
    </row>
    <row r="21" spans="1:9" x14ac:dyDescent="0.25">
      <c r="A21">
        <v>26</v>
      </c>
      <c r="B21" s="51">
        <v>64</v>
      </c>
      <c r="C21" s="51">
        <v>166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123</v>
      </c>
      <c r="C22" s="51">
        <v>139</v>
      </c>
      <c r="E22">
        <f t="shared" ref="E22:E29" si="1">+$F$21</f>
        <v>10</v>
      </c>
      <c r="G22" t="s">
        <v>223</v>
      </c>
      <c r="H22" s="51">
        <v>16</v>
      </c>
      <c r="I22" s="51">
        <v>181</v>
      </c>
    </row>
    <row r="23" spans="1:9" x14ac:dyDescent="0.25">
      <c r="A23">
        <v>28</v>
      </c>
      <c r="B23" s="51">
        <v>126</v>
      </c>
      <c r="C23" s="51">
        <v>168</v>
      </c>
      <c r="E23">
        <f t="shared" si="1"/>
        <v>10</v>
      </c>
      <c r="G23" t="s">
        <v>224</v>
      </c>
      <c r="H23" s="51">
        <v>48</v>
      </c>
      <c r="I23" s="51">
        <v>181</v>
      </c>
    </row>
    <row r="24" spans="1:9" x14ac:dyDescent="0.25">
      <c r="A24">
        <v>3</v>
      </c>
      <c r="B24" s="51">
        <v>130</v>
      </c>
      <c r="C24" s="51">
        <v>170</v>
      </c>
      <c r="E24">
        <f t="shared" si="1"/>
        <v>10</v>
      </c>
      <c r="G24" t="s">
        <v>225</v>
      </c>
      <c r="H24" s="51">
        <v>38</v>
      </c>
      <c r="I24" s="51">
        <v>181</v>
      </c>
    </row>
    <row r="25" spans="1:9" x14ac:dyDescent="0.25">
      <c r="A25">
        <v>30</v>
      </c>
      <c r="B25" s="51">
        <v>20</v>
      </c>
      <c r="C25" s="51">
        <v>139</v>
      </c>
      <c r="E25">
        <f t="shared" si="1"/>
        <v>10</v>
      </c>
      <c r="G25" t="s">
        <v>226</v>
      </c>
      <c r="H25" s="51">
        <v>59</v>
      </c>
      <c r="I25" s="51">
        <v>181</v>
      </c>
    </row>
    <row r="26" spans="1:9" x14ac:dyDescent="0.25">
      <c r="A26">
        <v>31</v>
      </c>
      <c r="B26" s="51">
        <v>121</v>
      </c>
      <c r="C26" s="51">
        <v>161</v>
      </c>
      <c r="E26">
        <f t="shared" si="1"/>
        <v>10</v>
      </c>
      <c r="G26" t="s">
        <v>227</v>
      </c>
      <c r="H26" s="51">
        <v>38</v>
      </c>
      <c r="I26" s="51">
        <v>181</v>
      </c>
    </row>
    <row r="27" spans="1:9" x14ac:dyDescent="0.25">
      <c r="A27">
        <v>32</v>
      </c>
      <c r="B27" s="51">
        <v>43</v>
      </c>
      <c r="C27" s="51">
        <v>58</v>
      </c>
      <c r="E27">
        <f t="shared" si="1"/>
        <v>10</v>
      </c>
      <c r="G27" t="s">
        <v>228</v>
      </c>
      <c r="H27" s="51">
        <v>14</v>
      </c>
      <c r="I27" s="51">
        <v>181</v>
      </c>
    </row>
    <row r="28" spans="1:9" x14ac:dyDescent="0.25">
      <c r="A28">
        <v>33</v>
      </c>
      <c r="B28" s="51">
        <v>122</v>
      </c>
      <c r="C28" s="51">
        <v>168</v>
      </c>
      <c r="E28">
        <f t="shared" si="1"/>
        <v>10</v>
      </c>
      <c r="G28" t="s">
        <v>229</v>
      </c>
      <c r="H28" s="51">
        <v>10</v>
      </c>
      <c r="I28" s="51">
        <v>181</v>
      </c>
    </row>
    <row r="29" spans="1:9" x14ac:dyDescent="0.25">
      <c r="A29">
        <v>36</v>
      </c>
      <c r="B29" s="51">
        <v>105</v>
      </c>
      <c r="C29" s="51">
        <v>160</v>
      </c>
      <c r="E29">
        <f t="shared" si="1"/>
        <v>10</v>
      </c>
      <c r="G29" t="s">
        <v>230</v>
      </c>
      <c r="H29" s="51">
        <v>17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23</v>
      </c>
      <c r="I30" s="51">
        <v>2028</v>
      </c>
    </row>
    <row r="31" spans="1:9" x14ac:dyDescent="0.25">
      <c r="A31">
        <v>4</v>
      </c>
      <c r="B31" s="51">
        <v>116</v>
      </c>
      <c r="C31" s="51">
        <v>182</v>
      </c>
      <c r="E31">
        <f t="shared" ref="E31:E38" si="2">+$F$30</f>
        <v>100</v>
      </c>
      <c r="G31" t="s">
        <v>223</v>
      </c>
      <c r="H31" s="51">
        <v>20</v>
      </c>
      <c r="I31" s="51">
        <v>2028</v>
      </c>
    </row>
    <row r="32" spans="1:9" x14ac:dyDescent="0.25">
      <c r="A32">
        <v>40</v>
      </c>
      <c r="B32" s="51">
        <v>100</v>
      </c>
      <c r="C32" s="51">
        <v>250</v>
      </c>
      <c r="E32">
        <f t="shared" si="2"/>
        <v>100</v>
      </c>
      <c r="G32" t="s">
        <v>224</v>
      </c>
      <c r="H32" s="51">
        <v>20</v>
      </c>
      <c r="I32" s="51">
        <v>2028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2028</v>
      </c>
    </row>
    <row r="34" spans="1:9" x14ac:dyDescent="0.25">
      <c r="A34">
        <v>43</v>
      </c>
      <c r="B34" s="51">
        <v>12</v>
      </c>
      <c r="C34" s="51">
        <v>93</v>
      </c>
      <c r="E34">
        <f t="shared" si="2"/>
        <v>100</v>
      </c>
      <c r="G34" t="s">
        <v>226</v>
      </c>
      <c r="H34" s="51">
        <v>24</v>
      </c>
      <c r="I34" s="51">
        <v>2028</v>
      </c>
    </row>
    <row r="35" spans="1:9" x14ac:dyDescent="0.25">
      <c r="A35">
        <v>44</v>
      </c>
      <c r="B35" s="51">
        <v>128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2028</v>
      </c>
    </row>
    <row r="36" spans="1:9" x14ac:dyDescent="0.25">
      <c r="A36">
        <v>49</v>
      </c>
      <c r="B36" s="51">
        <v>103</v>
      </c>
      <c r="C36" s="51">
        <v>241</v>
      </c>
      <c r="E36">
        <f t="shared" si="2"/>
        <v>100</v>
      </c>
      <c r="G36" t="s">
        <v>228</v>
      </c>
      <c r="H36" s="51">
        <v>19</v>
      </c>
      <c r="I36" s="51">
        <v>2028</v>
      </c>
    </row>
    <row r="37" spans="1:9" x14ac:dyDescent="0.25">
      <c r="A37">
        <v>5</v>
      </c>
      <c r="B37" s="51">
        <v>197</v>
      </c>
      <c r="C37" s="51">
        <v>261</v>
      </c>
      <c r="E37">
        <f t="shared" si="2"/>
        <v>100</v>
      </c>
      <c r="G37" t="s">
        <v>229</v>
      </c>
      <c r="H37" s="51">
        <v>6</v>
      </c>
      <c r="I37" s="51">
        <v>2028</v>
      </c>
    </row>
    <row r="38" spans="1:9" x14ac:dyDescent="0.25">
      <c r="A38">
        <v>52</v>
      </c>
      <c r="B38" s="51">
        <v>40</v>
      </c>
      <c r="C38" s="51">
        <v>101</v>
      </c>
      <c r="E38">
        <f t="shared" si="2"/>
        <v>100</v>
      </c>
      <c r="G38" t="s">
        <v>230</v>
      </c>
      <c r="H38" s="51">
        <v>2</v>
      </c>
      <c r="I38" s="51">
        <v>2028</v>
      </c>
    </row>
    <row r="39" spans="1:9" x14ac:dyDescent="0.25">
      <c r="A39">
        <v>53</v>
      </c>
      <c r="B39" s="51">
        <v>50</v>
      </c>
      <c r="C39" s="51">
        <v>105</v>
      </c>
      <c r="E39">
        <f>+$F$39</f>
        <v>11</v>
      </c>
      <c r="F39">
        <v>11</v>
      </c>
      <c r="G39" t="s">
        <v>222</v>
      </c>
      <c r="H39" s="51">
        <v>37</v>
      </c>
      <c r="I39" s="51">
        <v>166</v>
      </c>
    </row>
    <row r="40" spans="1:9" x14ac:dyDescent="0.25">
      <c r="A40">
        <v>54</v>
      </c>
      <c r="B40" s="51">
        <v>113</v>
      </c>
      <c r="C40" s="51">
        <v>202</v>
      </c>
      <c r="E40">
        <f t="shared" ref="E40:E47" si="3">+$F$39</f>
        <v>11</v>
      </c>
      <c r="G40" t="s">
        <v>223</v>
      </c>
      <c r="H40" s="51">
        <v>23</v>
      </c>
      <c r="I40" s="51">
        <v>166</v>
      </c>
    </row>
    <row r="41" spans="1:9" x14ac:dyDescent="0.25">
      <c r="A41">
        <v>56</v>
      </c>
      <c r="B41">
        <v>70</v>
      </c>
      <c r="C41" s="51">
        <v>198</v>
      </c>
      <c r="E41">
        <f t="shared" si="3"/>
        <v>11</v>
      </c>
      <c r="G41" t="s">
        <v>224</v>
      </c>
      <c r="H41" s="51">
        <v>67</v>
      </c>
      <c r="I41" s="51">
        <v>166</v>
      </c>
    </row>
    <row r="42" spans="1:9" x14ac:dyDescent="0.25">
      <c r="A42">
        <v>57</v>
      </c>
      <c r="B42" s="51">
        <v>26</v>
      </c>
      <c r="C42" s="51">
        <v>104</v>
      </c>
      <c r="E42">
        <f t="shared" si="3"/>
        <v>11</v>
      </c>
      <c r="G42" t="s">
        <v>225</v>
      </c>
      <c r="H42" s="51">
        <v>36</v>
      </c>
      <c r="I42" s="51">
        <v>166</v>
      </c>
    </row>
    <row r="43" spans="1:9" x14ac:dyDescent="0.25">
      <c r="A43">
        <v>58</v>
      </c>
      <c r="B43" s="51">
        <v>34</v>
      </c>
      <c r="C43" s="51">
        <v>121</v>
      </c>
      <c r="E43">
        <f t="shared" si="3"/>
        <v>11</v>
      </c>
      <c r="G43" t="s">
        <v>226</v>
      </c>
      <c r="H43" s="51">
        <v>75</v>
      </c>
      <c r="I43" s="51">
        <v>166</v>
      </c>
    </row>
    <row r="44" spans="1:9" x14ac:dyDescent="0.25">
      <c r="A44">
        <v>59</v>
      </c>
      <c r="B44" s="51">
        <v>43</v>
      </c>
      <c r="C44" s="51">
        <v>122</v>
      </c>
      <c r="E44">
        <f t="shared" si="3"/>
        <v>11</v>
      </c>
      <c r="G44" t="s">
        <v>227</v>
      </c>
      <c r="H44" s="51">
        <v>52</v>
      </c>
      <c r="I44" s="51">
        <v>166</v>
      </c>
    </row>
    <row r="45" spans="1:9" x14ac:dyDescent="0.25">
      <c r="A45">
        <v>7</v>
      </c>
      <c r="B45" s="51">
        <v>11</v>
      </c>
      <c r="C45" s="51">
        <v>115</v>
      </c>
      <c r="E45">
        <f t="shared" si="3"/>
        <v>11</v>
      </c>
      <c r="G45" t="s">
        <v>228</v>
      </c>
      <c r="H45" s="51">
        <v>12</v>
      </c>
      <c r="I45" s="51">
        <v>166</v>
      </c>
    </row>
    <row r="46" spans="1:9" x14ac:dyDescent="0.25">
      <c r="A46">
        <v>8</v>
      </c>
      <c r="B46" s="51">
        <v>127</v>
      </c>
      <c r="C46" s="51">
        <v>195</v>
      </c>
      <c r="E46">
        <f t="shared" si="3"/>
        <v>11</v>
      </c>
      <c r="G46" t="s">
        <v>229</v>
      </c>
      <c r="H46" s="51">
        <v>22</v>
      </c>
      <c r="I46" s="51">
        <v>166</v>
      </c>
    </row>
    <row r="47" spans="1:9" x14ac:dyDescent="0.25">
      <c r="A47">
        <v>9</v>
      </c>
      <c r="B47" s="51">
        <v>115</v>
      </c>
      <c r="C47" s="51">
        <v>161</v>
      </c>
      <c r="E47">
        <f t="shared" si="3"/>
        <v>11</v>
      </c>
      <c r="G47" t="s">
        <v>230</v>
      </c>
      <c r="H47" s="51">
        <v>17</v>
      </c>
      <c r="I47" s="51">
        <v>166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59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36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75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73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67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15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18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30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20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15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20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19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6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4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29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17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32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13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19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38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17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77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30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69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59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9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31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19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48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38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53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42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107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67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19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31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35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47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30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80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46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116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79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27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31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19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46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41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35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61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45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12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20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29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72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93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54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106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93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30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56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54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83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49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110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89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24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33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36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23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32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27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45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25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41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23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27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53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78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39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96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69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13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24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22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36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12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66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27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65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44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19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9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29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25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52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44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47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18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38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14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24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31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34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18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23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46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23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50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31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85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73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22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27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16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37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33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73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67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13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20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45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31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61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37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81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65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15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28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26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7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9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5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48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26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38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94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69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27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14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27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15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18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34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13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39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30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44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37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65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57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12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22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15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30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14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46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39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70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43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18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11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13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22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17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41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23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13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15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32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28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51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44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76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53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32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31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21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4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26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32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64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57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27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17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30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30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71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38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98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81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16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23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23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36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14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54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15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42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32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40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18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24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75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64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96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43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131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90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38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36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30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8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40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49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36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22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63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44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75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55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19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22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29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19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42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20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30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7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26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3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12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9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21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25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24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6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7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12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17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14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19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25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19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9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4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3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3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4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4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6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43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28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64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23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76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64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16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20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37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39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47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44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36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59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61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16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21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24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2026-06-17T17:34:02Z</dcterms:modified>
</cp:coreProperties>
</file>