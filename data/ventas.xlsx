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EC8FCD89-0FC1-45D7-A7A2-E9FD112FCF7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<sst xmlns="http://schemas.openxmlformats.org/spreadsheetml/2006/main" count="1520" uniqueCount="287">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</sst>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0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9" t="s">
        <v>76</v>
      </c>
      <c r="B1" s="149" t="s">
        <v>147</v>
      </c>
      <c r="C1" s="149" t="s">
        <v>148</v>
      </c>
      <c r="D1" s="149" t="s">
        <v>149</v>
      </c>
      <c r="E1" s="149" t="s">
        <v>150</v>
      </c>
      <c r="F1" s="149" t="s">
        <v>151</v>
      </c>
      <c r="G1" s="149" t="s">
        <v>152</v>
      </c>
      <c r="H1" s="149" t="s">
        <v>153</v>
      </c>
    </row>
    <row r="2" spans="1:8" x14ac:dyDescent="0.25">
      <c r="A2" s="148" t="s">
        <v>154</v>
      </c>
      <c r="B2" s="148">
        <v>0</v>
      </c>
      <c r="C2" s="148">
        <v>74243.496960796605</v>
      </c>
      <c r="D2" s="148">
        <v>336395.09343572258</v>
      </c>
      <c r="E2" s="148">
        <v>1242638863.8013639</v>
      </c>
      <c r="F2" s="148">
        <v>0</v>
      </c>
      <c r="G2" s="148">
        <v>567248.20379940316</v>
      </c>
      <c r="H2" s="148">
        <v>567248.54</v>
      </c>
    </row>
    <row r="3" spans="1:8" x14ac:dyDescent="0.25">
      <c r="A3" s="148" t="s">
        <v>81</v>
      </c>
      <c r="B3" s="148">
        <v>1</v>
      </c>
      <c r="C3" s="148">
        <v>801.96920210550002</v>
      </c>
      <c r="D3" s="148">
        <v>1471.6560953922001</v>
      </c>
      <c r="E3" s="148">
        <v>18908273.459980056</v>
      </c>
      <c r="F3" s="148">
        <v>0</v>
      </c>
      <c r="G3" s="148">
        <v>567248.20379940316</v>
      </c>
      <c r="H3" s="148">
        <v>567248.54</v>
      </c>
    </row>
    <row r="4" spans="1:8" x14ac:dyDescent="0.25">
      <c r="A4" s="148" t="s">
        <v>82</v>
      </c>
      <c r="B4" s="148">
        <v>1</v>
      </c>
      <c r="C4" s="148">
        <v>535.79723610819997</v>
      </c>
      <c r="D4" s="148">
        <v>1066.6102202427001</v>
      </c>
      <c r="E4" s="148">
        <v>14656169.833183007</v>
      </c>
      <c r="F4" s="148">
        <v>0</v>
      </c>
      <c r="G4" s="148">
        <v>0</v>
      </c>
      <c r="H4" s="148">
        <v>0</v>
      </c>
    </row>
    <row r="5" spans="1:8" x14ac:dyDescent="0.25">
      <c r="A5" s="148" t="s">
        <v>83</v>
      </c>
      <c r="B5" s="148">
        <v>1</v>
      </c>
      <c r="C5" s="148">
        <v>686.12442460099999</v>
      </c>
      <c r="D5" s="148">
        <v>2582.8470238024001</v>
      </c>
      <c r="E5" s="148">
        <v>14595011.902884074</v>
      </c>
      <c r="F5" s="148">
        <v>0</v>
      </c>
      <c r="G5" s="148">
        <v>0</v>
      </c>
      <c r="H5" s="148">
        <v>0</v>
      </c>
    </row>
    <row r="6" spans="1:8" x14ac:dyDescent="0.25">
      <c r="A6" s="148" t="s">
        <v>84</v>
      </c>
      <c r="B6" s="148">
        <v>1</v>
      </c>
      <c r="C6" s="148">
        <v>1320.8419444439</v>
      </c>
      <c r="D6" s="148">
        <v>3679.6444047876998</v>
      </c>
      <c r="E6" s="148">
        <v>27226807.953012794</v>
      </c>
      <c r="F6" s="148">
        <v>0</v>
      </c>
      <c r="G6" s="148">
        <v>0</v>
      </c>
      <c r="H6" s="148">
        <v>0</v>
      </c>
    </row>
    <row r="7" spans="1:8" x14ac:dyDescent="0.25">
      <c r="A7" s="148" t="s">
        <v>85</v>
      </c>
      <c r="B7" s="148">
        <v>1</v>
      </c>
      <c r="C7" s="148">
        <v>1375.9525079345001</v>
      </c>
      <c r="D7" s="148">
        <v>5289.2796071547</v>
      </c>
      <c r="E7" s="148">
        <v>27943877.977304827</v>
      </c>
      <c r="F7" s="148">
        <v>0</v>
      </c>
      <c r="G7" s="148">
        <v>0</v>
      </c>
      <c r="H7" s="148">
        <v>0</v>
      </c>
    </row>
    <row r="8" spans="1:8" x14ac:dyDescent="0.25">
      <c r="A8" s="148" t="s">
        <v>111</v>
      </c>
      <c r="B8" s="148">
        <v>1</v>
      </c>
      <c r="C8" s="148">
        <v>2825.4697407408999</v>
      </c>
      <c r="D8" s="148">
        <v>5181.3464768557997</v>
      </c>
      <c r="E8" s="148">
        <v>39883215.752393797</v>
      </c>
      <c r="F8" s="148">
        <v>0</v>
      </c>
      <c r="G8" s="148">
        <v>0</v>
      </c>
      <c r="H8" s="148">
        <v>0</v>
      </c>
    </row>
    <row r="9" spans="1:8" x14ac:dyDescent="0.25">
      <c r="A9" s="148" t="s">
        <v>86</v>
      </c>
      <c r="B9" s="148">
        <v>1</v>
      </c>
      <c r="C9" s="148">
        <v>906.49507539679996</v>
      </c>
      <c r="D9" s="148">
        <v>3667.4375535890999</v>
      </c>
      <c r="E9" s="148">
        <v>16410648.477623299</v>
      </c>
      <c r="F9" s="148">
        <v>0</v>
      </c>
      <c r="G9" s="148">
        <v>0</v>
      </c>
      <c r="H9" s="148">
        <v>0</v>
      </c>
    </row>
    <row r="10" spans="1:8" x14ac:dyDescent="0.25">
      <c r="A10" s="148" t="s">
        <v>87</v>
      </c>
      <c r="B10" s="148">
        <v>1</v>
      </c>
      <c r="C10" s="148">
        <v>652.17702579269996</v>
      </c>
      <c r="D10" s="148">
        <v>1811.4244217493001</v>
      </c>
      <c r="E10" s="148">
        <v>15253790.749603992</v>
      </c>
      <c r="F10" s="148">
        <v>0</v>
      </c>
      <c r="G10" s="148">
        <v>0</v>
      </c>
      <c r="H10" s="148">
        <v>0</v>
      </c>
    </row>
    <row r="11" spans="1:8" x14ac:dyDescent="0.25">
      <c r="A11" s="148" t="s">
        <v>213</v>
      </c>
      <c r="B11" s="148">
        <v>1</v>
      </c>
      <c r="C11" s="148">
        <v>733.62365079189999</v>
      </c>
      <c r="D11" s="148">
        <v>1751.3185238096</v>
      </c>
      <c r="E11" s="148">
        <v>12266673.990837373</v>
      </c>
      <c r="F11" s="148">
        <v>0</v>
      </c>
      <c r="G11" s="148">
        <v>0</v>
      </c>
      <c r="H11" s="148">
        <v>0</v>
      </c>
    </row>
    <row r="12" spans="1:8" x14ac:dyDescent="0.25">
      <c r="A12" s="148" t="s">
        <v>212</v>
      </c>
      <c r="B12" s="148">
        <v>1</v>
      </c>
      <c r="C12" s="148">
        <v>1129.7881388855001</v>
      </c>
      <c r="D12" s="148">
        <v>5474.8703690389002</v>
      </c>
      <c r="E12" s="148">
        <v>18588525.306868427</v>
      </c>
      <c r="F12" s="148">
        <v>0</v>
      </c>
      <c r="G12" s="148">
        <v>0</v>
      </c>
      <c r="H12" s="148">
        <v>0</v>
      </c>
    </row>
    <row r="13" spans="1:8" x14ac:dyDescent="0.25">
      <c r="A13" s="148" t="s">
        <v>90</v>
      </c>
      <c r="B13" s="148">
        <v>1</v>
      </c>
      <c r="C13" s="148">
        <v>1614.9493253941</v>
      </c>
      <c r="D13" s="148">
        <v>4419.7131666710002</v>
      </c>
      <c r="E13" s="148">
        <v>26662861.805003796</v>
      </c>
      <c r="F13" s="148">
        <v>0</v>
      </c>
      <c r="G13" s="148">
        <v>0</v>
      </c>
      <c r="H13" s="148">
        <v>0</v>
      </c>
    </row>
    <row r="14" spans="1:8" x14ac:dyDescent="0.25">
      <c r="A14" s="148" t="s">
        <v>91</v>
      </c>
      <c r="B14" s="148">
        <v>1</v>
      </c>
      <c r="C14" s="148">
        <v>4717.9753968263003</v>
      </c>
      <c r="D14" s="148">
        <v>39423.370416666403</v>
      </c>
      <c r="E14" s="148">
        <v>76140619.230495334</v>
      </c>
      <c r="F14" s="148">
        <v>0</v>
      </c>
      <c r="G14" s="148">
        <v>0</v>
      </c>
      <c r="H14" s="148">
        <v>0</v>
      </c>
    </row>
    <row r="15" spans="1:8" x14ac:dyDescent="0.25">
      <c r="A15" s="148" t="s">
        <v>92</v>
      </c>
      <c r="B15" s="148">
        <v>1</v>
      </c>
      <c r="C15" s="148">
        <v>1242.3230158711001</v>
      </c>
      <c r="D15" s="148">
        <v>4411.8096666596002</v>
      </c>
      <c r="E15" s="148">
        <v>21408635.082281552</v>
      </c>
      <c r="F15" s="148">
        <v>0</v>
      </c>
      <c r="G15" s="148">
        <v>0</v>
      </c>
      <c r="H15" s="148">
        <v>0</v>
      </c>
    </row>
    <row r="16" spans="1:8" x14ac:dyDescent="0.25">
      <c r="A16" s="148" t="s">
        <v>93</v>
      </c>
      <c r="B16" s="148">
        <v>1</v>
      </c>
      <c r="C16" s="148">
        <v>640.14094245779995</v>
      </c>
      <c r="D16" s="148">
        <v>3108.002202398</v>
      </c>
      <c r="E16" s="148">
        <v>16255092.69370864</v>
      </c>
      <c r="F16" s="148">
        <v>0</v>
      </c>
      <c r="G16" s="148">
        <v>0</v>
      </c>
      <c r="H16" s="148">
        <v>0</v>
      </c>
    </row>
    <row r="17" spans="1:8" x14ac:dyDescent="0.25">
      <c r="A17" s="148" t="s">
        <v>94</v>
      </c>
      <c r="B17" s="148">
        <v>1</v>
      </c>
      <c r="C17" s="148">
        <v>1388.3406111076999</v>
      </c>
      <c r="D17" s="148">
        <v>4122.0408095302</v>
      </c>
      <c r="E17" s="148">
        <v>27567774.716282606</v>
      </c>
      <c r="F17" s="148">
        <v>0</v>
      </c>
      <c r="G17" s="148">
        <v>0</v>
      </c>
      <c r="H17" s="148">
        <v>0</v>
      </c>
    </row>
    <row r="18" spans="1:8" x14ac:dyDescent="0.25">
      <c r="A18" s="148" t="s">
        <v>95</v>
      </c>
      <c r="B18" s="148">
        <v>1</v>
      </c>
      <c r="C18" s="148">
        <v>1985.0987777743001</v>
      </c>
      <c r="D18" s="148">
        <v>7704.8898690393999</v>
      </c>
      <c r="E18" s="148">
        <v>34821188.028384879</v>
      </c>
      <c r="F18" s="148">
        <v>0</v>
      </c>
      <c r="G18" s="148">
        <v>0</v>
      </c>
      <c r="H18" s="148">
        <v>0</v>
      </c>
    </row>
    <row r="19" spans="1:8" x14ac:dyDescent="0.25">
      <c r="A19" s="148" t="s">
        <v>96</v>
      </c>
      <c r="B19" s="148">
        <v>1</v>
      </c>
      <c r="C19" s="148">
        <v>1659.8962288318</v>
      </c>
      <c r="D19" s="148">
        <v>5912.7051666923999</v>
      </c>
      <c r="E19" s="148">
        <v>33119601.555834576</v>
      </c>
      <c r="F19" s="148">
        <v>0</v>
      </c>
      <c r="G19" s="148">
        <v>0</v>
      </c>
      <c r="H19" s="148">
        <v>0</v>
      </c>
    </row>
    <row r="20" spans="1:8" x14ac:dyDescent="0.25">
      <c r="A20" s="148" t="s">
        <v>97</v>
      </c>
      <c r="B20" s="148">
        <v>1</v>
      </c>
      <c r="C20" s="148">
        <v>4684.9919325398996</v>
      </c>
      <c r="D20" s="148">
        <v>21997.3208511866</v>
      </c>
      <c r="E20" s="148">
        <v>74082211.855177656</v>
      </c>
      <c r="F20" s="148">
        <v>0</v>
      </c>
      <c r="G20" s="148">
        <v>0</v>
      </c>
      <c r="H20" s="148">
        <v>0</v>
      </c>
    </row>
    <row r="21" spans="1:8" x14ac:dyDescent="0.25">
      <c r="A21" s="148" t="s">
        <v>98</v>
      </c>
      <c r="B21" s="148">
        <v>1</v>
      </c>
      <c r="C21" s="148">
        <v>806.5531150759</v>
      </c>
      <c r="D21" s="148">
        <v>3305.710821444</v>
      </c>
      <c r="E21" s="148">
        <v>18450827.076554872</v>
      </c>
      <c r="F21" s="148">
        <v>0</v>
      </c>
      <c r="G21" s="148">
        <v>0</v>
      </c>
      <c r="H21" s="148">
        <v>0</v>
      </c>
    </row>
    <row r="22" spans="1:8" x14ac:dyDescent="0.25">
      <c r="A22" s="148" t="s">
        <v>207</v>
      </c>
      <c r="B22" s="148">
        <v>1</v>
      </c>
      <c r="C22" s="148">
        <v>712.88943650650003</v>
      </c>
      <c r="D22" s="148">
        <v>2142.4504523812002</v>
      </c>
      <c r="E22" s="148">
        <v>10783265.035760457</v>
      </c>
      <c r="F22" s="148">
        <v>0</v>
      </c>
      <c r="G22" s="148">
        <v>0</v>
      </c>
      <c r="H22" s="148">
        <v>0</v>
      </c>
    </row>
    <row r="23" spans="1:8" x14ac:dyDescent="0.25">
      <c r="A23" s="148" t="s">
        <v>155</v>
      </c>
      <c r="B23" s="148">
        <v>1</v>
      </c>
      <c r="C23" s="148">
        <v>3110.2058492034998</v>
      </c>
      <c r="D23" s="148">
        <v>19270.6822380876</v>
      </c>
      <c r="E23" s="148">
        <v>61062361.99851197</v>
      </c>
      <c r="F23" s="148">
        <v>0</v>
      </c>
      <c r="G23" s="148">
        <v>0</v>
      </c>
      <c r="H23" s="148">
        <v>0</v>
      </c>
    </row>
    <row r="24" spans="1:8" x14ac:dyDescent="0.25">
      <c r="A24" s="148" t="s">
        <v>220</v>
      </c>
      <c r="B24" s="148">
        <v>1</v>
      </c>
      <c r="C24" s="148">
        <v>3180.4264880953001</v>
      </c>
      <c r="D24" s="148">
        <v>23090.136053568302</v>
      </c>
      <c r="E24" s="148">
        <v>53735273.394417092</v>
      </c>
      <c r="F24" s="148">
        <v>0</v>
      </c>
      <c r="G24" s="148">
        <v>0</v>
      </c>
      <c r="H24" s="148">
        <v>0</v>
      </c>
    </row>
    <row r="25" spans="1:8" x14ac:dyDescent="0.25">
      <c r="A25" s="148" t="s">
        <v>99</v>
      </c>
      <c r="B25" s="148">
        <v>1</v>
      </c>
      <c r="C25" s="148">
        <v>1014.4581587264</v>
      </c>
      <c r="D25" s="148">
        <v>4446.1387500156998</v>
      </c>
      <c r="E25" s="148">
        <v>18692963.510811996</v>
      </c>
      <c r="F25" s="148">
        <v>0</v>
      </c>
      <c r="G25" s="148">
        <v>0</v>
      </c>
      <c r="H25" s="148">
        <v>0</v>
      </c>
    </row>
    <row r="26" spans="1:8" x14ac:dyDescent="0.25">
      <c r="A26" s="148" t="s">
        <v>100</v>
      </c>
      <c r="B26" s="148">
        <v>1</v>
      </c>
      <c r="C26" s="148">
        <v>1274.1258888865</v>
      </c>
      <c r="D26" s="148">
        <v>1990.7689404814</v>
      </c>
      <c r="E26" s="148">
        <v>15642003.201546233</v>
      </c>
      <c r="F26" s="148">
        <v>0</v>
      </c>
      <c r="G26" s="148">
        <v>0</v>
      </c>
      <c r="H26" s="148">
        <v>0</v>
      </c>
    </row>
    <row r="27" spans="1:8" x14ac:dyDescent="0.25">
      <c r="A27" s="148" t="s">
        <v>221</v>
      </c>
      <c r="B27" s="148">
        <v>1</v>
      </c>
      <c r="C27" s="148">
        <v>8560.4190476190997</v>
      </c>
      <c r="D27" s="148">
        <v>18513.5899999998</v>
      </c>
      <c r="E27" s="148">
        <v>84792422.473866537</v>
      </c>
      <c r="F27" s="148">
        <v>0</v>
      </c>
      <c r="G27" s="148">
        <v>0</v>
      </c>
      <c r="H27" s="148">
        <v>0</v>
      </c>
    </row>
    <row r="28" spans="1:8" x14ac:dyDescent="0.25">
      <c r="A28" s="148" t="s">
        <v>233</v>
      </c>
      <c r="B28" s="148">
        <v>1</v>
      </c>
      <c r="C28" s="148">
        <v>1219.8286871657001</v>
      </c>
      <c r="D28" s="148">
        <v>4502.3696354294998</v>
      </c>
      <c r="E28" s="148">
        <v>22536981.7966014</v>
      </c>
      <c r="F28" s="148">
        <v>0</v>
      </c>
      <c r="G28" s="148">
        <v>0</v>
      </c>
      <c r="H28" s="148">
        <v>0</v>
      </c>
    </row>
    <row r="29" spans="1:8" x14ac:dyDescent="0.25">
      <c r="A29" s="148" t="s">
        <v>214</v>
      </c>
      <c r="B29" s="148">
        <v>1</v>
      </c>
      <c r="C29" s="148">
        <v>4128.5494444444003</v>
      </c>
      <c r="D29" s="148">
        <v>10413.283333338601</v>
      </c>
      <c r="E29" s="148">
        <v>51318678.003578387</v>
      </c>
      <c r="F29" s="148">
        <v>0</v>
      </c>
      <c r="G29" s="148">
        <v>0</v>
      </c>
      <c r="H29" s="148">
        <v>0</v>
      </c>
    </row>
    <row r="30" spans="1:8" x14ac:dyDescent="0.25">
      <c r="A30" s="148" t="s">
        <v>139</v>
      </c>
      <c r="B30" s="148">
        <v>1</v>
      </c>
      <c r="C30" s="148">
        <v>517.38448412629998</v>
      </c>
      <c r="D30" s="148">
        <v>2252.745833335</v>
      </c>
      <c r="E30" s="148">
        <v>10020089.643575415</v>
      </c>
      <c r="F30" s="148">
        <v>0</v>
      </c>
      <c r="G30" s="148">
        <v>0</v>
      </c>
      <c r="H30" s="148">
        <v>0</v>
      </c>
    </row>
    <row r="31" spans="1:8" x14ac:dyDescent="0.25">
      <c r="A31" s="148" t="s">
        <v>216</v>
      </c>
      <c r="B31" s="148">
        <v>1</v>
      </c>
      <c r="C31" s="148">
        <v>590.56362301319996</v>
      </c>
      <c r="D31" s="148">
        <v>1571.4524999977</v>
      </c>
      <c r="E31" s="148">
        <v>9969847.1082350891</v>
      </c>
      <c r="F31" s="148">
        <v>0</v>
      </c>
      <c r="G31" s="148">
        <v>0</v>
      </c>
      <c r="H31" s="148">
        <v>0</v>
      </c>
    </row>
    <row r="32" spans="1:8" x14ac:dyDescent="0.25">
      <c r="A32" s="148" t="s">
        <v>104</v>
      </c>
      <c r="B32" s="148">
        <v>1</v>
      </c>
      <c r="C32" s="148">
        <v>340.0849206346</v>
      </c>
      <c r="D32" s="148">
        <v>934.98499999759997</v>
      </c>
      <c r="E32" s="148">
        <v>5672922.8813768905</v>
      </c>
      <c r="F32" s="148">
        <v>0</v>
      </c>
      <c r="G32" s="148">
        <v>0</v>
      </c>
      <c r="H32" s="148">
        <v>0</v>
      </c>
    </row>
    <row r="33" spans="1:8" x14ac:dyDescent="0.25">
      <c r="A33" s="148" t="s">
        <v>215</v>
      </c>
      <c r="B33" s="148">
        <v>1</v>
      </c>
      <c r="C33" s="148">
        <v>899.56519841169995</v>
      </c>
      <c r="D33" s="148">
        <v>3272.3900000151002</v>
      </c>
      <c r="E33" s="148">
        <v>15225312.922678526</v>
      </c>
      <c r="F33" s="148">
        <v>0</v>
      </c>
      <c r="G33" s="148">
        <v>0</v>
      </c>
      <c r="H33" s="148">
        <v>0</v>
      </c>
    </row>
    <row r="34" spans="1:8" x14ac:dyDescent="0.25">
      <c r="A34" s="148" t="s">
        <v>231</v>
      </c>
      <c r="B34" s="148">
        <v>1</v>
      </c>
      <c r="C34" s="148">
        <v>111.6588760504</v>
      </c>
      <c r="D34" s="148">
        <v>1406.4741666653999</v>
      </c>
      <c r="E34" s="148">
        <v>3232111.9214435378</v>
      </c>
      <c r="F34" s="148">
        <v>0</v>
      </c>
      <c r="G34" s="148">
        <v>0</v>
      </c>
      <c r="H34" s="148">
        <v>0</v>
      </c>
    </row>
    <row r="35" spans="1:8" x14ac:dyDescent="0.25">
      <c r="A35" s="148" t="s">
        <v>206</v>
      </c>
      <c r="B35" s="148">
        <v>1</v>
      </c>
      <c r="C35" s="148">
        <v>1689.1194444444</v>
      </c>
      <c r="D35" s="148">
        <v>10581.395333333199</v>
      </c>
      <c r="E35" s="148">
        <v>21379822.506904159</v>
      </c>
      <c r="F35" s="148">
        <v>0</v>
      </c>
      <c r="G35" s="148">
        <v>0</v>
      </c>
      <c r="H35" s="148">
        <v>0</v>
      </c>
    </row>
    <row r="36" spans="1:8" x14ac:dyDescent="0.25">
      <c r="A36" s="148" t="s">
        <v>162</v>
      </c>
      <c r="B36" s="148">
        <v>1</v>
      </c>
      <c r="C36" s="148">
        <v>1062.4662658709001</v>
      </c>
      <c r="D36" s="148">
        <v>3706.7487857388001</v>
      </c>
      <c r="E36" s="148">
        <v>19249056.412220988</v>
      </c>
      <c r="F36" s="148">
        <v>0</v>
      </c>
      <c r="G36" s="148">
        <v>0</v>
      </c>
      <c r="H36" s="148">
        <v>0</v>
      </c>
    </row>
    <row r="37" spans="1:8" x14ac:dyDescent="0.25">
      <c r="A37" s="148" t="s">
        <v>107</v>
      </c>
      <c r="B37" s="148">
        <v>1</v>
      </c>
      <c r="C37" s="148">
        <v>1883.0222817458</v>
      </c>
      <c r="D37" s="148">
        <v>7788.3120714283004</v>
      </c>
      <c r="E37" s="148">
        <v>30027072.435104836</v>
      </c>
      <c r="F37" s="148">
        <v>0</v>
      </c>
      <c r="G37" s="148">
        <v>0</v>
      </c>
      <c r="H37" s="148">
        <v>0</v>
      </c>
    </row>
    <row r="38" spans="1:8" x14ac:dyDescent="0.25">
      <c r="A38" s="148" t="s">
        <v>112</v>
      </c>
      <c r="B38" s="148">
        <v>1</v>
      </c>
      <c r="C38" s="148">
        <v>1333.3671717167999</v>
      </c>
      <c r="D38" s="148">
        <v>15533.299999995599</v>
      </c>
      <c r="E38" s="148">
        <v>31014254.294333346</v>
      </c>
      <c r="F38" s="148">
        <v>0</v>
      </c>
      <c r="G38" s="148">
        <v>0</v>
      </c>
      <c r="H38" s="148">
        <v>0</v>
      </c>
    </row>
    <row r="39" spans="1:8" x14ac:dyDescent="0.25">
      <c r="A39" s="148" t="s">
        <v>108</v>
      </c>
      <c r="B39" s="148">
        <v>1</v>
      </c>
      <c r="C39" s="148">
        <v>1543.9444444441001</v>
      </c>
      <c r="D39" s="148">
        <v>18796.909999994899</v>
      </c>
      <c r="E39" s="148">
        <v>34560427.812981017</v>
      </c>
      <c r="F39" s="148">
        <v>0</v>
      </c>
      <c r="G39" s="148">
        <v>0</v>
      </c>
      <c r="H39" s="148">
        <v>0</v>
      </c>
    </row>
    <row r="40" spans="1:8" x14ac:dyDescent="0.25">
      <c r="A40" s="148" t="s">
        <v>234</v>
      </c>
      <c r="B40" s="148">
        <v>1</v>
      </c>
      <c r="C40" s="148">
        <v>1926.0953042323999</v>
      </c>
      <c r="D40" s="148">
        <v>10815.364736817901</v>
      </c>
      <c r="E40" s="148">
        <v>27551059.898165032</v>
      </c>
      <c r="F40" s="148">
        <v>0</v>
      </c>
      <c r="G40" s="148">
        <v>0</v>
      </c>
      <c r="H40" s="148">
        <v>0</v>
      </c>
    </row>
    <row r="41" spans="1:8" x14ac:dyDescent="0.25">
      <c r="A41" s="148" t="s">
        <v>140</v>
      </c>
      <c r="B41" s="148">
        <v>1</v>
      </c>
      <c r="C41" s="148">
        <v>3492.7005158728998</v>
      </c>
      <c r="D41" s="148">
        <v>16875.558607147701</v>
      </c>
      <c r="E41" s="148">
        <v>39552297.641850315</v>
      </c>
      <c r="F41" s="148">
        <v>0</v>
      </c>
      <c r="G41" s="148">
        <v>0</v>
      </c>
      <c r="H41" s="148">
        <v>0</v>
      </c>
    </row>
    <row r="42" spans="1:8" x14ac:dyDescent="0.25">
      <c r="A42" s="148" t="s">
        <v>217</v>
      </c>
      <c r="B42" s="148">
        <v>1</v>
      </c>
      <c r="C42" s="148">
        <v>428.85277777789997</v>
      </c>
      <c r="D42" s="148">
        <v>5792.7100000016999</v>
      </c>
      <c r="E42" s="148">
        <v>9617956.635158509</v>
      </c>
      <c r="F42" s="148">
        <v>0</v>
      </c>
      <c r="G42" s="148">
        <v>0</v>
      </c>
      <c r="H42" s="148">
        <v>0</v>
      </c>
    </row>
    <row r="43" spans="1:8" x14ac:dyDescent="0.25">
      <c r="A43" s="148" t="s">
        <v>145</v>
      </c>
      <c r="B43" s="148">
        <v>1</v>
      </c>
      <c r="C43" s="148">
        <v>898.36314484050001</v>
      </c>
      <c r="D43" s="148">
        <v>6775.8078419561998</v>
      </c>
      <c r="E43" s="148">
        <v>26234005.111392636</v>
      </c>
      <c r="F43" s="148">
        <v>0</v>
      </c>
      <c r="G43" s="148">
        <v>0</v>
      </c>
      <c r="H43" s="148">
        <v>0</v>
      </c>
    </row>
    <row r="44" spans="1:8" x14ac:dyDescent="0.25">
      <c r="A44" s="148" t="s">
        <v>146</v>
      </c>
      <c r="B44" s="148">
        <v>1</v>
      </c>
      <c r="C44" s="148">
        <v>1411.0798611114999</v>
      </c>
      <c r="D44" s="148">
        <v>13747.847773805201</v>
      </c>
      <c r="E44" s="148">
        <v>21229662.770730246</v>
      </c>
      <c r="F44" s="148">
        <v>0</v>
      </c>
      <c r="G44" s="148">
        <v>0</v>
      </c>
      <c r="H44" s="148">
        <v>0</v>
      </c>
    </row>
    <row r="45" spans="1:8" x14ac:dyDescent="0.25">
      <c r="A45" s="148" t="s">
        <v>156</v>
      </c>
      <c r="B45" s="148">
        <v>1</v>
      </c>
      <c r="C45" s="148">
        <v>612.83835317600006</v>
      </c>
      <c r="D45" s="148">
        <v>5705.5537154798003</v>
      </c>
      <c r="E45" s="148">
        <v>13572123.662727561</v>
      </c>
      <c r="F45" s="148">
        <v>0</v>
      </c>
      <c r="G45" s="148">
        <v>0</v>
      </c>
      <c r="H45" s="148">
        <v>0</v>
      </c>
    </row>
    <row r="46" spans="1:8" x14ac:dyDescent="0.25">
      <c r="A46" s="148" t="s">
        <v>232</v>
      </c>
      <c r="B46" s="148">
        <v>1</v>
      </c>
      <c r="C46" s="148">
        <v>2592.9789999999998</v>
      </c>
      <c r="D46" s="148">
        <v>86.120000000399997</v>
      </c>
      <c r="E46" s="148">
        <v>71725083.279976085</v>
      </c>
      <c r="F46" s="148">
        <v>0</v>
      </c>
      <c r="G46" s="148">
        <v>0</v>
      </c>
      <c r="H46" s="14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topLeftCell="A2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39" t="s">
        <v>209</v>
      </c>
      <c r="B2" s="57" t="s">
        <v>95</v>
      </c>
      <c r="C2" s="58">
        <v>32279076.638250753</v>
      </c>
      <c r="D2" s="59">
        <f>IFERROR(+VLOOKUP(B2,COMISIONES!A:E,5,FALSE),"0")*1</f>
        <v>34821188.028384879</v>
      </c>
      <c r="E2" s="59">
        <v>32474587.103903145</v>
      </c>
      <c r="F2" s="59">
        <f t="shared" ref="F2:F9" si="0">+D2-E2</f>
        <v>2346600.9244817346</v>
      </c>
      <c r="G2" s="60">
        <f t="shared" ref="G2:G41" si="1">+D2/C2</f>
        <v>1.0787541545448582</v>
      </c>
      <c r="H2" s="59">
        <f>+D2/$N$3*$N$4</f>
        <v>49159324.275366887</v>
      </c>
      <c r="I2" s="60">
        <f t="shared" ref="I2:I41" si="2">+H2/C2</f>
        <v>1.5229470417103883</v>
      </c>
      <c r="J2" s="59">
        <f>+D2/$N$3</f>
        <v>2048305.1781402871</v>
      </c>
      <c r="K2" s="59">
        <f t="shared" ref="K2:K41" si="3">+(C2-D2)/$N$2</f>
        <v>-363158.77001916087</v>
      </c>
      <c r="L2" s="61" cm="1">
        <f t="array" ref="L2">+_xlfn.IFS(I2&gt;114%,H2*0.02,I2&gt;109%,H2*0.015,I2&gt;104%,H2*0.0125,I2&gt;99%,H2*0.01,I2&lt;99%,H2*0)</f>
        <v>983186.48550733773</v>
      </c>
      <c r="M2" s="53" t="s">
        <v>36</v>
      </c>
      <c r="N2">
        <v>7</v>
      </c>
    </row>
    <row r="3" spans="1:14" ht="16.5" thickBot="1" x14ac:dyDescent="0.3">
      <c r="A3" s="140"/>
      <c r="B3" s="36" t="s">
        <v>94</v>
      </c>
      <c r="C3" s="62">
        <v>30982728.178883255</v>
      </c>
      <c r="D3" s="4">
        <f>IFERROR(+VLOOKUP(B3,COMISIONES!A:E,5,FALSE),"0")*1</f>
        <v>27567774.716282606</v>
      </c>
      <c r="E3" s="4">
        <v>26362326.256425001</v>
      </c>
      <c r="F3" s="4">
        <f t="shared" si="0"/>
        <v>1205448.4598576054</v>
      </c>
      <c r="G3" s="5">
        <f t="shared" si="1"/>
        <v>0.88977880053415825</v>
      </c>
      <c r="H3" s="4">
        <f t="shared" ref="H3:H41" si="4">+D3/$N$3*$N$4</f>
        <v>38919211.364163682</v>
      </c>
      <c r="I3" s="5">
        <f t="shared" si="2"/>
        <v>1.2561583066364588</v>
      </c>
      <c r="J3" s="4">
        <f t="shared" ref="J3:J41" si="5">+D3/$N$3</f>
        <v>1621633.8068401534</v>
      </c>
      <c r="K3" s="4">
        <f t="shared" si="3"/>
        <v>487850.49465723551</v>
      </c>
      <c r="L3" s="63" cm="1">
        <f t="array" ref="L3">+_xlfn.IFS(I3&gt;114%,H3*0.02,I3&gt;109%,H3*0.015,I3&gt;104%,H3*0.0125,I3&gt;99%,H3*0.01,I3&lt;99%,H3*0)</f>
        <v>778384.22728327371</v>
      </c>
      <c r="M3" s="53" t="s">
        <v>40</v>
      </c>
      <c r="N3">
        <f>N4-N2</f>
        <v>17</v>
      </c>
    </row>
    <row r="4" spans="1:14" ht="16.5" thickBot="1" x14ac:dyDescent="0.3">
      <c r="A4" s="140"/>
      <c r="B4" s="36" t="s">
        <v>92</v>
      </c>
      <c r="C4" s="62">
        <v>28390031.260148253</v>
      </c>
      <c r="D4" s="4">
        <f>IFERROR(+VLOOKUP(B4,COMISIONES!A:E,5,FALSE),"0")*1</f>
        <v>21408635.082281552</v>
      </c>
      <c r="E4" s="4">
        <v>20134769.67059283</v>
      </c>
      <c r="F4" s="4">
        <f t="shared" si="0"/>
        <v>1273865.4116887227</v>
      </c>
      <c r="G4" s="5">
        <f t="shared" si="1"/>
        <v>0.75408987352308243</v>
      </c>
      <c r="H4" s="4">
        <f t="shared" si="4"/>
        <v>30223955.410279837</v>
      </c>
      <c r="I4" s="5">
        <f t="shared" si="2"/>
        <v>1.0645974685031752</v>
      </c>
      <c r="J4" s="4">
        <f t="shared" si="5"/>
        <v>1259331.4754283265</v>
      </c>
      <c r="K4" s="4">
        <f t="shared" si="3"/>
        <v>997342.31112381443</v>
      </c>
      <c r="L4" s="63" cm="1">
        <f t="array" ref="L4">+_xlfn.IFS(I4&gt;114%,H4*0.02,I4&gt;109%,H4*0.015,I4&gt;104%,H4*0.0125,I4&gt;99%,H4*0.01,I4&lt;99%,H4*0)</f>
        <v>377799.44262849796</v>
      </c>
      <c r="M4" s="53" t="s">
        <v>47</v>
      </c>
      <c r="N4">
        <v>24</v>
      </c>
    </row>
    <row r="5" spans="1:14" ht="15.75" x14ac:dyDescent="0.25">
      <c r="A5" s="140"/>
      <c r="B5" s="36" t="s">
        <v>90</v>
      </c>
      <c r="C5" s="62">
        <v>28390031.260148253</v>
      </c>
      <c r="D5" s="4">
        <f>IFERROR(+VLOOKUP(B5,COMISIONES!A:E,5,FALSE),"0")*1</f>
        <v>26662861.805003796</v>
      </c>
      <c r="E5" s="4">
        <v>24187267.128650971</v>
      </c>
      <c r="F5" s="4">
        <f t="shared" si="0"/>
        <v>2475594.676352825</v>
      </c>
      <c r="G5" s="5">
        <f t="shared" si="1"/>
        <v>0.93916281953627412</v>
      </c>
      <c r="H5" s="4">
        <f t="shared" si="4"/>
        <v>37641687.254123002</v>
      </c>
      <c r="I5" s="5">
        <f t="shared" si="2"/>
        <v>1.3258769216982693</v>
      </c>
      <c r="J5" s="4">
        <f t="shared" si="5"/>
        <v>1568403.6355884585</v>
      </c>
      <c r="K5" s="4">
        <f t="shared" si="3"/>
        <v>246738.49359206535</v>
      </c>
      <c r="L5" s="63" cm="1">
        <f t="array" ref="L5">+_xlfn.IFS(I5&gt;114%,H5*0.02,I5&gt;109%,H5*0.015,I5&gt;104%,H5*0.0125,I5&gt;99%,H5*0.01,I5&lt;99%,H5*0)</f>
        <v>752833.74508246011</v>
      </c>
    </row>
    <row r="6" spans="1:14" ht="15.75" x14ac:dyDescent="0.25">
      <c r="A6" s="140"/>
      <c r="B6" s="36" t="s">
        <v>212</v>
      </c>
      <c r="C6" s="62">
        <v>23528724.537520126</v>
      </c>
      <c r="D6" s="4">
        <f>IFERROR(+VLOOKUP(B6,COMISIONES!A:E,5,FALSE),"0")*1</f>
        <v>18588525.306868427</v>
      </c>
      <c r="E6" s="4">
        <v>18007378.719897293</v>
      </c>
      <c r="F6" s="4">
        <f t="shared" si="0"/>
        <v>581146.58697113395</v>
      </c>
      <c r="G6" s="5">
        <f t="shared" si="1"/>
        <v>0.79003540022860985</v>
      </c>
      <c r="H6" s="4">
        <f t="shared" si="4"/>
        <v>26242623.962637782</v>
      </c>
      <c r="I6" s="5">
        <f t="shared" si="2"/>
        <v>1.1153440944403905</v>
      </c>
      <c r="J6" s="4">
        <f t="shared" si="5"/>
        <v>1093442.6651099075</v>
      </c>
      <c r="K6" s="4">
        <f t="shared" si="3"/>
        <v>705742.74723595695</v>
      </c>
      <c r="L6" s="63" cm="1">
        <f t="array" ref="L6">+_xlfn.IFS(I6&gt;114%,H6*0.02,I6&gt;109%,H6*0.015,I6&gt;104%,H6*0.0125,I6&gt;99%,H6*0.01,I6&lt;99%,H6*0)</f>
        <v>393639.35943956673</v>
      </c>
    </row>
    <row r="7" spans="1:14" ht="15.75" x14ac:dyDescent="0.25">
      <c r="A7" s="140"/>
      <c r="B7" s="36" t="s">
        <v>86</v>
      </c>
      <c r="C7" s="62">
        <v>27741857.030464504</v>
      </c>
      <c r="D7" s="4">
        <f>IFERROR(+VLOOKUP(B7,COMISIONES!A:E,5,FALSE),"0")*1</f>
        <v>16410648.477623299</v>
      </c>
      <c r="E7" s="4">
        <v>15321159.902998319</v>
      </c>
      <c r="F7" s="4">
        <f t="shared" ref="F7:F8" si="6">+D7-E7</f>
        <v>1089488.5746249799</v>
      </c>
      <c r="G7" s="5">
        <f t="shared" si="1"/>
        <v>0.59154830405196279</v>
      </c>
      <c r="H7" s="4">
        <f t="shared" si="4"/>
        <v>23167974.321350537</v>
      </c>
      <c r="I7" s="5">
        <f t="shared" si="2"/>
        <v>0.83512701748512386</v>
      </c>
      <c r="J7" s="4">
        <f t="shared" si="5"/>
        <v>965332.2633896058</v>
      </c>
      <c r="K7" s="4">
        <f t="shared" si="3"/>
        <v>1618744.078977315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0"/>
      <c r="B8" s="36" t="s">
        <v>85</v>
      </c>
      <c r="C8" s="62">
        <v>35831071.416917704</v>
      </c>
      <c r="D8" s="4">
        <f>IFERROR(+VLOOKUP(B8,COMISIONES!A:E,5,FALSE),"0")*1</f>
        <v>27943877.977304827</v>
      </c>
      <c r="E8" s="4">
        <v>26589590.121895447</v>
      </c>
      <c r="F8" s="4">
        <f t="shared" si="6"/>
        <v>1354287.85540938</v>
      </c>
      <c r="G8" s="5">
        <f t="shared" si="1"/>
        <v>0.77987838131212217</v>
      </c>
      <c r="H8" s="4">
        <f t="shared" si="4"/>
        <v>39450180.67384211</v>
      </c>
      <c r="I8" s="5">
        <f t="shared" si="2"/>
        <v>1.1010047736171138</v>
      </c>
      <c r="J8" s="4">
        <f t="shared" si="5"/>
        <v>1643757.5280767547</v>
      </c>
      <c r="K8" s="4">
        <f t="shared" si="3"/>
        <v>1126741.9199446966</v>
      </c>
      <c r="L8" s="63" cm="1">
        <f t="array" ref="L8">+_xlfn.IFS(I8&gt;114%,H8*0.02,I8&gt;109%,H8*0.015,I8&gt;104%,H8*0.0125,I8&gt;99%,H8*0.01,I8&lt;99%,H8*0)</f>
        <v>591752.71010763163</v>
      </c>
    </row>
    <row r="9" spans="1:14" ht="15.75" x14ac:dyDescent="0.25">
      <c r="A9" s="140"/>
      <c r="B9" s="36" t="s">
        <v>84</v>
      </c>
      <c r="C9" s="62">
        <v>35831071.416917704</v>
      </c>
      <c r="D9" s="4">
        <f>IFERROR(+VLOOKUP(B9,COMISIONES!A:E,5,FALSE),"0")*1</f>
        <v>27226807.953012794</v>
      </c>
      <c r="E9" s="4">
        <v>25970288.468226545</v>
      </c>
      <c r="F9" s="4">
        <f t="shared" si="0"/>
        <v>1256519.4847862497</v>
      </c>
      <c r="G9" s="5">
        <f t="shared" si="1"/>
        <v>0.75986586156498825</v>
      </c>
      <c r="H9" s="4">
        <f t="shared" si="4"/>
        <v>38437846.521900415</v>
      </c>
      <c r="I9" s="5">
        <f t="shared" si="2"/>
        <v>1.0727518045623363</v>
      </c>
      <c r="J9" s="4">
        <f t="shared" si="5"/>
        <v>1601576.9384125173</v>
      </c>
      <c r="K9" s="4">
        <f t="shared" si="3"/>
        <v>1229180.4948435586</v>
      </c>
      <c r="L9" s="63" cm="1">
        <f t="array" ref="L9">+_xlfn.IFS(I9&gt;114%,H9*0.02,I9&gt;109%,H9*0.015,I9&gt;104%,H9*0.0125,I9&gt;99%,H9*0.01,I9&lt;99%,H9*0)</f>
        <v>480473.08152375522</v>
      </c>
    </row>
    <row r="10" spans="1:14" ht="16.5" thickBot="1" x14ac:dyDescent="0.3">
      <c r="A10" s="141"/>
      <c r="B10" s="3"/>
      <c r="C10" s="64">
        <v>242974591.73925051</v>
      </c>
      <c r="D10" s="64">
        <f>+SUM(D2:D9)</f>
        <v>200630319.34676215</v>
      </c>
      <c r="E10" s="65">
        <v>189047367.37258959</v>
      </c>
      <c r="F10" s="64">
        <f>+SUM(F2:F9)</f>
        <v>11582951.974172631</v>
      </c>
      <c r="G10" s="66">
        <f t="shared" si="1"/>
        <v>0.82572551274031836</v>
      </c>
      <c r="H10" s="64">
        <f t="shared" si="4"/>
        <v>283242803.78366423</v>
      </c>
      <c r="I10" s="66">
        <f t="shared" si="2"/>
        <v>1.1657301356333907</v>
      </c>
      <c r="J10" s="64">
        <f t="shared" si="5"/>
        <v>11801783.490986008</v>
      </c>
      <c r="K10" s="67">
        <f t="shared" si="3"/>
        <v>6049181.7703554798</v>
      </c>
      <c r="L10" s="68"/>
    </row>
    <row r="11" spans="1:14" ht="15.75" x14ac:dyDescent="0.25">
      <c r="A11" s="139" t="s">
        <v>210</v>
      </c>
      <c r="B11" s="57" t="s">
        <v>97</v>
      </c>
      <c r="C11" s="58">
        <v>96971948.480137512</v>
      </c>
      <c r="D11" s="59">
        <f>IFERROR(+VLOOKUP(B11,COMISIONES!A:E,5,FALSE),"0")*1</f>
        <v>74082211.855177656</v>
      </c>
      <c r="E11" s="59">
        <v>70698656.268371478</v>
      </c>
      <c r="F11" s="59">
        <f t="shared" ref="F11:F16" si="7">+D11-E11</f>
        <v>3383555.5868061781</v>
      </c>
      <c r="G11" s="60">
        <f t="shared" si="1"/>
        <v>0.76395507171181265</v>
      </c>
      <c r="H11" s="59">
        <f t="shared" si="4"/>
        <v>104586652.03083904</v>
      </c>
      <c r="I11" s="60">
        <f t="shared" si="2"/>
        <v>1.078524807122559</v>
      </c>
      <c r="J11" s="59">
        <f t="shared" si="5"/>
        <v>4357777.1679516267</v>
      </c>
      <c r="K11" s="59">
        <f t="shared" si="3"/>
        <v>3269962.3749942654</v>
      </c>
      <c r="L11" s="61" cm="1">
        <f t="array" ref="L11">+_xlfn.IFS(I11&gt;114%,H11*0.0125,I11&gt;109%,H11*0.01,I11&gt;104%,H11*0.0075,I11&gt;99%,H11*0.005,I11&lt;99%,H11*0)</f>
        <v>784399.89023129281</v>
      </c>
    </row>
    <row r="12" spans="1:14" ht="16.5" thickBot="1" x14ac:dyDescent="0.3">
      <c r="A12" s="140"/>
      <c r="B12" s="36" t="s">
        <v>107</v>
      </c>
      <c r="C12" s="62">
        <v>31630902.408567004</v>
      </c>
      <c r="D12" s="4">
        <f>IFERROR(+VLOOKUP(B12,COMISIONES!A:E,5,FALSE),"0")*1</f>
        <v>30027072.435104836</v>
      </c>
      <c r="E12" s="4">
        <v>23710427.563167904</v>
      </c>
      <c r="F12" s="4">
        <f t="shared" si="7"/>
        <v>6316644.8719369322</v>
      </c>
      <c r="G12" s="5">
        <f t="shared" si="1"/>
        <v>0.94929547210680332</v>
      </c>
      <c r="H12" s="4">
        <f t="shared" si="4"/>
        <v>42391161.084853888</v>
      </c>
      <c r="I12" s="5">
        <f t="shared" si="2"/>
        <v>1.3401818429743106</v>
      </c>
      <c r="J12" s="4">
        <f t="shared" si="5"/>
        <v>1766298.3785355785</v>
      </c>
      <c r="K12" s="4">
        <f t="shared" si="3"/>
        <v>229118.56763745259</v>
      </c>
      <c r="L12" s="63" cm="1">
        <f t="array" ref="L12">+_xlfn.IFS(I12&gt;114%,H12*0.02,I12&gt;109%,H12*0.015,I12&gt;104%,H12*0.0125,I12&gt;99%,H12*0.01,I12&lt;99%,H12*0)</f>
        <v>847823.22169707774</v>
      </c>
      <c r="M12" s="27"/>
    </row>
    <row r="13" spans="1:14" ht="16.5" thickBot="1" x14ac:dyDescent="0.3">
      <c r="A13" s="140"/>
      <c r="B13" s="36" t="s">
        <v>91</v>
      </c>
      <c r="C13" s="62">
        <v>128363916.07462499</v>
      </c>
      <c r="D13" s="4">
        <f>IFERROR(+VLOOKUP(B13,COMISIONES!A:E,5,FALSE),"0")*1</f>
        <v>76140619.230495334</v>
      </c>
      <c r="E13" s="4">
        <v>72751967.97314705</v>
      </c>
      <c r="F13" s="4">
        <f t="shared" si="7"/>
        <v>3388651.2573482841</v>
      </c>
      <c r="G13" s="5">
        <f t="shared" si="1"/>
        <v>0.59316217172924679</v>
      </c>
      <c r="H13" s="4">
        <f t="shared" si="4"/>
        <v>107492638.91364047</v>
      </c>
      <c r="I13" s="5">
        <f t="shared" si="2"/>
        <v>0.83740541891187792</v>
      </c>
      <c r="J13" s="4">
        <f t="shared" si="5"/>
        <v>4478859.9547350192</v>
      </c>
      <c r="K13" s="4">
        <f t="shared" si="3"/>
        <v>7460470.9777328074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0"/>
      <c r="B14" s="36" t="s">
        <v>112</v>
      </c>
      <c r="C14" s="62">
        <v>42449057.394974999</v>
      </c>
      <c r="D14" s="4">
        <f>IFERROR(+VLOOKUP(B14,COMISIONES!A:E,5,FALSE),"0")*1</f>
        <v>31014254.294333346</v>
      </c>
      <c r="E14" s="4">
        <v>27589529.499061346</v>
      </c>
      <c r="F14" s="4">
        <f t="shared" si="7"/>
        <v>3424724.7952720001</v>
      </c>
      <c r="G14" s="5">
        <f t="shared" si="1"/>
        <v>0.73062292068715584</v>
      </c>
      <c r="H14" s="4">
        <f t="shared" si="4"/>
        <v>43784829.592000023</v>
      </c>
      <c r="I14" s="5">
        <f t="shared" si="2"/>
        <v>1.0314676527348083</v>
      </c>
      <c r="J14" s="4">
        <f t="shared" si="5"/>
        <v>1824367.8996666675</v>
      </c>
      <c r="K14" s="4">
        <f t="shared" si="3"/>
        <v>1633543.3000916648</v>
      </c>
      <c r="L14" s="63" cm="1">
        <f t="array" ref="L14">+_xlfn.IFS(I14&gt;109%,H14*0.015,I14&gt;104%,H14*0.0125,I14&gt;99%,H14*0.01,I14&lt;99%,H14*0)</f>
        <v>437848.29592000024</v>
      </c>
      <c r="N14" s="28"/>
    </row>
    <row r="15" spans="1:14" ht="15.75" x14ac:dyDescent="0.25">
      <c r="A15" s="140"/>
      <c r="B15" s="36" t="s">
        <v>108</v>
      </c>
      <c r="C15" s="62">
        <v>42449057.394974999</v>
      </c>
      <c r="D15" s="4">
        <f>IFERROR(+VLOOKUP(B15,COMISIONES!A:E,5,FALSE),"0")*1</f>
        <v>34560427.812981017</v>
      </c>
      <c r="E15" s="4">
        <v>34000537.548853599</v>
      </c>
      <c r="F15" s="4">
        <f t="shared" si="7"/>
        <v>559890.2641274184</v>
      </c>
      <c r="G15" s="5">
        <f t="shared" si="1"/>
        <v>0.81416243219271545</v>
      </c>
      <c r="H15" s="4">
        <f t="shared" si="4"/>
        <v>48791192.206561431</v>
      </c>
      <c r="I15" s="5">
        <f t="shared" si="2"/>
        <v>1.1494057866250098</v>
      </c>
      <c r="J15" s="4">
        <f t="shared" si="5"/>
        <v>2032966.3419400598</v>
      </c>
      <c r="K15" s="4">
        <f t="shared" si="3"/>
        <v>1126947.0831419975</v>
      </c>
      <c r="L15" s="63" cm="1">
        <f t="array" ref="L15">+_xlfn.IFS(I15&gt;109%,H15*0.015,I15&gt;104%,H15*0.0125,I15&gt;99%,H15*0.01,I15&lt;99%,H15*0)</f>
        <v>731867.88309842139</v>
      </c>
    </row>
    <row r="16" spans="1:14" ht="16.5" thickBot="1" x14ac:dyDescent="0.3">
      <c r="A16" s="141"/>
      <c r="B16" s="3"/>
      <c r="C16" s="64">
        <v>341864881.75327951</v>
      </c>
      <c r="D16" s="64">
        <f>+SUM(D11:D15)</f>
        <v>245824585.62809217</v>
      </c>
      <c r="E16" s="65">
        <v>228751118.85260138</v>
      </c>
      <c r="F16" s="64">
        <f t="shared" si="7"/>
        <v>17073466.775490791</v>
      </c>
      <c r="G16" s="66">
        <f t="shared" si="1"/>
        <v>0.71906942990857226</v>
      </c>
      <c r="H16" s="64">
        <f t="shared" si="4"/>
        <v>347046473.82789481</v>
      </c>
      <c r="I16" s="66">
        <f t="shared" si="2"/>
        <v>1.0151568422238666</v>
      </c>
      <c r="J16" s="64">
        <f t="shared" si="5"/>
        <v>14460269.74282895</v>
      </c>
      <c r="K16" s="67">
        <f t="shared" si="3"/>
        <v>13720042.303598192</v>
      </c>
      <c r="L16" s="68"/>
    </row>
    <row r="17" spans="1:13" ht="15.75" x14ac:dyDescent="0.25">
      <c r="A17" s="142" t="s">
        <v>211</v>
      </c>
      <c r="B17" s="69" t="s">
        <v>82</v>
      </c>
      <c r="C17" s="70">
        <v>29338018.132500004</v>
      </c>
      <c r="D17" s="59">
        <f>IFERROR(+VLOOKUP(B17,COMISIONES!A:E,5,FALSE),"0")*1</f>
        <v>14656169.833183007</v>
      </c>
      <c r="E17" s="59">
        <v>14327327.187412227</v>
      </c>
      <c r="F17" s="59">
        <f t="shared" ref="F17:F40" si="8">+D17-E17</f>
        <v>328842.64577078074</v>
      </c>
      <c r="G17" s="60">
        <f t="shared" si="1"/>
        <v>0.49956236876639015</v>
      </c>
      <c r="H17" s="59">
        <f t="shared" si="4"/>
        <v>20691063.293905422</v>
      </c>
      <c r="I17" s="60">
        <f t="shared" si="2"/>
        <v>0.70526452061137435</v>
      </c>
      <c r="J17" s="59">
        <f t="shared" si="5"/>
        <v>862127.63724605925</v>
      </c>
      <c r="K17" s="59">
        <f t="shared" si="3"/>
        <v>2097406.899902428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3"/>
      <c r="B18" s="19" t="s">
        <v>83</v>
      </c>
      <c r="C18" s="71">
        <v>24959505.900000002</v>
      </c>
      <c r="D18" s="4">
        <f>IFERROR(+VLOOKUP(B18,COMISIONES!A:E,5,FALSE),"0")*1</f>
        <v>14595011.902884074</v>
      </c>
      <c r="E18" s="4">
        <v>14052477.154894143</v>
      </c>
      <c r="F18" s="4">
        <f t="shared" si="8"/>
        <v>542534.74798993021</v>
      </c>
      <c r="G18" s="5">
        <f t="shared" si="1"/>
        <v>0.58474762927434687</v>
      </c>
      <c r="H18" s="4">
        <f t="shared" si="4"/>
        <v>20604722.686424576</v>
      </c>
      <c r="I18" s="5">
        <f t="shared" si="2"/>
        <v>0.82552606485790148</v>
      </c>
      <c r="J18" s="4">
        <f t="shared" si="5"/>
        <v>858530.11193435732</v>
      </c>
      <c r="K18" s="4">
        <f t="shared" si="3"/>
        <v>1480641.9995879899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3"/>
      <c r="B19" s="19" t="s">
        <v>93</v>
      </c>
      <c r="C19" s="71">
        <v>25856650.1655</v>
      </c>
      <c r="D19" s="4">
        <f>IFERROR(+VLOOKUP(B19,COMISIONES!A:E,5,FALSE),"0")*1</f>
        <v>16255092.69370864</v>
      </c>
      <c r="E19" s="4">
        <v>15370590.76602143</v>
      </c>
      <c r="F19" s="4">
        <f t="shared" si="8"/>
        <v>884501.9276872091</v>
      </c>
      <c r="G19" s="5">
        <f t="shared" si="1"/>
        <v>0.62866197243900823</v>
      </c>
      <c r="H19" s="4">
        <f t="shared" si="4"/>
        <v>22948366.155823961</v>
      </c>
      <c r="I19" s="5">
        <f t="shared" si="2"/>
        <v>0.88752278461977629</v>
      </c>
      <c r="J19" s="4">
        <f t="shared" si="5"/>
        <v>956181.92315933178</v>
      </c>
      <c r="K19" s="4">
        <f t="shared" si="3"/>
        <v>1371651.0673987658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3"/>
      <c r="B20" s="19" t="s">
        <v>96</v>
      </c>
      <c r="C20" s="71">
        <v>33548130</v>
      </c>
      <c r="D20" s="4">
        <f>IFERROR(+VLOOKUP(B20,COMISIONES!A:E,5,FALSE),"0")*1</f>
        <v>33119601.555834576</v>
      </c>
      <c r="E20" s="4">
        <v>31500554.620573465</v>
      </c>
      <c r="F20" s="4">
        <f t="shared" si="8"/>
        <v>1619046.9352611117</v>
      </c>
      <c r="G20" s="5">
        <f t="shared" si="1"/>
        <v>0.98722645810167586</v>
      </c>
      <c r="H20" s="4">
        <f t="shared" si="4"/>
        <v>46757084.549413517</v>
      </c>
      <c r="I20" s="5">
        <f t="shared" si="2"/>
        <v>1.3937314702611894</v>
      </c>
      <c r="J20" s="4">
        <f t="shared" si="5"/>
        <v>1948211.8562255632</v>
      </c>
      <c r="K20" s="4">
        <f t="shared" si="3"/>
        <v>61218.349166489075</v>
      </c>
      <c r="L20" s="63" cm="1">
        <f t="array" ref="L20">+_xlfn.IFS(I20&gt;114%,H20*0.02,I20&gt;109%,H20*0.015,I20&gt;104%,H20*0.0125,I20&gt;99%,H20*0.01,I20&lt;99%,H20*0)</f>
        <v>935141.69098827033</v>
      </c>
    </row>
    <row r="21" spans="1:13" ht="15.75" x14ac:dyDescent="0.25">
      <c r="A21" s="143"/>
      <c r="B21" s="19" t="s">
        <v>98</v>
      </c>
      <c r="C21" s="71">
        <v>25458510</v>
      </c>
      <c r="D21" s="4">
        <f>IFERROR(+VLOOKUP(B21,COMISIONES!A:E,5,FALSE),"0")*1</f>
        <v>18450827.076554872</v>
      </c>
      <c r="E21" s="4">
        <v>17562945.746719211</v>
      </c>
      <c r="F21" s="4">
        <f t="shared" ref="F21:F23" si="9">+D21-E21</f>
        <v>887881.32983566076</v>
      </c>
      <c r="G21" s="5">
        <f t="shared" si="1"/>
        <v>0.72474104244729454</v>
      </c>
      <c r="H21" s="4">
        <f t="shared" si="4"/>
        <v>26048226.461018644</v>
      </c>
      <c r="I21" s="5">
        <f t="shared" si="2"/>
        <v>1.0231638246314747</v>
      </c>
      <c r="J21" s="4">
        <f t="shared" si="5"/>
        <v>1085342.7692091102</v>
      </c>
      <c r="K21" s="4">
        <f t="shared" si="3"/>
        <v>1001097.5604921611</v>
      </c>
      <c r="L21" s="63" cm="1">
        <f t="array" ref="L21">+_xlfn.IFS(I21&gt;114%,H21*0.02,I21&gt;109%,H21*0.015,I21&gt;104%,H21*0.0125,I21&gt;99%,H21*0.01,I21&lt;99%,H21*0)</f>
        <v>260482.26461018645</v>
      </c>
    </row>
    <row r="22" spans="1:13" ht="15.75" x14ac:dyDescent="0.25">
      <c r="A22" s="143"/>
      <c r="B22" s="19" t="s">
        <v>233</v>
      </c>
      <c r="C22" s="71">
        <v>31742890.200000003</v>
      </c>
      <c r="D22" s="4">
        <f>IFERROR(+VLOOKUP(B22,COMISIONES!A:E,5,FALSE),"0")*1</f>
        <v>22536981.7966014</v>
      </c>
      <c r="E22" s="4">
        <v>21235121.316008732</v>
      </c>
      <c r="F22" s="4">
        <f t="shared" si="9"/>
        <v>1301860.4805926681</v>
      </c>
      <c r="G22" s="5">
        <f t="shared" si="1"/>
        <v>0.70998518580395042</v>
      </c>
      <c r="H22" s="4">
        <f t="shared" si="4"/>
        <v>31816915.477554917</v>
      </c>
      <c r="I22" s="5">
        <f t="shared" si="2"/>
        <v>1.0023320270173417</v>
      </c>
      <c r="J22" s="4">
        <f t="shared" si="5"/>
        <v>1325704.8115647882</v>
      </c>
      <c r="K22" s="4">
        <f t="shared" si="3"/>
        <v>1315129.7719140861</v>
      </c>
      <c r="L22" s="63" cm="1">
        <f t="array" ref="L22">+_xlfn.IFS(I22&gt;114%,H22*0.02,I22&gt;109%,H22*0.015,I22&gt;104%,H22*0.0125,I22&gt;99%,H22*0.01,I22&lt;99%,H22*0)</f>
        <v>318169.15477554919</v>
      </c>
    </row>
    <row r="23" spans="1:13" ht="15.75" x14ac:dyDescent="0.25">
      <c r="A23" s="143"/>
      <c r="B23" s="19" t="s">
        <v>162</v>
      </c>
      <c r="C23" s="71">
        <v>27435946.230000004</v>
      </c>
      <c r="D23" s="4">
        <f>IFERROR(+VLOOKUP(B23,COMISIONES!A:E,5,FALSE),"0")*1</f>
        <v>19249056.412220988</v>
      </c>
      <c r="E23" s="4">
        <v>18444679.141901817</v>
      </c>
      <c r="F23" s="4">
        <f t="shared" si="9"/>
        <v>804377.27031917125</v>
      </c>
      <c r="G23" s="5">
        <f t="shared" si="1"/>
        <v>0.70159987378795008</v>
      </c>
      <c r="H23" s="4">
        <f t="shared" si="4"/>
        <v>27175138.464311987</v>
      </c>
      <c r="I23" s="5">
        <f t="shared" si="2"/>
        <v>0.99049393946534148</v>
      </c>
      <c r="J23" s="4">
        <f t="shared" si="5"/>
        <v>1132297.4360129994</v>
      </c>
      <c r="K23" s="4">
        <f t="shared" si="3"/>
        <v>1169555.6882541452</v>
      </c>
      <c r="L23" s="63" cm="1">
        <f t="array" ref="L23">+_xlfn.IFS(I23&gt;114%,H23*0.02,I23&gt;109%,H23*0.015,I23&gt;104%,H23*0.0125,I23&gt;99%,H23*0.01,I23&lt;99%,H23*0)</f>
        <v>271751.38464311988</v>
      </c>
    </row>
    <row r="24" spans="1:13" ht="15.75" x14ac:dyDescent="0.25">
      <c r="A24" s="143"/>
      <c r="B24" s="19" t="s">
        <v>234</v>
      </c>
      <c r="C24" s="71">
        <v>33494055</v>
      </c>
      <c r="D24" s="4">
        <f>IFERROR(+VLOOKUP(B24,COMISIONES!A:E,5,FALSE),"0")*1</f>
        <v>27551059.898165032</v>
      </c>
      <c r="E24" s="4">
        <v>26870463.672417026</v>
      </c>
      <c r="F24" s="4">
        <f t="shared" si="8"/>
        <v>680596.22574800625</v>
      </c>
      <c r="G24" s="5">
        <f t="shared" si="1"/>
        <v>0.82256567316692564</v>
      </c>
      <c r="H24" s="4">
        <f t="shared" si="4"/>
        <v>38895613.973880045</v>
      </c>
      <c r="I24" s="5">
        <f t="shared" si="2"/>
        <v>1.1612691856474244</v>
      </c>
      <c r="J24" s="4">
        <f t="shared" si="5"/>
        <v>1620650.5822450018</v>
      </c>
      <c r="K24" s="4">
        <f t="shared" si="3"/>
        <v>848999.30026213825</v>
      </c>
      <c r="L24" s="63" cm="1">
        <f t="array" ref="L24">+_xlfn.IFS(I24&gt;114%,H24*0.02,I24&gt;109%,H24*0.015,I24&gt;104%,H24*0.0125,I24&gt;99%,H24*0.01,I24&lt;99%,H24*0)</f>
        <v>777912.27947760094</v>
      </c>
    </row>
    <row r="25" spans="1:13" ht="15.75" x14ac:dyDescent="0.25">
      <c r="A25" s="143"/>
      <c r="B25" s="19" t="s">
        <v>140</v>
      </c>
      <c r="C25" s="71">
        <v>54064952.86500001</v>
      </c>
      <c r="D25" s="4">
        <f>IFERROR(+VLOOKUP(B25,COMISIONES!A:E,5,FALSE),"0")*1</f>
        <v>39552297.641850315</v>
      </c>
      <c r="E25" s="4">
        <v>37438041.877962932</v>
      </c>
      <c r="F25" s="4">
        <f t="shared" si="8"/>
        <v>2114255.763887383</v>
      </c>
      <c r="G25" s="5">
        <f t="shared" si="1"/>
        <v>0.73157000137616435</v>
      </c>
      <c r="H25" s="4">
        <f t="shared" si="4"/>
        <v>55838537.84731809</v>
      </c>
      <c r="I25" s="5">
        <f t="shared" si="2"/>
        <v>1.0328047078251732</v>
      </c>
      <c r="J25" s="4">
        <f t="shared" si="5"/>
        <v>2326605.7436382538</v>
      </c>
      <c r="K25" s="4">
        <f t="shared" si="3"/>
        <v>2073236.4604499564</v>
      </c>
      <c r="L25" s="63" cm="1">
        <f t="array" ref="L25">+_xlfn.IFS(I25&gt;109%,H25*0.015,I25&gt;104%,H25*0.0125,I25&gt;99%,H25*0.01,I25&lt;99%,H25*0)</f>
        <v>558385.37847318093</v>
      </c>
    </row>
    <row r="26" spans="1:13" ht="16.5" thickBot="1" x14ac:dyDescent="0.3">
      <c r="A26" s="144"/>
      <c r="B26" s="72"/>
      <c r="C26" s="67">
        <v>285898658.49300003</v>
      </c>
      <c r="D26" s="67">
        <f>+SUM(D17:D25)</f>
        <v>205966098.81100294</v>
      </c>
      <c r="E26" s="65">
        <v>196802201.48391098</v>
      </c>
      <c r="F26" s="67">
        <f>+D26-E26</f>
        <v>9163897.3270919621</v>
      </c>
      <c r="G26" s="66">
        <f t="shared" si="1"/>
        <v>0.72041645769403229</v>
      </c>
      <c r="H26" s="64">
        <f t="shared" si="4"/>
        <v>290775668.90965122</v>
      </c>
      <c r="I26" s="66">
        <f t="shared" si="2"/>
        <v>1.0170585285092222</v>
      </c>
      <c r="J26" s="64">
        <f t="shared" si="5"/>
        <v>12115652.871235467</v>
      </c>
      <c r="K26" s="67">
        <f t="shared" si="3"/>
        <v>11418937.097428156</v>
      </c>
      <c r="L26" s="68"/>
    </row>
    <row r="27" spans="1:13" ht="15.75" x14ac:dyDescent="0.25">
      <c r="A27" s="139" t="s">
        <v>219</v>
      </c>
      <c r="B27" s="57" t="s">
        <v>214</v>
      </c>
      <c r="C27" s="73">
        <v>81977700</v>
      </c>
      <c r="D27" s="59">
        <f>IFERROR(+VLOOKUP(B27,COMISIONES!A:E,5,FALSE),"0")*1</f>
        <v>51318678.003578387</v>
      </c>
      <c r="E27" s="59">
        <v>48175945.040107362</v>
      </c>
      <c r="F27" s="59">
        <f t="shared" si="8"/>
        <v>3142732.9634710252</v>
      </c>
      <c r="G27" s="60">
        <f t="shared" si="1"/>
        <v>0.62600778020825643</v>
      </c>
      <c r="H27" s="59">
        <f t="shared" si="4"/>
        <v>72449898.357993022</v>
      </c>
      <c r="I27" s="60">
        <f t="shared" si="2"/>
        <v>0.88377568970577391</v>
      </c>
      <c r="J27" s="59">
        <f t="shared" si="5"/>
        <v>3018745.7649163757</v>
      </c>
      <c r="K27" s="59">
        <f t="shared" si="3"/>
        <v>4379860.2852030871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140"/>
      <c r="B28" s="36" t="s">
        <v>216</v>
      </c>
      <c r="C28" s="74">
        <v>21000000</v>
      </c>
      <c r="D28" s="4">
        <f>IFERROR(+VLOOKUP(B28,COMISIONES!A:E,5,FALSE),"0")*1</f>
        <v>9969847.1082350891</v>
      </c>
      <c r="E28" s="4">
        <v>9619009.6277426537</v>
      </c>
      <c r="F28" s="4">
        <f t="shared" si="8"/>
        <v>350837.4804924354</v>
      </c>
      <c r="G28" s="5">
        <f t="shared" si="1"/>
        <v>0.47475462420167092</v>
      </c>
      <c r="H28" s="4">
        <f t="shared" si="4"/>
        <v>14075078.270449538</v>
      </c>
      <c r="I28" s="5">
        <f t="shared" si="2"/>
        <v>0.67024182240235897</v>
      </c>
      <c r="J28" s="4">
        <f t="shared" si="5"/>
        <v>586461.59460206411</v>
      </c>
      <c r="K28" s="4">
        <f t="shared" si="3"/>
        <v>1575736.1273949873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0"/>
      <c r="B29" s="36" t="s">
        <v>87</v>
      </c>
      <c r="C29" s="74">
        <v>25739700</v>
      </c>
      <c r="D29" s="4">
        <f>IFERROR(+VLOOKUP(B29,COMISIONES!A:E,5,FALSE),"0")*1</f>
        <v>15253790.749603992</v>
      </c>
      <c r="E29" s="4">
        <v>14513510.837046813</v>
      </c>
      <c r="F29" s="4">
        <f t="shared" si="8"/>
        <v>740279.91255717911</v>
      </c>
      <c r="G29" s="5">
        <f t="shared" si="1"/>
        <v>0.59261727019366939</v>
      </c>
      <c r="H29" s="4">
        <f t="shared" si="4"/>
        <v>21534763.411205634</v>
      </c>
      <c r="I29" s="5">
        <f t="shared" si="2"/>
        <v>0.83663614615576853</v>
      </c>
      <c r="J29" s="4">
        <f t="shared" si="5"/>
        <v>897281.80880023481</v>
      </c>
      <c r="K29" s="4">
        <f t="shared" si="3"/>
        <v>1497987.0357708582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0"/>
      <c r="B30" s="36" t="s">
        <v>215</v>
      </c>
      <c r="C30" s="74">
        <v>38233205.112125672</v>
      </c>
      <c r="D30" s="4">
        <f>IFERROR(+VLOOKUP(B30,COMISIONES!A:E,5,FALSE),"0")*1</f>
        <v>15225312.922678526</v>
      </c>
      <c r="E30" s="4">
        <v>13744781.310032215</v>
      </c>
      <c r="F30" s="4">
        <f t="shared" si="8"/>
        <v>1480531.6126463115</v>
      </c>
      <c r="G30" s="5">
        <f t="shared" si="1"/>
        <v>0.39822224890713687</v>
      </c>
      <c r="H30" s="4">
        <f t="shared" si="4"/>
        <v>21494559.420252036</v>
      </c>
      <c r="I30" s="5">
        <f t="shared" si="2"/>
        <v>0.56219611610419318</v>
      </c>
      <c r="J30" s="4">
        <f t="shared" si="5"/>
        <v>895606.64251050155</v>
      </c>
      <c r="K30" s="4">
        <f t="shared" si="3"/>
        <v>3286841.7413495923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0"/>
      <c r="B31" s="36" t="s">
        <v>99</v>
      </c>
      <c r="C31" s="74">
        <v>25415250</v>
      </c>
      <c r="D31" s="4">
        <f>IFERROR(+VLOOKUP(B31,COMISIONES!A:E,5,FALSE),"0")*1</f>
        <v>18692963.510811996</v>
      </c>
      <c r="E31" s="4">
        <v>17811529.234015737</v>
      </c>
      <c r="F31" s="4">
        <f t="shared" si="8"/>
        <v>881434.27679625899</v>
      </c>
      <c r="G31" s="5">
        <f t="shared" si="1"/>
        <v>0.73550185462712336</v>
      </c>
      <c r="H31" s="4">
        <f t="shared" si="4"/>
        <v>26390066.132911056</v>
      </c>
      <c r="I31" s="5">
        <f t="shared" si="2"/>
        <v>1.038355559473586</v>
      </c>
      <c r="J31" s="4">
        <f t="shared" si="5"/>
        <v>1099586.0888712939</v>
      </c>
      <c r="K31" s="4">
        <f t="shared" si="3"/>
        <v>960326.64131257206</v>
      </c>
      <c r="L31" s="63" cm="1">
        <f t="array" ref="L31">+_xlfn.IFS(I31&gt;114%,H31*0.02,I31&gt;109%,H31*0.015,I31&gt;104%,H31*0.0125,I31&gt;99%,H31*0.01,I31&lt;99%,H31*0)</f>
        <v>263900.66132911056</v>
      </c>
      <c r="M31" s="27"/>
    </row>
    <row r="32" spans="1:13" ht="15.75" x14ac:dyDescent="0.25">
      <c r="A32" s="140"/>
      <c r="B32" s="36" t="s">
        <v>213</v>
      </c>
      <c r="C32" s="74">
        <v>25200000</v>
      </c>
      <c r="D32" s="4">
        <f>IFERROR(+VLOOKUP(B32,COMISIONES!A:E,5,FALSE),"0")*1</f>
        <v>12266673.990837373</v>
      </c>
      <c r="E32" s="4">
        <v>11113936.881548401</v>
      </c>
      <c r="F32" s="4">
        <f t="shared" si="8"/>
        <v>1152737.1092889719</v>
      </c>
      <c r="G32" s="5">
        <f t="shared" si="1"/>
        <v>0.48677277741418146</v>
      </c>
      <c r="H32" s="4">
        <f t="shared" si="4"/>
        <v>17317657.398829233</v>
      </c>
      <c r="I32" s="5">
        <f t="shared" si="2"/>
        <v>0.68720862693766793</v>
      </c>
      <c r="J32" s="4">
        <f t="shared" si="5"/>
        <v>721569.05828455137</v>
      </c>
      <c r="K32" s="4">
        <f t="shared" si="3"/>
        <v>1847618.0013089466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0"/>
      <c r="B33" s="36" t="s">
        <v>100</v>
      </c>
      <c r="C33" s="74">
        <v>26496750</v>
      </c>
      <c r="D33" s="4">
        <f>IFERROR(+VLOOKUP(B33,COMISIONES!A:E,5,FALSE),"0")*1</f>
        <v>15642003.201546233</v>
      </c>
      <c r="E33" s="4">
        <v>12580118.437786307</v>
      </c>
      <c r="F33" s="4">
        <f t="shared" si="8"/>
        <v>3061884.763759926</v>
      </c>
      <c r="G33" s="5">
        <f t="shared" si="1"/>
        <v>0.59033667153693314</v>
      </c>
      <c r="H33" s="4">
        <f t="shared" si="4"/>
        <v>22082828.04924174</v>
      </c>
      <c r="I33" s="5">
        <f t="shared" si="2"/>
        <v>0.83341647746390557</v>
      </c>
      <c r="J33" s="4">
        <f t="shared" si="5"/>
        <v>920117.83538507251</v>
      </c>
      <c r="K33" s="4">
        <f t="shared" si="3"/>
        <v>1550678.1140648238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0"/>
      <c r="B34" s="36" t="s">
        <v>139</v>
      </c>
      <c r="C34" s="74">
        <v>21000000</v>
      </c>
      <c r="D34" s="4">
        <f>IFERROR(+VLOOKUP(B34,COMISIONES!A:E,5,FALSE),"0")*1</f>
        <v>10020089.643575415</v>
      </c>
      <c r="E34" s="4">
        <v>8965967.9978734702</v>
      </c>
      <c r="F34" s="4">
        <f t="shared" si="8"/>
        <v>1054121.6457019448</v>
      </c>
      <c r="G34" s="5">
        <f t="shared" si="1"/>
        <v>0.47714712588454355</v>
      </c>
      <c r="H34" s="4">
        <f t="shared" si="4"/>
        <v>14146008.908577055</v>
      </c>
      <c r="I34" s="5">
        <f t="shared" si="2"/>
        <v>0.67361947183700266</v>
      </c>
      <c r="J34" s="4">
        <f t="shared" si="5"/>
        <v>589417.03785737732</v>
      </c>
      <c r="K34" s="4">
        <f t="shared" si="3"/>
        <v>1568558.6223463693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0"/>
      <c r="B35" s="19" t="s">
        <v>104</v>
      </c>
      <c r="C35" s="74">
        <v>24658200</v>
      </c>
      <c r="D35" s="4">
        <f>IFERROR(+VLOOKUP(B35,COMISIONES!A:E,5,FALSE),"0")*1</f>
        <v>5672922.8813768905</v>
      </c>
      <c r="E35" s="4">
        <v>5395818.7702505961</v>
      </c>
      <c r="F35" s="4">
        <f t="shared" si="8"/>
        <v>277104.11112629436</v>
      </c>
      <c r="G35" s="5">
        <f t="shared" si="1"/>
        <v>0.23006232739522312</v>
      </c>
      <c r="H35" s="4">
        <f t="shared" si="4"/>
        <v>8008832.3031203151</v>
      </c>
      <c r="I35" s="5">
        <f t="shared" si="2"/>
        <v>0.3247938739697267</v>
      </c>
      <c r="J35" s="4">
        <f t="shared" si="5"/>
        <v>333701.34596334648</v>
      </c>
      <c r="K35" s="4">
        <f t="shared" si="3"/>
        <v>2712182.445517587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0"/>
      <c r="B36" s="36" t="s">
        <v>207</v>
      </c>
      <c r="C36" s="74">
        <v>25235000</v>
      </c>
      <c r="D36" s="4">
        <f>IFERROR(+VLOOKUP(B36,COMISIONES!A:E,5,FALSE),"0")*1</f>
        <v>10783265.035760457</v>
      </c>
      <c r="E36" s="4">
        <v>10097592.903339321</v>
      </c>
      <c r="F36" s="4">
        <f t="shared" si="8"/>
        <v>685672.1324211359</v>
      </c>
      <c r="G36" s="5">
        <f t="shared" si="1"/>
        <v>0.42731385122886689</v>
      </c>
      <c r="H36" s="4">
        <f t="shared" si="4"/>
        <v>15223432.991661821</v>
      </c>
      <c r="I36" s="5">
        <f t="shared" si="2"/>
        <v>0.60326661349957678</v>
      </c>
      <c r="J36" s="4">
        <f t="shared" si="5"/>
        <v>634309.70798590919</v>
      </c>
      <c r="K36" s="4">
        <f t="shared" si="3"/>
        <v>2064533.5663199348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0"/>
      <c r="B37" s="36" t="s">
        <v>111</v>
      </c>
      <c r="C37" s="74">
        <v>122011750</v>
      </c>
      <c r="D37" s="4">
        <f>IFERROR(+VLOOKUP(B37,COMISIONES!A:E,5,FALSE),"0")*1</f>
        <v>39883215.752393797</v>
      </c>
      <c r="E37" s="4">
        <v>34946802.602325797</v>
      </c>
      <c r="F37" s="4">
        <f t="shared" si="8"/>
        <v>4936413.150068</v>
      </c>
      <c r="G37" s="5">
        <f t="shared" si="1"/>
        <v>0.32688012222096474</v>
      </c>
      <c r="H37" s="4">
        <f t="shared" si="4"/>
        <v>56305716.356320649</v>
      </c>
      <c r="I37" s="5">
        <f t="shared" si="2"/>
        <v>0.46147781960606787</v>
      </c>
      <c r="J37" s="4">
        <f t="shared" si="5"/>
        <v>2346071.5148466937</v>
      </c>
      <c r="K37" s="4">
        <f t="shared" si="3"/>
        <v>11732647.74965803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0"/>
      <c r="B38" s="36" t="s">
        <v>217</v>
      </c>
      <c r="C38" s="74">
        <v>35700000</v>
      </c>
      <c r="D38" s="4">
        <f>IFERROR(+VLOOKUP(B38,COMISIONES!A:E,5,FALSE),"0")*1</f>
        <v>9617956.635158509</v>
      </c>
      <c r="E38" s="4">
        <v>9617956.635158509</v>
      </c>
      <c r="F38" s="4">
        <f t="shared" ref="F38" si="10">+D38-E38</f>
        <v>0</v>
      </c>
      <c r="G38" s="5">
        <f t="shared" si="1"/>
        <v>0.26941055000444003</v>
      </c>
      <c r="H38" s="4">
        <f t="shared" si="4"/>
        <v>13578291.720223777</v>
      </c>
      <c r="I38" s="5">
        <f t="shared" si="2"/>
        <v>0.38034430588862123</v>
      </c>
      <c r="J38" s="4">
        <f t="shared" si="5"/>
        <v>565762.15500932408</v>
      </c>
      <c r="K38" s="4">
        <f t="shared" si="3"/>
        <v>3726006.1949773557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0"/>
      <c r="B39" s="36" t="s">
        <v>81</v>
      </c>
      <c r="C39" s="74">
        <v>36361427.739</v>
      </c>
      <c r="D39" s="4">
        <f>IFERROR(+VLOOKUP(B39,COMISIONES!A:E,5,FALSE),"0")*1</f>
        <v>18908273.459980056</v>
      </c>
      <c r="E39" s="4">
        <v>16993732.776372664</v>
      </c>
      <c r="F39" s="4">
        <f t="shared" si="8"/>
        <v>1914540.683607392</v>
      </c>
      <c r="G39" s="5">
        <f t="shared" si="1"/>
        <v>0.52000910403470491</v>
      </c>
      <c r="H39" s="4">
        <f t="shared" si="4"/>
        <v>26694033.119971845</v>
      </c>
      <c r="I39" s="5">
        <f t="shared" si="2"/>
        <v>0.73413049981370104</v>
      </c>
      <c r="J39" s="4">
        <f t="shared" si="5"/>
        <v>1112251.3799988269</v>
      </c>
      <c r="K39" s="4">
        <f t="shared" si="3"/>
        <v>2493307.7541457065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1"/>
      <c r="B40" s="3"/>
      <c r="C40" s="75">
        <v>509028982.85112572</v>
      </c>
      <c r="D40" s="67">
        <f>+SUM(D27:D39)</f>
        <v>233254992.89553672</v>
      </c>
      <c r="E40" s="65">
        <v>213576703.05359986</v>
      </c>
      <c r="F40" s="67">
        <f t="shared" si="8"/>
        <v>19678289.841936857</v>
      </c>
      <c r="G40" s="66">
        <f t="shared" si="1"/>
        <v>0.45823519043856908</v>
      </c>
      <c r="H40" s="64">
        <f t="shared" si="4"/>
        <v>329301166.44075775</v>
      </c>
      <c r="I40" s="66">
        <f t="shared" si="2"/>
        <v>0.64692026885445053</v>
      </c>
      <c r="J40" s="64">
        <f t="shared" si="5"/>
        <v>13720881.935031572</v>
      </c>
      <c r="K40" s="67">
        <f t="shared" si="3"/>
        <v>39396284.279369853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885675996.68139398</v>
      </c>
      <c r="E41" s="82">
        <v>828177390.76270187</v>
      </c>
      <c r="F41" s="81">
        <f>+D41-E41</f>
        <v>57498605.918692112</v>
      </c>
      <c r="G41" s="83">
        <f t="shared" si="1"/>
        <v>0.64190251126598952</v>
      </c>
      <c r="H41" s="81">
        <f t="shared" si="4"/>
        <v>1250366112.9619679</v>
      </c>
      <c r="I41" s="83">
        <f t="shared" si="2"/>
        <v>0.90621531002257338</v>
      </c>
      <c r="J41" s="81">
        <f t="shared" si="5"/>
        <v>52098588.040082</v>
      </c>
      <c r="K41" s="81">
        <f t="shared" si="3"/>
        <v>70584450.058820292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26234005.111392636</v>
      </c>
      <c r="E43" s="4">
        <v>26219522.389394078</v>
      </c>
      <c r="F43" s="4">
        <f t="shared" ref="F43" si="11">+D43-E43</f>
        <v>14482.721998557448</v>
      </c>
      <c r="G43" s="5">
        <f>+D43/C43</f>
        <v>0.65585012778481588</v>
      </c>
      <c r="H43" s="4">
        <f t="shared" ref="H43" si="12">+D43/$N$3*$N$4</f>
        <v>37036242.510201365</v>
      </c>
      <c r="I43" s="5">
        <f>+H43/C43</f>
        <v>0.92590606275503406</v>
      </c>
      <c r="J43" s="4">
        <f t="shared" ref="J43" si="13">+D43/$N$3</f>
        <v>1543176.7712583903</v>
      </c>
      <c r="K43" s="4">
        <f>+(C43-D43)/$N$2</f>
        <v>1966570.6983724807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21229662.770730246</v>
      </c>
      <c r="E44" s="4">
        <v>21062966.055391137</v>
      </c>
      <c r="F44" s="4">
        <f t="shared" ref="F44" si="14">+D44-E44</f>
        <v>166696.7153391093</v>
      </c>
      <c r="G44" s="5">
        <f>+D44/C44</f>
        <v>0.70765542569100814</v>
      </c>
      <c r="H44" s="4">
        <f t="shared" ref="H44" si="15">+D44/$N$3*$N$4</f>
        <v>29971288.617501527</v>
      </c>
      <c r="I44" s="5">
        <f>+H44/C44</f>
        <v>0.9990429539167176</v>
      </c>
      <c r="J44" s="4">
        <f t="shared" ref="J44" si="16">+D44/$N$3</f>
        <v>1248803.6923958969</v>
      </c>
      <c r="K44" s="4">
        <f>+(C44-D44)/$N$2</f>
        <v>1252905.3184671078</v>
      </c>
      <c r="L44" s="4" cm="1">
        <f t="array" ref="L44">+_xlfn.IFS(I44&gt;114%,H44*0.02,I44&gt;109%,H44*0.015,I44&gt;104%,H44*0.0125,I44&gt;99%,H44*0.01,I44&lt;99%,H44*0)</f>
        <v>299712.8861750153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5" t="s">
        <v>37</v>
      </c>
      <c r="B2">
        <v>22</v>
      </c>
      <c r="C2" s="12" t="str">
        <f>+AVANCE!B11</f>
        <v>22 - ALMIRON NICOLAS</v>
      </c>
      <c r="D2" s="22">
        <f>H2/G2</f>
        <v>0.83783783783783783</v>
      </c>
      <c r="E2" s="13">
        <v>33</v>
      </c>
      <c r="F2" s="12">
        <f>+H2-E2</f>
        <v>29</v>
      </c>
      <c r="G2" s="13">
        <f>VLOOKUP(B2,'Base Cobertura'!$A:$C,3,FALSE)</f>
        <v>74</v>
      </c>
      <c r="H2" s="13">
        <f>VLOOKUP(B2,'Base Cobertura'!$A:$C,2,FALSE)</f>
        <v>62</v>
      </c>
      <c r="I2" s="17">
        <f>(+G2*$M$2)-H2</f>
        <v>0.89999999999999858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5"/>
      <c r="B3">
        <v>49</v>
      </c>
      <c r="C3" s="13" t="str">
        <f>+AVANCE!B12</f>
        <v>49 - ESCOBAR RAÚL</v>
      </c>
      <c r="D3" s="22">
        <f t="shared" ref="D3:D38" si="0">H3/G3</f>
        <v>0.43153526970954359</v>
      </c>
      <c r="E3" s="13">
        <v>1</v>
      </c>
      <c r="F3" s="12">
        <f t="shared" ref="F3:F38" si="1">+H3-E3</f>
        <v>103</v>
      </c>
      <c r="G3" s="13">
        <f>VLOOKUP(B3,'Base Cobertura'!$A:$C,3,FALSE)</f>
        <v>241</v>
      </c>
      <c r="H3" s="13">
        <f>VLOOKUP(B3,'Base Cobertura'!$A:$C,2,FALSE)</f>
        <v>104</v>
      </c>
      <c r="I3" s="17">
        <f t="shared" ref="I3:I38" si="2">(+G3*$M$2)-H3</f>
        <v>100.85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71</v>
      </c>
      <c r="T3" s="12">
        <v>214</v>
      </c>
      <c r="U3" s="41">
        <f>+S3/T3</f>
        <v>0.33177570093457942</v>
      </c>
    </row>
    <row r="4" spans="1:21" x14ac:dyDescent="0.25">
      <c r="A4" s="145"/>
      <c r="B4">
        <v>20</v>
      </c>
      <c r="C4" s="13" t="str">
        <f>+AVANCE!B2</f>
        <v>20 - FLORES JAVIER</v>
      </c>
      <c r="D4" s="22">
        <f t="shared" si="0"/>
        <v>0.84140969162995594</v>
      </c>
      <c r="E4" s="13">
        <v>126</v>
      </c>
      <c r="F4" s="12">
        <f t="shared" si="1"/>
        <v>65</v>
      </c>
      <c r="G4" s="13">
        <f>VLOOKUP(B4,'Base Cobertura'!$A:$C,3,FALSE)</f>
        <v>227</v>
      </c>
      <c r="H4" s="13">
        <f>VLOOKUP(B4,'Base Cobertura'!$A:$C,2,FALSE)</f>
        <v>191</v>
      </c>
      <c r="I4" s="17">
        <f t="shared" si="2"/>
        <v>1.9499999999999886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48</v>
      </c>
      <c r="T4" s="13">
        <v>214</v>
      </c>
      <c r="U4" s="5">
        <f t="shared" ref="U4:U11" si="3">+S4/T4</f>
        <v>0.22429906542056074</v>
      </c>
    </row>
    <row r="5" spans="1:21" x14ac:dyDescent="0.25">
      <c r="A5" s="145"/>
      <c r="B5">
        <v>15</v>
      </c>
      <c r="C5" s="13" t="str">
        <f>+AVANCE!B13</f>
        <v>15 - GALARZA GERARDO</v>
      </c>
      <c r="D5" s="22">
        <f t="shared" si="0"/>
        <v>0.75384615384615383</v>
      </c>
      <c r="E5" s="13">
        <v>21</v>
      </c>
      <c r="F5" s="12">
        <f t="shared" si="1"/>
        <v>28</v>
      </c>
      <c r="G5" s="13">
        <f>VLOOKUP(B5,'Base Cobertura'!$A:$C,3,FALSE)</f>
        <v>65</v>
      </c>
      <c r="H5" s="13">
        <f>VLOOKUP(B5,'Base Cobertura'!$A:$C,2,FALSE)</f>
        <v>49</v>
      </c>
      <c r="I5" s="17">
        <f t="shared" si="2"/>
        <v>6.25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83</v>
      </c>
      <c r="T5" s="13">
        <v>214</v>
      </c>
      <c r="U5" s="5">
        <f t="shared" si="3"/>
        <v>0.38785046728971961</v>
      </c>
    </row>
    <row r="6" spans="1:21" x14ac:dyDescent="0.25">
      <c r="A6" s="145"/>
      <c r="B6">
        <v>19</v>
      </c>
      <c r="C6" s="13" t="str">
        <f>+AVANCE!B3</f>
        <v>19 - GONZALEZ MARCELO</v>
      </c>
      <c r="D6" s="22">
        <f t="shared" si="0"/>
        <v>0.88405797101449279</v>
      </c>
      <c r="E6" s="13">
        <v>100</v>
      </c>
      <c r="F6" s="12">
        <f t="shared" si="1"/>
        <v>83</v>
      </c>
      <c r="G6" s="13">
        <f>VLOOKUP(B6,'Base Cobertura'!$A:$C,3,FALSE)</f>
        <v>207</v>
      </c>
      <c r="H6" s="13">
        <f>VLOOKUP(B6,'Base Cobertura'!$A:$C,2,FALSE)</f>
        <v>183</v>
      </c>
      <c r="I6" s="17">
        <f t="shared" si="2"/>
        <v>-7.0500000000000114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42</v>
      </c>
      <c r="T6" s="13">
        <v>214</v>
      </c>
      <c r="U6" s="5">
        <f t="shared" si="3"/>
        <v>0.19626168224299065</v>
      </c>
    </row>
    <row r="7" spans="1:21" x14ac:dyDescent="0.25">
      <c r="A7" s="145"/>
      <c r="B7">
        <v>16</v>
      </c>
      <c r="C7" s="13" t="str">
        <f>+AVANCE!B4</f>
        <v>16 - GOMEZ MATÍAS</v>
      </c>
      <c r="D7" s="22">
        <f t="shared" si="0"/>
        <v>0.75252525252525249</v>
      </c>
      <c r="E7" s="13">
        <v>81</v>
      </c>
      <c r="F7" s="12">
        <f t="shared" si="1"/>
        <v>68</v>
      </c>
      <c r="G7" s="13">
        <f>VLOOKUP(B7,'Base Cobertura'!$A:$C,3,FALSE)</f>
        <v>198</v>
      </c>
      <c r="H7" s="13">
        <f>VLOOKUP(B7,'Base Cobertura'!$A:$C,2,FALSE)</f>
        <v>149</v>
      </c>
      <c r="I7" s="17">
        <f t="shared" si="2"/>
        <v>19.299999999999983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85</v>
      </c>
      <c r="T7" s="13">
        <v>214</v>
      </c>
      <c r="U7" s="5">
        <f t="shared" si="3"/>
        <v>0.39719626168224298</v>
      </c>
    </row>
    <row r="8" spans="1:21" x14ac:dyDescent="0.25">
      <c r="A8" s="145"/>
      <c r="B8">
        <v>12</v>
      </c>
      <c r="C8" s="13" t="str">
        <f>+AVANCE!B5</f>
        <v>12 - GUTIERREZ MARCOS DAVID</v>
      </c>
      <c r="D8" s="22">
        <f t="shared" si="0"/>
        <v>0.84112149532710279</v>
      </c>
      <c r="E8" s="13">
        <v>89</v>
      </c>
      <c r="F8" s="12">
        <f t="shared" si="1"/>
        <v>91</v>
      </c>
      <c r="G8" s="13">
        <f>VLOOKUP(B8,'Base Cobertura'!$A:$C,3,FALSE)</f>
        <v>214</v>
      </c>
      <c r="H8" s="13">
        <f>VLOOKUP(B8,'Base Cobertura'!$A:$C,2,FALSE)</f>
        <v>180</v>
      </c>
      <c r="I8" s="17">
        <f t="shared" si="2"/>
        <v>1.9000000000000057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77</v>
      </c>
      <c r="T8" s="13">
        <v>214</v>
      </c>
      <c r="U8" s="5">
        <f t="shared" si="3"/>
        <v>0.35981308411214952</v>
      </c>
    </row>
    <row r="9" spans="1:21" x14ac:dyDescent="0.25">
      <c r="A9" s="145"/>
      <c r="B9">
        <v>11</v>
      </c>
      <c r="C9" s="30" t="str">
        <f>+AVANCE!B6</f>
        <v>11 - SANCHEZ RICARDO</v>
      </c>
      <c r="D9" s="22">
        <f>H9/G9</f>
        <v>0.73809523809523814</v>
      </c>
      <c r="E9" s="13">
        <v>92</v>
      </c>
      <c r="F9" s="12">
        <f t="shared" si="1"/>
        <v>32</v>
      </c>
      <c r="G9" s="13">
        <f>VLOOKUP(B9,'Base Cobertura'!$A:$C,3,FALSE)</f>
        <v>168</v>
      </c>
      <c r="H9" s="13">
        <f>VLOOKUP(B9,'Base Cobertura'!$A:$C,2,FALSE)</f>
        <v>124</v>
      </c>
      <c r="I9" s="17">
        <f t="shared" si="2"/>
        <v>18.799999999999983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20</v>
      </c>
      <c r="T9" s="13">
        <v>214</v>
      </c>
      <c r="U9" s="5">
        <f t="shared" si="3"/>
        <v>9.3457943925233641E-2</v>
      </c>
    </row>
    <row r="10" spans="1:21" x14ac:dyDescent="0.25">
      <c r="A10" s="145"/>
      <c r="B10">
        <v>8</v>
      </c>
      <c r="C10" s="13" t="str">
        <f>+AVANCE!B7</f>
        <v>8 - RAVAROTTO EMANUEL</v>
      </c>
      <c r="D10" s="22">
        <f t="shared" si="0"/>
        <v>0.74358974358974361</v>
      </c>
      <c r="E10" s="13">
        <v>64</v>
      </c>
      <c r="F10" s="12">
        <f t="shared" si="1"/>
        <v>81</v>
      </c>
      <c r="G10" s="13">
        <f>VLOOKUP(B10,'Base Cobertura'!$A:$C,3,FALSE)</f>
        <v>195</v>
      </c>
      <c r="H10" s="13">
        <f>VLOOKUP(B10,'Base Cobertura'!$A:$C,2,FALSE)</f>
        <v>145</v>
      </c>
      <c r="I10" s="17">
        <f t="shared" si="2"/>
        <v>20.75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21</v>
      </c>
      <c r="T10" s="13">
        <v>214</v>
      </c>
      <c r="U10" s="5">
        <f t="shared" si="3"/>
        <v>9.8130841121495324E-2</v>
      </c>
    </row>
    <row r="11" spans="1:21" x14ac:dyDescent="0.25">
      <c r="A11" s="145"/>
      <c r="B11">
        <v>52</v>
      </c>
      <c r="C11" s="31" t="str">
        <f>+AVANCE!B14</f>
        <v>52 - MARSALL NICOLAS</v>
      </c>
      <c r="D11" s="32">
        <f t="shared" si="0"/>
        <v>0.43564356435643564</v>
      </c>
      <c r="E11" s="31">
        <v>19</v>
      </c>
      <c r="F11" s="33">
        <f t="shared" si="1"/>
        <v>25</v>
      </c>
      <c r="G11" s="13">
        <f>VLOOKUP(B11,'Base Cobertura'!$A:$C,3,FALSE)</f>
        <v>101</v>
      </c>
      <c r="H11" s="13">
        <f>VLOOKUP(B11,'Base Cobertura'!$A:$C,2,FALSE)</f>
        <v>44</v>
      </c>
      <c r="I11" s="34">
        <f t="shared" si="2"/>
        <v>41.849999999999994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38</v>
      </c>
      <c r="T11" s="13">
        <v>214</v>
      </c>
      <c r="U11" s="5">
        <f t="shared" si="3"/>
        <v>0.17757009345794392</v>
      </c>
    </row>
    <row r="12" spans="1:21" x14ac:dyDescent="0.25">
      <c r="A12" s="145"/>
      <c r="B12">
        <v>53</v>
      </c>
      <c r="C12" s="31" t="str">
        <f>+AVANCE!B15</f>
        <v>53 - SANDOVAL RODRIGO</v>
      </c>
      <c r="D12" s="32">
        <f t="shared" si="0"/>
        <v>0.52380952380952384</v>
      </c>
      <c r="E12" s="31">
        <v>24</v>
      </c>
      <c r="F12" s="33">
        <f t="shared" si="1"/>
        <v>31</v>
      </c>
      <c r="G12" s="13">
        <f>VLOOKUP(B12,'Base Cobertura'!$A:$C,3,FALSE)</f>
        <v>105</v>
      </c>
      <c r="H12" s="13">
        <f>VLOOKUP(B12,'Base Cobertura'!$A:$C,2,FALSE)</f>
        <v>55</v>
      </c>
      <c r="I12" s="34">
        <f t="shared" si="2"/>
        <v>34.25</v>
      </c>
      <c r="J12" t="s">
        <v>59</v>
      </c>
    </row>
    <row r="13" spans="1:21" x14ac:dyDescent="0.25">
      <c r="A13" s="145"/>
      <c r="B13">
        <v>5</v>
      </c>
      <c r="C13" s="13" t="str">
        <f>+AVANCE!B8</f>
        <v>5 - SCHELOVER RAUL</v>
      </c>
      <c r="D13" s="22">
        <f t="shared" si="0"/>
        <v>0.84291187739463602</v>
      </c>
      <c r="E13" s="13">
        <v>144</v>
      </c>
      <c r="F13" s="12">
        <f t="shared" si="1"/>
        <v>76</v>
      </c>
      <c r="G13" s="13">
        <f>VLOOKUP(B13,'Base Cobertura'!$A:$C,3,FALSE)</f>
        <v>261</v>
      </c>
      <c r="H13" s="13">
        <f>VLOOKUP(B13,'Base Cobertura'!$A:$C,2,FALSE)</f>
        <v>220</v>
      </c>
      <c r="I13" s="17">
        <f t="shared" si="2"/>
        <v>1.8499999999999943</v>
      </c>
      <c r="J13" t="s">
        <v>57</v>
      </c>
      <c r="K13" t="s">
        <v>64</v>
      </c>
    </row>
    <row r="14" spans="1:21" ht="15.75" thickBot="1" x14ac:dyDescent="0.3">
      <c r="A14" s="145"/>
      <c r="B14">
        <v>4</v>
      </c>
      <c r="C14" s="10" t="str">
        <f>+AVANCE!B9</f>
        <v>4 - TUR SPRINGER FERNANDO</v>
      </c>
      <c r="D14" s="22">
        <f t="shared" si="0"/>
        <v>0.70879120879120883</v>
      </c>
      <c r="E14" s="13">
        <v>85</v>
      </c>
      <c r="F14" s="12">
        <f t="shared" si="1"/>
        <v>44</v>
      </c>
      <c r="G14" s="13">
        <f>VLOOKUP(B14,'Base Cobertura'!$A:$C,3,FALSE)</f>
        <v>182</v>
      </c>
      <c r="H14" s="13">
        <f>VLOOKUP(B14,'Base Cobertura'!$A:$C,2,FALSE)</f>
        <v>129</v>
      </c>
      <c r="I14" s="17">
        <f t="shared" si="2"/>
        <v>25.699999999999989</v>
      </c>
      <c r="J14" t="s">
        <v>55</v>
      </c>
      <c r="K14" t="s">
        <v>64</v>
      </c>
    </row>
    <row r="15" spans="1:21" ht="15.75" thickBot="1" x14ac:dyDescent="0.3">
      <c r="A15" s="146"/>
      <c r="C15" s="9"/>
      <c r="D15" s="23"/>
      <c r="E15" s="14"/>
      <c r="F15" s="16">
        <f>+SUM(F2:F14)</f>
        <v>756</v>
      </c>
      <c r="G15" s="8">
        <f>+SUM(G2:G14)</f>
        <v>2238</v>
      </c>
      <c r="H15" s="8">
        <f>+SUM(H2:H14)</f>
        <v>1635</v>
      </c>
      <c r="I15" s="8"/>
    </row>
    <row r="16" spans="1:21" x14ac:dyDescent="0.25">
      <c r="A16" s="147" t="s">
        <v>38</v>
      </c>
      <c r="B16">
        <v>31</v>
      </c>
      <c r="C16" s="12" t="str">
        <f>+AVANCE!B22</f>
        <v>31 - RENZO RAMOS</v>
      </c>
      <c r="D16" s="22">
        <f t="shared" si="0"/>
        <v>0.77018633540372672</v>
      </c>
      <c r="E16" s="13">
        <v>90</v>
      </c>
      <c r="F16" s="12">
        <f t="shared" si="1"/>
        <v>34</v>
      </c>
      <c r="G16" s="13">
        <f>VLOOKUP(B16,'Base Cobertura'!$A:$C,3,FALSE)</f>
        <v>161</v>
      </c>
      <c r="H16" s="13">
        <f>VLOOKUP(B16,'Base Cobertura'!$A:$C,2,FALSE)</f>
        <v>124</v>
      </c>
      <c r="I16" s="17">
        <f t="shared" si="2"/>
        <v>12.849999999999994</v>
      </c>
      <c r="J16" t="s">
        <v>55</v>
      </c>
      <c r="K16" t="s">
        <v>55</v>
      </c>
    </row>
    <row r="17" spans="1:11" x14ac:dyDescent="0.25">
      <c r="A17" s="145"/>
      <c r="B17">
        <v>54</v>
      </c>
      <c r="C17" s="13" t="str">
        <f>+AVANCE!B24</f>
        <v>54 - BARTSCHAT EMILIANO NAHUEL</v>
      </c>
      <c r="D17" s="22">
        <f t="shared" si="0"/>
        <v>0.62871287128712872</v>
      </c>
      <c r="E17" s="13">
        <v>92</v>
      </c>
      <c r="F17" s="12">
        <f t="shared" si="1"/>
        <v>35</v>
      </c>
      <c r="G17" s="13">
        <f>VLOOKUP(B17,'Base Cobertura'!$A:$C,3,FALSE)</f>
        <v>202</v>
      </c>
      <c r="H17" s="13">
        <f>VLOOKUP(B17,'Base Cobertura'!$A:$C,2,FALSE)</f>
        <v>127</v>
      </c>
      <c r="I17" s="17">
        <f t="shared" si="2"/>
        <v>44.699999999999989</v>
      </c>
      <c r="J17" t="s">
        <v>55</v>
      </c>
      <c r="K17" t="s">
        <v>63</v>
      </c>
    </row>
    <row r="18" spans="1:11" x14ac:dyDescent="0.25">
      <c r="A18" s="145"/>
      <c r="B18">
        <v>21</v>
      </c>
      <c r="C18" s="13" t="str">
        <f>+AVANCE!B20</f>
        <v>21 - CATAN MATIAS</v>
      </c>
      <c r="D18" s="22">
        <f t="shared" si="0"/>
        <v>0.84795321637426901</v>
      </c>
      <c r="E18" s="13">
        <v>88</v>
      </c>
      <c r="F18" s="12">
        <f t="shared" si="1"/>
        <v>57</v>
      </c>
      <c r="G18" s="13">
        <f>VLOOKUP(B18,'Base Cobertura'!$A:$C,3,FALSE)</f>
        <v>171</v>
      </c>
      <c r="H18" s="13">
        <f>VLOOKUP(B18,'Base Cobertura'!$A:$C,2,FALSE)</f>
        <v>145</v>
      </c>
      <c r="I18" s="17">
        <f t="shared" si="2"/>
        <v>0.34999999999999432</v>
      </c>
      <c r="J18" t="s">
        <v>58</v>
      </c>
      <c r="K18" t="s">
        <v>55</v>
      </c>
    </row>
    <row r="19" spans="1:11" x14ac:dyDescent="0.25">
      <c r="A19" s="145"/>
      <c r="B19">
        <v>23</v>
      </c>
      <c r="C19" s="13" t="str">
        <f>+AVANCE!B21</f>
        <v>23 - DELGADO JOSÉ</v>
      </c>
      <c r="D19" s="22">
        <f t="shared" si="0"/>
        <v>0.86363636363636365</v>
      </c>
      <c r="E19" s="13">
        <v>95</v>
      </c>
      <c r="F19" s="12">
        <f t="shared" si="1"/>
        <v>38</v>
      </c>
      <c r="G19" s="13">
        <f>VLOOKUP(B19,'Base Cobertura'!$A:$C,3,FALSE)</f>
        <v>154</v>
      </c>
      <c r="H19" s="13">
        <f>VLOOKUP(B19,'Base Cobertura'!$A:$C,2,FALSE)</f>
        <v>133</v>
      </c>
      <c r="I19" s="17">
        <f t="shared" si="2"/>
        <v>-2.0999999999999943</v>
      </c>
      <c r="J19" t="s">
        <v>58</v>
      </c>
      <c r="K19" t="s">
        <v>64</v>
      </c>
    </row>
    <row r="20" spans="1:11" x14ac:dyDescent="0.25">
      <c r="A20" s="145"/>
      <c r="B20">
        <v>18</v>
      </c>
      <c r="C20" s="13" t="str">
        <f>+AVANCE!B19</f>
        <v>18 - HERRERA PABLO</v>
      </c>
      <c r="D20" s="22">
        <f t="shared" si="0"/>
        <v>0.84180790960451979</v>
      </c>
      <c r="E20" s="13">
        <v>83</v>
      </c>
      <c r="F20" s="12">
        <f t="shared" si="1"/>
        <v>66</v>
      </c>
      <c r="G20" s="13">
        <f>VLOOKUP(B20,'Base Cobertura'!$A:$C,3,FALSE)</f>
        <v>177</v>
      </c>
      <c r="H20" s="13">
        <f>VLOOKUP(B20,'Base Cobertura'!$A:$C,2,FALSE)</f>
        <v>149</v>
      </c>
      <c r="I20" s="17">
        <f t="shared" si="2"/>
        <v>1.4499999999999886</v>
      </c>
      <c r="J20" t="s">
        <v>55</v>
      </c>
      <c r="K20" t="s">
        <v>55</v>
      </c>
    </row>
    <row r="21" spans="1:11" x14ac:dyDescent="0.25">
      <c r="A21" s="145"/>
      <c r="B21">
        <v>44</v>
      </c>
      <c r="C21" s="13" t="str">
        <f>+AVANCE!B23</f>
        <v>44 - MONGES CESAR LUIS</v>
      </c>
      <c r="D21" s="22">
        <f t="shared" si="0"/>
        <v>0.80473372781065089</v>
      </c>
      <c r="E21" s="13">
        <v>64</v>
      </c>
      <c r="F21" s="12">
        <f t="shared" si="1"/>
        <v>72</v>
      </c>
      <c r="G21" s="13">
        <f>VLOOKUP(B21,'Base Cobertura'!$A:$C,3,FALSE)</f>
        <v>169</v>
      </c>
      <c r="H21" s="13">
        <f>VLOOKUP(B21,'Base Cobertura'!$A:$C,2,FALSE)</f>
        <v>136</v>
      </c>
      <c r="I21" s="17">
        <f t="shared" si="2"/>
        <v>7.6500000000000057</v>
      </c>
      <c r="J21" t="s">
        <v>58</v>
      </c>
      <c r="K21" t="s">
        <v>64</v>
      </c>
    </row>
    <row r="22" spans="1:11" x14ac:dyDescent="0.25">
      <c r="A22" s="145"/>
      <c r="B22">
        <v>56</v>
      </c>
      <c r="C22" s="13" t="str">
        <f>+AVANCE!B25</f>
        <v>56 - JUAN ANDRES SANCHEZ</v>
      </c>
      <c r="D22" s="22">
        <f t="shared" si="0"/>
        <v>0.40909090909090912</v>
      </c>
      <c r="E22" s="13">
        <v>66</v>
      </c>
      <c r="F22" s="12">
        <f t="shared" si="1"/>
        <v>15</v>
      </c>
      <c r="G22" s="13">
        <f>VLOOKUP(B22,'Base Cobertura'!$A:$C,3,FALSE)</f>
        <v>198</v>
      </c>
      <c r="H22" s="13">
        <f>VLOOKUP(B22,'Base Cobertura'!$A:$C,2,FALSE)</f>
        <v>81</v>
      </c>
      <c r="I22" s="17">
        <f t="shared" si="2"/>
        <v>87.299999999999983</v>
      </c>
      <c r="J22" t="s">
        <v>58</v>
      </c>
      <c r="K22" t="s">
        <v>66</v>
      </c>
    </row>
    <row r="23" spans="1:11" x14ac:dyDescent="0.25">
      <c r="A23" s="145"/>
      <c r="B23">
        <v>2</v>
      </c>
      <c r="C23" s="13" t="str">
        <f>+AVANCE!B17</f>
        <v>2 - OJEDA NORBERTO</v>
      </c>
      <c r="D23" s="22">
        <f t="shared" si="0"/>
        <v>0.77536231884057971</v>
      </c>
      <c r="E23" s="13">
        <v>70</v>
      </c>
      <c r="F23" s="12">
        <f t="shared" si="1"/>
        <v>37</v>
      </c>
      <c r="G23" s="13">
        <f>VLOOKUP(B23,'Base Cobertura'!$A:$C,3,FALSE)</f>
        <v>138</v>
      </c>
      <c r="H23" s="13">
        <f>VLOOKUP(B23,'Base Cobertura'!$A:$C,2,FALSE)</f>
        <v>107</v>
      </c>
      <c r="I23" s="17">
        <f t="shared" si="2"/>
        <v>10.299999999999997</v>
      </c>
      <c r="J23" t="s">
        <v>58</v>
      </c>
      <c r="K23" t="s">
        <v>67</v>
      </c>
    </row>
    <row r="24" spans="1:11" ht="15.75" thickBot="1" x14ac:dyDescent="0.3">
      <c r="A24" s="145"/>
      <c r="B24">
        <v>3</v>
      </c>
      <c r="C24" s="10" t="str">
        <f>+AVANCE!B18</f>
        <v>3 - VIDAL NAHUEL</v>
      </c>
      <c r="D24" s="22">
        <f t="shared" si="0"/>
        <v>0.8294117647058824</v>
      </c>
      <c r="E24" s="13">
        <v>79</v>
      </c>
      <c r="F24" s="12">
        <f t="shared" si="1"/>
        <v>62</v>
      </c>
      <c r="G24" s="13">
        <f>VLOOKUP(B24,'Base Cobertura'!$A:$C,3,FALSE)</f>
        <v>170</v>
      </c>
      <c r="H24" s="13">
        <f>VLOOKUP(B24,'Base Cobertura'!$A:$C,2,FALSE)</f>
        <v>141</v>
      </c>
      <c r="I24" s="17">
        <f t="shared" si="2"/>
        <v>3.5</v>
      </c>
      <c r="J24" t="s">
        <v>60</v>
      </c>
      <c r="K24" t="s">
        <v>64</v>
      </c>
    </row>
    <row r="25" spans="1:11" ht="15.75" thickBot="1" x14ac:dyDescent="0.3">
      <c r="A25" s="146"/>
      <c r="C25" s="9"/>
      <c r="D25" s="23"/>
      <c r="E25" s="14"/>
      <c r="F25" s="16">
        <f>+SUM(F16:F24)</f>
        <v>416</v>
      </c>
      <c r="G25" s="8">
        <f>+SUM(G16:G24)</f>
        <v>1540</v>
      </c>
      <c r="H25" s="8">
        <f>+SUM(H16:H24)</f>
        <v>1143</v>
      </c>
      <c r="I25" s="8"/>
    </row>
    <row r="26" spans="1:11" x14ac:dyDescent="0.25">
      <c r="A26" s="147" t="s">
        <v>218</v>
      </c>
      <c r="B26">
        <v>32</v>
      </c>
      <c r="C26" s="12" t="str">
        <f>+AVANCE!B27</f>
        <v>32 - CABRAL GONZALO</v>
      </c>
      <c r="D26" s="22">
        <f t="shared" si="0"/>
        <v>0.77586206896551724</v>
      </c>
      <c r="E26" s="13">
        <v>20</v>
      </c>
      <c r="F26" s="12">
        <f>+H26-E26</f>
        <v>25</v>
      </c>
      <c r="G26" s="13">
        <f>VLOOKUP(B26,'Base Cobertura'!$A:$C,3,FALSE)</f>
        <v>58</v>
      </c>
      <c r="H26" s="13">
        <f>VLOOKUP(B26,'Base Cobertura'!$A:$C,2,FALSE)</f>
        <v>45</v>
      </c>
      <c r="I26" s="17">
        <f t="shared" si="2"/>
        <v>4.2999999999999972</v>
      </c>
      <c r="J26" t="s">
        <v>55</v>
      </c>
      <c r="K26" t="s">
        <v>67</v>
      </c>
    </row>
    <row r="27" spans="1:11" x14ac:dyDescent="0.25">
      <c r="A27" s="145"/>
      <c r="B27">
        <v>36</v>
      </c>
      <c r="C27" s="12" t="str">
        <f>+AVANCE!B28</f>
        <v>36 - COSARINSKI DIEGO</v>
      </c>
      <c r="D27" s="22">
        <f t="shared" si="0"/>
        <v>0.70625000000000004</v>
      </c>
      <c r="E27" s="13">
        <v>68</v>
      </c>
      <c r="F27" s="12">
        <f t="shared" si="1"/>
        <v>45</v>
      </c>
      <c r="G27" s="13">
        <f>VLOOKUP(B27,'Base Cobertura'!$A:$C,3,FALSE)</f>
        <v>160</v>
      </c>
      <c r="H27" s="13">
        <f>VLOOKUP(B27,'Base Cobertura'!$A:$C,2,FALSE)</f>
        <v>113</v>
      </c>
      <c r="I27" s="17">
        <f t="shared" si="2"/>
        <v>23</v>
      </c>
      <c r="J27" t="s">
        <v>58</v>
      </c>
      <c r="K27" t="s">
        <v>67</v>
      </c>
    </row>
    <row r="28" spans="1:11" x14ac:dyDescent="0.25">
      <c r="A28" s="145"/>
      <c r="B28">
        <v>9</v>
      </c>
      <c r="C28" s="12" t="str">
        <f>+AVANCE!B29</f>
        <v>9 - ESTIGARRIBIA DAVID</v>
      </c>
      <c r="D28" s="22">
        <f t="shared" si="0"/>
        <v>0.75776397515527949</v>
      </c>
      <c r="E28" s="13">
        <v>80</v>
      </c>
      <c r="F28" s="12">
        <f t="shared" si="1"/>
        <v>42</v>
      </c>
      <c r="G28" s="13">
        <f>VLOOKUP(B28,'Base Cobertura'!$A:$C,3,FALSE)</f>
        <v>161</v>
      </c>
      <c r="H28" s="13">
        <f>VLOOKUP(B28,'Base Cobertura'!$A:$C,2,FALSE)</f>
        <v>122</v>
      </c>
      <c r="I28" s="17">
        <f t="shared" si="2"/>
        <v>14.849999999999994</v>
      </c>
      <c r="J28" t="s">
        <v>58</v>
      </c>
      <c r="K28" t="s">
        <v>55</v>
      </c>
    </row>
    <row r="29" spans="1:11" x14ac:dyDescent="0.25">
      <c r="A29" s="145"/>
      <c r="B29">
        <v>40</v>
      </c>
      <c r="C29" s="12" t="str">
        <f>+AVANCE!B30</f>
        <v>40 - IBARROLA JORGE</v>
      </c>
      <c r="D29" s="22">
        <f t="shared" si="0"/>
        <v>0.432</v>
      </c>
      <c r="E29" s="13">
        <v>68</v>
      </c>
      <c r="F29" s="12">
        <f t="shared" si="1"/>
        <v>40</v>
      </c>
      <c r="G29" s="13">
        <f>VLOOKUP(B29,'Base Cobertura'!$A:$C,3,FALSE)</f>
        <v>250</v>
      </c>
      <c r="H29" s="13">
        <f>VLOOKUP(B29,'Base Cobertura'!$A:$C,2,FALSE)</f>
        <v>108</v>
      </c>
      <c r="I29" s="17">
        <f t="shared" si="2"/>
        <v>104.5</v>
      </c>
      <c r="J29" t="s">
        <v>58</v>
      </c>
      <c r="K29" t="s">
        <v>67</v>
      </c>
    </row>
    <row r="30" spans="1:11" x14ac:dyDescent="0.25">
      <c r="A30" s="145"/>
      <c r="B30">
        <v>27</v>
      </c>
      <c r="C30" s="12" t="str">
        <f>+AVANCE!B31</f>
        <v>27 - GOMEZ ADRIÁN</v>
      </c>
      <c r="D30" s="22">
        <f t="shared" si="0"/>
        <v>0.93525179856115104</v>
      </c>
      <c r="E30" s="13">
        <v>73</v>
      </c>
      <c r="F30" s="12">
        <f t="shared" si="1"/>
        <v>57</v>
      </c>
      <c r="G30" s="13">
        <f>VLOOKUP(B30,'Base Cobertura'!$A:$C,3,FALSE)</f>
        <v>139</v>
      </c>
      <c r="H30" s="13">
        <f>VLOOKUP(B30,'Base Cobertura'!$A:$C,2,FALSE)</f>
        <v>130</v>
      </c>
      <c r="I30" s="17">
        <f t="shared" si="2"/>
        <v>-11.850000000000009</v>
      </c>
      <c r="J30" t="s">
        <v>55</v>
      </c>
      <c r="K30" t="s">
        <v>67</v>
      </c>
    </row>
    <row r="31" spans="1:11" x14ac:dyDescent="0.25">
      <c r="A31" s="145"/>
      <c r="B31">
        <v>10</v>
      </c>
      <c r="C31" s="12" t="str">
        <f>+AVANCE!B32</f>
        <v>10 - BRITEZ EMMANUEL</v>
      </c>
      <c r="D31" s="22">
        <f t="shared" si="0"/>
        <v>0.67032967032967028</v>
      </c>
      <c r="E31" s="13">
        <v>40</v>
      </c>
      <c r="F31" s="12">
        <f t="shared" si="1"/>
        <v>82</v>
      </c>
      <c r="G31" s="13">
        <f>VLOOKUP(B31,'Base Cobertura'!$A:$C,3,FALSE)</f>
        <v>182</v>
      </c>
      <c r="H31" s="13">
        <f>VLOOKUP(B31,'Base Cobertura'!$A:$C,2,FALSE)</f>
        <v>122</v>
      </c>
      <c r="I31" s="17">
        <f t="shared" si="2"/>
        <v>32.699999999999989</v>
      </c>
      <c r="J31" t="s">
        <v>58</v>
      </c>
      <c r="K31" t="s">
        <v>67</v>
      </c>
    </row>
    <row r="32" spans="1:11" x14ac:dyDescent="0.25">
      <c r="A32" s="145"/>
      <c r="B32">
        <v>28</v>
      </c>
      <c r="C32" s="12" t="str">
        <f>+AVANCE!B33</f>
        <v>28 - GOMEZ PABLO</v>
      </c>
      <c r="D32" s="22">
        <f t="shared" si="0"/>
        <v>0.80952380952380953</v>
      </c>
      <c r="E32" s="13">
        <v>67</v>
      </c>
      <c r="F32" s="12">
        <f t="shared" si="1"/>
        <v>69</v>
      </c>
      <c r="G32" s="13">
        <f>VLOOKUP(B32,'Base Cobertura'!$A:$C,3,FALSE)</f>
        <v>168</v>
      </c>
      <c r="H32" s="13">
        <f>VLOOKUP(B32,'Base Cobertura'!$A:$C,2,FALSE)</f>
        <v>136</v>
      </c>
      <c r="I32" s="17">
        <f t="shared" si="2"/>
        <v>6.7999999999999829</v>
      </c>
      <c r="J32" t="s">
        <v>58</v>
      </c>
      <c r="K32" t="s">
        <v>67</v>
      </c>
    </row>
    <row r="33" spans="1:12" x14ac:dyDescent="0.25">
      <c r="A33" s="145"/>
      <c r="B33">
        <v>33</v>
      </c>
      <c r="C33" s="12" t="str">
        <f>+AVANCE!B34</f>
        <v>33 - NICOLAS AZULA</v>
      </c>
      <c r="D33" s="22">
        <f t="shared" si="0"/>
        <v>0.79289940828402372</v>
      </c>
      <c r="E33" s="13">
        <v>66</v>
      </c>
      <c r="F33" s="12">
        <f t="shared" si="1"/>
        <v>68</v>
      </c>
      <c r="G33" s="13">
        <f>VLOOKUP(B33,'Base Cobertura'!$A:$C,3,FALSE)</f>
        <v>169</v>
      </c>
      <c r="H33" s="13">
        <f>VLOOKUP(B33,'Base Cobertura'!$A:$C,2,FALSE)</f>
        <v>134</v>
      </c>
      <c r="I33" s="17">
        <f t="shared" si="2"/>
        <v>9.6500000000000057</v>
      </c>
      <c r="J33" t="s">
        <v>58</v>
      </c>
      <c r="K33" t="s">
        <v>67</v>
      </c>
    </row>
    <row r="34" spans="1:12" x14ac:dyDescent="0.25">
      <c r="A34" s="145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5"/>
      <c r="B35">
        <v>24</v>
      </c>
      <c r="C35" s="12" t="str">
        <f>+AVANCE!B36</f>
        <v>24 - MARTINEZ JORGE NICOLAS</v>
      </c>
      <c r="D35" s="22">
        <f t="shared" si="0"/>
        <v>0.6404494382022472</v>
      </c>
      <c r="E35" s="13">
        <v>81</v>
      </c>
      <c r="F35" s="12">
        <f t="shared" si="1"/>
        <v>33</v>
      </c>
      <c r="G35" s="13">
        <f>VLOOKUP(B35,'Base Cobertura'!$A:$C,3,FALSE)</f>
        <v>178</v>
      </c>
      <c r="H35" s="13">
        <f>VLOOKUP(B35,'Base Cobertura'!$A:$C,2,FALSE)</f>
        <v>114</v>
      </c>
      <c r="I35" s="17">
        <f t="shared" si="2"/>
        <v>37.299999999999983</v>
      </c>
      <c r="J35" t="s">
        <v>58</v>
      </c>
      <c r="K35" t="s">
        <v>67</v>
      </c>
    </row>
    <row r="36" spans="1:12" x14ac:dyDescent="0.25">
      <c r="A36" s="145"/>
      <c r="B36">
        <v>7</v>
      </c>
      <c r="C36" s="12" t="str">
        <f>+AVANCE!B37</f>
        <v>7 - VALLEJOS EDUARDO</v>
      </c>
      <c r="D36" s="22">
        <f t="shared" si="0"/>
        <v>0.10434782608695652</v>
      </c>
      <c r="E36" s="13">
        <v>0</v>
      </c>
      <c r="F36" s="12">
        <f t="shared" si="1"/>
        <v>12</v>
      </c>
      <c r="G36" s="13">
        <f>VLOOKUP(B36,'Base Cobertura'!$A:$C,3,FALSE)</f>
        <v>115</v>
      </c>
      <c r="H36" s="13">
        <f>VLOOKUP(B36,'Base Cobertura'!$A:$C,2,FALSE)</f>
        <v>12</v>
      </c>
      <c r="I36" s="17">
        <f t="shared" si="2"/>
        <v>85.75</v>
      </c>
      <c r="J36" t="s">
        <v>58</v>
      </c>
    </row>
    <row r="37" spans="1:12" x14ac:dyDescent="0.25">
      <c r="A37" s="145"/>
      <c r="B37">
        <v>57</v>
      </c>
      <c r="C37" s="12" t="str">
        <f>+AVANCE!B38</f>
        <v>57 - ROUBINEAU SEBASTIAN</v>
      </c>
      <c r="D37" s="22">
        <f t="shared" si="0"/>
        <v>0.35238095238095241</v>
      </c>
      <c r="E37" s="13">
        <v>17</v>
      </c>
      <c r="F37" s="12">
        <f t="shared" si="1"/>
        <v>20</v>
      </c>
      <c r="G37" s="13">
        <f>VLOOKUP(B37,'Base Cobertura'!$A:$C,3,FALSE)</f>
        <v>105</v>
      </c>
      <c r="H37" s="13">
        <f>VLOOKUP(B37,'Base Cobertura'!$A:$C,2,FALSE)</f>
        <v>37</v>
      </c>
      <c r="I37" s="17">
        <f t="shared" si="2"/>
        <v>52.25</v>
      </c>
      <c r="J37" t="s">
        <v>59</v>
      </c>
    </row>
    <row r="38" spans="1:12" ht="15.75" thickBot="1" x14ac:dyDescent="0.3">
      <c r="A38" s="145"/>
      <c r="B38">
        <v>1</v>
      </c>
      <c r="C38" s="12" t="str">
        <f>+AVANCE!B39</f>
        <v>1 - VERA ERNESTO</v>
      </c>
      <c r="D38" s="22">
        <f t="shared" si="0"/>
        <v>0.77952755905511806</v>
      </c>
      <c r="E38" s="13">
        <v>60</v>
      </c>
      <c r="F38" s="12">
        <f t="shared" si="1"/>
        <v>39</v>
      </c>
      <c r="G38" s="13">
        <f>VLOOKUP(B38,'Base Cobertura'!$A:$C,3,FALSE)</f>
        <v>127</v>
      </c>
      <c r="H38" s="13">
        <f>VLOOKUP(B38,'Base Cobertura'!$A:$C,2,FALSE)</f>
        <v>99</v>
      </c>
      <c r="I38" s="17">
        <f t="shared" si="2"/>
        <v>8.9500000000000028</v>
      </c>
      <c r="J38" t="s">
        <v>55</v>
      </c>
      <c r="K38" t="s">
        <v>55</v>
      </c>
    </row>
    <row r="39" spans="1:12" ht="15.75" thickBot="1" x14ac:dyDescent="0.3">
      <c r="A39" s="146"/>
      <c r="C39" s="9"/>
      <c r="D39" s="23"/>
      <c r="E39" s="14"/>
      <c r="F39" s="8">
        <f>+SUM(F26:F38)</f>
        <v>520</v>
      </c>
      <c r="G39" s="8">
        <f>+SUM(G26:G38)</f>
        <v>1954</v>
      </c>
      <c r="H39" s="8">
        <f>+SUM(H26:H38)</f>
        <v>1242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1692</v>
      </c>
      <c r="G40" s="8">
        <f>+G15+G25+G39</f>
        <v>5732</v>
      </c>
      <c r="H40" s="8">
        <f>+H15+H25+H39</f>
        <v>4020</v>
      </c>
      <c r="I40" s="8"/>
      <c r="L40" s="1">
        <f>+H40/G40</f>
        <v>0.70132588974180043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0.32231404958677684</v>
      </c>
      <c r="E41" s="13">
        <v>60</v>
      </c>
      <c r="F41" s="12">
        <f t="shared" ref="F41:F42" si="5">+H41-E41</f>
        <v>-21</v>
      </c>
      <c r="G41" s="13">
        <f>VLOOKUP(B41,'Base Cobertura'!$A:$C,3,FALSE)</f>
        <v>121</v>
      </c>
      <c r="H41" s="13">
        <f>VLOOKUP(B41,'Base Cobertura'!$A:$C,2,FALSE)</f>
        <v>39</v>
      </c>
      <c r="I41" s="17">
        <f t="shared" ref="I41:I42" si="6">(+G41*$M$2)-H41</f>
        <v>63.849999999999994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0.41463414634146339</v>
      </c>
      <c r="E42" s="13">
        <v>60</v>
      </c>
      <c r="F42" s="12">
        <f t="shared" si="5"/>
        <v>-9</v>
      </c>
      <c r="G42" s="13">
        <f>VLOOKUP(B42,'Base Cobertura'!$A:$C,3,FALSE)</f>
        <v>123</v>
      </c>
      <c r="H42" s="13">
        <f>VLOOKUP(B42,'Base Cobertura'!$A:$C,2,FALSE)</f>
        <v>51</v>
      </c>
      <c r="I42" s="17">
        <f t="shared" si="6"/>
        <v>53.55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3432</v>
      </c>
      <c r="G3" t="s">
        <v>222</v>
      </c>
      <c r="H3" s="51">
        <v>1</v>
      </c>
      <c r="I3" s="51">
        <v>3432</v>
      </c>
    </row>
    <row r="4" spans="1:9" x14ac:dyDescent="0.25">
      <c r="A4">
        <v>1</v>
      </c>
      <c r="B4" s="51">
        <v>99</v>
      </c>
      <c r="C4" s="51">
        <v>127</v>
      </c>
      <c r="G4" t="s">
        <v>223</v>
      </c>
      <c r="H4">
        <v>2</v>
      </c>
      <c r="I4" s="51">
        <v>3432</v>
      </c>
    </row>
    <row r="5" spans="1:9" x14ac:dyDescent="0.25">
      <c r="A5">
        <v>10</v>
      </c>
      <c r="B5" s="51">
        <v>122</v>
      </c>
      <c r="C5" s="51">
        <v>182</v>
      </c>
      <c r="G5" t="s">
        <v>224</v>
      </c>
      <c r="H5" s="51">
        <v>1</v>
      </c>
      <c r="I5" s="51">
        <v>3432</v>
      </c>
    </row>
    <row r="6" spans="1:9" x14ac:dyDescent="0.25">
      <c r="A6">
        <v>100</v>
      </c>
      <c r="B6" s="51">
        <v>44</v>
      </c>
      <c r="C6" s="51">
        <v>2028</v>
      </c>
      <c r="G6" t="s">
        <v>225</v>
      </c>
      <c r="H6" s="51"/>
      <c r="I6" s="51">
        <v>3432</v>
      </c>
    </row>
    <row r="7" spans="1:9" x14ac:dyDescent="0.25">
      <c r="A7">
        <v>11</v>
      </c>
      <c r="B7" s="51">
        <v>124</v>
      </c>
      <c r="C7" s="51">
        <v>168</v>
      </c>
      <c r="G7" t="s">
        <v>226</v>
      </c>
      <c r="H7" s="51">
        <v>4</v>
      </c>
      <c r="I7" s="51">
        <v>3432</v>
      </c>
    </row>
    <row r="8" spans="1:9" x14ac:dyDescent="0.25">
      <c r="A8">
        <v>12</v>
      </c>
      <c r="B8" s="51">
        <v>180</v>
      </c>
      <c r="C8" s="51">
        <v>214</v>
      </c>
      <c r="G8" t="s">
        <v>227</v>
      </c>
      <c r="H8" s="51">
        <v>2</v>
      </c>
      <c r="I8" s="51">
        <v>3432</v>
      </c>
    </row>
    <row r="9" spans="1:9" x14ac:dyDescent="0.25">
      <c r="A9">
        <v>123</v>
      </c>
      <c r="B9" s="51">
        <v>37</v>
      </c>
      <c r="C9" s="51">
        <v>490</v>
      </c>
      <c r="G9" t="s">
        <v>228</v>
      </c>
      <c r="H9" s="51">
        <v>2</v>
      </c>
      <c r="I9" s="51">
        <v>3432</v>
      </c>
    </row>
    <row r="10" spans="1:9" x14ac:dyDescent="0.25">
      <c r="A10">
        <v>15</v>
      </c>
      <c r="B10" s="51">
        <v>49</v>
      </c>
      <c r="C10" s="51">
        <v>65</v>
      </c>
      <c r="G10" t="s">
        <v>229</v>
      </c>
      <c r="H10">
        <v>1</v>
      </c>
      <c r="I10" s="51">
        <v>3432</v>
      </c>
    </row>
    <row r="11" spans="1:9" x14ac:dyDescent="0.25">
      <c r="A11">
        <v>16</v>
      </c>
      <c r="B11" s="51">
        <v>149</v>
      </c>
      <c r="C11" s="51">
        <v>198</v>
      </c>
      <c r="G11" t="s">
        <v>230</v>
      </c>
      <c r="H11" s="51">
        <v>1</v>
      </c>
      <c r="I11" s="51">
        <v>3432</v>
      </c>
    </row>
    <row r="12" spans="1:9" x14ac:dyDescent="0.25">
      <c r="A12">
        <v>18</v>
      </c>
      <c r="B12" s="51">
        <v>149</v>
      </c>
      <c r="C12" s="51">
        <v>177</v>
      </c>
      <c r="E12">
        <f>+F12</f>
        <v>1</v>
      </c>
      <c r="F12">
        <v>1</v>
      </c>
      <c r="G12" t="s">
        <v>222</v>
      </c>
      <c r="H12">
        <v>45</v>
      </c>
      <c r="I12" s="51">
        <v>127</v>
      </c>
    </row>
    <row r="13" spans="1:9" x14ac:dyDescent="0.25">
      <c r="A13">
        <v>19</v>
      </c>
      <c r="B13" s="51">
        <v>183</v>
      </c>
      <c r="C13" s="51">
        <v>207</v>
      </c>
      <c r="E13">
        <f>+$E$12</f>
        <v>1</v>
      </c>
      <c r="G13" t="s">
        <v>223</v>
      </c>
      <c r="H13" s="51">
        <v>42</v>
      </c>
      <c r="I13" s="51">
        <v>127</v>
      </c>
    </row>
    <row r="14" spans="1:9" x14ac:dyDescent="0.25">
      <c r="A14">
        <v>2</v>
      </c>
      <c r="B14" s="51">
        <v>107</v>
      </c>
      <c r="C14" s="51">
        <v>138</v>
      </c>
      <c r="E14">
        <f t="shared" ref="E14:E20" si="0">+$E$12</f>
        <v>1</v>
      </c>
      <c r="G14" t="s">
        <v>224</v>
      </c>
      <c r="H14" s="51">
        <v>53</v>
      </c>
      <c r="I14" s="51">
        <v>127</v>
      </c>
    </row>
    <row r="15" spans="1:9" x14ac:dyDescent="0.25">
      <c r="A15">
        <v>20</v>
      </c>
      <c r="B15" s="51">
        <v>191</v>
      </c>
      <c r="C15" s="51">
        <v>227</v>
      </c>
      <c r="E15">
        <f t="shared" si="0"/>
        <v>1</v>
      </c>
      <c r="G15" t="s">
        <v>225</v>
      </c>
      <c r="H15" s="51">
        <v>41</v>
      </c>
      <c r="I15" s="51">
        <v>127</v>
      </c>
    </row>
    <row r="16" spans="1:9" x14ac:dyDescent="0.25">
      <c r="A16">
        <v>21</v>
      </c>
      <c r="B16" s="51">
        <v>145</v>
      </c>
      <c r="C16" s="51">
        <v>171</v>
      </c>
      <c r="E16">
        <f t="shared" si="0"/>
        <v>1</v>
      </c>
      <c r="G16" t="s">
        <v>226</v>
      </c>
      <c r="H16" s="51">
        <v>62</v>
      </c>
      <c r="I16" s="51">
        <v>127</v>
      </c>
    </row>
    <row r="17" spans="1:9" x14ac:dyDescent="0.25">
      <c r="A17">
        <v>22</v>
      </c>
      <c r="B17" s="51">
        <v>62</v>
      </c>
      <c r="C17" s="51">
        <v>74</v>
      </c>
      <c r="E17">
        <f t="shared" si="0"/>
        <v>1</v>
      </c>
      <c r="G17" t="s">
        <v>227</v>
      </c>
      <c r="H17" s="51">
        <v>59</v>
      </c>
      <c r="I17" s="51">
        <v>127</v>
      </c>
    </row>
    <row r="18" spans="1:9" x14ac:dyDescent="0.25">
      <c r="A18">
        <v>23</v>
      </c>
      <c r="B18" s="51">
        <v>133</v>
      </c>
      <c r="C18" s="51">
        <v>154</v>
      </c>
      <c r="E18">
        <f t="shared" si="0"/>
        <v>1</v>
      </c>
      <c r="G18" t="s">
        <v>228</v>
      </c>
      <c r="H18" s="51">
        <v>25</v>
      </c>
      <c r="I18" s="51">
        <v>127</v>
      </c>
    </row>
    <row r="19" spans="1:9" x14ac:dyDescent="0.25">
      <c r="A19">
        <v>24</v>
      </c>
      <c r="B19" s="51">
        <v>114</v>
      </c>
      <c r="C19" s="51">
        <v>178</v>
      </c>
      <c r="E19">
        <f t="shared" si="0"/>
        <v>1</v>
      </c>
      <c r="G19" t="s">
        <v>229</v>
      </c>
      <c r="H19" s="51">
        <v>30</v>
      </c>
      <c r="I19" s="51">
        <v>127</v>
      </c>
    </row>
    <row r="20" spans="1:9" x14ac:dyDescent="0.25">
      <c r="A20">
        <v>25</v>
      </c>
      <c r="B20" s="51">
        <v>77</v>
      </c>
      <c r="C20" s="51">
        <v>172</v>
      </c>
      <c r="E20">
        <f t="shared" si="0"/>
        <v>1</v>
      </c>
      <c r="G20" t="s">
        <v>230</v>
      </c>
      <c r="H20">
        <v>38</v>
      </c>
      <c r="I20" s="51">
        <v>127</v>
      </c>
    </row>
    <row r="21" spans="1:9" x14ac:dyDescent="0.25">
      <c r="A21">
        <v>26</v>
      </c>
      <c r="B21" s="51">
        <v>64</v>
      </c>
      <c r="C21" s="51">
        <v>166</v>
      </c>
      <c r="E21">
        <f>+$F$21</f>
        <v>10</v>
      </c>
      <c r="F21">
        <v>10</v>
      </c>
      <c r="G21" t="s">
        <v>222</v>
      </c>
      <c r="H21" s="51">
        <v>25</v>
      </c>
      <c r="I21" s="51">
        <v>182</v>
      </c>
    </row>
    <row r="22" spans="1:9" x14ac:dyDescent="0.25">
      <c r="A22">
        <v>27</v>
      </c>
      <c r="B22" s="51">
        <v>130</v>
      </c>
      <c r="C22" s="51">
        <v>139</v>
      </c>
      <c r="E22">
        <f t="shared" ref="E22:E29" si="1">+$F$21</f>
        <v>10</v>
      </c>
      <c r="G22" t="s">
        <v>223</v>
      </c>
      <c r="H22" s="51">
        <v>20</v>
      </c>
      <c r="I22" s="51">
        <v>182</v>
      </c>
    </row>
    <row r="23" spans="1:9" x14ac:dyDescent="0.25">
      <c r="A23">
        <v>28</v>
      </c>
      <c r="B23" s="51">
        <v>136</v>
      </c>
      <c r="C23" s="51">
        <v>168</v>
      </c>
      <c r="E23">
        <f t="shared" si="1"/>
        <v>10</v>
      </c>
      <c r="G23" t="s">
        <v>224</v>
      </c>
      <c r="H23" s="51">
        <v>59</v>
      </c>
      <c r="I23" s="51">
        <v>182</v>
      </c>
    </row>
    <row r="24" spans="1:9" x14ac:dyDescent="0.25">
      <c r="A24">
        <v>3</v>
      </c>
      <c r="B24" s="51">
        <v>141</v>
      </c>
      <c r="C24" s="51">
        <v>170</v>
      </c>
      <c r="E24">
        <f t="shared" si="1"/>
        <v>10</v>
      </c>
      <c r="G24" t="s">
        <v>225</v>
      </c>
      <c r="H24" s="51">
        <v>42</v>
      </c>
      <c r="I24" s="51">
        <v>182</v>
      </c>
    </row>
    <row r="25" spans="1:9" x14ac:dyDescent="0.25">
      <c r="A25">
        <v>30</v>
      </c>
      <c r="B25" s="51">
        <v>24</v>
      </c>
      <c r="C25" s="51">
        <v>139</v>
      </c>
      <c r="E25">
        <f t="shared" si="1"/>
        <v>10</v>
      </c>
      <c r="G25" t="s">
        <v>226</v>
      </c>
      <c r="H25" s="51">
        <v>63</v>
      </c>
      <c r="I25" s="51">
        <v>182</v>
      </c>
    </row>
    <row r="26" spans="1:9" x14ac:dyDescent="0.25">
      <c r="A26">
        <v>31</v>
      </c>
      <c r="B26" s="51">
        <v>124</v>
      </c>
      <c r="C26" s="51">
        <v>161</v>
      </c>
      <c r="E26">
        <f t="shared" si="1"/>
        <v>10</v>
      </c>
      <c r="G26" t="s">
        <v>227</v>
      </c>
      <c r="H26" s="51">
        <v>43</v>
      </c>
      <c r="I26" s="51">
        <v>182</v>
      </c>
    </row>
    <row r="27" spans="1:9" x14ac:dyDescent="0.25">
      <c r="A27">
        <v>32</v>
      </c>
      <c r="B27" s="51">
        <v>45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182</v>
      </c>
    </row>
    <row r="28" spans="1:9" x14ac:dyDescent="0.25">
      <c r="A28">
        <v>33</v>
      </c>
      <c r="B28" s="51">
        <v>134</v>
      </c>
      <c r="C28" s="51">
        <v>169</v>
      </c>
      <c r="E28">
        <f t="shared" si="1"/>
        <v>10</v>
      </c>
      <c r="G28" t="s">
        <v>229</v>
      </c>
      <c r="H28" s="51">
        <v>12</v>
      </c>
      <c r="I28" s="51">
        <v>182</v>
      </c>
    </row>
    <row r="29" spans="1:9" x14ac:dyDescent="0.25">
      <c r="A29">
        <v>36</v>
      </c>
      <c r="B29" s="51">
        <v>113</v>
      </c>
      <c r="C29" s="51">
        <v>160</v>
      </c>
      <c r="E29">
        <f t="shared" si="1"/>
        <v>10</v>
      </c>
      <c r="G29" t="s">
        <v>230</v>
      </c>
      <c r="H29" s="51">
        <v>22</v>
      </c>
      <c r="I29" s="51">
        <v>182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28</v>
      </c>
      <c r="I30" s="51">
        <v>2028</v>
      </c>
    </row>
    <row r="31" spans="1:9" x14ac:dyDescent="0.25">
      <c r="A31">
        <v>4</v>
      </c>
      <c r="B31" s="51">
        <v>129</v>
      </c>
      <c r="C31" s="51">
        <v>182</v>
      </c>
      <c r="E31">
        <f t="shared" ref="E31:E38" si="2">+$F$30</f>
        <v>100</v>
      </c>
      <c r="G31" t="s">
        <v>223</v>
      </c>
      <c r="H31" s="51">
        <v>24</v>
      </c>
      <c r="I31" s="51">
        <v>2028</v>
      </c>
    </row>
    <row r="32" spans="1:9" x14ac:dyDescent="0.25">
      <c r="A32">
        <v>40</v>
      </c>
      <c r="B32" s="51">
        <v>108</v>
      </c>
      <c r="C32" s="51">
        <v>250</v>
      </c>
      <c r="E32">
        <f t="shared" si="2"/>
        <v>100</v>
      </c>
      <c r="G32" t="s">
        <v>224</v>
      </c>
      <c r="H32" s="51">
        <v>26</v>
      </c>
      <c r="I32" s="51">
        <v>2028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11</v>
      </c>
      <c r="I33" s="51">
        <v>2028</v>
      </c>
    </row>
    <row r="34" spans="1:9" x14ac:dyDescent="0.25">
      <c r="A34">
        <v>43</v>
      </c>
      <c r="B34" s="51">
        <v>18</v>
      </c>
      <c r="C34" s="51">
        <v>93</v>
      </c>
      <c r="E34">
        <f t="shared" si="2"/>
        <v>100</v>
      </c>
      <c r="G34" t="s">
        <v>226</v>
      </c>
      <c r="H34" s="51">
        <v>29</v>
      </c>
      <c r="I34" s="51">
        <v>2028</v>
      </c>
    </row>
    <row r="35" spans="1:9" x14ac:dyDescent="0.25">
      <c r="A35">
        <v>44</v>
      </c>
      <c r="B35" s="51">
        <v>136</v>
      </c>
      <c r="C35" s="51">
        <v>169</v>
      </c>
      <c r="E35">
        <f t="shared" si="2"/>
        <v>100</v>
      </c>
      <c r="G35" t="s">
        <v>227</v>
      </c>
      <c r="H35" s="51">
        <v>17</v>
      </c>
      <c r="I35" s="51">
        <v>2028</v>
      </c>
    </row>
    <row r="36" spans="1:9" x14ac:dyDescent="0.25">
      <c r="A36">
        <v>49</v>
      </c>
      <c r="B36" s="51">
        <v>104</v>
      </c>
      <c r="C36" s="51">
        <v>241</v>
      </c>
      <c r="E36">
        <f t="shared" si="2"/>
        <v>100</v>
      </c>
      <c r="G36" t="s">
        <v>228</v>
      </c>
      <c r="H36" s="51">
        <v>20</v>
      </c>
      <c r="I36" s="51">
        <v>2028</v>
      </c>
    </row>
    <row r="37" spans="1:9" x14ac:dyDescent="0.25">
      <c r="A37">
        <v>5</v>
      </c>
      <c r="B37" s="51">
        <v>220</v>
      </c>
      <c r="C37" s="51">
        <v>261</v>
      </c>
      <c r="E37">
        <f t="shared" si="2"/>
        <v>100</v>
      </c>
      <c r="G37" t="s">
        <v>229</v>
      </c>
      <c r="H37" s="51">
        <v>6</v>
      </c>
      <c r="I37" s="51">
        <v>2028</v>
      </c>
    </row>
    <row r="38" spans="1:9" x14ac:dyDescent="0.25">
      <c r="A38">
        <v>52</v>
      </c>
      <c r="B38" s="51">
        <v>44</v>
      </c>
      <c r="C38" s="51">
        <v>101</v>
      </c>
      <c r="E38">
        <f t="shared" si="2"/>
        <v>100</v>
      </c>
      <c r="G38" t="s">
        <v>230</v>
      </c>
      <c r="H38" s="51">
        <v>3</v>
      </c>
      <c r="I38" s="51">
        <v>2028</v>
      </c>
    </row>
    <row r="39" spans="1:9" x14ac:dyDescent="0.25">
      <c r="A39">
        <v>53</v>
      </c>
      <c r="B39" s="51">
        <v>55</v>
      </c>
      <c r="C39" s="51">
        <v>105</v>
      </c>
      <c r="E39">
        <f>+$F$39</f>
        <v>11</v>
      </c>
      <c r="F39">
        <v>11</v>
      </c>
      <c r="G39" t="s">
        <v>222</v>
      </c>
      <c r="H39" s="51">
        <v>48</v>
      </c>
      <c r="I39" s="51">
        <v>168</v>
      </c>
    </row>
    <row r="40" spans="1:9" x14ac:dyDescent="0.25">
      <c r="A40">
        <v>54</v>
      </c>
      <c r="B40" s="51">
        <v>127</v>
      </c>
      <c r="C40" s="51">
        <v>202</v>
      </c>
      <c r="E40">
        <f t="shared" ref="E40:E47" si="3">+$F$39</f>
        <v>11</v>
      </c>
      <c r="G40" t="s">
        <v>223</v>
      </c>
      <c r="H40" s="51">
        <v>31</v>
      </c>
      <c r="I40" s="51">
        <v>168</v>
      </c>
    </row>
    <row r="41" spans="1:9" x14ac:dyDescent="0.25">
      <c r="A41">
        <v>56</v>
      </c>
      <c r="B41">
        <v>81</v>
      </c>
      <c r="C41" s="51">
        <v>198</v>
      </c>
      <c r="E41">
        <f t="shared" si="3"/>
        <v>11</v>
      </c>
      <c r="G41" t="s">
        <v>224</v>
      </c>
      <c r="H41" s="51">
        <v>80</v>
      </c>
      <c r="I41" s="51">
        <v>168</v>
      </c>
    </row>
    <row r="42" spans="1:9" x14ac:dyDescent="0.25">
      <c r="A42">
        <v>57</v>
      </c>
      <c r="B42" s="51">
        <v>37</v>
      </c>
      <c r="C42" s="51">
        <v>105</v>
      </c>
      <c r="E42">
        <f t="shared" si="3"/>
        <v>11</v>
      </c>
      <c r="G42" t="s">
        <v>225</v>
      </c>
      <c r="H42" s="51">
        <v>41</v>
      </c>
      <c r="I42" s="51">
        <v>168</v>
      </c>
    </row>
    <row r="43" spans="1:9" x14ac:dyDescent="0.25">
      <c r="A43">
        <v>58</v>
      </c>
      <c r="B43" s="51">
        <v>39</v>
      </c>
      <c r="C43" s="51">
        <v>121</v>
      </c>
      <c r="E43">
        <f t="shared" si="3"/>
        <v>11</v>
      </c>
      <c r="G43" t="s">
        <v>226</v>
      </c>
      <c r="H43" s="51">
        <v>86</v>
      </c>
      <c r="I43" s="51">
        <v>168</v>
      </c>
    </row>
    <row r="44" spans="1:9" x14ac:dyDescent="0.25">
      <c r="A44">
        <v>59</v>
      </c>
      <c r="B44" s="51">
        <v>51</v>
      </c>
      <c r="C44" s="51">
        <v>123</v>
      </c>
      <c r="E44">
        <f t="shared" si="3"/>
        <v>11</v>
      </c>
      <c r="G44" t="s">
        <v>227</v>
      </c>
      <c r="H44" s="51">
        <v>58</v>
      </c>
      <c r="I44" s="51">
        <v>168</v>
      </c>
    </row>
    <row r="45" spans="1:9" x14ac:dyDescent="0.25">
      <c r="A45">
        <v>7</v>
      </c>
      <c r="B45" s="51">
        <v>12</v>
      </c>
      <c r="C45" s="51">
        <v>115</v>
      </c>
      <c r="E45">
        <f t="shared" si="3"/>
        <v>11</v>
      </c>
      <c r="G45" t="s">
        <v>228</v>
      </c>
      <c r="H45" s="51">
        <v>13</v>
      </c>
      <c r="I45" s="51">
        <v>168</v>
      </c>
    </row>
    <row r="46" spans="1:9" x14ac:dyDescent="0.25">
      <c r="A46">
        <v>8</v>
      </c>
      <c r="B46" s="51">
        <v>145</v>
      </c>
      <c r="C46" s="51">
        <v>195</v>
      </c>
      <c r="E46">
        <f t="shared" si="3"/>
        <v>11</v>
      </c>
      <c r="G46" t="s">
        <v>229</v>
      </c>
      <c r="H46" s="51">
        <v>24</v>
      </c>
      <c r="I46" s="51">
        <v>168</v>
      </c>
    </row>
    <row r="47" spans="1:9" x14ac:dyDescent="0.25">
      <c r="A47">
        <v>9</v>
      </c>
      <c r="B47" s="51">
        <v>122</v>
      </c>
      <c r="C47" s="51">
        <v>161</v>
      </c>
      <c r="E47">
        <f t="shared" si="3"/>
        <v>11</v>
      </c>
      <c r="G47" t="s">
        <v>230</v>
      </c>
      <c r="H47" s="51">
        <v>21</v>
      </c>
      <c r="I47" s="51">
        <v>168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71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48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83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42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85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77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20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21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38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18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21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11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4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3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31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24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18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14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23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46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26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93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35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81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69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10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38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22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56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43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60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48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113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78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20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34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40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59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38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92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53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123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92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34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40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28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50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50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41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69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52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15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23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33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79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62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104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59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116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103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36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35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66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64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96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56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120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96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26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38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35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41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27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33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30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51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30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45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30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30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59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48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89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51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106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87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16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31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30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40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12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77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29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66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48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24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9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36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30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31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43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48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54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24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18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38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14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24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31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31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34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18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23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57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29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61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45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93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82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27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29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21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22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48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41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82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75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15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22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14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52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34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72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41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91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73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32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29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8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11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3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7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53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27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68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41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97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79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31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17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28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13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18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18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34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22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14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18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47</v>
      </c>
      <c r="I228" s="51">
        <v>169</v>
      </c>
    </row>
    <row r="229" spans="5:9" x14ac:dyDescent="0.25">
      <c r="E229">
        <f t="shared" ref="E229:E236" si="24">+$F$228</f>
        <v>33</v>
      </c>
      <c r="G229" t="s">
        <v>223</v>
      </c>
      <c r="H229" s="51">
        <v>37</v>
      </c>
      <c r="I229" s="51">
        <v>169</v>
      </c>
    </row>
    <row r="230" spans="5:9" x14ac:dyDescent="0.25">
      <c r="E230">
        <f t="shared" si="24"/>
        <v>33</v>
      </c>
      <c r="G230" t="s">
        <v>224</v>
      </c>
      <c r="H230" s="51">
        <v>61</v>
      </c>
      <c r="I230" s="51">
        <v>169</v>
      </c>
    </row>
    <row r="231" spans="5:9" x14ac:dyDescent="0.25">
      <c r="E231">
        <f t="shared" si="24"/>
        <v>33</v>
      </c>
      <c r="G231" t="s">
        <v>225</v>
      </c>
      <c r="H231" s="51">
        <v>42</v>
      </c>
      <c r="I231" s="51">
        <v>169</v>
      </c>
    </row>
    <row r="232" spans="5:9" x14ac:dyDescent="0.25">
      <c r="E232">
        <f t="shared" si="24"/>
        <v>33</v>
      </c>
      <c r="G232" t="s">
        <v>226</v>
      </c>
      <c r="H232" s="51">
        <v>74</v>
      </c>
      <c r="I232" s="51">
        <v>169</v>
      </c>
    </row>
    <row r="233" spans="5:9" x14ac:dyDescent="0.25">
      <c r="E233">
        <f t="shared" si="24"/>
        <v>33</v>
      </c>
      <c r="G233" t="s">
        <v>227</v>
      </c>
      <c r="H233" s="51">
        <v>68</v>
      </c>
      <c r="I233" s="51">
        <v>169</v>
      </c>
    </row>
    <row r="234" spans="5:9" x14ac:dyDescent="0.25">
      <c r="E234">
        <f t="shared" si="24"/>
        <v>33</v>
      </c>
      <c r="G234" t="s">
        <v>228</v>
      </c>
      <c r="H234" s="51">
        <v>13</v>
      </c>
      <c r="I234" s="51">
        <v>169</v>
      </c>
    </row>
    <row r="235" spans="5:9" x14ac:dyDescent="0.25">
      <c r="E235">
        <f t="shared" si="24"/>
        <v>33</v>
      </c>
      <c r="G235" t="s">
        <v>229</v>
      </c>
      <c r="H235" s="51">
        <v>25</v>
      </c>
      <c r="I235" s="51">
        <v>169</v>
      </c>
    </row>
    <row r="236" spans="5:9" x14ac:dyDescent="0.25">
      <c r="E236">
        <f t="shared" si="24"/>
        <v>33</v>
      </c>
      <c r="G236" t="s">
        <v>230</v>
      </c>
      <c r="H236">
        <v>16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34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19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54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45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77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48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20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16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16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17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43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24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19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15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37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35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61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50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85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62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20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38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38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30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7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32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37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72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67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30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20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15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8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3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36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37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81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44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106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89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18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30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28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32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14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54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15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43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33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40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19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25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87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69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105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51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146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103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45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48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38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9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44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10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54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45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22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72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53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84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64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21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31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35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15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24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36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10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2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37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5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16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12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25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28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27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8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20</v>
      </c>
      <c r="I372">
        <v>123</v>
      </c>
    </row>
    <row r="373" spans="5:9" x14ac:dyDescent="0.25">
      <c r="E373">
        <f t="shared" ref="E373:E380" si="40">+$F$372</f>
        <v>59</v>
      </c>
      <c r="G373" t="s">
        <v>223</v>
      </c>
      <c r="H373">
        <v>18</v>
      </c>
      <c r="I373">
        <v>123</v>
      </c>
    </row>
    <row r="374" spans="5:9" x14ac:dyDescent="0.25">
      <c r="E374">
        <f t="shared" si="40"/>
        <v>59</v>
      </c>
      <c r="G374" t="s">
        <v>224</v>
      </c>
      <c r="H374">
        <v>18</v>
      </c>
      <c r="I374">
        <v>123</v>
      </c>
    </row>
    <row r="375" spans="5:9" x14ac:dyDescent="0.25">
      <c r="E375">
        <f t="shared" si="40"/>
        <v>59</v>
      </c>
      <c r="G375" t="s">
        <v>225</v>
      </c>
      <c r="H375">
        <v>23</v>
      </c>
      <c r="I375">
        <v>123</v>
      </c>
    </row>
    <row r="376" spans="5:9" x14ac:dyDescent="0.25">
      <c r="E376">
        <f t="shared" si="40"/>
        <v>59</v>
      </c>
      <c r="G376" t="s">
        <v>226</v>
      </c>
      <c r="H376">
        <v>33</v>
      </c>
      <c r="I376">
        <v>123</v>
      </c>
    </row>
    <row r="377" spans="5:9" x14ac:dyDescent="0.25">
      <c r="E377">
        <f t="shared" si="40"/>
        <v>59</v>
      </c>
      <c r="G377" t="s">
        <v>227</v>
      </c>
      <c r="H377">
        <v>24</v>
      </c>
      <c r="I377">
        <v>123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123</v>
      </c>
    </row>
    <row r="379" spans="5:9" x14ac:dyDescent="0.25">
      <c r="E379">
        <f t="shared" si="40"/>
        <v>59</v>
      </c>
      <c r="G379" t="s">
        <v>229</v>
      </c>
      <c r="H379">
        <v>8</v>
      </c>
      <c r="I379">
        <v>123</v>
      </c>
    </row>
    <row r="380" spans="5:9" x14ac:dyDescent="0.25">
      <c r="E380">
        <f t="shared" si="40"/>
        <v>59</v>
      </c>
      <c r="G380" t="s">
        <v>230</v>
      </c>
      <c r="H380">
        <v>5</v>
      </c>
      <c r="I380">
        <v>123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3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5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4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6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53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36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74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30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93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77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26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41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50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49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38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65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67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17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24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26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E17" sqref="E17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0.18934678819444442</v>
      </c>
    </row>
    <row r="3" spans="1:4" x14ac:dyDescent="0.25">
      <c r="A3" s="138" t="s">
        <v>245</v>
      </c>
      <c r="B3" s="138" t="s">
        <v>4</v>
      </c>
      <c r="C3" s="136"/>
      <c r="D3" s="136">
        <v>0.22611762152777776</v>
      </c>
    </row>
    <row r="4" spans="1:4" x14ac:dyDescent="0.25">
      <c r="A4" s="138" t="s">
        <v>246</v>
      </c>
      <c r="B4" s="138" t="s">
        <v>11</v>
      </c>
      <c r="C4" s="136"/>
      <c r="D4" s="136">
        <v>0.23467824074074073</v>
      </c>
    </row>
    <row r="5" spans="1:4" x14ac:dyDescent="0.25">
      <c r="A5" s="138" t="s">
        <v>247</v>
      </c>
      <c r="B5" s="138" t="s">
        <v>17</v>
      </c>
      <c r="C5" s="136"/>
      <c r="D5" s="136">
        <v>0.21356698495370374</v>
      </c>
    </row>
    <row r="6" spans="1:4" x14ac:dyDescent="0.25">
      <c r="A6" s="138" t="s">
        <v>248</v>
      </c>
      <c r="B6" s="138" t="s">
        <v>22</v>
      </c>
      <c r="C6" s="136"/>
      <c r="D6" s="136">
        <v>0.21632098765432101</v>
      </c>
    </row>
    <row r="7" spans="1:4" x14ac:dyDescent="0.25">
      <c r="A7" s="138" t="s">
        <v>249</v>
      </c>
      <c r="B7" s="138" t="s">
        <v>279</v>
      </c>
      <c r="C7" s="136"/>
      <c r="D7" s="136">
        <v>0.24579475308641976</v>
      </c>
    </row>
    <row r="8" spans="1:4" x14ac:dyDescent="0.25">
      <c r="A8" s="138" t="s">
        <v>250</v>
      </c>
      <c r="B8" s="138" t="s">
        <v>72</v>
      </c>
      <c r="C8" s="136"/>
      <c r="D8" s="136">
        <v>0.2053587962962963</v>
      </c>
    </row>
    <row r="9" spans="1:4" x14ac:dyDescent="0.25">
      <c r="A9" s="138" t="s">
        <v>251</v>
      </c>
      <c r="B9" s="138" t="s">
        <v>3</v>
      </c>
      <c r="C9" s="136"/>
      <c r="D9" s="136">
        <v>0.23073640046296293</v>
      </c>
    </row>
    <row r="10" spans="1:4" x14ac:dyDescent="0.25">
      <c r="A10" s="138" t="s">
        <v>252</v>
      </c>
      <c r="B10" s="138" t="s">
        <v>187</v>
      </c>
      <c r="C10" s="136"/>
      <c r="D10" s="136">
        <v>0.13998842592592589</v>
      </c>
    </row>
    <row r="11" spans="1:4" x14ac:dyDescent="0.25">
      <c r="A11" s="138" t="s">
        <v>253</v>
      </c>
      <c r="B11" s="138" t="s">
        <v>19</v>
      </c>
      <c r="C11" s="136"/>
      <c r="D11" s="136">
        <v>0.22202006172839511</v>
      </c>
    </row>
    <row r="12" spans="1:4" x14ac:dyDescent="0.25">
      <c r="A12" s="138" t="s">
        <v>254</v>
      </c>
      <c r="B12" s="138" t="s">
        <v>71</v>
      </c>
      <c r="C12" s="136"/>
      <c r="D12" s="136">
        <v>0.27299045138888889</v>
      </c>
    </row>
    <row r="13" spans="1:4" x14ac:dyDescent="0.25">
      <c r="A13" s="138" t="s">
        <v>255</v>
      </c>
      <c r="B13" s="138" t="s">
        <v>6</v>
      </c>
      <c r="C13" s="136"/>
      <c r="D13" s="136">
        <v>0.21885561342592594</v>
      </c>
    </row>
    <row r="14" spans="1:4" x14ac:dyDescent="0.25">
      <c r="A14" s="138" t="s">
        <v>256</v>
      </c>
      <c r="B14" s="138" t="s">
        <v>280</v>
      </c>
      <c r="C14" s="136"/>
      <c r="D14" s="136">
        <v>0.24863498263888889</v>
      </c>
    </row>
    <row r="15" spans="1:4" x14ac:dyDescent="0.25">
      <c r="A15" s="138" t="s">
        <v>257</v>
      </c>
      <c r="B15" s="138" t="s">
        <v>12</v>
      </c>
      <c r="C15" s="136"/>
      <c r="D15" s="136">
        <v>0.2133086419753086</v>
      </c>
    </row>
    <row r="16" spans="1:4" x14ac:dyDescent="0.25">
      <c r="A16" s="138" t="s">
        <v>258</v>
      </c>
      <c r="B16" s="138" t="s">
        <v>21</v>
      </c>
      <c r="C16" s="136"/>
      <c r="D16" s="136">
        <v>0.19185980902777777</v>
      </c>
    </row>
    <row r="17" spans="1:4" x14ac:dyDescent="0.25">
      <c r="A17" s="138" t="s">
        <v>259</v>
      </c>
      <c r="B17" s="138" t="s">
        <v>73</v>
      </c>
      <c r="C17" s="136"/>
      <c r="D17" s="136">
        <v>0.21789583333333337</v>
      </c>
    </row>
    <row r="18" spans="1:4" x14ac:dyDescent="0.25">
      <c r="A18" s="138" t="s">
        <v>260</v>
      </c>
      <c r="B18" s="138" t="s">
        <v>20</v>
      </c>
      <c r="C18" s="136"/>
      <c r="D18" s="136">
        <v>0.23094979745370367</v>
      </c>
    </row>
    <row r="19" spans="1:4" x14ac:dyDescent="0.25">
      <c r="A19" s="138" t="s">
        <v>261</v>
      </c>
      <c r="B19" s="138" t="s">
        <v>15</v>
      </c>
      <c r="C19" s="136"/>
      <c r="D19" s="136">
        <v>0.22739737654320988</v>
      </c>
    </row>
    <row r="20" spans="1:4" x14ac:dyDescent="0.25">
      <c r="A20" s="138" t="s">
        <v>262</v>
      </c>
      <c r="B20" s="138" t="s">
        <v>14</v>
      </c>
      <c r="C20" s="136"/>
      <c r="D20" s="136">
        <v>0.22886656746031744</v>
      </c>
    </row>
    <row r="21" spans="1:4" x14ac:dyDescent="0.25">
      <c r="A21" s="138" t="s">
        <v>263</v>
      </c>
      <c r="B21" s="138" t="s">
        <v>8</v>
      </c>
      <c r="C21" s="136"/>
      <c r="D21" s="136">
        <v>0.19506872106481482</v>
      </c>
    </row>
    <row r="22" spans="1:4" x14ac:dyDescent="0.25">
      <c r="A22" s="138" t="s">
        <v>264</v>
      </c>
      <c r="B22" s="138" t="s">
        <v>1</v>
      </c>
      <c r="C22" s="136"/>
      <c r="D22" s="136">
        <v>0.23308333333333334</v>
      </c>
    </row>
    <row r="23" spans="1:4" x14ac:dyDescent="0.25">
      <c r="A23" s="138" t="s">
        <v>265</v>
      </c>
      <c r="B23" s="138" t="s">
        <v>281</v>
      </c>
      <c r="C23" s="136"/>
      <c r="D23" s="136">
        <v>0.19644444444444445</v>
      </c>
    </row>
    <row r="24" spans="1:4" x14ac:dyDescent="0.25">
      <c r="A24" s="138" t="s">
        <v>266</v>
      </c>
      <c r="B24" s="138" t="s">
        <v>26</v>
      </c>
      <c r="C24" s="136"/>
      <c r="D24" s="136">
        <v>0.22596604938271606</v>
      </c>
    </row>
    <row r="25" spans="1:4" x14ac:dyDescent="0.25">
      <c r="A25" s="138" t="s">
        <v>267</v>
      </c>
      <c r="B25" s="138" t="s">
        <v>282</v>
      </c>
      <c r="C25" s="136"/>
      <c r="D25" s="136">
        <v>0.20283333333333331</v>
      </c>
    </row>
    <row r="26" spans="1:4" x14ac:dyDescent="0.25">
      <c r="A26" s="138" t="s">
        <v>268</v>
      </c>
      <c r="B26" s="138" t="s">
        <v>176</v>
      </c>
      <c r="C26" s="136"/>
      <c r="D26" s="136">
        <v>0.2366875</v>
      </c>
    </row>
    <row r="27" spans="1:4" x14ac:dyDescent="0.25">
      <c r="A27" s="138" t="s">
        <v>269</v>
      </c>
      <c r="B27" s="138" t="s">
        <v>283</v>
      </c>
      <c r="C27" s="136"/>
      <c r="D27" s="136">
        <v>0.20703920717592594</v>
      </c>
    </row>
    <row r="28" spans="1:4" x14ac:dyDescent="0.25">
      <c r="A28" s="138" t="s">
        <v>270</v>
      </c>
      <c r="B28" s="138" t="s">
        <v>25</v>
      </c>
      <c r="C28" s="136"/>
      <c r="D28" s="136">
        <v>0.14832793209876544</v>
      </c>
    </row>
    <row r="29" spans="1:4" x14ac:dyDescent="0.25">
      <c r="A29" s="138" t="s">
        <v>271</v>
      </c>
      <c r="B29" s="138" t="s">
        <v>284</v>
      </c>
      <c r="C29" s="136"/>
      <c r="D29" s="136">
        <v>0.20072482638888892</v>
      </c>
    </row>
    <row r="30" spans="1:4" x14ac:dyDescent="0.25">
      <c r="A30" s="138" t="s">
        <v>272</v>
      </c>
      <c r="B30" s="138" t="s">
        <v>192</v>
      </c>
      <c r="C30" s="136"/>
      <c r="D30" s="136">
        <v>0.14037109375000001</v>
      </c>
    </row>
    <row r="31" spans="1:4" x14ac:dyDescent="0.25">
      <c r="A31" s="138" t="s">
        <v>273</v>
      </c>
      <c r="B31" s="138" t="s">
        <v>9</v>
      </c>
      <c r="C31" s="136"/>
      <c r="D31" s="136">
        <v>0.12562499999999999</v>
      </c>
    </row>
    <row r="32" spans="1:4" x14ac:dyDescent="0.25">
      <c r="A32" s="138" t="s">
        <v>274</v>
      </c>
      <c r="B32" s="138" t="s">
        <v>13</v>
      </c>
      <c r="C32" s="136"/>
      <c r="D32" s="136">
        <v>0.14599320023148149</v>
      </c>
    </row>
    <row r="33" spans="1:4" x14ac:dyDescent="0.25">
      <c r="A33" s="138" t="s">
        <v>275</v>
      </c>
      <c r="B33" s="138" t="s">
        <v>23</v>
      </c>
      <c r="C33" s="136"/>
      <c r="D33" s="136">
        <v>0.19145326967592588</v>
      </c>
    </row>
    <row r="34" spans="1:4" x14ac:dyDescent="0.25">
      <c r="A34" s="138" t="s">
        <v>276</v>
      </c>
      <c r="B34" s="138" t="s">
        <v>10</v>
      </c>
      <c r="C34" s="136"/>
      <c r="D34" s="136">
        <v>0.10188026094276093</v>
      </c>
    </row>
    <row r="35" spans="1:4" x14ac:dyDescent="0.25">
      <c r="A35" s="138" t="s">
        <v>277</v>
      </c>
      <c r="B35" s="138" t="s">
        <v>285</v>
      </c>
      <c r="C35" s="136"/>
      <c r="D35" s="136">
        <v>0.1613503086419753</v>
      </c>
    </row>
    <row r="36" spans="1:4" x14ac:dyDescent="0.25">
      <c r="A36" s="138" t="s">
        <v>278</v>
      </c>
      <c r="B36" s="138" t="s">
        <v>286</v>
      </c>
      <c r="C36" s="136"/>
      <c r="D36" s="136">
        <v>0.1284784544159544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5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5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5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5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5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5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5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5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5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5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5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5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5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6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7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5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5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5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5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5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5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5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5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6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7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5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5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5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5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5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5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5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5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5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5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5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5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6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2026-06-22T16:45:14Z</dcterms:modified>
</cp:coreProperties>
</file>