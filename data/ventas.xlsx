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AA94DDB5-24F3-4AE7-B1EF-35DC0DDEFE0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externalReferences>
    <externalReference r:id="rId15"/>
  </externalReference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20" l="1"/>
  <c r="D46" i="20"/>
  <c r="K46" i="20" s="1"/>
  <c r="G45" i="20"/>
  <c r="D45" i="20"/>
  <c r="K45" i="20" s="1"/>
  <c r="K44" i="20"/>
  <c r="J44" i="20"/>
  <c r="D44" i="20"/>
  <c r="H44" i="20" s="1"/>
  <c r="I44" i="20" s="1"/>
  <c r="L44" i="20" s="1" a="1"/>
  <c r="L44" i="20" s="1"/>
  <c r="K43" i="20"/>
  <c r="H43" i="20"/>
  <c r="I43" i="20" s="1"/>
  <c r="L43" i="20" s="1" a="1"/>
  <c r="L43" i="20" s="1"/>
  <c r="G43" i="20"/>
  <c r="F43" i="20"/>
  <c r="D43" i="20"/>
  <c r="J42" i="20"/>
  <c r="D42" i="20"/>
  <c r="K42" i="20" s="1"/>
  <c r="G41" i="20"/>
  <c r="D41" i="20"/>
  <c r="K41" i="20" s="1"/>
  <c r="K40" i="20"/>
  <c r="J40" i="20"/>
  <c r="D40" i="20"/>
  <c r="H40" i="20" s="1"/>
  <c r="I40" i="20" s="1"/>
  <c r="L40" i="20" s="1" a="1"/>
  <c r="L40" i="20" s="1"/>
  <c r="K39" i="20"/>
  <c r="H39" i="20"/>
  <c r="I39" i="20" s="1"/>
  <c r="L39" i="20" s="1" a="1"/>
  <c r="L39" i="20" s="1"/>
  <c r="G39" i="20"/>
  <c r="F39" i="20"/>
  <c r="D39" i="20"/>
  <c r="D47" i="20" s="1"/>
  <c r="K37" i="20"/>
  <c r="J37" i="20"/>
  <c r="D37" i="20"/>
  <c r="F37" i="20" s="1"/>
  <c r="K36" i="20"/>
  <c r="H36" i="20"/>
  <c r="I36" i="20" s="1"/>
  <c r="L36" i="20" s="1" a="1"/>
  <c r="L36" i="20" s="1"/>
  <c r="G36" i="20"/>
  <c r="F36" i="20"/>
  <c r="D36" i="20"/>
  <c r="D35" i="20"/>
  <c r="K35" i="20" s="1"/>
  <c r="H34" i="20"/>
  <c r="I34" i="20" s="1"/>
  <c r="L34" i="20" s="1" a="1"/>
  <c r="L34" i="20" s="1"/>
  <c r="D34" i="20"/>
  <c r="K34" i="20" s="1"/>
  <c r="J33" i="20"/>
  <c r="D33" i="20"/>
  <c r="G33" i="20" s="1"/>
  <c r="K32" i="20"/>
  <c r="H32" i="20"/>
  <c r="I32" i="20" s="1"/>
  <c r="L32" i="20" s="1" a="1"/>
  <c r="L32" i="20" s="1"/>
  <c r="G32" i="20"/>
  <c r="D32" i="20"/>
  <c r="F32" i="20" s="1"/>
  <c r="D31" i="20"/>
  <c r="K31" i="20" s="1"/>
  <c r="H30" i="20"/>
  <c r="I30" i="20" s="1"/>
  <c r="L30" i="20" s="1" a="1"/>
  <c r="L30" i="20" s="1"/>
  <c r="D30" i="20"/>
  <c r="J30" i="20" s="1"/>
  <c r="J29" i="20"/>
  <c r="D29" i="20"/>
  <c r="F29" i="20" s="1"/>
  <c r="K28" i="20"/>
  <c r="H28" i="20"/>
  <c r="I28" i="20" s="1"/>
  <c r="L28" i="20" s="1" a="1"/>
  <c r="L28" i="20" s="1"/>
  <c r="G28" i="20"/>
  <c r="D28" i="20"/>
  <c r="F28" i="20" s="1"/>
  <c r="D27" i="20"/>
  <c r="K27" i="20" s="1"/>
  <c r="H26" i="20"/>
  <c r="I26" i="20" s="1"/>
  <c r="L26" i="20" s="1" a="1"/>
  <c r="L26" i="20" s="1"/>
  <c r="D26" i="20"/>
  <c r="K26" i="20" s="1"/>
  <c r="J25" i="20"/>
  <c r="D25" i="20"/>
  <c r="G25" i="20" s="1"/>
  <c r="J23" i="20"/>
  <c r="D23" i="20"/>
  <c r="K23" i="20" s="1"/>
  <c r="K22" i="20"/>
  <c r="G22" i="20"/>
  <c r="F22" i="20"/>
  <c r="D22" i="20"/>
  <c r="K21" i="20"/>
  <c r="J21" i="20"/>
  <c r="H21" i="20"/>
  <c r="I21" i="20" s="1"/>
  <c r="L21" i="20" s="1" a="1"/>
  <c r="L21" i="20" s="1"/>
  <c r="D21" i="20"/>
  <c r="G21" i="20" s="1"/>
  <c r="D20" i="20"/>
  <c r="K20" i="20" s="1"/>
  <c r="J19" i="20"/>
  <c r="D19" i="20"/>
  <c r="K19" i="20" s="1"/>
  <c r="K18" i="20"/>
  <c r="G18" i="20"/>
  <c r="F18" i="20"/>
  <c r="D18" i="20"/>
  <c r="K17" i="20"/>
  <c r="J17" i="20"/>
  <c r="H17" i="20"/>
  <c r="I17" i="20" s="1"/>
  <c r="L17" i="20" s="1" a="1"/>
  <c r="L17" i="20" s="1"/>
  <c r="D17" i="20"/>
  <c r="G17" i="20" s="1"/>
  <c r="D16" i="20"/>
  <c r="K16" i="20" s="1"/>
  <c r="K14" i="20"/>
  <c r="J14" i="20"/>
  <c r="D14" i="20"/>
  <c r="H14" i="20" s="1"/>
  <c r="I14" i="20" s="1"/>
  <c r="L14" i="20" s="1" a="1"/>
  <c r="L14" i="20" s="1"/>
  <c r="K13" i="20"/>
  <c r="H13" i="20"/>
  <c r="I13" i="20" s="1"/>
  <c r="L13" i="20" s="1" a="1"/>
  <c r="L13" i="20" s="1"/>
  <c r="G13" i="20"/>
  <c r="F13" i="20"/>
  <c r="D13" i="20"/>
  <c r="J12" i="20"/>
  <c r="D12" i="20"/>
  <c r="K12" i="20" s="1"/>
  <c r="H11" i="20"/>
  <c r="I11" i="20" s="1"/>
  <c r="L11" i="20" s="1" a="1"/>
  <c r="L11" i="20" s="1"/>
  <c r="G11" i="20"/>
  <c r="D11" i="20"/>
  <c r="K11" i="20" s="1"/>
  <c r="K9" i="20"/>
  <c r="D9" i="20"/>
  <c r="J9" i="20" s="1"/>
  <c r="H8" i="20"/>
  <c r="I8" i="20" s="1"/>
  <c r="L8" i="20" s="1" a="1"/>
  <c r="L8" i="20" s="1"/>
  <c r="D8" i="20"/>
  <c r="K8" i="20" s="1"/>
  <c r="J7" i="20"/>
  <c r="D7" i="20"/>
  <c r="G7" i="20" s="1"/>
  <c r="K6" i="20"/>
  <c r="H6" i="20"/>
  <c r="I6" i="20" s="1"/>
  <c r="L6" i="20" s="1" a="1"/>
  <c r="L6" i="20" s="1"/>
  <c r="G6" i="20"/>
  <c r="D6" i="20"/>
  <c r="F6" i="20" s="1"/>
  <c r="K5" i="20"/>
  <c r="D5" i="20"/>
  <c r="J5" i="20" s="1"/>
  <c r="H4" i="20"/>
  <c r="I4" i="20" s="1"/>
  <c r="L4" i="20" s="1" a="1"/>
  <c r="L4" i="20" s="1"/>
  <c r="D4" i="20"/>
  <c r="K4" i="20" s="1"/>
  <c r="N3" i="20"/>
  <c r="J22" i="20" s="1"/>
  <c r="K3" i="20"/>
  <c r="G3" i="20"/>
  <c r="F3" i="20"/>
  <c r="D3" i="20"/>
  <c r="K2" i="20"/>
  <c r="J2" i="20"/>
  <c r="H2" i="20"/>
  <c r="I2" i="20" s="1"/>
  <c r="L2" i="20" s="1" a="1"/>
  <c r="L2" i="20" s="1"/>
  <c r="D2" i="20"/>
  <c r="G2" i="20" s="1"/>
  <c r="E416" i="9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J47" i="20" l="1"/>
  <c r="G47" i="20"/>
  <c r="K47" i="20"/>
  <c r="H47" i="20"/>
  <c r="I47" i="20" s="1"/>
  <c r="K7" i="20"/>
  <c r="K33" i="20"/>
  <c r="F5" i="20"/>
  <c r="G20" i="20"/>
  <c r="F31" i="20"/>
  <c r="F35" i="20"/>
  <c r="G5" i="20"/>
  <c r="H16" i="20"/>
  <c r="I16" i="20" s="1"/>
  <c r="L16" i="20" s="1" a="1"/>
  <c r="L16" i="20" s="1"/>
  <c r="G27" i="20"/>
  <c r="J32" i="20"/>
  <c r="G35" i="20"/>
  <c r="H9" i="20"/>
  <c r="I9" i="20" s="1"/>
  <c r="L9" i="20" s="1" a="1"/>
  <c r="L9" i="20" s="1"/>
  <c r="G12" i="20"/>
  <c r="J13" i="20"/>
  <c r="F19" i="20"/>
  <c r="F23" i="20"/>
  <c r="H27" i="20"/>
  <c r="I27" i="20" s="1"/>
  <c r="L27" i="20" s="1" a="1"/>
  <c r="L27" i="20" s="1"/>
  <c r="H35" i="20"/>
  <c r="I35" i="20" s="1"/>
  <c r="L35" i="20" s="1" a="1"/>
  <c r="L35" i="20" s="1"/>
  <c r="D38" i="20"/>
  <c r="J39" i="20"/>
  <c r="G42" i="20"/>
  <c r="J43" i="20"/>
  <c r="G46" i="20"/>
  <c r="F4" i="20"/>
  <c r="F8" i="20"/>
  <c r="H12" i="20"/>
  <c r="I12" i="20" s="1"/>
  <c r="L12" i="20" s="1" a="1"/>
  <c r="L12" i="20" s="1"/>
  <c r="D15" i="20"/>
  <c r="J16" i="20"/>
  <c r="G19" i="20"/>
  <c r="J20" i="20"/>
  <c r="G23" i="20"/>
  <c r="F26" i="20"/>
  <c r="F30" i="20"/>
  <c r="F34" i="20"/>
  <c r="H42" i="20"/>
  <c r="I42" i="20" s="1"/>
  <c r="L42" i="20" s="1" a="1"/>
  <c r="L42" i="20" s="1"/>
  <c r="H46" i="20"/>
  <c r="I46" i="20" s="1"/>
  <c r="L46" i="20" s="1" a="1"/>
  <c r="L46" i="20" s="1"/>
  <c r="D24" i="20"/>
  <c r="F16" i="20"/>
  <c r="F20" i="20"/>
  <c r="K25" i="20"/>
  <c r="K29" i="20"/>
  <c r="F9" i="20"/>
  <c r="G16" i="20"/>
  <c r="F27" i="20"/>
  <c r="J6" i="20"/>
  <c r="G9" i="20"/>
  <c r="F12" i="20"/>
  <c r="H20" i="20"/>
  <c r="I20" i="20" s="1"/>
  <c r="L20" i="20" s="1" a="1"/>
  <c r="L20" i="20" s="1"/>
  <c r="J28" i="20"/>
  <c r="G31" i="20"/>
  <c r="J36" i="20"/>
  <c r="F42" i="20"/>
  <c r="F46" i="20"/>
  <c r="H5" i="20"/>
  <c r="I5" i="20" s="1"/>
  <c r="L5" i="20" s="1" a="1"/>
  <c r="L5" i="20" s="1"/>
  <c r="H31" i="20"/>
  <c r="I31" i="20" s="1"/>
  <c r="L31" i="20" s="1" a="1"/>
  <c r="L31" i="20" s="1"/>
  <c r="G4" i="20"/>
  <c r="G8" i="20"/>
  <c r="F11" i="20"/>
  <c r="H19" i="20"/>
  <c r="I19" i="20" s="1"/>
  <c r="L19" i="20" s="1" a="1"/>
  <c r="L19" i="20" s="1"/>
  <c r="H23" i="20"/>
  <c r="I23" i="20" s="1"/>
  <c r="L23" i="20" s="1" a="1"/>
  <c r="L23" i="20" s="1"/>
  <c r="G26" i="20"/>
  <c r="J27" i="20"/>
  <c r="G30" i="20"/>
  <c r="J31" i="20"/>
  <c r="G34" i="20"/>
  <c r="J35" i="20"/>
  <c r="F41" i="20"/>
  <c r="F45" i="20"/>
  <c r="F7" i="20"/>
  <c r="H41" i="20"/>
  <c r="I41" i="20" s="1"/>
  <c r="L41" i="20" s="1" a="1"/>
  <c r="L41" i="20" s="1"/>
  <c r="H45" i="20"/>
  <c r="I45" i="20" s="1"/>
  <c r="L45" i="20" s="1" a="1"/>
  <c r="L45" i="20" s="1"/>
  <c r="J4" i="20"/>
  <c r="J26" i="20"/>
  <c r="G29" i="20"/>
  <c r="J34" i="20"/>
  <c r="G37" i="20"/>
  <c r="F40" i="20"/>
  <c r="F47" i="20" s="1"/>
  <c r="F44" i="20"/>
  <c r="F2" i="20"/>
  <c r="H7" i="20"/>
  <c r="I7" i="20" s="1"/>
  <c r="L7" i="20" s="1" a="1"/>
  <c r="L7" i="20" s="1"/>
  <c r="D10" i="20"/>
  <c r="J11" i="20"/>
  <c r="G14" i="20"/>
  <c r="F17" i="20"/>
  <c r="F21" i="20"/>
  <c r="H25" i="20"/>
  <c r="I25" i="20" s="1"/>
  <c r="L25" i="20" s="1" a="1"/>
  <c r="L25" i="20" s="1"/>
  <c r="H29" i="20"/>
  <c r="I29" i="20" s="1"/>
  <c r="L29" i="20" s="1" a="1"/>
  <c r="L29" i="20" s="1"/>
  <c r="K30" i="20"/>
  <c r="H33" i="20"/>
  <c r="I33" i="20" s="1"/>
  <c r="L33" i="20" s="1" a="1"/>
  <c r="L33" i="20" s="1"/>
  <c r="H37" i="20"/>
  <c r="I37" i="20" s="1"/>
  <c r="L37" i="20" s="1" a="1"/>
  <c r="L37" i="20" s="1"/>
  <c r="G40" i="20"/>
  <c r="J41" i="20"/>
  <c r="G44" i="20"/>
  <c r="J45" i="20"/>
  <c r="F25" i="20"/>
  <c r="F33" i="20"/>
  <c r="H3" i="20"/>
  <c r="I3" i="20" s="1"/>
  <c r="L3" i="20" s="1" a="1"/>
  <c r="L3" i="20" s="1"/>
  <c r="J8" i="20"/>
  <c r="F14" i="20"/>
  <c r="H18" i="20"/>
  <c r="I18" i="20" s="1"/>
  <c r="L18" i="20" s="1" a="1"/>
  <c r="L18" i="20" s="1"/>
  <c r="H22" i="20"/>
  <c r="I22" i="20" s="1"/>
  <c r="L22" i="20" s="1" a="1"/>
  <c r="L22" i="20" s="1"/>
  <c r="J3" i="20"/>
  <c r="J18" i="20"/>
  <c r="I3" i="6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K15" i="20" l="1"/>
  <c r="H15" i="20"/>
  <c r="I15" i="20" s="1"/>
  <c r="G15" i="20"/>
  <c r="J15" i="20"/>
  <c r="F15" i="20"/>
  <c r="K24" i="20"/>
  <c r="H24" i="20"/>
  <c r="I24" i="20" s="1"/>
  <c r="F24" i="20"/>
  <c r="J24" i="20"/>
  <c r="G24" i="20"/>
  <c r="F10" i="20"/>
  <c r="J10" i="20"/>
  <c r="G10" i="20"/>
  <c r="K10" i="20"/>
  <c r="H10" i="20"/>
  <c r="I10" i="20" s="1"/>
  <c r="K38" i="20"/>
  <c r="J38" i="20"/>
  <c r="H38" i="20"/>
  <c r="I38" i="20" s="1"/>
  <c r="D48" i="20"/>
  <c r="G38" i="20"/>
  <c r="F38" i="20"/>
  <c r="F37" i="6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8" i="20" l="1"/>
  <c r="J48" i="20"/>
  <c r="F48" i="20"/>
  <c r="H48" i="20"/>
  <c r="I48" i="20" s="1"/>
  <c r="G48" i="20"/>
  <c r="K47" i="3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<sst xmlns="http://schemas.openxmlformats.org/spreadsheetml/2006/main" count="1611" uniqueCount="284">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</sst>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OneDrive\Desktop\Reportes%20Ventas%20Rap\AVANCE%20Julio%2031%20actualizado.xlsx" TargetMode="External"/><Relationship Id="rId1" Type="http://schemas.openxmlformats.org/officeDocument/2006/relationships/externalLinkPath" Target="AVANCE%20Julio%2031%20actualiz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ISIONES"/>
      <sheetName val="AVANCE"/>
      <sheetName val="COBERTURA"/>
      <sheetName val="Venta C"/>
      <sheetName val="Base Cobertura"/>
      <sheetName val="Base venta C"/>
      <sheetName val="Promedio Horas"/>
      <sheetName val="Historico Enero"/>
      <sheetName val="Historico Febrero"/>
      <sheetName val="Historico Marzo"/>
      <sheetName val="Historico Abril"/>
      <sheetName val="Historico Mayo"/>
      <sheetName val="Historico Junio"/>
    </sheetNames>
    <sheetDataSet>
      <sheetData sheetId="0">
        <row r="1">
          <cell r="A1" t="str">
            <v>VENDEDOR</v>
          </cell>
          <cell r="B1" t="str">
            <v>SUCURSAL</v>
          </cell>
          <cell r="C1" t="str">
            <v>BULTOS</v>
          </cell>
          <cell r="D1" t="str">
            <v>UNIDAD DE MEDIDA</v>
          </cell>
          <cell r="E1" t="str">
            <v>IMPORTE</v>
          </cell>
        </row>
        <row r="2">
          <cell r="A2" t="str">
            <v>0 - TODOS LOS VENDEDORES</v>
          </cell>
          <cell r="B2">
            <v>0</v>
          </cell>
          <cell r="C2">
            <v>104380.3537894199</v>
          </cell>
          <cell r="D2">
            <v>469788.73175917112</v>
          </cell>
          <cell r="E2">
            <v>1820780570.5867226</v>
          </cell>
        </row>
        <row r="3">
          <cell r="A3" t="str">
            <v>1 - VERA ERNESTO</v>
          </cell>
          <cell r="B3">
            <v>1</v>
          </cell>
          <cell r="C3">
            <v>1197.9599077935</v>
          </cell>
          <cell r="D3">
            <v>1926.4132976215999</v>
          </cell>
          <cell r="E3">
            <v>27185326.82477615</v>
          </cell>
        </row>
        <row r="4">
          <cell r="A4" t="str">
            <v>2 - OJEDA NORBERTO</v>
          </cell>
          <cell r="B4">
            <v>1</v>
          </cell>
          <cell r="C4">
            <v>689.60214946789995</v>
          </cell>
          <cell r="D4">
            <v>1872.5537857124</v>
          </cell>
          <cell r="E4">
            <v>17430636.704059932</v>
          </cell>
        </row>
        <row r="5">
          <cell r="A5" t="str">
            <v>3 - VIDAL NAHUEL</v>
          </cell>
          <cell r="B5">
            <v>1</v>
          </cell>
          <cell r="C5">
            <v>1293.4313492028</v>
          </cell>
          <cell r="D5">
            <v>5198.3498690688002</v>
          </cell>
          <cell r="E5">
            <v>28659810.842977829</v>
          </cell>
        </row>
        <row r="6">
          <cell r="A6" t="str">
            <v>4 - TUR SPRINGER FERNANDO</v>
          </cell>
          <cell r="B6">
            <v>1</v>
          </cell>
          <cell r="C6">
            <v>1985.6427579348999</v>
          </cell>
          <cell r="D6">
            <v>4866.9475000247003</v>
          </cell>
          <cell r="E6">
            <v>43796429.304356754</v>
          </cell>
        </row>
        <row r="7">
          <cell r="A7" t="str">
            <v>5 - SCHELOVER RAUL</v>
          </cell>
          <cell r="B7">
            <v>1</v>
          </cell>
          <cell r="C7">
            <v>2230.2984501725</v>
          </cell>
          <cell r="D7">
            <v>7973.0064171262002</v>
          </cell>
          <cell r="E7">
            <v>42645282.505189985</v>
          </cell>
        </row>
        <row r="8">
          <cell r="A8" t="str">
            <v>7 - VALLEJOS EDUARDO</v>
          </cell>
          <cell r="B8">
            <v>1</v>
          </cell>
          <cell r="C8">
            <v>6928.7249999999003</v>
          </cell>
          <cell r="D8">
            <v>14808.58</v>
          </cell>
          <cell r="E8">
            <v>104692818.37833451</v>
          </cell>
        </row>
        <row r="9">
          <cell r="A9" t="str">
            <v>8 - PARRA MAXIMILIANO</v>
          </cell>
          <cell r="B9">
            <v>1</v>
          </cell>
          <cell r="C9">
            <v>1144.8204563484001</v>
          </cell>
          <cell r="D9">
            <v>4078.3810833522998</v>
          </cell>
          <cell r="E9">
            <v>22267052.806140915</v>
          </cell>
        </row>
        <row r="10">
          <cell r="A10" t="str">
            <v>9 - ESTIGARRIBIA DAVID</v>
          </cell>
          <cell r="B10">
            <v>1</v>
          </cell>
          <cell r="C10">
            <v>632.20114682480005</v>
          </cell>
          <cell r="D10">
            <v>2217.3188690860002</v>
          </cell>
          <cell r="E10">
            <v>17991211.30172886</v>
          </cell>
        </row>
        <row r="11">
          <cell r="A11" t="str">
            <v>10 - BRITEZ EMMANUEL</v>
          </cell>
          <cell r="B11">
            <v>1</v>
          </cell>
          <cell r="C11">
            <v>996.48968253910004</v>
          </cell>
          <cell r="D11">
            <v>2884.4657738204</v>
          </cell>
          <cell r="E11">
            <v>18653586.986694366</v>
          </cell>
        </row>
        <row r="12">
          <cell r="A12" t="str">
            <v>11 - SANCHEZ RICARDO</v>
          </cell>
          <cell r="B12">
            <v>1</v>
          </cell>
          <cell r="C12">
            <v>1612.4405753942001</v>
          </cell>
          <cell r="D12">
            <v>5708.0125833637003</v>
          </cell>
          <cell r="E12">
            <v>28724369.683473486</v>
          </cell>
        </row>
        <row r="13">
          <cell r="A13" t="str">
            <v>12 - GUTIERREZ MARCOS DAVID</v>
          </cell>
          <cell r="B13">
            <v>1</v>
          </cell>
          <cell r="C13">
            <v>1877.0432460284001</v>
          </cell>
          <cell r="D13">
            <v>4433.9853333475003</v>
          </cell>
          <cell r="E13">
            <v>37562080.648648612</v>
          </cell>
        </row>
        <row r="14">
          <cell r="A14" t="str">
            <v>15 - GALARZA GERARDO</v>
          </cell>
          <cell r="B14">
            <v>1</v>
          </cell>
          <cell r="C14">
            <v>9417.5490972211992</v>
          </cell>
          <cell r="D14">
            <v>35319.329575887597</v>
          </cell>
          <cell r="E14">
            <v>139375948.61764529</v>
          </cell>
        </row>
        <row r="15">
          <cell r="A15" t="str">
            <v>16 - GOMEZ MATÍAS</v>
          </cell>
          <cell r="B15">
            <v>1</v>
          </cell>
          <cell r="C15">
            <v>1537.3396984111</v>
          </cell>
          <cell r="D15">
            <v>5054.5940089362002</v>
          </cell>
          <cell r="E15">
            <v>33033542.72394577</v>
          </cell>
        </row>
        <row r="16">
          <cell r="A16" t="str">
            <v>18 - HERRERA PABLO</v>
          </cell>
          <cell r="B16">
            <v>1</v>
          </cell>
          <cell r="C16">
            <v>991.84565476169996</v>
          </cell>
          <cell r="D16">
            <v>3750.7922143215001</v>
          </cell>
          <cell r="E16">
            <v>25727118.870885003</v>
          </cell>
        </row>
        <row r="17">
          <cell r="A17" t="str">
            <v>19 - GONZALEZ MARCELO</v>
          </cell>
          <cell r="B17">
            <v>1</v>
          </cell>
          <cell r="C17">
            <v>2103.4186507915001</v>
          </cell>
          <cell r="D17">
            <v>6598.3046369074</v>
          </cell>
          <cell r="E17">
            <v>45343703.465104036</v>
          </cell>
        </row>
        <row r="18">
          <cell r="A18" t="str">
            <v>20 - FLORES JAVIER</v>
          </cell>
          <cell r="B18">
            <v>1</v>
          </cell>
          <cell r="C18">
            <v>2213.5785515847001</v>
          </cell>
          <cell r="D18">
            <v>9490.1324285937008</v>
          </cell>
          <cell r="E18">
            <v>47694545.197641112</v>
          </cell>
        </row>
        <row r="19">
          <cell r="A19" t="str">
            <v>21 - CATAN MATIAS</v>
          </cell>
          <cell r="B19">
            <v>1</v>
          </cell>
          <cell r="C19">
            <v>1995.9551190441</v>
          </cell>
          <cell r="D19">
            <v>7403.9603333524001</v>
          </cell>
          <cell r="E19">
            <v>42193890.428047709</v>
          </cell>
        </row>
        <row r="20">
          <cell r="A20" t="str">
            <v>22 - ALMIRON NICOLAS</v>
          </cell>
          <cell r="B20">
            <v>1</v>
          </cell>
          <cell r="C20">
            <v>6478.3107638880001</v>
          </cell>
          <cell r="D20">
            <v>34934.769468744198</v>
          </cell>
          <cell r="E20">
            <v>119458907.73264194</v>
          </cell>
        </row>
        <row r="21">
          <cell r="A21" t="str">
            <v>23 - DELGADO JOSÉ</v>
          </cell>
          <cell r="B21">
            <v>1</v>
          </cell>
          <cell r="C21">
            <v>897.61130952010001</v>
          </cell>
          <cell r="D21">
            <v>3164.3347143032001</v>
          </cell>
          <cell r="E21">
            <v>21014493.59536887</v>
          </cell>
        </row>
        <row r="22">
          <cell r="A22" t="str">
            <v>24 - SOLIS EMMANUEL</v>
          </cell>
          <cell r="B22">
            <v>1</v>
          </cell>
          <cell r="C22">
            <v>599.33730820109997</v>
          </cell>
          <cell r="D22">
            <v>2373.7732708637</v>
          </cell>
          <cell r="E22">
            <v>13073320.792576093</v>
          </cell>
        </row>
        <row r="23">
          <cell r="A23" t="str">
            <v>25 - KALATAKI GUSTAVO</v>
          </cell>
          <cell r="B23">
            <v>1</v>
          </cell>
          <cell r="C23">
            <v>5764.9611309507</v>
          </cell>
          <cell r="D23">
            <v>30625.4571190473</v>
          </cell>
          <cell r="E23">
            <v>101727325.82770839</v>
          </cell>
        </row>
        <row r="24">
          <cell r="A24" t="str">
            <v>26 - PUJOL ERNESTO</v>
          </cell>
          <cell r="B24">
            <v>1</v>
          </cell>
          <cell r="C24">
            <v>4004.0416666658002</v>
          </cell>
          <cell r="D24">
            <v>34467.809988094101</v>
          </cell>
          <cell r="E24">
            <v>70633225.909723982</v>
          </cell>
        </row>
        <row r="25">
          <cell r="A25" t="str">
            <v>27 - GOMEZ ADRIÁN</v>
          </cell>
          <cell r="B25">
            <v>1</v>
          </cell>
          <cell r="C25">
            <v>1150.3017777762</v>
          </cell>
          <cell r="D25">
            <v>4916.4981785865002</v>
          </cell>
          <cell r="E25">
            <v>28866128.397854213</v>
          </cell>
        </row>
        <row r="26">
          <cell r="A26" t="str">
            <v>28 - GOMEZ PABLO</v>
          </cell>
          <cell r="B26">
            <v>1</v>
          </cell>
          <cell r="C26">
            <v>2149.9644841218001</v>
          </cell>
          <cell r="D26">
            <v>4533.5727975993996</v>
          </cell>
          <cell r="E26">
            <v>30270119.210779201</v>
          </cell>
        </row>
        <row r="27">
          <cell r="A27" t="str">
            <v>30 - GOMEZ MARTÍN</v>
          </cell>
          <cell r="B27">
            <v>1</v>
          </cell>
          <cell r="C27">
            <v>9668.7722222224002</v>
          </cell>
          <cell r="D27">
            <v>28864.55</v>
          </cell>
          <cell r="E27">
            <v>115991239.69680294</v>
          </cell>
        </row>
        <row r="28">
          <cell r="A28" t="str">
            <v>31 - RENZO RAMOS</v>
          </cell>
          <cell r="B28">
            <v>1</v>
          </cell>
          <cell r="C28">
            <v>1759.2633134862999</v>
          </cell>
          <cell r="D28">
            <v>6054.0936785698004</v>
          </cell>
          <cell r="E28">
            <v>32758101.572444998</v>
          </cell>
        </row>
        <row r="29">
          <cell r="A29" t="str">
            <v>32 - CABRAL GONZALO</v>
          </cell>
          <cell r="B29">
            <v>1</v>
          </cell>
          <cell r="C29">
            <v>5465.9799603162</v>
          </cell>
          <cell r="D29">
            <v>20875.808083336899</v>
          </cell>
          <cell r="E29">
            <v>81251469.081685379</v>
          </cell>
        </row>
        <row r="30">
          <cell r="A30" t="str">
            <v>33 - NICOLAS AZULA</v>
          </cell>
          <cell r="B30">
            <v>1</v>
          </cell>
          <cell r="C30">
            <v>597.40244047320004</v>
          </cell>
          <cell r="D30">
            <v>1921.088845233</v>
          </cell>
          <cell r="E30">
            <v>12776750.42980786</v>
          </cell>
        </row>
        <row r="31">
          <cell r="A31" t="str">
            <v>36 - COSARINSKI DIEGO</v>
          </cell>
          <cell r="B31">
            <v>1</v>
          </cell>
          <cell r="C31">
            <v>996.91339285519996</v>
          </cell>
          <cell r="D31">
            <v>2641.7620833453998</v>
          </cell>
          <cell r="E31">
            <v>15027083.523353396</v>
          </cell>
        </row>
        <row r="32">
          <cell r="A32" t="str">
            <v>37 - SALAJ EMILIO</v>
          </cell>
          <cell r="B32">
            <v>1</v>
          </cell>
          <cell r="C32">
            <v>281.83533729940001</v>
          </cell>
          <cell r="D32">
            <v>1144.3729166610999</v>
          </cell>
          <cell r="E32">
            <v>9035243.4868967943</v>
          </cell>
        </row>
        <row r="33">
          <cell r="A33" t="str">
            <v>40 - IBARROLA JORGE</v>
          </cell>
          <cell r="B33">
            <v>1</v>
          </cell>
          <cell r="C33">
            <v>1613.9636375652999</v>
          </cell>
          <cell r="D33">
            <v>5771.1928333474998</v>
          </cell>
          <cell r="E33">
            <v>24649968.962333329</v>
          </cell>
        </row>
        <row r="34">
          <cell r="A34" t="str">
            <v>42 - ROMERO ARIEL</v>
          </cell>
          <cell r="B34">
            <v>1</v>
          </cell>
          <cell r="C34">
            <v>201.37328081250001</v>
          </cell>
          <cell r="D34">
            <v>2476.9984999971998</v>
          </cell>
          <cell r="E34">
            <v>6486998.1697260365</v>
          </cell>
        </row>
        <row r="35">
          <cell r="A35" t="str">
            <v>43 - COLHER DIEGO</v>
          </cell>
          <cell r="B35">
            <v>1</v>
          </cell>
          <cell r="C35">
            <v>2558.3847222221998</v>
          </cell>
          <cell r="D35">
            <v>21261.5399999982</v>
          </cell>
          <cell r="E35">
            <v>37247396.660747953</v>
          </cell>
        </row>
        <row r="36">
          <cell r="A36" t="str">
            <v>44 - MONGES CESAR LUIS</v>
          </cell>
          <cell r="B36">
            <v>1</v>
          </cell>
          <cell r="C36">
            <v>1202.4213690460999</v>
          </cell>
          <cell r="D36">
            <v>5060.0667440884999</v>
          </cell>
          <cell r="E36">
            <v>26994925.841703027</v>
          </cell>
        </row>
        <row r="37">
          <cell r="A37" t="str">
            <v>49 - ESCOBAR RAÚL</v>
          </cell>
          <cell r="B37">
            <v>1</v>
          </cell>
          <cell r="C37">
            <v>1117.9481547620001</v>
          </cell>
          <cell r="D37">
            <v>7008.2291666776</v>
          </cell>
          <cell r="E37">
            <v>23502345.16595237</v>
          </cell>
        </row>
        <row r="38">
          <cell r="A38" t="str">
            <v>52 - RAVAROTTO EMANUEL</v>
          </cell>
          <cell r="B38">
            <v>1</v>
          </cell>
          <cell r="C38">
            <v>1631.5</v>
          </cell>
          <cell r="D38">
            <v>17331.319999996998</v>
          </cell>
          <cell r="E38">
            <v>38452846.108100735</v>
          </cell>
        </row>
        <row r="39">
          <cell r="A39" t="str">
            <v>53 - SANDOVAL RODRIGO</v>
          </cell>
          <cell r="B39">
            <v>1</v>
          </cell>
          <cell r="C39">
            <v>1956.2495851368999</v>
          </cell>
          <cell r="D39">
            <v>22975.129999999899</v>
          </cell>
          <cell r="E39">
            <v>45377542.441706695</v>
          </cell>
        </row>
        <row r="40">
          <cell r="A40" t="str">
            <v>54 - BARTSCHAT EMILIANO NAHUEL</v>
          </cell>
          <cell r="B40">
            <v>1</v>
          </cell>
          <cell r="C40">
            <v>3248.9285354396002</v>
          </cell>
          <cell r="D40">
            <v>16655.651897956301</v>
          </cell>
          <cell r="E40">
            <v>51964700.729899384</v>
          </cell>
        </row>
        <row r="41">
          <cell r="A41" t="str">
            <v>56 - JUAN ANDRES SANCHEZ</v>
          </cell>
          <cell r="B41">
            <v>1</v>
          </cell>
          <cell r="C41">
            <v>5918.9748015879004</v>
          </cell>
          <cell r="D41">
            <v>36000.484416665699</v>
          </cell>
          <cell r="E41">
            <v>67810011.756313652</v>
          </cell>
        </row>
        <row r="42">
          <cell r="A42" t="str">
            <v>57 - ROUBINEAU SEBASTIAN</v>
          </cell>
          <cell r="B42">
            <v>1</v>
          </cell>
          <cell r="C42">
            <v>945.30555555549995</v>
          </cell>
          <cell r="D42">
            <v>9988.2499999993997</v>
          </cell>
          <cell r="E42">
            <v>19854433.27797151</v>
          </cell>
        </row>
        <row r="43">
          <cell r="A43" t="str">
            <v>58 - BLADIMIR LEZCANO</v>
          </cell>
          <cell r="B43">
            <v>1</v>
          </cell>
          <cell r="C43">
            <v>918.17946428469997</v>
          </cell>
          <cell r="D43">
            <v>7910.0475553556998</v>
          </cell>
          <cell r="E43">
            <v>33569113.032947592</v>
          </cell>
        </row>
        <row r="44">
          <cell r="A44" t="str">
            <v>59 - LEIVA SILVIO</v>
          </cell>
          <cell r="B44">
            <v>1</v>
          </cell>
          <cell r="C44">
            <v>854.6379960324</v>
          </cell>
          <cell r="D44">
            <v>4833.9795476285999</v>
          </cell>
          <cell r="E44">
            <v>16739895.643149663</v>
          </cell>
        </row>
        <row r="45">
          <cell r="A45" t="str">
            <v>60 - SILVA ADRIAN</v>
          </cell>
          <cell r="B45">
            <v>1</v>
          </cell>
          <cell r="C45">
            <v>823.44642857220003</v>
          </cell>
          <cell r="D45">
            <v>1015.7320833316001</v>
          </cell>
          <cell r="E45">
            <v>13890576.9522874</v>
          </cell>
        </row>
        <row r="46">
          <cell r="A46" t="str">
            <v>100 - MOSTRADOR</v>
          </cell>
          <cell r="B46">
            <v>1</v>
          </cell>
          <cell r="C46">
            <v>1298.2137364712</v>
          </cell>
          <cell r="D46">
            <v>3718.4359568406999</v>
          </cell>
          <cell r="E46">
            <v>16716894.631633712</v>
          </cell>
        </row>
        <row r="47">
          <cell r="A47" t="str">
            <v>123 - TORRES ROLANDO</v>
          </cell>
          <cell r="B47">
            <v>1</v>
          </cell>
          <cell r="C47">
            <v>1427.7899206343</v>
          </cell>
          <cell r="D47">
            <v>7678.6542023802003</v>
          </cell>
          <cell r="E47">
            <v>22662156.664955258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2"/>
  <sheetViews>
    <sheetView workbookViewId="0">
      <selection sqref="A1:H42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4681.9817367722999</v>
      </c>
      <c r="D2" s="151">
        <v>14505.3719672718</v>
      </c>
      <c r="E2" s="151">
        <v>85408907.284373686</v>
      </c>
      <c r="F2" s="151">
        <v>0</v>
      </c>
      <c r="G2" s="151">
        <v>49410.066886102002</v>
      </c>
      <c r="H2" s="151">
        <v>49410.04</v>
      </c>
    </row>
    <row r="3" spans="1:8" x14ac:dyDescent="0.25">
      <c r="A3" s="151" t="s">
        <v>80</v>
      </c>
      <c r="B3" s="151">
        <v>1</v>
      </c>
      <c r="C3" s="151">
        <v>89.058829364999994</v>
      </c>
      <c r="D3" s="151">
        <v>141.5184077413</v>
      </c>
      <c r="E3" s="151">
        <v>1647002.2295367508</v>
      </c>
      <c r="F3" s="151">
        <v>0</v>
      </c>
      <c r="G3" s="151">
        <v>49410.066886102002</v>
      </c>
      <c r="H3" s="151">
        <v>49410.04</v>
      </c>
    </row>
    <row r="4" spans="1:8" x14ac:dyDescent="0.25">
      <c r="A4" s="151" t="s">
        <v>81</v>
      </c>
      <c r="B4" s="151">
        <v>1</v>
      </c>
      <c r="C4" s="151">
        <v>71.572222222500002</v>
      </c>
      <c r="D4" s="151">
        <v>69.428750003100006</v>
      </c>
      <c r="E4" s="151">
        <v>1121079.8303882154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55.162996031200002</v>
      </c>
      <c r="D5" s="151">
        <v>176.83559523529999</v>
      </c>
      <c r="E5" s="151">
        <v>1693321.4258545449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113.03819444440001</v>
      </c>
      <c r="D6" s="151">
        <v>140.796666665</v>
      </c>
      <c r="E6" s="151">
        <v>2717001.447312105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67.330357142699995</v>
      </c>
      <c r="D7" s="151">
        <v>216.00000000360001</v>
      </c>
      <c r="E7" s="151">
        <v>1320735.9911553049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-15</v>
      </c>
      <c r="D8" s="151">
        <v>0</v>
      </c>
      <c r="E8" s="151">
        <v>-191735.01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269</v>
      </c>
      <c r="B9" s="151">
        <v>1</v>
      </c>
      <c r="C9" s="151">
        <v>39.745833333100002</v>
      </c>
      <c r="D9" s="151">
        <v>120.525000002</v>
      </c>
      <c r="E9" s="151">
        <v>672308.06487198186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46.211011905100001</v>
      </c>
      <c r="D10" s="151">
        <v>32.846190476700002</v>
      </c>
      <c r="E10" s="151">
        <v>1043663.7735990683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54.282539682600003</v>
      </c>
      <c r="D11" s="151">
        <v>26.252500002800002</v>
      </c>
      <c r="E11" s="151">
        <v>992522.82807529054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61.446626984300003</v>
      </c>
      <c r="D12" s="151">
        <v>75.999999998000007</v>
      </c>
      <c r="E12" s="151">
        <v>997735.93391817692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64.849107142799994</v>
      </c>
      <c r="D13" s="151">
        <v>270.04999999799998</v>
      </c>
      <c r="E13" s="151">
        <v>1525748.6455398067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246.2726190477</v>
      </c>
      <c r="D14" s="151">
        <v>879.04249999880005</v>
      </c>
      <c r="E14" s="151">
        <v>4921766.1844920227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67.735500000499997</v>
      </c>
      <c r="D15" s="151">
        <v>126.6012500003</v>
      </c>
      <c r="E15" s="151">
        <v>1858513.0383553384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57.226289682400001</v>
      </c>
      <c r="D16" s="151">
        <v>230.83500000020001</v>
      </c>
      <c r="E16" s="151">
        <v>1688184.5882674011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74.1719841269</v>
      </c>
      <c r="D17" s="151">
        <v>212.79558333349999</v>
      </c>
      <c r="E17" s="151">
        <v>1530774.8311674353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189.1648412696</v>
      </c>
      <c r="D18" s="151">
        <v>349.12666666479998</v>
      </c>
      <c r="E18" s="151">
        <v>3465252.2607445307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137.56167328070001</v>
      </c>
      <c r="D19" s="151">
        <v>350.50499999819999</v>
      </c>
      <c r="E19" s="151">
        <v>2881112.7021410628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1169.0690476191</v>
      </c>
      <c r="D20" s="151">
        <v>2216.6180952387999</v>
      </c>
      <c r="E20" s="151">
        <v>13595493.197991407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59.788511904899998</v>
      </c>
      <c r="D21" s="151">
        <v>223.41016666749999</v>
      </c>
      <c r="E21" s="151">
        <v>1586181.5449831183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274</v>
      </c>
      <c r="B22" s="151">
        <v>1</v>
      </c>
      <c r="C22" s="151">
        <v>51.602499999899997</v>
      </c>
      <c r="D22" s="151">
        <v>127.0100000006</v>
      </c>
      <c r="E22" s="151">
        <v>1477710.926713676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266</v>
      </c>
      <c r="B23" s="151">
        <v>1</v>
      </c>
      <c r="C23" s="151">
        <v>114.88833333319999</v>
      </c>
      <c r="D23" s="151">
        <v>261.0049999986</v>
      </c>
      <c r="E23" s="151">
        <v>2923678.1117493762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98</v>
      </c>
      <c r="B24" s="151">
        <v>1</v>
      </c>
      <c r="C24" s="151">
        <v>30.3711309525</v>
      </c>
      <c r="D24" s="151">
        <v>179.01000000159999</v>
      </c>
      <c r="E24" s="151">
        <v>756921.35079500126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99</v>
      </c>
      <c r="B25" s="151">
        <v>1</v>
      </c>
      <c r="C25" s="151">
        <v>51.641666666399999</v>
      </c>
      <c r="D25" s="151">
        <v>45.009999998600001</v>
      </c>
      <c r="E25" s="151">
        <v>677113.07117469213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218</v>
      </c>
      <c r="B26" s="151">
        <v>1</v>
      </c>
      <c r="C26" s="151">
        <v>64.6101190479</v>
      </c>
      <c r="D26" s="151">
        <v>279.0314285737</v>
      </c>
      <c r="E26" s="151">
        <v>1578186.0693778156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211</v>
      </c>
      <c r="B27" s="151">
        <v>1</v>
      </c>
      <c r="C27" s="151">
        <v>73.811111111200006</v>
      </c>
      <c r="D27" s="151">
        <v>374.91999999990003</v>
      </c>
      <c r="E27" s="151">
        <v>1647037.6581198091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138</v>
      </c>
      <c r="B28" s="151">
        <v>1</v>
      </c>
      <c r="C28" s="151">
        <v>30.782936507300001</v>
      </c>
      <c r="D28" s="151">
        <v>71.505000000400003</v>
      </c>
      <c r="E28" s="151">
        <v>776349.53606287704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213</v>
      </c>
      <c r="B29" s="151">
        <v>1</v>
      </c>
      <c r="C29" s="151">
        <v>78.813690476199994</v>
      </c>
      <c r="D29" s="151">
        <v>108.9999999984</v>
      </c>
      <c r="E29" s="151">
        <v>1358896.7781463198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272</v>
      </c>
      <c r="B30" s="151">
        <v>1</v>
      </c>
      <c r="C30" s="151">
        <v>22.390476190400001</v>
      </c>
      <c r="D30" s="151">
        <v>43.505000001200003</v>
      </c>
      <c r="E30" s="151">
        <v>509332.29081850679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212</v>
      </c>
      <c r="B31" s="151">
        <v>1</v>
      </c>
      <c r="C31" s="151">
        <v>90.264781746200001</v>
      </c>
      <c r="D31" s="151">
        <v>368.6116666652</v>
      </c>
      <c r="E31" s="151">
        <v>1719778.1499583379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267</v>
      </c>
      <c r="B32" s="151">
        <v>1</v>
      </c>
      <c r="C32" s="151">
        <v>208.45833333339999</v>
      </c>
      <c r="D32" s="151">
        <v>1299.8599999999999</v>
      </c>
      <c r="E32" s="151">
        <v>3242995.6574940565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160</v>
      </c>
      <c r="B33" s="151">
        <v>1</v>
      </c>
      <c r="C33" s="151">
        <v>46.7487103168</v>
      </c>
      <c r="D33" s="151">
        <v>87.257499996799993</v>
      </c>
      <c r="E33" s="151">
        <v>1105197.504105523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106</v>
      </c>
      <c r="B34" s="151">
        <v>1</v>
      </c>
      <c r="C34" s="151">
        <v>380.40910714310002</v>
      </c>
      <c r="D34" s="151">
        <v>1995.6685833337001</v>
      </c>
      <c r="E34" s="151">
        <v>10831777.123155374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270</v>
      </c>
      <c r="B35" s="151">
        <v>1</v>
      </c>
      <c r="C35" s="151">
        <v>21.875</v>
      </c>
      <c r="D35" s="151">
        <v>198.0000000002</v>
      </c>
      <c r="E35" s="151">
        <v>559384.50970088236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107</v>
      </c>
      <c r="B36" s="151">
        <v>1</v>
      </c>
      <c r="C36" s="151">
        <v>60</v>
      </c>
      <c r="D36" s="151">
        <v>711.84</v>
      </c>
      <c r="E36" s="151">
        <v>1533623.4238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219</v>
      </c>
      <c r="B37" s="151">
        <v>1</v>
      </c>
      <c r="C37" s="151">
        <v>32.182242063300002</v>
      </c>
      <c r="D37" s="151">
        <v>100.70208333390001</v>
      </c>
      <c r="E37" s="151">
        <v>1000527.96582367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139</v>
      </c>
      <c r="B38" s="151">
        <v>1</v>
      </c>
      <c r="C38" s="151">
        <v>454.80555555569998</v>
      </c>
      <c r="D38" s="151">
        <v>981.2525000004</v>
      </c>
      <c r="E38" s="151">
        <v>3672776.0578550007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214</v>
      </c>
      <c r="B39" s="151">
        <v>1</v>
      </c>
      <c r="C39" s="151">
        <v>32.888888888899999</v>
      </c>
      <c r="D39" s="151">
        <v>370.64</v>
      </c>
      <c r="E39" s="151">
        <v>832900.83240188414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144</v>
      </c>
      <c r="B40" s="151">
        <v>1</v>
      </c>
      <c r="C40" s="151">
        <v>129.9555555556</v>
      </c>
      <c r="D40" s="151">
        <v>615.17583333410005</v>
      </c>
      <c r="E40" s="151">
        <v>2871011.5105904969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154</v>
      </c>
      <c r="B41" s="151">
        <v>1</v>
      </c>
      <c r="C41" s="151">
        <v>54.646190476599998</v>
      </c>
      <c r="D41" s="151">
        <v>423.18000000659998</v>
      </c>
      <c r="E41" s="151">
        <v>1242774.8459322292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217</v>
      </c>
      <c r="B42" s="151">
        <v>1</v>
      </c>
      <c r="C42" s="151">
        <v>2.1472222221999999</v>
      </c>
      <c r="D42" s="151">
        <v>4</v>
      </c>
      <c r="E42" s="151">
        <v>24270.4022045936</v>
      </c>
      <c r="F42" s="151">
        <v>0</v>
      </c>
      <c r="G42" s="151">
        <v>0</v>
      </c>
      <c r="H42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3465252.2607445307</v>
      </c>
      <c r="E2" s="59">
        <v>-8487.0169966051999</v>
      </c>
      <c r="F2" s="59">
        <f t="shared" ref="F2:F9" si="0">+D2-E2</f>
        <v>3473739.277741136</v>
      </c>
      <c r="G2" s="60">
        <f t="shared" ref="G2:G47" si="1">+D2/C2</f>
        <v>0.10735289300804229</v>
      </c>
      <c r="H2" s="59">
        <f>+D2/$N$3*$N$4</f>
        <v>43315653.259306632</v>
      </c>
      <c r="I2" s="60">
        <f t="shared" ref="I2:I48" si="2">+H2/C2</f>
        <v>1.3419111626005287</v>
      </c>
      <c r="J2" s="59">
        <f>+D2/$N$3</f>
        <v>1732626.1303722654</v>
      </c>
      <c r="K2" s="59">
        <f t="shared" ref="K2:K38" si="3">+(C2-D2)/$N$2</f>
        <v>1252774.9729350531</v>
      </c>
      <c r="L2" s="61" cm="1">
        <f t="array" ref="L2">+_xlfn.IFS(I2&gt;114%,H2*0.02,I2&gt;109%,H2*0.015,I2&gt;104%,H2*0.0125,I2&gt;99%,H2*0.01,I2&lt;99%,H2*0)</f>
        <v>866313.06518613268</v>
      </c>
      <c r="M2" s="53" t="s">
        <v>36</v>
      </c>
      <c r="N2">
        <v>23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1530774.8311674353</v>
      </c>
      <c r="E3" s="4">
        <v>639320.14937079034</v>
      </c>
      <c r="F3" s="59">
        <f t="shared" si="0"/>
        <v>891454.68179664493</v>
      </c>
      <c r="G3" s="5">
        <f t="shared" si="1"/>
        <v>4.9407360847285163E-2</v>
      </c>
      <c r="H3" s="4">
        <f t="shared" ref="H3:H38" si="4">+D3/$N$3*$N$4</f>
        <v>19134685.389592942</v>
      </c>
      <c r="I3" s="5">
        <f t="shared" si="2"/>
        <v>0.61759201059106461</v>
      </c>
      <c r="J3" s="4">
        <f t="shared" ref="J3:J38" si="5">+D3/$N$3</f>
        <v>765387.41558371764</v>
      </c>
      <c r="K3" s="4">
        <f t="shared" si="3"/>
        <v>1280519.7107702529</v>
      </c>
      <c r="L3" s="63" cm="1">
        <f t="array" ref="L3">+_xlfn.IFS(I3&gt;114%,H3*0.02,I3&gt;109%,H3*0.015,I3&gt;104%,H3*0.0125,I3&gt;99%,H3*0.01,I3&lt;99%,H3*0)</f>
        <v>0</v>
      </c>
      <c r="M3" s="53" t="s">
        <v>40</v>
      </c>
      <c r="N3">
        <f>N4-N2</f>
        <v>2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1858513.0383553384</v>
      </c>
      <c r="E4" s="4">
        <v>169221.37870080801</v>
      </c>
      <c r="F4" s="59">
        <f t="shared" si="0"/>
        <v>1689291.6596545305</v>
      </c>
      <c r="G4" s="5">
        <f t="shared" si="1"/>
        <v>6.5463578441499512E-2</v>
      </c>
      <c r="H4" s="4">
        <f t="shared" si="4"/>
        <v>23231412.979441728</v>
      </c>
      <c r="I4" s="5">
        <f t="shared" si="2"/>
        <v>0.8182947305187438</v>
      </c>
      <c r="J4" s="4">
        <f t="shared" si="5"/>
        <v>929256.51917766919</v>
      </c>
      <c r="K4" s="4">
        <f t="shared" si="3"/>
        <v>1153544.2705127355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1525748.6455398067</v>
      </c>
      <c r="E5" s="4">
        <v>237667.59589899681</v>
      </c>
      <c r="F5" s="59">
        <f t="shared" si="0"/>
        <v>1288081.0496408099</v>
      </c>
      <c r="G5" s="5">
        <f t="shared" si="1"/>
        <v>5.3742408085387897E-2</v>
      </c>
      <c r="H5" s="4">
        <f t="shared" si="4"/>
        <v>19071858.069247585</v>
      </c>
      <c r="I5" s="5">
        <f t="shared" si="2"/>
        <v>0.67178010106734876</v>
      </c>
      <c r="J5" s="4">
        <f t="shared" si="5"/>
        <v>762874.32276990335</v>
      </c>
      <c r="K5" s="4">
        <f t="shared" si="3"/>
        <v>1168012.2875916716</v>
      </c>
      <c r="L5" s="63" cm="1">
        <f t="array" ref="L5">+_xlfn.IFS(I5&gt;114%,H5*0.02,I5&gt;109%,H5*0.015,I5&gt;104%,H5*0.0125,I5&gt;99%,H5*0.01,I5&lt;99%,H5*0)</f>
        <v>0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997735.93391817692</v>
      </c>
      <c r="E6" s="4">
        <v>301163.0610637326</v>
      </c>
      <c r="F6" s="59">
        <f t="shared" si="0"/>
        <v>696572.87285444431</v>
      </c>
      <c r="G6" s="5">
        <f t="shared" si="1"/>
        <v>4.240501572140621E-2</v>
      </c>
      <c r="H6" s="4">
        <f t="shared" si="4"/>
        <v>12471699.173977211</v>
      </c>
      <c r="I6" s="5">
        <f t="shared" si="2"/>
        <v>0.53006269651757754</v>
      </c>
      <c r="J6" s="4">
        <f t="shared" si="5"/>
        <v>498867.96695908846</v>
      </c>
      <c r="K6" s="4">
        <f t="shared" si="3"/>
        <v>979608.20015660638</v>
      </c>
      <c r="L6" s="63" cm="1">
        <f t="array" ref="L6">+_xlfn.IFS(I6&gt;114%,H6*0.02,I6&gt;109%,H6*0.015,I6&gt;104%,H6*0.0125,I6&gt;99%,H6*0.01,I6&lt;99%,H6*0)</f>
        <v>0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f>IFERROR(+VLOOKUP(B7,COMISIONES!A:E,5,FALSE),"0")*1</f>
        <v>672308.06487198186</v>
      </c>
      <c r="E7" s="4">
        <v>154498.605210774</v>
      </c>
      <c r="F7" s="59">
        <f t="shared" si="0"/>
        <v>517809.45966120786</v>
      </c>
      <c r="G7" s="5">
        <f t="shared" si="1"/>
        <v>2.4234429012221208E-2</v>
      </c>
      <c r="H7" s="4">
        <f t="shared" si="4"/>
        <v>8403850.8108997736</v>
      </c>
      <c r="I7" s="5">
        <f t="shared" si="2"/>
        <v>0.30293036265276513</v>
      </c>
      <c r="J7" s="4">
        <f t="shared" si="5"/>
        <v>336154.03243599093</v>
      </c>
      <c r="K7" s="4">
        <f t="shared" si="3"/>
        <v>1176936.9115475009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1320735.9911553049</v>
      </c>
      <c r="E8" s="4">
        <v>517481.58656370948</v>
      </c>
      <c r="F8" s="59">
        <f t="shared" si="0"/>
        <v>803254.40459159552</v>
      </c>
      <c r="G8" s="5">
        <f t="shared" si="1"/>
        <v>3.6860075318086001E-2</v>
      </c>
      <c r="H8" s="4">
        <f t="shared" si="4"/>
        <v>16509199.889441311</v>
      </c>
      <c r="I8" s="5">
        <f t="shared" si="2"/>
        <v>0.46075094147607498</v>
      </c>
      <c r="J8" s="4">
        <f t="shared" si="5"/>
        <v>660367.99557765247</v>
      </c>
      <c r="K8" s="4">
        <f t="shared" si="3"/>
        <v>1500449.3663374956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2717001.447312105</v>
      </c>
      <c r="E9" s="4">
        <v>923869.61052970681</v>
      </c>
      <c r="F9" s="59">
        <f t="shared" si="0"/>
        <v>1793131.8367823982</v>
      </c>
      <c r="G9" s="5">
        <f t="shared" si="1"/>
        <v>7.5828082718990872E-2</v>
      </c>
      <c r="H9" s="4">
        <f t="shared" si="4"/>
        <v>33962518.091401309</v>
      </c>
      <c r="I9" s="5">
        <f t="shared" si="2"/>
        <v>0.94785103398738579</v>
      </c>
      <c r="J9" s="4">
        <f t="shared" si="5"/>
        <v>1358500.7236560525</v>
      </c>
      <c r="K9" s="4">
        <f t="shared" si="3"/>
        <v>1439742.1725915477</v>
      </c>
      <c r="L9" s="63" cm="1">
        <f t="array" ref="L9">+_xlfn.IFS(I9&gt;114%,H9*0.02,I9&gt;109%,H9*0.015,I9&gt;104%,H9*0.0125,I9&gt;99%,H9*0.01,I9&lt;99%,H9*0)</f>
        <v>0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14088070.213064678</v>
      </c>
      <c r="E10" s="64">
        <v>2934734.9703419125</v>
      </c>
      <c r="F10" s="66">
        <f>+D10-E10</f>
        <v>11153335.242722765</v>
      </c>
      <c r="G10" s="65">
        <f t="shared" si="1"/>
        <v>5.7981660190146E-2</v>
      </c>
      <c r="H10" s="64">
        <f t="shared" si="4"/>
        <v>176100877.66330847</v>
      </c>
      <c r="I10" s="65">
        <f t="shared" si="2"/>
        <v>0.72477075237682498</v>
      </c>
      <c r="J10" s="64">
        <f t="shared" si="5"/>
        <v>7044035.106532339</v>
      </c>
      <c r="K10" s="66">
        <f t="shared" si="3"/>
        <v>9951587.8924428634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13595493.197991407</v>
      </c>
      <c r="E11" s="59">
        <v>5126631.5350277582</v>
      </c>
      <c r="F11" s="59">
        <f t="shared" ref="F11:F14" si="6">+D11-E11</f>
        <v>8468861.6629636474</v>
      </c>
      <c r="G11" s="60">
        <f t="shared" si="1"/>
        <v>0.14020026833611715</v>
      </c>
      <c r="H11" s="59">
        <f t="shared" si="4"/>
        <v>169943664.97489259</v>
      </c>
      <c r="I11" s="60">
        <f t="shared" si="2"/>
        <v>1.7525033542014643</v>
      </c>
      <c r="J11" s="59">
        <f t="shared" si="5"/>
        <v>6797746.5989957033</v>
      </c>
      <c r="K11" s="59">
        <f t="shared" si="3"/>
        <v>3625063.2731367876</v>
      </c>
      <c r="L11" s="61" cm="1">
        <f t="array" ref="L11">+_xlfn.IFS(I11&gt;114%,H11*0.0125,I11&gt;109%,H11*0.01,I11&gt;104%,H11*0.0075,I11&gt;99%,H11*0.005,I11&lt;99%,H11*0)</f>
        <v>2124295.8121861573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4921766.1844920227</v>
      </c>
      <c r="E12" s="4">
        <v>912552.13053580711</v>
      </c>
      <c r="F12" s="59">
        <f t="shared" si="6"/>
        <v>4009214.0539562157</v>
      </c>
      <c r="G12" s="5">
        <f t="shared" si="1"/>
        <v>3.8342287575822552E-2</v>
      </c>
      <c r="H12" s="4">
        <f t="shared" si="4"/>
        <v>61522077.306150287</v>
      </c>
      <c r="I12" s="5">
        <f t="shared" si="2"/>
        <v>0.47927859469778195</v>
      </c>
      <c r="J12" s="4">
        <f t="shared" si="5"/>
        <v>2460883.0922460114</v>
      </c>
      <c r="K12" s="4">
        <f t="shared" si="3"/>
        <v>5367049.995223172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f>IFERROR(+VLOOKUP(B13,COMISIONES!A:E,5,FALSE),"0")*1</f>
        <v>559384.50970088236</v>
      </c>
      <c r="E13" s="4">
        <v>0</v>
      </c>
      <c r="F13" s="59">
        <f t="shared" si="6"/>
        <v>559384.50970088236</v>
      </c>
      <c r="G13" s="5">
        <f t="shared" si="1"/>
        <v>1.3177784008157993E-2</v>
      </c>
      <c r="H13" s="4">
        <f t="shared" si="4"/>
        <v>6992306.3712610295</v>
      </c>
      <c r="I13" s="5">
        <f t="shared" si="2"/>
        <v>0.16472230010197492</v>
      </c>
      <c r="J13" s="4">
        <f t="shared" si="5"/>
        <v>279692.25485044118</v>
      </c>
      <c r="K13" s="4">
        <f t="shared" si="3"/>
        <v>1821290.125446701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1533623.4238</v>
      </c>
      <c r="E14" s="4">
        <v>504522.28970000002</v>
      </c>
      <c r="F14" s="59">
        <f t="shared" si="6"/>
        <v>1029101.1340999999</v>
      </c>
      <c r="G14" s="5">
        <f t="shared" si="1"/>
        <v>3.6128562515066492E-2</v>
      </c>
      <c r="H14" s="4">
        <f t="shared" si="4"/>
        <v>19170292.797499999</v>
      </c>
      <c r="I14" s="5">
        <f t="shared" si="2"/>
        <v>0.4516070314383312</v>
      </c>
      <c r="J14" s="4">
        <f t="shared" si="5"/>
        <v>766811.71189999999</v>
      </c>
      <c r="K14" s="4">
        <f t="shared" si="3"/>
        <v>1778931.9117902175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20610267.315984312</v>
      </c>
      <c r="E15" s="64">
        <v>6543705.9552635653</v>
      </c>
      <c r="F15" s="66">
        <f>+D15-E15</f>
        <v>14066561.360720746</v>
      </c>
      <c r="G15" s="65">
        <f t="shared" si="1"/>
        <v>6.0287758164228572E-2</v>
      </c>
      <c r="H15" s="64">
        <f t="shared" si="4"/>
        <v>257628341.44980392</v>
      </c>
      <c r="I15" s="65">
        <f t="shared" si="2"/>
        <v>0.75359697705285722</v>
      </c>
      <c r="J15" s="64">
        <f t="shared" si="5"/>
        <v>10305133.657992156</v>
      </c>
      <c r="K15" s="66">
        <f t="shared" si="3"/>
        <v>13967591.932056313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1121079.8303882154</v>
      </c>
      <c r="E16" s="59">
        <v>216616.13950969311</v>
      </c>
      <c r="F16" s="59">
        <f t="shared" ref="F16:F46" si="7">+D16-E16</f>
        <v>904463.69087852223</v>
      </c>
      <c r="G16" s="60">
        <f t="shared" si="1"/>
        <v>3.9432987350974863E-2</v>
      </c>
      <c r="H16" s="59">
        <f t="shared" si="4"/>
        <v>14013497.879852692</v>
      </c>
      <c r="I16" s="60">
        <f t="shared" si="2"/>
        <v>0.4929123418871858</v>
      </c>
      <c r="J16" s="59">
        <f t="shared" si="5"/>
        <v>560539.91519410769</v>
      </c>
      <c r="K16" s="59">
        <f t="shared" si="3"/>
        <v>1187344.3552005123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1693321.4258545449</v>
      </c>
      <c r="E17" s="4">
        <v>433176.80113528942</v>
      </c>
      <c r="F17" s="59">
        <f t="shared" si="7"/>
        <v>1260144.6247192554</v>
      </c>
      <c r="G17" s="5">
        <f t="shared" si="1"/>
        <v>6.773285703418179E-2</v>
      </c>
      <c r="H17" s="4">
        <f t="shared" si="4"/>
        <v>21166517.823181812</v>
      </c>
      <c r="I17" s="5">
        <f t="shared" si="2"/>
        <v>0.84666071292727252</v>
      </c>
      <c r="J17" s="4">
        <f t="shared" si="5"/>
        <v>846660.71292727243</v>
      </c>
      <c r="K17" s="4">
        <f t="shared" si="3"/>
        <v>1013333.8510498024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1688184.5882674011</v>
      </c>
      <c r="E18" s="4">
        <v>801653.26948954444</v>
      </c>
      <c r="F18" s="59">
        <f t="shared" si="7"/>
        <v>886531.31877785665</v>
      </c>
      <c r="G18" s="5">
        <f t="shared" si="1"/>
        <v>6.6203317186956906E-2</v>
      </c>
      <c r="H18" s="4">
        <f t="shared" si="4"/>
        <v>21102307.353342514</v>
      </c>
      <c r="I18" s="5">
        <f t="shared" si="2"/>
        <v>0.82754146483696134</v>
      </c>
      <c r="J18" s="4">
        <f t="shared" si="5"/>
        <v>844092.29413370055</v>
      </c>
      <c r="K18" s="4">
        <f t="shared" si="3"/>
        <v>1035296.3222492434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2881112.7021410628</v>
      </c>
      <c r="E19" s="4">
        <v>485199.90983857057</v>
      </c>
      <c r="F19" s="59">
        <f t="shared" si="7"/>
        <v>2395912.7923024921</v>
      </c>
      <c r="G19" s="5">
        <f t="shared" si="1"/>
        <v>8.1849792674462019E-2</v>
      </c>
      <c r="H19" s="4">
        <f t="shared" si="4"/>
        <v>36013908.776763283</v>
      </c>
      <c r="I19" s="5">
        <f t="shared" si="2"/>
        <v>1.0231224084307751</v>
      </c>
      <c r="J19" s="4">
        <f t="shared" si="5"/>
        <v>1440556.3510705314</v>
      </c>
      <c r="K19" s="4">
        <f t="shared" si="3"/>
        <v>1405169.0129503887</v>
      </c>
      <c r="L19" s="63" cm="1">
        <f t="array" ref="L19">+_xlfn.IFS(I19&gt;114%,H19*0.02,I19&gt;109%,H19*0.015,I19&gt;104%,H19*0.0125,I19&gt;99%,H19*0.01,I19&lt;99%,H19*0)</f>
        <v>360139.08776763285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1586181.5449831183</v>
      </c>
      <c r="E20" s="4">
        <v>200589.14118739381</v>
      </c>
      <c r="F20" s="59">
        <f t="shared" si="7"/>
        <v>1385592.4037957245</v>
      </c>
      <c r="G20" s="5">
        <f t="shared" si="1"/>
        <v>6.0773239271383846E-2</v>
      </c>
      <c r="H20" s="4">
        <f t="shared" si="4"/>
        <v>19827269.312288977</v>
      </c>
      <c r="I20" s="5">
        <f t="shared" si="2"/>
        <v>0.75966549089229796</v>
      </c>
      <c r="J20" s="4">
        <f t="shared" si="5"/>
        <v>793090.77249155915</v>
      </c>
      <c r="K20" s="4">
        <f t="shared" si="3"/>
        <v>1065818.1936963862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f>IFERROR(+VLOOKUP(B21,COMISIONES!A:E,5,FALSE),"0")*1</f>
        <v>1578186.0693778156</v>
      </c>
      <c r="E21" s="4">
        <v>91571.591333368793</v>
      </c>
      <c r="F21" s="59">
        <f t="shared" si="7"/>
        <v>1486614.4780444468</v>
      </c>
      <c r="G21" s="5">
        <f t="shared" si="1"/>
        <v>4.8410615625086369E-2</v>
      </c>
      <c r="H21" s="4">
        <f t="shared" si="4"/>
        <v>19727325.867222697</v>
      </c>
      <c r="I21" s="5">
        <f t="shared" si="2"/>
        <v>0.6051326953135796</v>
      </c>
      <c r="J21" s="4">
        <f t="shared" si="5"/>
        <v>789093.03468890779</v>
      </c>
      <c r="K21" s="4">
        <f t="shared" si="3"/>
        <v>1348774.5187227037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1105197.504105523</v>
      </c>
      <c r="E22" s="4">
        <v>321686.61168497842</v>
      </c>
      <c r="F22" s="59">
        <f t="shared" si="7"/>
        <v>783510.89242054452</v>
      </c>
      <c r="G22" s="5">
        <f t="shared" si="1"/>
        <v>3.9191400854805783E-2</v>
      </c>
      <c r="H22" s="4">
        <f t="shared" si="4"/>
        <v>13814968.801319037</v>
      </c>
      <c r="I22" s="5">
        <f t="shared" si="2"/>
        <v>0.48989251068507222</v>
      </c>
      <c r="J22" s="4">
        <f t="shared" si="5"/>
        <v>552598.7520527615</v>
      </c>
      <c r="K22" s="4">
        <f t="shared" si="3"/>
        <v>1178034.8911258469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f>IFERROR(+VLOOKUP(B23,COMISIONES!A:E,5,FALSE),"0")*1</f>
        <v>1000527.96582367</v>
      </c>
      <c r="E23" s="4">
        <v>364680.8155560593</v>
      </c>
      <c r="F23" s="59">
        <f t="shared" si="7"/>
        <v>635847.15026761079</v>
      </c>
      <c r="G23" s="5">
        <f t="shared" si="1"/>
        <v>2.7336829667313389E-2</v>
      </c>
      <c r="H23" s="4">
        <f t="shared" si="4"/>
        <v>12506599.572795875</v>
      </c>
      <c r="I23" s="5">
        <f t="shared" si="2"/>
        <v>0.34171037084141737</v>
      </c>
      <c r="J23" s="4">
        <f t="shared" si="5"/>
        <v>500263.98291183502</v>
      </c>
      <c r="K23" s="4">
        <f t="shared" si="3"/>
        <v>1547803.13192071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12653791.630941352</v>
      </c>
      <c r="E24" s="66">
        <v>2915174.2797348974</v>
      </c>
      <c r="F24" s="66">
        <f>+D24-E24</f>
        <v>9738617.3512064554</v>
      </c>
      <c r="G24" s="65">
        <f t="shared" si="1"/>
        <v>5.3249975301693189E-2</v>
      </c>
      <c r="H24" s="64">
        <f t="shared" si="4"/>
        <v>158172395.38676691</v>
      </c>
      <c r="I24" s="65">
        <f t="shared" si="2"/>
        <v>0.66562469127116486</v>
      </c>
      <c r="J24" s="64">
        <f t="shared" si="5"/>
        <v>6326895.8154706759</v>
      </c>
      <c r="K24" s="66">
        <f t="shared" si="3"/>
        <v>9781574.2769155931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1647037.6581198091</v>
      </c>
      <c r="E25" s="59">
        <v>873869.51944954309</v>
      </c>
      <c r="F25" s="59">
        <f t="shared" si="7"/>
        <v>773168.13867026602</v>
      </c>
      <c r="G25" s="60">
        <f t="shared" si="1"/>
        <v>1.9601257511759479E-2</v>
      </c>
      <c r="H25" s="59">
        <f t="shared" si="4"/>
        <v>20587970.726497613</v>
      </c>
      <c r="I25" s="60">
        <f t="shared" si="2"/>
        <v>0.24501571889699347</v>
      </c>
      <c r="J25" s="59">
        <f t="shared" si="5"/>
        <v>823518.82905990456</v>
      </c>
      <c r="K25" s="59">
        <f t="shared" si="3"/>
        <v>3581743.6887773992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1358896.7781463198</v>
      </c>
      <c r="E26" s="4">
        <v>378873.79075724888</v>
      </c>
      <c r="F26" s="59">
        <f t="shared" si="7"/>
        <v>980022.98738907091</v>
      </c>
      <c r="G26" s="5">
        <f t="shared" si="1"/>
        <v>6.3131093061385368E-2</v>
      </c>
      <c r="H26" s="4">
        <f t="shared" si="4"/>
        <v>16986209.726828996</v>
      </c>
      <c r="I26" s="5">
        <f t="shared" si="2"/>
        <v>0.78913866326731708</v>
      </c>
      <c r="J26" s="4">
        <f t="shared" si="5"/>
        <v>679448.38907315989</v>
      </c>
      <c r="K26" s="4">
        <f t="shared" si="3"/>
        <v>876787.09660233383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1043663.7735990683</v>
      </c>
      <c r="E27" s="4">
        <v>394021.61419227679</v>
      </c>
      <c r="F27" s="59">
        <f t="shared" si="7"/>
        <v>649642.15940679144</v>
      </c>
      <c r="G27" s="5">
        <f t="shared" si="1"/>
        <v>3.9557903146068031E-2</v>
      </c>
      <c r="H27" s="4">
        <f t="shared" si="4"/>
        <v>13045797.169988353</v>
      </c>
      <c r="I27" s="5">
        <f t="shared" si="2"/>
        <v>0.49447378932585034</v>
      </c>
      <c r="J27" s="4">
        <f t="shared" si="5"/>
        <v>521831.88679953414</v>
      </c>
      <c r="K27" s="4">
        <f t="shared" si="3"/>
        <v>1101718.6402783012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1719778.1499583379</v>
      </c>
      <c r="E28" s="4">
        <v>119556.14871938359</v>
      </c>
      <c r="F28" s="59">
        <f t="shared" si="7"/>
        <v>1600222.0012389543</v>
      </c>
      <c r="G28" s="5">
        <f t="shared" si="1"/>
        <v>4.3884166564174439E-2</v>
      </c>
      <c r="H28" s="4">
        <f t="shared" si="4"/>
        <v>21497226.874479223</v>
      </c>
      <c r="I28" s="5">
        <f t="shared" si="2"/>
        <v>0.54855208205218053</v>
      </c>
      <c r="J28" s="4">
        <f t="shared" si="5"/>
        <v>859889.07497916894</v>
      </c>
      <c r="K28" s="4">
        <f t="shared" si="3"/>
        <v>1629098.1343465424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756921.35079500126</v>
      </c>
      <c r="E29" s="4">
        <v>304375.58264775871</v>
      </c>
      <c r="F29" s="59">
        <f t="shared" si="7"/>
        <v>452545.76814724255</v>
      </c>
      <c r="G29" s="5">
        <f t="shared" si="1"/>
        <v>2.9055777709609296E-2</v>
      </c>
      <c r="H29" s="4">
        <f t="shared" si="4"/>
        <v>9461516.8849375155</v>
      </c>
      <c r="I29" s="5">
        <f t="shared" si="2"/>
        <v>0.36319722137011617</v>
      </c>
      <c r="J29" s="4">
        <f t="shared" si="5"/>
        <v>378460.67539750063</v>
      </c>
      <c r="K29" s="4">
        <f t="shared" si="3"/>
        <v>1099726.5173567389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992522.82807529054</v>
      </c>
      <c r="E30" s="4">
        <v>53428.248</v>
      </c>
      <c r="F30" s="59">
        <f t="shared" si="7"/>
        <v>939094.58007529052</v>
      </c>
      <c r="G30" s="5">
        <f t="shared" si="1"/>
        <v>3.8425196596023642E-2</v>
      </c>
      <c r="H30" s="4">
        <f t="shared" si="4"/>
        <v>12406535.350941131</v>
      </c>
      <c r="I30" s="5">
        <f t="shared" si="2"/>
        <v>0.48031495745029551</v>
      </c>
      <c r="J30" s="4">
        <f t="shared" si="5"/>
        <v>496261.41403764527</v>
      </c>
      <c r="K30" s="4">
        <f t="shared" si="3"/>
        <v>1079890.3118228132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677113.07117469213</v>
      </c>
      <c r="E31" s="4">
        <v>84468.512000000002</v>
      </c>
      <c r="F31" s="59">
        <f t="shared" si="7"/>
        <v>592644.55917469214</v>
      </c>
      <c r="G31" s="5">
        <f t="shared" si="1"/>
        <v>2.4931288487048862E-2</v>
      </c>
      <c r="H31" s="4">
        <f t="shared" si="4"/>
        <v>8463913.3896836508</v>
      </c>
      <c r="I31" s="5">
        <f t="shared" si="2"/>
        <v>0.31164110608811074</v>
      </c>
      <c r="J31" s="4">
        <f t="shared" si="5"/>
        <v>338556.53558734606</v>
      </c>
      <c r="K31" s="4">
        <f t="shared" si="3"/>
        <v>1151393.7251663175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776349.53606287704</v>
      </c>
      <c r="E32" s="4">
        <v>177272.67783254781</v>
      </c>
      <c r="F32" s="59">
        <f t="shared" si="7"/>
        <v>599076.85823032924</v>
      </c>
      <c r="G32" s="5">
        <f t="shared" si="1"/>
        <v>3.6067341977369438E-2</v>
      </c>
      <c r="H32" s="4">
        <f t="shared" si="4"/>
        <v>9704369.2007859629</v>
      </c>
      <c r="I32" s="5">
        <f t="shared" si="2"/>
        <v>0.450841774717118</v>
      </c>
      <c r="J32" s="4">
        <f t="shared" si="5"/>
        <v>388174.76803143852</v>
      </c>
      <c r="K32" s="4">
        <f t="shared" si="3"/>
        <v>902115.23756248341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f>IFERROR(+VLOOKUP(B33,COMISIONES!A:E,5,FALSE),"0")*1</f>
        <v>509332.29081850679</v>
      </c>
      <c r="E33" s="4">
        <v>197330.53210844341</v>
      </c>
      <c r="F33" s="59">
        <f t="shared" si="7"/>
        <v>312001.75871006341</v>
      </c>
      <c r="G33" s="5">
        <f t="shared" si="1"/>
        <v>2.0151898841685747E-2</v>
      </c>
      <c r="H33" s="4">
        <f t="shared" si="4"/>
        <v>6366653.6352313347</v>
      </c>
      <c r="I33" s="5">
        <f t="shared" si="2"/>
        <v>0.25189873552107184</v>
      </c>
      <c r="J33" s="4">
        <f t="shared" si="5"/>
        <v>254666.1454092534</v>
      </c>
      <c r="K33" s="4">
        <f t="shared" si="3"/>
        <v>1076753.1612687605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f>IFERROR(+VLOOKUP(B34,COMISIONES!A:E,5,FALSE),"0")*1</f>
        <v>1477710.926713676</v>
      </c>
      <c r="E34" s="4">
        <v>172623.30896155009</v>
      </c>
      <c r="F34" s="59">
        <f t="shared" si="7"/>
        <v>1305087.617752126</v>
      </c>
      <c r="G34" s="5">
        <f t="shared" si="1"/>
        <v>5.7129748238313072E-2</v>
      </c>
      <c r="H34" s="4">
        <f t="shared" si="4"/>
        <v>18471386.583920948</v>
      </c>
      <c r="I34" s="5">
        <f t="shared" si="2"/>
        <v>0.7141218529789134</v>
      </c>
      <c r="J34" s="4">
        <f t="shared" si="5"/>
        <v>738855.46335683798</v>
      </c>
      <c r="K34" s="4">
        <f t="shared" si="3"/>
        <v>1060354.9597081009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-191735.01</v>
      </c>
      <c r="E35" s="4">
        <v>0</v>
      </c>
      <c r="F35" s="59">
        <f t="shared" si="7"/>
        <v>-191735.01</v>
      </c>
      <c r="G35" s="5">
        <f t="shared" si="1"/>
        <v>-1.5331191163266116E-3</v>
      </c>
      <c r="H35" s="4">
        <f t="shared" si="4"/>
        <v>-2396687.625</v>
      </c>
      <c r="I35" s="5">
        <f t="shared" si="2"/>
        <v>-1.9163988954082643E-2</v>
      </c>
      <c r="J35" s="4">
        <f t="shared" si="5"/>
        <v>-95867.505000000005</v>
      </c>
      <c r="K35" s="4">
        <f t="shared" si="3"/>
        <v>5445816.4678260861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IFERROR(+VLOOKUP(B36,COMISIONES!A:E,5,FALSE),"0")*1</f>
        <v>832900.83240188414</v>
      </c>
      <c r="E36" s="4">
        <v>688345.42989999999</v>
      </c>
      <c r="F36" s="59">
        <f t="shared" si="7"/>
        <v>144555.40250188415</v>
      </c>
      <c r="G36" s="5">
        <f t="shared" si="1"/>
        <v>2.2761517589721503E-2</v>
      </c>
      <c r="H36" s="4">
        <f t="shared" si="4"/>
        <v>10411260.405023552</v>
      </c>
      <c r="I36" s="5">
        <f t="shared" si="2"/>
        <v>0.28451896987151881</v>
      </c>
      <c r="J36" s="4">
        <f t="shared" si="5"/>
        <v>416450.41620094207</v>
      </c>
      <c r="K36" s="4">
        <f t="shared" si="3"/>
        <v>1554765.181199918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1647002.2295367508</v>
      </c>
      <c r="E37" s="4">
        <v>589792.3620689658</v>
      </c>
      <c r="F37" s="59">
        <f t="shared" si="7"/>
        <v>1057209.867467785</v>
      </c>
      <c r="G37" s="5">
        <f t="shared" si="1"/>
        <v>4.4190548704088908E-2</v>
      </c>
      <c r="H37" s="4">
        <f t="shared" si="4"/>
        <v>20587527.869209386</v>
      </c>
      <c r="I37" s="5">
        <f t="shared" si="2"/>
        <v>0.55238185880111135</v>
      </c>
      <c r="J37" s="4">
        <f t="shared" si="5"/>
        <v>823501.11476837541</v>
      </c>
      <c r="K37" s="4">
        <f t="shared" si="3"/>
        <v>1548846.1392581845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13247494.415402215</v>
      </c>
      <c r="E38" s="66">
        <v>4033957.7266377183</v>
      </c>
      <c r="F38" s="66">
        <f>+D38-E38</f>
        <v>9213536.6887644976</v>
      </c>
      <c r="G38" s="65">
        <f t="shared" si="1"/>
        <v>2.5390272913584408E-2</v>
      </c>
      <c r="H38" s="64">
        <f t="shared" si="4"/>
        <v>165593680.19252768</v>
      </c>
      <c r="I38" s="65">
        <f t="shared" si="2"/>
        <v>0.31737841141980505</v>
      </c>
      <c r="J38" s="64">
        <f t="shared" si="5"/>
        <v>6623747.2077011075</v>
      </c>
      <c r="K38" s="66">
        <f t="shared" si="3"/>
        <v>22109009.261173978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IFERROR(+VLOOKUP(B39,COMISIONES!A:E,5,FALSE),"0")*1</f>
        <v>2871011.5105904969</v>
      </c>
      <c r="E39" s="4">
        <v>3077327.1147569478</v>
      </c>
      <c r="F39" s="59">
        <f t="shared" si="7"/>
        <v>-206315.60416645091</v>
      </c>
      <c r="G39" s="5">
        <f t="shared" si="1"/>
        <v>8.2028900302585625E-2</v>
      </c>
      <c r="H39" s="4">
        <f t="shared" ref="H39:H47" si="8">+D39/$N$3*$N$4</f>
        <v>35887643.882381208</v>
      </c>
      <c r="I39" s="5">
        <f t="shared" ref="I39:I47" si="9">+H39/C39</f>
        <v>1.0253612537823202</v>
      </c>
      <c r="J39" s="4">
        <f t="shared" ref="J39:J47" si="10">+D39/$N$3</f>
        <v>1435505.7552952485</v>
      </c>
      <c r="K39" s="4">
        <f t="shared" ref="K39:K47" si="11">+(C39-D39)/$N$2</f>
        <v>1396912.5430178044</v>
      </c>
      <c r="L39" s="63" cm="1">
        <f t="array" ref="L39">+_xlfn.IFS(I39&gt;114%,H39*0.02,I39&gt;109%,H39*0.015,I39&gt;104%,H39*0.0125,I39&gt;99%,H39*0.01,I39&lt;99%,H39*0)</f>
        <v>358876.43882381212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0</v>
      </c>
      <c r="E40" s="4">
        <v>0</v>
      </c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1304347.8260869565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10831777.123155374</v>
      </c>
      <c r="E41" s="4">
        <v>0</v>
      </c>
      <c r="F41" s="59">
        <f t="shared" si="7"/>
        <v>10831777.123155374</v>
      </c>
      <c r="G41" s="5">
        <f t="shared" si="1"/>
        <v>0.3340906086309634</v>
      </c>
      <c r="H41" s="4">
        <f t="shared" si="8"/>
        <v>135397214.03944218</v>
      </c>
      <c r="I41" s="5">
        <f t="shared" si="9"/>
        <v>4.176132607887042</v>
      </c>
      <c r="J41" s="4">
        <f t="shared" si="10"/>
        <v>5415888.561577687</v>
      </c>
      <c r="K41" s="4">
        <f t="shared" si="11"/>
        <v>938691.21067938278</v>
      </c>
      <c r="L41" s="63" cm="1">
        <f t="array" ref="L41">+_xlfn.IFS(I41&gt;114%,H41*0.02,I41&gt;109%,H41*0.015,I41&gt;104%,H41*0.0125,I41&gt;99%,H41*0.01,I41&lt;99%,H41*0)</f>
        <v>2707944.2807888435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3672776.0578550007</v>
      </c>
      <c r="E42" s="4">
        <v>3698779.7281864504</v>
      </c>
      <c r="F42" s="59">
        <f t="shared" si="7"/>
        <v>-26003.670331449714</v>
      </c>
      <c r="G42" s="5">
        <f t="shared" si="1"/>
        <v>6.6275765798818081E-2</v>
      </c>
      <c r="H42" s="4">
        <f t="shared" si="8"/>
        <v>45909700.723187506</v>
      </c>
      <c r="I42" s="5">
        <f t="shared" si="9"/>
        <v>0.82844707248522598</v>
      </c>
      <c r="J42" s="4">
        <f t="shared" si="10"/>
        <v>1836388.0289275004</v>
      </c>
      <c r="K42" s="4">
        <f t="shared" si="11"/>
        <v>2249730.4621204347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IFERROR(+VLOOKUP(B43,COMISIONES!A:E,5,FALSE),"0")*1</f>
        <v>0</v>
      </c>
      <c r="E43" s="4">
        <v>0</v>
      </c>
      <c r="F43" s="59">
        <f t="shared" si="7"/>
        <v>0</v>
      </c>
      <c r="G43" s="5">
        <f t="shared" si="1"/>
        <v>0</v>
      </c>
      <c r="H43" s="4">
        <f t="shared" si="8"/>
        <v>0</v>
      </c>
      <c r="I43" s="5">
        <f t="shared" si="9"/>
        <v>0</v>
      </c>
      <c r="J43" s="4">
        <f t="shared" si="10"/>
        <v>0</v>
      </c>
      <c r="K43" s="4">
        <f t="shared" si="11"/>
        <v>4347826.0869565215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IFERROR(+VLOOKUP(B44,COMISIONES!A:E,5,FALSE),"0")*1</f>
        <v>2923678.1117493762</v>
      </c>
      <c r="E44" s="4">
        <v>-145097.74400000001</v>
      </c>
      <c r="F44" s="59">
        <f t="shared" si="7"/>
        <v>3068775.8557493761</v>
      </c>
      <c r="G44" s="5">
        <f t="shared" si="1"/>
        <v>2.9236781117493761E-2</v>
      </c>
      <c r="H44" s="4">
        <f t="shared" si="8"/>
        <v>36545976.396867201</v>
      </c>
      <c r="I44" s="5">
        <f t="shared" si="9"/>
        <v>0.36545976396867202</v>
      </c>
      <c r="J44" s="4">
        <f t="shared" si="10"/>
        <v>1461839.0558746881</v>
      </c>
      <c r="K44" s="4">
        <f t="shared" si="11"/>
        <v>4220709.6473152442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IFERROR(+VLOOKUP(B45,COMISIONES!A:E,5,FALSE),"0")*1</f>
        <v>0</v>
      </c>
      <c r="E45" s="4">
        <v>0</v>
      </c>
      <c r="F45" s="59">
        <f t="shared" si="7"/>
        <v>0</v>
      </c>
      <c r="G45" s="5">
        <f t="shared" si="1"/>
        <v>0</v>
      </c>
      <c r="H45" s="4">
        <f t="shared" si="8"/>
        <v>0</v>
      </c>
      <c r="I45" s="5">
        <f t="shared" si="9"/>
        <v>0</v>
      </c>
      <c r="J45" s="4">
        <f t="shared" si="10"/>
        <v>0</v>
      </c>
      <c r="K45" s="4">
        <f t="shared" si="11"/>
        <v>1086956.5217391304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3264681.1484940564</v>
      </c>
      <c r="F46" s="59">
        <f t="shared" si="7"/>
        <v>-21685.490999999922</v>
      </c>
      <c r="G46" s="5">
        <f t="shared" si="1"/>
        <v>3.2429956574940563E-2</v>
      </c>
      <c r="H46" s="4">
        <f t="shared" si="8"/>
        <v>40537445.718675703</v>
      </c>
      <c r="I46" s="5">
        <f t="shared" si="9"/>
        <v>0.40537445718675702</v>
      </c>
      <c r="J46" s="4">
        <f t="shared" si="10"/>
        <v>1621497.8287470283</v>
      </c>
      <c r="K46" s="4">
        <f t="shared" si="11"/>
        <v>4206826.2757611284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23542238.460844308</v>
      </c>
      <c r="E47" s="66">
        <v>9895690.2474374548</v>
      </c>
      <c r="F47" s="66">
        <f>+SUM(F39:F46)</f>
        <v>13646548.213406848</v>
      </c>
      <c r="G47" s="65">
        <f t="shared" si="1"/>
        <v>5.1662173768754691E-2</v>
      </c>
      <c r="H47" s="64">
        <f t="shared" si="8"/>
        <v>294277980.76055384</v>
      </c>
      <c r="I47" s="65">
        <f t="shared" si="9"/>
        <v>0.64577717210943364</v>
      </c>
      <c r="J47" s="64">
        <f t="shared" si="10"/>
        <v>11771119.230422154</v>
      </c>
      <c r="K47" s="66">
        <f t="shared" si="11"/>
        <v>18789287.687509682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f>+D38+D24+D10+D15+D47</f>
        <v>84141862.036236867</v>
      </c>
      <c r="E48" s="77">
        <v>26323263.17941555</v>
      </c>
      <c r="F48" s="77">
        <f>+D48-E48</f>
        <v>57818598.856821314</v>
      </c>
      <c r="G48" s="78">
        <f>+D48/C48</f>
        <v>6.0982653640873491E-2</v>
      </c>
      <c r="H48" s="77">
        <f>+D48/$N$3*$N$4</f>
        <v>1051773275.4529608</v>
      </c>
      <c r="I48" s="140">
        <f t="shared" si="2"/>
        <v>0.76228317051091865</v>
      </c>
      <c r="J48" s="77">
        <f>+D48/$N$3</f>
        <v>42070931.018118434</v>
      </c>
      <c r="K48" s="77">
        <f>+(C48-D48)/$N$2</f>
        <v>56331534.132908665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5.0632911392405063E-2</v>
      </c>
      <c r="E2" s="13">
        <v>33</v>
      </c>
      <c r="F2" s="12">
        <f>+H2-E2</f>
        <v>-29</v>
      </c>
      <c r="G2" s="13">
        <f>VLOOKUP(B2,'Base Cobertura'!$A:$C,3,FALSE)</f>
        <v>79</v>
      </c>
      <c r="H2" s="13">
        <f>VLOOKUP(B2,'Base Cobertura'!$A:$C,2,FALSE)</f>
        <v>4</v>
      </c>
      <c r="I2" s="17">
        <f>(+G2*$M$2)-H2</f>
        <v>63.149999999999991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</v>
      </c>
      <c r="E3" s="13">
        <v>126</v>
      </c>
      <c r="F3" s="12">
        <f t="shared" ref="F3:F13" si="1">+H3-E3</f>
        <v>-126</v>
      </c>
      <c r="G3" s="13">
        <f>VLOOKUP(B3,'Base Cobertura'!$A:$C,3,FALSE)</f>
        <v>228</v>
      </c>
      <c r="H3" s="13">
        <f>VLOOKUP(B3,'Base Cobertura'!$A:$C,2,FALSE)</f>
        <v>0</v>
      </c>
      <c r="I3" s="17">
        <f t="shared" ref="I3:I13" si="2">(+G3*$M$2)-H3</f>
        <v>193.79999999999998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0</v>
      </c>
      <c r="T3" s="12">
        <v>174</v>
      </c>
      <c r="U3" s="41">
        <f>+S3/T3</f>
        <v>0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4.6153846153846156E-2</v>
      </c>
      <c r="E4" s="13">
        <v>21</v>
      </c>
      <c r="F4" s="12">
        <f t="shared" si="1"/>
        <v>-18</v>
      </c>
      <c r="G4" s="13">
        <f>VLOOKUP(B4,'Base Cobertura'!$A:$C,3,FALSE)</f>
        <v>65</v>
      </c>
      <c r="H4" s="13">
        <f>VLOOKUP(B4,'Base Cobertura'!$A:$C,2,FALSE)</f>
        <v>3</v>
      </c>
      <c r="I4" s="17">
        <f t="shared" si="2"/>
        <v>52.25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0</v>
      </c>
      <c r="T4" s="13">
        <v>174</v>
      </c>
      <c r="U4" s="5">
        <f t="shared" ref="U4:U11" si="3">+S4/T4</f>
        <v>0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5.2631578947368418E-2</v>
      </c>
      <c r="E5" s="13">
        <v>100</v>
      </c>
      <c r="F5" s="12">
        <f t="shared" si="1"/>
        <v>-89</v>
      </c>
      <c r="G5" s="13">
        <f>VLOOKUP(B5,'Base Cobertura'!$A:$C,3,FALSE)</f>
        <v>209</v>
      </c>
      <c r="H5" s="13">
        <f>VLOOKUP(B5,'Base Cobertura'!$A:$C,2,FALSE)</f>
        <v>11</v>
      </c>
      <c r="I5" s="17">
        <f t="shared" si="2"/>
        <v>166.65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0</v>
      </c>
      <c r="T5" s="13">
        <v>174</v>
      </c>
      <c r="U5" s="5">
        <f t="shared" si="3"/>
        <v>0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4.5226130653266333E-2</v>
      </c>
      <c r="E6" s="13">
        <v>81</v>
      </c>
      <c r="F6" s="12">
        <f t="shared" si="1"/>
        <v>-72</v>
      </c>
      <c r="G6" s="13">
        <f>VLOOKUP(B6,'Base Cobertura'!$A:$C,3,FALSE)</f>
        <v>199</v>
      </c>
      <c r="H6" s="13">
        <f>VLOOKUP(B6,'Base Cobertura'!$A:$C,2,FALSE)</f>
        <v>9</v>
      </c>
      <c r="I6" s="17">
        <f t="shared" si="2"/>
        <v>160.15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0</v>
      </c>
      <c r="T6" s="13">
        <v>174</v>
      </c>
      <c r="U6" s="5">
        <f t="shared" si="3"/>
        <v>0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5.5813953488372092E-2</v>
      </c>
      <c r="E7" s="13">
        <v>89</v>
      </c>
      <c r="F7" s="12">
        <f t="shared" si="1"/>
        <v>-77</v>
      </c>
      <c r="G7" s="13">
        <f>VLOOKUP(B7,'Base Cobertura'!$A:$C,3,FALSE)</f>
        <v>215</v>
      </c>
      <c r="H7" s="13">
        <f>VLOOKUP(B7,'Base Cobertura'!$A:$C,2,FALSE)</f>
        <v>12</v>
      </c>
      <c r="I7" s="17">
        <f t="shared" si="2"/>
        <v>170.75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0</v>
      </c>
      <c r="T7" s="13">
        <v>174</v>
      </c>
      <c r="U7" s="5">
        <f t="shared" si="3"/>
        <v>0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3.5294117647058823E-2</v>
      </c>
      <c r="E8" s="13">
        <v>92</v>
      </c>
      <c r="F8" s="12">
        <f t="shared" si="1"/>
        <v>-86</v>
      </c>
      <c r="G8" s="13">
        <f>VLOOKUP(B8,'Base Cobertura'!$A:$C,3,FALSE)</f>
        <v>170</v>
      </c>
      <c r="H8" s="13">
        <f>VLOOKUP(B8,'Base Cobertura'!$A:$C,2,FALSE)</f>
        <v>6</v>
      </c>
      <c r="I8" s="17">
        <f t="shared" si="2"/>
        <v>138.5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0</v>
      </c>
      <c r="T8" s="13">
        <v>174</v>
      </c>
      <c r="U8" s="5">
        <f t="shared" si="3"/>
        <v>0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2.5125628140703519E-2</v>
      </c>
      <c r="E9" s="13">
        <v>64</v>
      </c>
      <c r="F9" s="12">
        <f t="shared" si="1"/>
        <v>-59</v>
      </c>
      <c r="G9" s="13">
        <f>VLOOKUP(B9,'Base Cobertura'!$A:$C,3,FALSE)</f>
        <v>199</v>
      </c>
      <c r="H9" s="13">
        <f>VLOOKUP(B9,'Base Cobertura'!$A:$C,2,FALSE)</f>
        <v>5</v>
      </c>
      <c r="I9" s="17">
        <f t="shared" si="2"/>
        <v>164.15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0</v>
      </c>
      <c r="T9" s="13">
        <v>174</v>
      </c>
      <c r="U9" s="5">
        <f t="shared" si="3"/>
        <v>0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</v>
      </c>
      <c r="E10" s="31">
        <v>19</v>
      </c>
      <c r="F10" s="33">
        <f t="shared" si="1"/>
        <v>-19</v>
      </c>
      <c r="G10" s="13">
        <f>VLOOKUP(B10,'Base Cobertura'!$A:$C,3,FALSE)</f>
        <v>104</v>
      </c>
      <c r="H10" s="13">
        <f>VLOOKUP(B10,'Base Cobertura'!$A:$C,2,FALSE)</f>
        <v>0</v>
      </c>
      <c r="I10" s="34">
        <f t="shared" si="2"/>
        <v>88.399999999999991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0</v>
      </c>
      <c r="T10" s="13">
        <v>174</v>
      </c>
      <c r="U10" s="5">
        <f t="shared" si="3"/>
        <v>0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2.8571428571428571E-2</v>
      </c>
      <c r="E11" s="31">
        <v>24</v>
      </c>
      <c r="F11" s="33">
        <f t="shared" si="1"/>
        <v>-21</v>
      </c>
      <c r="G11" s="13">
        <f>VLOOKUP(B11,'Base Cobertura'!$A:$C,3,FALSE)</f>
        <v>105</v>
      </c>
      <c r="H11" s="13">
        <f>VLOOKUP(B11,'Base Cobertura'!$A:$C,2,FALSE)</f>
        <v>3</v>
      </c>
      <c r="I11" s="34">
        <f t="shared" si="2"/>
        <v>86.25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0</v>
      </c>
      <c r="T11" s="13">
        <v>174</v>
      </c>
      <c r="U11" s="5">
        <f t="shared" si="3"/>
        <v>0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5.3231939163498096E-2</v>
      </c>
      <c r="E12" s="13">
        <v>144</v>
      </c>
      <c r="F12" s="12">
        <f t="shared" si="1"/>
        <v>-130</v>
      </c>
      <c r="G12" s="13">
        <f>VLOOKUP(B12,'Base Cobertura'!$A:$C,3,FALSE)</f>
        <v>263</v>
      </c>
      <c r="H12" s="13">
        <f>VLOOKUP(B12,'Base Cobertura'!$A:$C,2,FALSE)</f>
        <v>14</v>
      </c>
      <c r="I12" s="17">
        <f t="shared" si="2"/>
        <v>209.54999999999998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3.8461538461538464E-2</v>
      </c>
      <c r="E13" s="13">
        <v>85</v>
      </c>
      <c r="F13" s="12">
        <f t="shared" si="1"/>
        <v>-78</v>
      </c>
      <c r="G13" s="13">
        <f>VLOOKUP(B13,'Base Cobertura'!$A:$C,3,FALSE)</f>
        <v>182</v>
      </c>
      <c r="H13" s="13">
        <f>VLOOKUP(B13,'Base Cobertura'!$A:$C,2,FALSE)</f>
        <v>7</v>
      </c>
      <c r="I13" s="17">
        <f t="shared" si="2"/>
        <v>147.69999999999999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-804</v>
      </c>
      <c r="G14" s="8">
        <f>+SUM(G1:G13)</f>
        <v>2018</v>
      </c>
      <c r="H14" s="8">
        <f>+SUM(H1:H13)</f>
        <v>74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1.8749999999999999E-2</v>
      </c>
      <c r="E15" s="13">
        <v>90</v>
      </c>
      <c r="F15" s="12">
        <f t="shared" ref="F15:F36" si="6">+H15-E15</f>
        <v>-87</v>
      </c>
      <c r="G15" s="13">
        <f>VLOOKUP(B15,'Base Cobertura'!$A:$C,3,FALSE)</f>
        <v>160</v>
      </c>
      <c r="H15" s="13">
        <f>VLOOKUP(B15,'Base Cobertura'!$A:$C,2,FALSE)</f>
        <v>3</v>
      </c>
      <c r="I15" s="17">
        <f t="shared" ref="I15:I36" si="7">(+G15*$M$2)-H15</f>
        <v>133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0.04</v>
      </c>
      <c r="E16" s="13">
        <v>92</v>
      </c>
      <c r="F16" s="12">
        <f t="shared" si="6"/>
        <v>-84</v>
      </c>
      <c r="G16" s="13">
        <f>VLOOKUP(B16,'Base Cobertura'!$A:$C,3,FALSE)</f>
        <v>200</v>
      </c>
      <c r="H16" s="13">
        <f>VLOOKUP(B16,'Base Cobertura'!$A:$C,2,FALSE)</f>
        <v>8</v>
      </c>
      <c r="I16" s="17">
        <f t="shared" si="7"/>
        <v>162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8.4337349397590355E-2</v>
      </c>
      <c r="E17" s="13">
        <v>88</v>
      </c>
      <c r="F17" s="12">
        <f t="shared" si="6"/>
        <v>-74</v>
      </c>
      <c r="G17" s="13">
        <f>VLOOKUP(B17,'Base Cobertura'!$A:$C,3,FALSE)</f>
        <v>166</v>
      </c>
      <c r="H17" s="13">
        <f>VLOOKUP(B17,'Base Cobertura'!$A:$C,2,FALSE)</f>
        <v>14</v>
      </c>
      <c r="I17" s="17">
        <f t="shared" si="7"/>
        <v>127.1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4.4585987261146494E-2</v>
      </c>
      <c r="E18" s="13">
        <v>95</v>
      </c>
      <c r="F18" s="12">
        <f t="shared" si="6"/>
        <v>-88</v>
      </c>
      <c r="G18" s="13">
        <f>VLOOKUP(B18,'Base Cobertura'!$A:$C,3,FALSE)</f>
        <v>157</v>
      </c>
      <c r="H18" s="13">
        <f>VLOOKUP(B18,'Base Cobertura'!$A:$C,2,FALSE)</f>
        <v>7</v>
      </c>
      <c r="I18" s="17">
        <f t="shared" si="7"/>
        <v>126.44999999999999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6.6666666666666666E-2</v>
      </c>
      <c r="E19" s="13">
        <v>83</v>
      </c>
      <c r="F19" s="12">
        <f t="shared" si="6"/>
        <v>-71</v>
      </c>
      <c r="G19" s="13">
        <f>VLOOKUP(B19,'Base Cobertura'!$A:$C,3,FALSE)</f>
        <v>180</v>
      </c>
      <c r="H19" s="13">
        <f>VLOOKUP(B19,'Base Cobertura'!$A:$C,2,FALSE)</f>
        <v>12</v>
      </c>
      <c r="I19" s="17">
        <f t="shared" si="7"/>
        <v>141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4.6783625730994149E-2</v>
      </c>
      <c r="E20" s="13">
        <v>64</v>
      </c>
      <c r="F20" s="12">
        <f t="shared" si="6"/>
        <v>-56</v>
      </c>
      <c r="G20" s="13">
        <f>VLOOKUP(B20,'Base Cobertura'!$A:$C,3,FALSE)</f>
        <v>171</v>
      </c>
      <c r="H20" s="13">
        <f>VLOOKUP(B20,'Base Cobertura'!$A:$C,2,FALSE)</f>
        <v>8</v>
      </c>
      <c r="I20" s="17">
        <f t="shared" si="7"/>
        <v>137.35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4.2016806722689079E-2</v>
      </c>
      <c r="E21" s="13">
        <v>70</v>
      </c>
      <c r="F21" s="12">
        <f t="shared" si="6"/>
        <v>-65</v>
      </c>
      <c r="G21" s="13">
        <f>VLOOKUP(B21,'Base Cobertura'!$A:$C,3,FALSE)</f>
        <v>119</v>
      </c>
      <c r="H21" s="13">
        <f>VLOOKUP(B21,'Base Cobertura'!$A:$C,2,FALSE)</f>
        <v>5</v>
      </c>
      <c r="I21" s="17">
        <f t="shared" si="7"/>
        <v>96.149999999999991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5.8139534883720929E-2</v>
      </c>
      <c r="E22" s="13">
        <v>79</v>
      </c>
      <c r="F22" s="12">
        <f t="shared" si="6"/>
        <v>-69</v>
      </c>
      <c r="G22" s="13">
        <f>VLOOKUP(B22,'Base Cobertura'!$A:$C,3,FALSE)</f>
        <v>172</v>
      </c>
      <c r="H22" s="13">
        <f>VLOOKUP(B22,'Base Cobertura'!$A:$C,2,FALSE)</f>
        <v>10</v>
      </c>
      <c r="I22" s="17">
        <f t="shared" si="7"/>
        <v>136.19999999999999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-594</v>
      </c>
      <c r="G23" s="8">
        <f>+SUM(G15:G22)</f>
        <v>1325</v>
      </c>
      <c r="H23" s="8">
        <f>+SUM(H15:H22)</f>
        <v>67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3.4482758620689655E-2</v>
      </c>
      <c r="E24" s="13">
        <v>20</v>
      </c>
      <c r="F24" s="12">
        <f>+H24-E24</f>
        <v>-18</v>
      </c>
      <c r="G24" s="13">
        <f>VLOOKUP(B24,'Base Cobertura'!$A:$C,3,FALSE)</f>
        <v>58</v>
      </c>
      <c r="H24" s="13">
        <f>VLOOKUP(B24,'Base Cobertura'!$A:$C,2,FALSE)</f>
        <v>2</v>
      </c>
      <c r="I24" s="17">
        <f t="shared" si="7"/>
        <v>47.3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4.40251572327044E-2</v>
      </c>
      <c r="E25" s="13">
        <v>68</v>
      </c>
      <c r="F25" s="12">
        <f t="shared" si="6"/>
        <v>-61</v>
      </c>
      <c r="G25" s="13">
        <f>VLOOKUP(B25,'Base Cobertura'!$A:$C,3,FALSE)</f>
        <v>159</v>
      </c>
      <c r="H25" s="13">
        <f>VLOOKUP(B25,'Base Cobertura'!$A:$C,2,FALSE)</f>
        <v>7</v>
      </c>
      <c r="I25" s="17">
        <f t="shared" si="7"/>
        <v>128.15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7.0063694267515922E-2</v>
      </c>
      <c r="E26" s="13">
        <v>80</v>
      </c>
      <c r="F26" s="12">
        <f t="shared" si="6"/>
        <v>-69</v>
      </c>
      <c r="G26" s="13">
        <f>VLOOKUP(B26,'Base Cobertura'!$A:$C,3,FALSE)</f>
        <v>157</v>
      </c>
      <c r="H26" s="13">
        <f>VLOOKUP(B26,'Base Cobertura'!$A:$C,2,FALSE)</f>
        <v>11</v>
      </c>
      <c r="I26" s="17">
        <f t="shared" si="7"/>
        <v>122.44999999999999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1.3513513513513514E-2</v>
      </c>
      <c r="E27" s="13">
        <v>68</v>
      </c>
      <c r="F27" s="12">
        <f t="shared" si="6"/>
        <v>-65</v>
      </c>
      <c r="G27" s="13">
        <f>VLOOKUP(B27,'Base Cobertura'!$A:$C,3,FALSE)</f>
        <v>222</v>
      </c>
      <c r="H27" s="13">
        <f>VLOOKUP(B27,'Base Cobertura'!$A:$C,2,FALSE)</f>
        <v>3</v>
      </c>
      <c r="I27" s="17">
        <f t="shared" si="7"/>
        <v>185.7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4.5801526717557252E-2</v>
      </c>
      <c r="E28" s="13">
        <v>73</v>
      </c>
      <c r="F28" s="12">
        <f t="shared" si="6"/>
        <v>-67</v>
      </c>
      <c r="G28" s="13">
        <f>VLOOKUP(B28,'Base Cobertura'!$A:$C,3,FALSE)</f>
        <v>131</v>
      </c>
      <c r="H28" s="13">
        <f>VLOOKUP(B28,'Base Cobertura'!$A:$C,2,FALSE)</f>
        <v>6</v>
      </c>
      <c r="I28" s="17">
        <f t="shared" si="7"/>
        <v>105.35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5.3763440860215058E-3</v>
      </c>
      <c r="E29" s="13">
        <v>40</v>
      </c>
      <c r="F29" s="12">
        <f t="shared" si="6"/>
        <v>-39</v>
      </c>
      <c r="G29" s="13">
        <f>VLOOKUP(B29,'Base Cobertura'!$A:$C,3,FALSE)</f>
        <v>186</v>
      </c>
      <c r="H29" s="13">
        <f>VLOOKUP(B29,'Base Cobertura'!$A:$C,2,FALSE)</f>
        <v>1</v>
      </c>
      <c r="I29" s="17">
        <f t="shared" si="7"/>
        <v>157.1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1.1834319526627219E-2</v>
      </c>
      <c r="E30" s="13">
        <v>67</v>
      </c>
      <c r="F30" s="12">
        <f t="shared" si="6"/>
        <v>-65</v>
      </c>
      <c r="G30" s="13">
        <f>VLOOKUP(B30,'Base Cobertura'!$A:$C,3,FALSE)</f>
        <v>169</v>
      </c>
      <c r="H30" s="13">
        <f>VLOOKUP(B30,'Base Cobertura'!$A:$C,2,FALSE)</f>
        <v>2</v>
      </c>
      <c r="I30" s="17">
        <f t="shared" si="7"/>
        <v>141.65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3.5928143712574849E-2</v>
      </c>
      <c r="E31" s="13">
        <v>66</v>
      </c>
      <c r="F31" s="12">
        <f t="shared" si="6"/>
        <v>-60</v>
      </c>
      <c r="G31" s="13">
        <f>VLOOKUP(B31,'Base Cobertura'!$A:$C,3,FALSE)</f>
        <v>167</v>
      </c>
      <c r="H31" s="13">
        <f>VLOOKUP(B31,'Base Cobertura'!$A:$C,2,FALSE)</f>
        <v>6</v>
      </c>
      <c r="I31" s="17">
        <f t="shared" si="7"/>
        <v>135.94999999999999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2.7397260273972601E-2</v>
      </c>
      <c r="E32" s="13">
        <v>82</v>
      </c>
      <c r="F32" s="12">
        <f t="shared" si="6"/>
        <v>-78</v>
      </c>
      <c r="G32" s="13">
        <f>VLOOKUP(B32,'Base Cobertura'!$A:$C,3,FALSE)</f>
        <v>146</v>
      </c>
      <c r="H32" s="13">
        <f>VLOOKUP(B32,'Base Cobertura'!$A:$C,2,FALSE)</f>
        <v>4</v>
      </c>
      <c r="I32" s="17">
        <f t="shared" si="7"/>
        <v>120.1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2.717391304347826E-2</v>
      </c>
      <c r="E33" s="13">
        <v>81</v>
      </c>
      <c r="F33" s="12">
        <f t="shared" si="6"/>
        <v>-76</v>
      </c>
      <c r="G33" s="13">
        <f>VLOOKUP(B33,'Base Cobertura'!$A:$C,3,FALSE)</f>
        <v>184</v>
      </c>
      <c r="H33" s="13">
        <f>VLOOKUP(B33,'Base Cobertura'!$A:$C,2,FALSE)</f>
        <v>5</v>
      </c>
      <c r="I33" s="17">
        <f t="shared" si="7"/>
        <v>151.4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117</v>
      </c>
      <c r="H34" s="13">
        <f>VLOOKUP(B34,'Base Cobertura'!$A:$C,2,FALSE)</f>
        <v>0</v>
      </c>
      <c r="I34" s="17">
        <f t="shared" si="7"/>
        <v>99.45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ROUBINEAU SEBASTIAN</v>
      </c>
      <c r="D35" s="22">
        <f t="shared" si="5"/>
        <v>3.8834951456310676E-2</v>
      </c>
      <c r="E35" s="13">
        <v>17</v>
      </c>
      <c r="F35" s="12">
        <f t="shared" si="6"/>
        <v>-13</v>
      </c>
      <c r="G35" s="13">
        <f>VLOOKUP(B35,'Base Cobertura'!$A:$C,3,FALSE)</f>
        <v>103</v>
      </c>
      <c r="H35" s="13">
        <f>VLOOKUP(B35,'Base Cobertura'!$A:$C,2,FALSE)</f>
        <v>4</v>
      </c>
      <c r="I35" s="17">
        <f t="shared" si="7"/>
        <v>83.55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6.7796610169491525E-2</v>
      </c>
      <c r="E36" s="13">
        <v>60</v>
      </c>
      <c r="F36" s="12">
        <f t="shared" si="6"/>
        <v>-52</v>
      </c>
      <c r="G36" s="13">
        <f>VLOOKUP(B36,'Base Cobertura'!$A:$C,3,FALSE)</f>
        <v>118</v>
      </c>
      <c r="H36" s="13">
        <f>VLOOKUP(B36,'Base Cobertura'!$A:$C,2,FALSE)</f>
        <v>8</v>
      </c>
      <c r="I36" s="17">
        <f t="shared" si="7"/>
        <v>92.3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-663</v>
      </c>
      <c r="G37" s="8">
        <f>+SUM(G24:G36)</f>
        <v>1917</v>
      </c>
      <c r="H37" s="8">
        <f>+SUM(H24:H36)</f>
        <v>59</v>
      </c>
      <c r="I37" s="8"/>
    </row>
    <row r="38" spans="1:12" x14ac:dyDescent="0.25">
      <c r="A38" s="148" t="s">
        <v>268</v>
      </c>
      <c r="B38">
        <v>58</v>
      </c>
      <c r="C38" t="str">
        <f>+AVANCE!B39</f>
        <v>58 - BLADIMIR LEZCANO</v>
      </c>
      <c r="D38" s="22">
        <f t="shared" ref="D38:D45" si="8">H38/G38</f>
        <v>1.2048192771084338E-2</v>
      </c>
      <c r="E38" s="13">
        <v>60</v>
      </c>
      <c r="F38" s="12">
        <f t="shared" ref="F38:F45" si="9">+H38-E38</f>
        <v>-59</v>
      </c>
      <c r="G38" s="13">
        <f>VLOOKUP(B38,'Base Cobertura'!$A:$C,3,FALSE)</f>
        <v>83</v>
      </c>
      <c r="H38" s="13">
        <f>VLOOKUP(B38,'Base Cobertura'!$A:$C,2,FALSE)</f>
        <v>1</v>
      </c>
      <c r="I38" s="17">
        <f t="shared" ref="I38:I45" si="10">(+G38*$M$2)-H38</f>
        <v>69.55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245</v>
      </c>
      <c r="H40" s="13">
        <f>VLOOKUP(B40,'Base Cobertura'!$A:$C,2,FALSE)</f>
        <v>0</v>
      </c>
      <c r="I40" s="17">
        <f t="shared" si="10"/>
        <v>208.25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2.5000000000000001E-2</v>
      </c>
      <c r="E41" s="13">
        <v>60</v>
      </c>
      <c r="F41" s="12">
        <f t="shared" si="9"/>
        <v>-55</v>
      </c>
      <c r="G41" s="13">
        <f>VLOOKUP(B41,'Base Cobertura'!$A:$C,3,FALSE)</f>
        <v>200</v>
      </c>
      <c r="H41" s="13">
        <f>VLOOKUP(B41,'Base Cobertura'!$A:$C,2,FALSE)</f>
        <v>5</v>
      </c>
      <c r="I41" s="17">
        <f t="shared" si="10"/>
        <v>165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</v>
      </c>
      <c r="E42" s="13">
        <v>60</v>
      </c>
      <c r="F42" s="12">
        <f t="shared" si="9"/>
        <v>-60</v>
      </c>
      <c r="G42" s="13">
        <f>VLOOKUP(B42,'Base Cobertura'!$A:$C,3,FALSE)</f>
        <v>168</v>
      </c>
      <c r="H42" s="13">
        <f>VLOOKUP(B42,'Base Cobertura'!$A:$C,2,FALSE)</f>
        <v>0</v>
      </c>
      <c r="I42" s="17">
        <f t="shared" si="10"/>
        <v>142.79999999999998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0</v>
      </c>
      <c r="E43" s="13">
        <v>60</v>
      </c>
      <c r="F43" s="12">
        <f t="shared" si="9"/>
        <v>-60</v>
      </c>
      <c r="G43" s="13">
        <f>VLOOKUP(B43,'Base Cobertura'!$A:$C,3,FALSE)</f>
        <v>174</v>
      </c>
      <c r="H43" s="13">
        <f>VLOOKUP(B43,'Base Cobertura'!$A:$C,2,FALSE)</f>
        <v>0</v>
      </c>
      <c r="I43" s="17">
        <f t="shared" si="10"/>
        <v>147.9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68</v>
      </c>
      <c r="H44" s="13">
        <f>VLOOKUP(B44,'Base Cobertura'!$A:$C,2,FALSE)</f>
        <v>0</v>
      </c>
      <c r="I44" s="17">
        <f t="shared" ref="I44" si="13">(+G44*$M$2)-H44</f>
        <v>57.8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3742</v>
      </c>
      <c r="H46" s="8">
        <f>+SUM(H32:H45)</f>
        <v>92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9002</v>
      </c>
      <c r="H47" s="8">
        <f>+H46+H23+H37+H14</f>
        <v>292</v>
      </c>
      <c r="I47" s="8"/>
      <c r="L47" s="1">
        <f>+H47/G47</f>
        <v>3.2437236169740057E-2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/>
      <c r="C3" s="51">
        <v>3619</v>
      </c>
      <c r="G3" t="s">
        <v>275</v>
      </c>
      <c r="H3" s="51"/>
      <c r="I3" s="51">
        <v>3619</v>
      </c>
    </row>
    <row r="4" spans="1:9" x14ac:dyDescent="0.25">
      <c r="A4">
        <v>1</v>
      </c>
      <c r="B4" s="51">
        <v>8</v>
      </c>
      <c r="C4" s="51">
        <v>118</v>
      </c>
      <c r="G4" t="s">
        <v>276</v>
      </c>
      <c r="I4" s="51">
        <v>3619</v>
      </c>
    </row>
    <row r="5" spans="1:9" x14ac:dyDescent="0.25">
      <c r="A5">
        <v>10</v>
      </c>
      <c r="B5" s="51">
        <v>1</v>
      </c>
      <c r="C5" s="51">
        <v>186</v>
      </c>
      <c r="G5" t="s">
        <v>277</v>
      </c>
      <c r="H5" s="51"/>
      <c r="I5" s="51">
        <v>3619</v>
      </c>
    </row>
    <row r="6" spans="1:9" x14ac:dyDescent="0.25">
      <c r="A6">
        <v>100</v>
      </c>
      <c r="B6" s="51">
        <v>10</v>
      </c>
      <c r="C6" s="51">
        <v>2033</v>
      </c>
      <c r="G6" t="s">
        <v>278</v>
      </c>
      <c r="H6" s="51"/>
      <c r="I6" s="51">
        <v>3619</v>
      </c>
    </row>
    <row r="7" spans="1:9" x14ac:dyDescent="0.25">
      <c r="A7">
        <v>11</v>
      </c>
      <c r="B7" s="51">
        <v>6</v>
      </c>
      <c r="C7" s="51">
        <v>170</v>
      </c>
      <c r="G7" t="s">
        <v>279</v>
      </c>
      <c r="H7" s="51"/>
      <c r="I7" s="51">
        <v>3619</v>
      </c>
    </row>
    <row r="8" spans="1:9" x14ac:dyDescent="0.25">
      <c r="A8">
        <v>12</v>
      </c>
      <c r="B8" s="51">
        <v>12</v>
      </c>
      <c r="C8" s="51">
        <v>215</v>
      </c>
      <c r="G8" t="s">
        <v>280</v>
      </c>
      <c r="H8" s="51"/>
      <c r="I8" s="51">
        <v>3619</v>
      </c>
    </row>
    <row r="9" spans="1:9" x14ac:dyDescent="0.25">
      <c r="A9">
        <v>123</v>
      </c>
      <c r="B9" s="51">
        <v>9</v>
      </c>
      <c r="C9" s="51">
        <v>488</v>
      </c>
      <c r="G9" t="s">
        <v>281</v>
      </c>
      <c r="H9" s="51"/>
      <c r="I9" s="51">
        <v>3619</v>
      </c>
    </row>
    <row r="10" spans="1:9" x14ac:dyDescent="0.25">
      <c r="A10">
        <v>15</v>
      </c>
      <c r="B10" s="51">
        <v>3</v>
      </c>
      <c r="C10" s="51">
        <v>65</v>
      </c>
      <c r="G10" t="s">
        <v>282</v>
      </c>
      <c r="I10" s="51">
        <v>3619</v>
      </c>
    </row>
    <row r="11" spans="1:9" x14ac:dyDescent="0.25">
      <c r="A11">
        <v>16</v>
      </c>
      <c r="B11" s="51">
        <v>9</v>
      </c>
      <c r="C11" s="51">
        <v>199</v>
      </c>
      <c r="G11" t="s">
        <v>283</v>
      </c>
      <c r="H11" s="51"/>
      <c r="I11" s="51">
        <v>3619</v>
      </c>
    </row>
    <row r="12" spans="1:9" x14ac:dyDescent="0.25">
      <c r="A12">
        <v>18</v>
      </c>
      <c r="B12" s="51">
        <v>12</v>
      </c>
      <c r="C12" s="51">
        <v>180</v>
      </c>
      <c r="E12">
        <f>+F12</f>
        <v>1</v>
      </c>
      <c r="F12">
        <v>1</v>
      </c>
      <c r="G12" t="s">
        <v>275</v>
      </c>
      <c r="H12">
        <v>2</v>
      </c>
      <c r="I12" s="51">
        <v>118</v>
      </c>
    </row>
    <row r="13" spans="1:9" x14ac:dyDescent="0.25">
      <c r="A13">
        <v>19</v>
      </c>
      <c r="B13" s="51">
        <v>11</v>
      </c>
      <c r="C13" s="51">
        <v>209</v>
      </c>
      <c r="E13">
        <f>+$E$12</f>
        <v>1</v>
      </c>
      <c r="G13" t="s">
        <v>276</v>
      </c>
      <c r="H13" s="51"/>
      <c r="I13" s="51">
        <v>118</v>
      </c>
    </row>
    <row r="14" spans="1:9" x14ac:dyDescent="0.25">
      <c r="A14">
        <v>2</v>
      </c>
      <c r="B14" s="51">
        <v>5</v>
      </c>
      <c r="C14" s="51">
        <v>119</v>
      </c>
      <c r="E14">
        <f t="shared" ref="E14:E20" si="0">+$E$12</f>
        <v>1</v>
      </c>
      <c r="G14" t="s">
        <v>277</v>
      </c>
      <c r="H14" s="51">
        <v>8</v>
      </c>
      <c r="I14" s="51">
        <v>118</v>
      </c>
    </row>
    <row r="15" spans="1:9" x14ac:dyDescent="0.25">
      <c r="A15">
        <v>20</v>
      </c>
      <c r="B15" s="51"/>
      <c r="C15" s="51">
        <v>228</v>
      </c>
      <c r="E15">
        <f t="shared" si="0"/>
        <v>1</v>
      </c>
      <c r="G15" t="s">
        <v>278</v>
      </c>
      <c r="H15" s="51">
        <v>3</v>
      </c>
      <c r="I15" s="51">
        <v>118</v>
      </c>
    </row>
    <row r="16" spans="1:9" x14ac:dyDescent="0.25">
      <c r="A16">
        <v>21</v>
      </c>
      <c r="B16" s="51">
        <v>14</v>
      </c>
      <c r="C16" s="51">
        <v>166</v>
      </c>
      <c r="E16">
        <f t="shared" si="0"/>
        <v>1</v>
      </c>
      <c r="G16" t="s">
        <v>279</v>
      </c>
      <c r="H16" s="51">
        <v>2</v>
      </c>
      <c r="I16" s="51">
        <v>118</v>
      </c>
    </row>
    <row r="17" spans="1:9" x14ac:dyDescent="0.25">
      <c r="A17">
        <v>22</v>
      </c>
      <c r="B17" s="51">
        <v>4</v>
      </c>
      <c r="C17" s="51">
        <v>79</v>
      </c>
      <c r="E17">
        <f t="shared" si="0"/>
        <v>1</v>
      </c>
      <c r="G17" t="s">
        <v>280</v>
      </c>
      <c r="H17" s="51">
        <v>6</v>
      </c>
      <c r="I17" s="51">
        <v>118</v>
      </c>
    </row>
    <row r="18" spans="1:9" x14ac:dyDescent="0.25">
      <c r="A18">
        <v>23</v>
      </c>
      <c r="B18" s="51">
        <v>7</v>
      </c>
      <c r="C18" s="51">
        <v>157</v>
      </c>
      <c r="E18">
        <f t="shared" si="0"/>
        <v>1</v>
      </c>
      <c r="G18" t="s">
        <v>281</v>
      </c>
      <c r="H18" s="51">
        <v>2</v>
      </c>
      <c r="I18" s="51">
        <v>118</v>
      </c>
    </row>
    <row r="19" spans="1:9" x14ac:dyDescent="0.25">
      <c r="A19">
        <v>24</v>
      </c>
      <c r="B19" s="51">
        <v>5</v>
      </c>
      <c r="C19" s="51">
        <v>184</v>
      </c>
      <c r="E19">
        <f t="shared" si="0"/>
        <v>1</v>
      </c>
      <c r="G19" t="s">
        <v>282</v>
      </c>
      <c r="H19" s="51">
        <v>1</v>
      </c>
      <c r="I19" s="51">
        <v>118</v>
      </c>
    </row>
    <row r="20" spans="1:9" x14ac:dyDescent="0.25">
      <c r="A20">
        <v>25</v>
      </c>
      <c r="B20" s="51"/>
      <c r="C20" s="51">
        <v>174</v>
      </c>
      <c r="E20">
        <f t="shared" si="0"/>
        <v>1</v>
      </c>
      <c r="G20" t="s">
        <v>283</v>
      </c>
      <c r="H20">
        <v>1</v>
      </c>
      <c r="I20" s="51">
        <v>118</v>
      </c>
    </row>
    <row r="21" spans="1:9" x14ac:dyDescent="0.25">
      <c r="A21">
        <v>26</v>
      </c>
      <c r="B21" s="51"/>
      <c r="C21" s="51">
        <v>168</v>
      </c>
      <c r="E21">
        <f>+$F$21</f>
        <v>10</v>
      </c>
      <c r="F21">
        <v>10</v>
      </c>
      <c r="G21" t="s">
        <v>275</v>
      </c>
      <c r="H21" s="51"/>
      <c r="I21" s="51">
        <v>186</v>
      </c>
    </row>
    <row r="22" spans="1:9" x14ac:dyDescent="0.25">
      <c r="A22">
        <v>27</v>
      </c>
      <c r="B22" s="51">
        <v>6</v>
      </c>
      <c r="C22" s="51">
        <v>131</v>
      </c>
      <c r="E22">
        <f t="shared" ref="E22:E29" si="1">+$F$21</f>
        <v>10</v>
      </c>
      <c r="G22" t="s">
        <v>276</v>
      </c>
      <c r="H22" s="51"/>
      <c r="I22" s="51">
        <v>186</v>
      </c>
    </row>
    <row r="23" spans="1:9" x14ac:dyDescent="0.25">
      <c r="A23">
        <v>28</v>
      </c>
      <c r="B23" s="51">
        <v>2</v>
      </c>
      <c r="C23" s="51">
        <v>169</v>
      </c>
      <c r="E23">
        <f t="shared" si="1"/>
        <v>10</v>
      </c>
      <c r="G23" t="s">
        <v>277</v>
      </c>
      <c r="H23" s="51">
        <v>1</v>
      </c>
      <c r="I23" s="51">
        <v>186</v>
      </c>
    </row>
    <row r="24" spans="1:9" x14ac:dyDescent="0.25">
      <c r="A24">
        <v>3</v>
      </c>
      <c r="B24" s="51">
        <v>10</v>
      </c>
      <c r="C24" s="51">
        <v>172</v>
      </c>
      <c r="E24">
        <f t="shared" si="1"/>
        <v>10</v>
      </c>
      <c r="G24" t="s">
        <v>278</v>
      </c>
      <c r="H24" s="51"/>
      <c r="I24" s="51">
        <v>186</v>
      </c>
    </row>
    <row r="25" spans="1:9" x14ac:dyDescent="0.25">
      <c r="A25">
        <v>30</v>
      </c>
      <c r="B25" s="51"/>
      <c r="C25" s="51">
        <v>122</v>
      </c>
      <c r="E25">
        <f t="shared" si="1"/>
        <v>10</v>
      </c>
      <c r="G25" t="s">
        <v>279</v>
      </c>
      <c r="H25" s="51"/>
      <c r="I25" s="51">
        <v>186</v>
      </c>
    </row>
    <row r="26" spans="1:9" x14ac:dyDescent="0.25">
      <c r="A26">
        <v>31</v>
      </c>
      <c r="B26" s="51">
        <v>3</v>
      </c>
      <c r="C26" s="51">
        <v>160</v>
      </c>
      <c r="E26">
        <f t="shared" si="1"/>
        <v>10</v>
      </c>
      <c r="G26" t="s">
        <v>280</v>
      </c>
      <c r="H26" s="51"/>
      <c r="I26" s="51">
        <v>186</v>
      </c>
    </row>
    <row r="27" spans="1:9" x14ac:dyDescent="0.25">
      <c r="A27">
        <v>32</v>
      </c>
      <c r="B27" s="51">
        <v>2</v>
      </c>
      <c r="C27" s="51">
        <v>58</v>
      </c>
      <c r="E27">
        <f t="shared" si="1"/>
        <v>10</v>
      </c>
      <c r="G27" t="s">
        <v>281</v>
      </c>
      <c r="H27" s="51"/>
      <c r="I27" s="51">
        <v>186</v>
      </c>
    </row>
    <row r="28" spans="1:9" x14ac:dyDescent="0.25">
      <c r="A28">
        <v>33</v>
      </c>
      <c r="B28" s="51">
        <v>6</v>
      </c>
      <c r="C28" s="51">
        <v>167</v>
      </c>
      <c r="E28">
        <f t="shared" si="1"/>
        <v>10</v>
      </c>
      <c r="G28" t="s">
        <v>282</v>
      </c>
      <c r="H28" s="51"/>
      <c r="I28" s="51">
        <v>186</v>
      </c>
    </row>
    <row r="29" spans="1:9" x14ac:dyDescent="0.25">
      <c r="A29">
        <v>36</v>
      </c>
      <c r="B29" s="51">
        <v>7</v>
      </c>
      <c r="C29" s="51">
        <v>159</v>
      </c>
      <c r="E29">
        <f t="shared" si="1"/>
        <v>10</v>
      </c>
      <c r="G29" t="s">
        <v>283</v>
      </c>
      <c r="H29" s="51"/>
      <c r="I29" s="51">
        <v>186</v>
      </c>
    </row>
    <row r="30" spans="1:9" x14ac:dyDescent="0.25">
      <c r="A30">
        <v>37</v>
      </c>
      <c r="B30" s="51">
        <v>4</v>
      </c>
      <c r="C30" s="51">
        <v>146</v>
      </c>
      <c r="E30">
        <f>+$F$30</f>
        <v>100</v>
      </c>
      <c r="F30">
        <v>100</v>
      </c>
      <c r="G30" t="s">
        <v>275</v>
      </c>
      <c r="H30" s="51">
        <v>5</v>
      </c>
      <c r="I30" s="51">
        <v>2033</v>
      </c>
    </row>
    <row r="31" spans="1:9" x14ac:dyDescent="0.25">
      <c r="A31">
        <v>4</v>
      </c>
      <c r="B31" s="51">
        <v>7</v>
      </c>
      <c r="C31" s="51">
        <v>182</v>
      </c>
      <c r="E31">
        <f t="shared" ref="E31:E38" si="2">+$F$30</f>
        <v>100</v>
      </c>
      <c r="G31" t="s">
        <v>276</v>
      </c>
      <c r="H31" s="51">
        <v>4</v>
      </c>
      <c r="I31" s="51">
        <v>2033</v>
      </c>
    </row>
    <row r="32" spans="1:9" x14ac:dyDescent="0.25">
      <c r="A32">
        <v>40</v>
      </c>
      <c r="B32" s="51">
        <v>3</v>
      </c>
      <c r="C32" s="51">
        <v>222</v>
      </c>
      <c r="E32">
        <f t="shared" si="2"/>
        <v>100</v>
      </c>
      <c r="G32" t="s">
        <v>277</v>
      </c>
      <c r="H32" s="51">
        <v>3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278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279</v>
      </c>
      <c r="H34" s="51">
        <v>5</v>
      </c>
      <c r="I34" s="51">
        <v>2033</v>
      </c>
    </row>
    <row r="35" spans="1:9" x14ac:dyDescent="0.25">
      <c r="A35">
        <v>44</v>
      </c>
      <c r="B35" s="51">
        <v>8</v>
      </c>
      <c r="C35" s="51">
        <v>171</v>
      </c>
      <c r="E35">
        <f t="shared" si="2"/>
        <v>100</v>
      </c>
      <c r="G35" t="s">
        <v>280</v>
      </c>
      <c r="H35" s="51">
        <v>5</v>
      </c>
      <c r="I35" s="51">
        <v>2033</v>
      </c>
    </row>
    <row r="36" spans="1:9" x14ac:dyDescent="0.25">
      <c r="A36">
        <v>49</v>
      </c>
      <c r="B36" s="51"/>
      <c r="C36" s="51">
        <v>245</v>
      </c>
      <c r="E36">
        <f t="shared" si="2"/>
        <v>100</v>
      </c>
      <c r="G36" t="s">
        <v>281</v>
      </c>
      <c r="H36" s="51">
        <v>1</v>
      </c>
      <c r="I36" s="51">
        <v>2033</v>
      </c>
    </row>
    <row r="37" spans="1:9" x14ac:dyDescent="0.25">
      <c r="A37">
        <v>5</v>
      </c>
      <c r="B37" s="51">
        <v>14</v>
      </c>
      <c r="C37" s="51">
        <v>263</v>
      </c>
      <c r="E37">
        <f t="shared" si="2"/>
        <v>100</v>
      </c>
      <c r="G37" t="s">
        <v>282</v>
      </c>
      <c r="H37" s="51"/>
      <c r="I37" s="51">
        <v>2033</v>
      </c>
    </row>
    <row r="38" spans="1:9" x14ac:dyDescent="0.25">
      <c r="A38">
        <v>52</v>
      </c>
      <c r="B38" s="51"/>
      <c r="C38" s="51">
        <v>104</v>
      </c>
      <c r="E38">
        <f t="shared" si="2"/>
        <v>100</v>
      </c>
      <c r="G38" t="s">
        <v>283</v>
      </c>
      <c r="H38" s="51">
        <v>1</v>
      </c>
      <c r="I38" s="51">
        <v>2033</v>
      </c>
    </row>
    <row r="39" spans="1:9" x14ac:dyDescent="0.25">
      <c r="A39">
        <v>53</v>
      </c>
      <c r="B39" s="51">
        <v>3</v>
      </c>
      <c r="C39" s="51">
        <v>105</v>
      </c>
      <c r="E39">
        <f>+$F$39</f>
        <v>11</v>
      </c>
      <c r="F39">
        <v>11</v>
      </c>
      <c r="G39" t="s">
        <v>275</v>
      </c>
      <c r="H39" s="51">
        <v>1</v>
      </c>
      <c r="I39" s="51">
        <v>170</v>
      </c>
    </row>
    <row r="40" spans="1:9" x14ac:dyDescent="0.25">
      <c r="A40">
        <v>54</v>
      </c>
      <c r="B40" s="51">
        <v>8</v>
      </c>
      <c r="C40" s="51">
        <v>200</v>
      </c>
      <c r="E40">
        <f t="shared" ref="E40:E47" si="3">+$F$39</f>
        <v>11</v>
      </c>
      <c r="G40" t="s">
        <v>276</v>
      </c>
      <c r="H40" s="51">
        <v>1</v>
      </c>
      <c r="I40" s="51">
        <v>170</v>
      </c>
    </row>
    <row r="41" spans="1:9" x14ac:dyDescent="0.25">
      <c r="A41">
        <v>56</v>
      </c>
      <c r="B41">
        <v>5</v>
      </c>
      <c r="C41" s="51">
        <v>200</v>
      </c>
      <c r="E41">
        <f t="shared" si="3"/>
        <v>11</v>
      </c>
      <c r="G41" t="s">
        <v>277</v>
      </c>
      <c r="H41" s="51">
        <v>4</v>
      </c>
      <c r="I41" s="51">
        <v>170</v>
      </c>
    </row>
    <row r="42" spans="1:9" x14ac:dyDescent="0.25">
      <c r="A42">
        <v>57</v>
      </c>
      <c r="B42" s="51">
        <v>4</v>
      </c>
      <c r="C42" s="51">
        <v>103</v>
      </c>
      <c r="E42">
        <f t="shared" si="3"/>
        <v>11</v>
      </c>
      <c r="G42" t="s">
        <v>278</v>
      </c>
      <c r="H42" s="51">
        <v>2</v>
      </c>
      <c r="I42" s="51">
        <v>170</v>
      </c>
    </row>
    <row r="43" spans="1:9" x14ac:dyDescent="0.25">
      <c r="A43">
        <v>58</v>
      </c>
      <c r="B43" s="51">
        <v>1</v>
      </c>
      <c r="C43" s="51">
        <v>83</v>
      </c>
      <c r="E43">
        <f t="shared" si="3"/>
        <v>11</v>
      </c>
      <c r="G43" t="s">
        <v>279</v>
      </c>
      <c r="H43" s="51">
        <v>3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280</v>
      </c>
      <c r="H44" s="51">
        <v>2</v>
      </c>
      <c r="I44" s="51">
        <v>170</v>
      </c>
    </row>
    <row r="45" spans="1:9" x14ac:dyDescent="0.25">
      <c r="A45">
        <v>60</v>
      </c>
      <c r="B45" s="51"/>
      <c r="C45" s="51">
        <v>68</v>
      </c>
      <c r="E45">
        <f t="shared" si="3"/>
        <v>11</v>
      </c>
      <c r="G45" t="s">
        <v>281</v>
      </c>
      <c r="H45" s="51"/>
      <c r="I45" s="51">
        <v>170</v>
      </c>
    </row>
    <row r="46" spans="1:9" x14ac:dyDescent="0.25">
      <c r="A46">
        <v>7</v>
      </c>
      <c r="B46" s="51"/>
      <c r="C46" s="51">
        <v>117</v>
      </c>
      <c r="E46">
        <f t="shared" si="3"/>
        <v>11</v>
      </c>
      <c r="G46" t="s">
        <v>282</v>
      </c>
      <c r="H46" s="51"/>
      <c r="I46" s="51">
        <v>170</v>
      </c>
    </row>
    <row r="47" spans="1:9" x14ac:dyDescent="0.25">
      <c r="A47">
        <v>8</v>
      </c>
      <c r="B47" s="51">
        <v>5</v>
      </c>
      <c r="C47" s="51">
        <v>199</v>
      </c>
      <c r="E47">
        <f t="shared" si="3"/>
        <v>11</v>
      </c>
      <c r="G47" t="s">
        <v>283</v>
      </c>
      <c r="H47" s="51"/>
      <c r="I47" s="51">
        <v>170</v>
      </c>
    </row>
    <row r="48" spans="1:9" x14ac:dyDescent="0.25">
      <c r="A48">
        <v>9</v>
      </c>
      <c r="B48" s="51">
        <v>11</v>
      </c>
      <c r="C48" s="51">
        <v>157</v>
      </c>
      <c r="E48">
        <f>+$F$48</f>
        <v>12</v>
      </c>
      <c r="F48">
        <v>12</v>
      </c>
      <c r="G48" t="s">
        <v>275</v>
      </c>
      <c r="H48" s="51">
        <v>1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276</v>
      </c>
      <c r="H49" s="51">
        <v>2</v>
      </c>
      <c r="I49" s="51">
        <v>215</v>
      </c>
    </row>
    <row r="50" spans="2:9" x14ac:dyDescent="0.25">
      <c r="E50">
        <f t="shared" si="4"/>
        <v>12</v>
      </c>
      <c r="G50" t="s">
        <v>277</v>
      </c>
      <c r="H50" s="51">
        <v>4</v>
      </c>
      <c r="I50" s="51">
        <v>215</v>
      </c>
    </row>
    <row r="51" spans="2:9" x14ac:dyDescent="0.25">
      <c r="E51">
        <f t="shared" si="4"/>
        <v>12</v>
      </c>
      <c r="G51" t="s">
        <v>278</v>
      </c>
      <c r="H51" s="51">
        <v>5</v>
      </c>
      <c r="I51" s="51">
        <v>215</v>
      </c>
    </row>
    <row r="52" spans="2:9" x14ac:dyDescent="0.25">
      <c r="E52">
        <f t="shared" si="4"/>
        <v>12</v>
      </c>
      <c r="G52" t="s">
        <v>279</v>
      </c>
      <c r="H52" s="51">
        <v>2</v>
      </c>
      <c r="I52" s="51">
        <v>215</v>
      </c>
    </row>
    <row r="53" spans="2:9" x14ac:dyDescent="0.25">
      <c r="E53">
        <f t="shared" si="4"/>
        <v>12</v>
      </c>
      <c r="G53" t="s">
        <v>280</v>
      </c>
      <c r="H53" s="51">
        <v>3</v>
      </c>
      <c r="I53" s="51">
        <v>215</v>
      </c>
    </row>
    <row r="54" spans="2:9" x14ac:dyDescent="0.25">
      <c r="E54">
        <f t="shared" si="4"/>
        <v>12</v>
      </c>
      <c r="G54" t="s">
        <v>281</v>
      </c>
      <c r="H54" s="51">
        <v>2</v>
      </c>
      <c r="I54" s="51">
        <v>215</v>
      </c>
    </row>
    <row r="55" spans="2:9" x14ac:dyDescent="0.25">
      <c r="E55">
        <f t="shared" si="4"/>
        <v>12</v>
      </c>
      <c r="G55" t="s">
        <v>282</v>
      </c>
      <c r="H55" s="51"/>
      <c r="I55" s="51">
        <v>215</v>
      </c>
    </row>
    <row r="56" spans="2:9" x14ac:dyDescent="0.25">
      <c r="E56">
        <f t="shared" si="4"/>
        <v>12</v>
      </c>
      <c r="G56" t="s">
        <v>283</v>
      </c>
      <c r="H56" s="51">
        <v>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275</v>
      </c>
      <c r="H57" s="51">
        <v>7</v>
      </c>
      <c r="I57" s="51">
        <v>488</v>
      </c>
    </row>
    <row r="58" spans="2:9" x14ac:dyDescent="0.25">
      <c r="E58">
        <f t="shared" ref="E58:E65" si="5">+$F$57</f>
        <v>123</v>
      </c>
      <c r="G58" t="s">
        <v>276</v>
      </c>
      <c r="H58" s="51">
        <v>3</v>
      </c>
      <c r="I58" s="51">
        <v>488</v>
      </c>
    </row>
    <row r="59" spans="2:9" x14ac:dyDescent="0.25">
      <c r="E59">
        <f t="shared" si="5"/>
        <v>123</v>
      </c>
      <c r="G59" t="s">
        <v>277</v>
      </c>
      <c r="H59" s="51">
        <v>5</v>
      </c>
      <c r="I59" s="51">
        <v>488</v>
      </c>
    </row>
    <row r="60" spans="2:9" x14ac:dyDescent="0.25">
      <c r="E60">
        <f t="shared" si="5"/>
        <v>123</v>
      </c>
      <c r="G60" t="s">
        <v>278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279</v>
      </c>
      <c r="H61" s="51">
        <v>7</v>
      </c>
      <c r="I61" s="51">
        <v>488</v>
      </c>
    </row>
    <row r="62" spans="2:9" x14ac:dyDescent="0.25">
      <c r="E62">
        <f t="shared" si="5"/>
        <v>123</v>
      </c>
      <c r="G62" t="s">
        <v>280</v>
      </c>
      <c r="H62" s="51">
        <v>2</v>
      </c>
      <c r="I62" s="51">
        <v>488</v>
      </c>
    </row>
    <row r="63" spans="2:9" x14ac:dyDescent="0.25">
      <c r="E63">
        <f t="shared" si="5"/>
        <v>123</v>
      </c>
      <c r="G63" t="s">
        <v>281</v>
      </c>
      <c r="H63" s="51">
        <v>2</v>
      </c>
      <c r="I63" s="51">
        <v>488</v>
      </c>
    </row>
    <row r="64" spans="2:9" x14ac:dyDescent="0.25">
      <c r="E64">
        <f t="shared" si="5"/>
        <v>123</v>
      </c>
      <c r="G64" t="s">
        <v>282</v>
      </c>
      <c r="H64" s="51"/>
      <c r="I64" s="51">
        <v>488</v>
      </c>
    </row>
    <row r="65" spans="5:9" x14ac:dyDescent="0.25">
      <c r="E65">
        <f t="shared" si="5"/>
        <v>123</v>
      </c>
      <c r="G65" t="s">
        <v>283</v>
      </c>
      <c r="H65" s="51">
        <v>1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275</v>
      </c>
      <c r="H66" s="51">
        <v>1</v>
      </c>
      <c r="I66" s="51">
        <v>65</v>
      </c>
    </row>
    <row r="67" spans="5:9" x14ac:dyDescent="0.25">
      <c r="E67">
        <f t="shared" ref="E67:E74" si="6">+$F$66</f>
        <v>15</v>
      </c>
      <c r="G67" t="s">
        <v>276</v>
      </c>
      <c r="H67" s="51"/>
      <c r="I67" s="51">
        <v>65</v>
      </c>
    </row>
    <row r="68" spans="5:9" x14ac:dyDescent="0.25">
      <c r="E68">
        <f t="shared" si="6"/>
        <v>15</v>
      </c>
      <c r="G68" t="s">
        <v>277</v>
      </c>
      <c r="H68" s="51">
        <v>1</v>
      </c>
      <c r="I68" s="51">
        <v>65</v>
      </c>
    </row>
    <row r="69" spans="5:9" x14ac:dyDescent="0.25">
      <c r="E69">
        <f t="shared" si="6"/>
        <v>15</v>
      </c>
      <c r="G69" t="s">
        <v>278</v>
      </c>
      <c r="H69" s="51">
        <v>1</v>
      </c>
      <c r="I69" s="51">
        <v>65</v>
      </c>
    </row>
    <row r="70" spans="5:9" x14ac:dyDescent="0.25">
      <c r="E70">
        <f t="shared" si="6"/>
        <v>15</v>
      </c>
      <c r="G70" t="s">
        <v>279</v>
      </c>
      <c r="H70" s="51">
        <v>1</v>
      </c>
      <c r="I70" s="51">
        <v>65</v>
      </c>
    </row>
    <row r="71" spans="5:9" x14ac:dyDescent="0.25">
      <c r="E71">
        <f t="shared" si="6"/>
        <v>15</v>
      </c>
      <c r="G71" t="s">
        <v>280</v>
      </c>
      <c r="H71" s="51"/>
      <c r="I71" s="51">
        <v>65</v>
      </c>
    </row>
    <row r="72" spans="5:9" x14ac:dyDescent="0.25">
      <c r="E72">
        <f t="shared" si="6"/>
        <v>15</v>
      </c>
      <c r="G72" t="s">
        <v>281</v>
      </c>
      <c r="H72" s="51">
        <v>3</v>
      </c>
      <c r="I72" s="51">
        <v>65</v>
      </c>
    </row>
    <row r="73" spans="5:9" x14ac:dyDescent="0.25">
      <c r="E73">
        <f t="shared" si="6"/>
        <v>15</v>
      </c>
      <c r="G73" t="s">
        <v>282</v>
      </c>
      <c r="H73" s="51"/>
      <c r="I73" s="51">
        <v>65</v>
      </c>
    </row>
    <row r="74" spans="5:9" x14ac:dyDescent="0.25">
      <c r="E74">
        <f t="shared" si="6"/>
        <v>15</v>
      </c>
      <c r="G74" t="s">
        <v>283</v>
      </c>
      <c r="H74" s="51"/>
      <c r="I74" s="51">
        <v>65</v>
      </c>
    </row>
    <row r="75" spans="5:9" x14ac:dyDescent="0.25">
      <c r="E75">
        <f>+$F$75</f>
        <v>16</v>
      </c>
      <c r="F75">
        <v>16</v>
      </c>
      <c r="G75" t="s">
        <v>275</v>
      </c>
      <c r="H75" s="51"/>
      <c r="I75" s="51">
        <v>199</v>
      </c>
    </row>
    <row r="76" spans="5:9" x14ac:dyDescent="0.25">
      <c r="E76">
        <f t="shared" ref="E76:E83" si="7">+$F$75</f>
        <v>16</v>
      </c>
      <c r="G76" t="s">
        <v>276</v>
      </c>
      <c r="H76">
        <v>1</v>
      </c>
      <c r="I76" s="51">
        <v>199</v>
      </c>
    </row>
    <row r="77" spans="5:9" x14ac:dyDescent="0.25">
      <c r="E77">
        <f t="shared" si="7"/>
        <v>16</v>
      </c>
      <c r="G77" t="s">
        <v>277</v>
      </c>
      <c r="H77" s="51">
        <v>1</v>
      </c>
      <c r="I77" s="51">
        <v>199</v>
      </c>
    </row>
    <row r="78" spans="5:9" x14ac:dyDescent="0.25">
      <c r="E78">
        <f t="shared" si="7"/>
        <v>16</v>
      </c>
      <c r="G78" t="s">
        <v>278</v>
      </c>
      <c r="H78" s="51">
        <v>2</v>
      </c>
      <c r="I78" s="51">
        <v>199</v>
      </c>
    </row>
    <row r="79" spans="5:9" x14ac:dyDescent="0.25">
      <c r="E79">
        <f t="shared" si="7"/>
        <v>16</v>
      </c>
      <c r="G79" t="s">
        <v>279</v>
      </c>
      <c r="H79" s="51">
        <v>5</v>
      </c>
      <c r="I79" s="51">
        <v>199</v>
      </c>
    </row>
    <row r="80" spans="5:9" x14ac:dyDescent="0.25">
      <c r="E80">
        <f t="shared" si="7"/>
        <v>16</v>
      </c>
      <c r="G80" t="s">
        <v>280</v>
      </c>
      <c r="H80" s="51">
        <v>1</v>
      </c>
      <c r="I80" s="51">
        <v>199</v>
      </c>
    </row>
    <row r="81" spans="5:9" x14ac:dyDescent="0.25">
      <c r="E81">
        <f t="shared" si="7"/>
        <v>16</v>
      </c>
      <c r="G81" t="s">
        <v>281</v>
      </c>
      <c r="H81" s="51"/>
      <c r="I81" s="51">
        <v>199</v>
      </c>
    </row>
    <row r="82" spans="5:9" x14ac:dyDescent="0.25">
      <c r="E82">
        <f t="shared" si="7"/>
        <v>16</v>
      </c>
      <c r="G82" t="s">
        <v>282</v>
      </c>
      <c r="H82" s="51">
        <v>3</v>
      </c>
      <c r="I82" s="51">
        <v>199</v>
      </c>
    </row>
    <row r="83" spans="5:9" x14ac:dyDescent="0.25">
      <c r="E83">
        <f t="shared" si="7"/>
        <v>16</v>
      </c>
      <c r="G83" t="s">
        <v>283</v>
      </c>
      <c r="H83" s="51"/>
      <c r="I83" s="51">
        <v>199</v>
      </c>
    </row>
    <row r="84" spans="5:9" x14ac:dyDescent="0.25">
      <c r="E84">
        <f>+$F$84</f>
        <v>18</v>
      </c>
      <c r="F84">
        <v>18</v>
      </c>
      <c r="G84" t="s">
        <v>275</v>
      </c>
      <c r="H84" s="51">
        <v>2</v>
      </c>
      <c r="I84" s="51">
        <v>180</v>
      </c>
    </row>
    <row r="85" spans="5:9" x14ac:dyDescent="0.25">
      <c r="E85">
        <f t="shared" ref="E85:E92" si="8">+$F$84</f>
        <v>18</v>
      </c>
      <c r="G85" t="s">
        <v>276</v>
      </c>
      <c r="H85" s="51">
        <v>3</v>
      </c>
      <c r="I85" s="51">
        <v>180</v>
      </c>
    </row>
    <row r="86" spans="5:9" x14ac:dyDescent="0.25">
      <c r="E86">
        <f t="shared" si="8"/>
        <v>18</v>
      </c>
      <c r="G86" t="s">
        <v>277</v>
      </c>
      <c r="H86" s="51">
        <v>3</v>
      </c>
      <c r="I86" s="51">
        <v>180</v>
      </c>
    </row>
    <row r="87" spans="5:9" x14ac:dyDescent="0.25">
      <c r="E87">
        <f t="shared" si="8"/>
        <v>18</v>
      </c>
      <c r="G87" t="s">
        <v>278</v>
      </c>
      <c r="H87" s="51">
        <v>2</v>
      </c>
      <c r="I87" s="51">
        <v>180</v>
      </c>
    </row>
    <row r="88" spans="5:9" x14ac:dyDescent="0.25">
      <c r="E88">
        <f t="shared" si="8"/>
        <v>18</v>
      </c>
      <c r="G88" t="s">
        <v>279</v>
      </c>
      <c r="H88" s="51">
        <v>7</v>
      </c>
      <c r="I88" s="51">
        <v>180</v>
      </c>
    </row>
    <row r="89" spans="5:9" x14ac:dyDescent="0.25">
      <c r="E89">
        <f t="shared" si="8"/>
        <v>18</v>
      </c>
      <c r="G89" t="s">
        <v>280</v>
      </c>
      <c r="H89" s="51">
        <v>1</v>
      </c>
      <c r="I89" s="51">
        <v>180</v>
      </c>
    </row>
    <row r="90" spans="5:9" x14ac:dyDescent="0.25">
      <c r="E90">
        <f t="shared" si="8"/>
        <v>18</v>
      </c>
      <c r="G90" t="s">
        <v>281</v>
      </c>
      <c r="H90" s="51">
        <v>1</v>
      </c>
      <c r="I90" s="51">
        <v>180</v>
      </c>
    </row>
    <row r="91" spans="5:9" x14ac:dyDescent="0.25">
      <c r="E91">
        <f t="shared" si="8"/>
        <v>18</v>
      </c>
      <c r="G91" t="s">
        <v>282</v>
      </c>
      <c r="H91" s="51">
        <v>4</v>
      </c>
      <c r="I91" s="51">
        <v>180</v>
      </c>
    </row>
    <row r="92" spans="5:9" x14ac:dyDescent="0.25">
      <c r="E92">
        <f t="shared" si="8"/>
        <v>18</v>
      </c>
      <c r="G92" t="s">
        <v>283</v>
      </c>
      <c r="H92" s="51">
        <v>2</v>
      </c>
      <c r="I92" s="51">
        <v>180</v>
      </c>
    </row>
    <row r="93" spans="5:9" x14ac:dyDescent="0.25">
      <c r="E93">
        <f>+$F$93</f>
        <v>19</v>
      </c>
      <c r="F93">
        <v>19</v>
      </c>
      <c r="G93" t="s">
        <v>275</v>
      </c>
      <c r="H93" s="51">
        <v>6</v>
      </c>
      <c r="I93" s="51">
        <v>209</v>
      </c>
    </row>
    <row r="94" spans="5:9" x14ac:dyDescent="0.25">
      <c r="E94">
        <f t="shared" ref="E94:E101" si="9">+$F$93</f>
        <v>19</v>
      </c>
      <c r="G94" t="s">
        <v>276</v>
      </c>
      <c r="H94" s="51">
        <v>1</v>
      </c>
      <c r="I94" s="51">
        <v>209</v>
      </c>
    </row>
    <row r="95" spans="5:9" x14ac:dyDescent="0.25">
      <c r="E95">
        <f t="shared" si="9"/>
        <v>19</v>
      </c>
      <c r="G95" t="s">
        <v>277</v>
      </c>
      <c r="H95" s="51">
        <v>8</v>
      </c>
      <c r="I95" s="51">
        <v>209</v>
      </c>
    </row>
    <row r="96" spans="5:9" x14ac:dyDescent="0.25">
      <c r="E96">
        <f t="shared" si="9"/>
        <v>19</v>
      </c>
      <c r="G96" t="s">
        <v>278</v>
      </c>
      <c r="H96" s="51">
        <v>2</v>
      </c>
      <c r="I96" s="51">
        <v>209</v>
      </c>
    </row>
    <row r="97" spans="5:9" x14ac:dyDescent="0.25">
      <c r="E97">
        <f t="shared" si="9"/>
        <v>19</v>
      </c>
      <c r="G97" t="s">
        <v>279</v>
      </c>
      <c r="H97" s="51">
        <v>4</v>
      </c>
      <c r="I97" s="51">
        <v>209</v>
      </c>
    </row>
    <row r="98" spans="5:9" x14ac:dyDescent="0.25">
      <c r="E98">
        <f t="shared" si="9"/>
        <v>19</v>
      </c>
      <c r="G98" t="s">
        <v>280</v>
      </c>
      <c r="H98" s="51">
        <v>5</v>
      </c>
      <c r="I98" s="51">
        <v>209</v>
      </c>
    </row>
    <row r="99" spans="5:9" x14ac:dyDescent="0.25">
      <c r="E99">
        <f t="shared" si="9"/>
        <v>19</v>
      </c>
      <c r="G99" t="s">
        <v>281</v>
      </c>
      <c r="H99" s="51">
        <v>2</v>
      </c>
      <c r="I99" s="51">
        <v>209</v>
      </c>
    </row>
    <row r="100" spans="5:9" x14ac:dyDescent="0.25">
      <c r="E100">
        <f t="shared" si="9"/>
        <v>19</v>
      </c>
      <c r="G100" t="s">
        <v>282</v>
      </c>
      <c r="H100" s="51">
        <v>2</v>
      </c>
      <c r="I100" s="51">
        <v>209</v>
      </c>
    </row>
    <row r="101" spans="5:9" x14ac:dyDescent="0.25">
      <c r="E101">
        <f t="shared" si="9"/>
        <v>19</v>
      </c>
      <c r="G101" t="s">
        <v>283</v>
      </c>
      <c r="H101" s="51">
        <v>1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275</v>
      </c>
      <c r="H102" s="51">
        <v>1</v>
      </c>
      <c r="I102" s="51">
        <v>119</v>
      </c>
    </row>
    <row r="103" spans="5:9" x14ac:dyDescent="0.25">
      <c r="E103">
        <f t="shared" ref="E103:E110" si="10">+$F$102</f>
        <v>2</v>
      </c>
      <c r="G103" t="s">
        <v>276</v>
      </c>
      <c r="H103" s="51">
        <v>2</v>
      </c>
      <c r="I103" s="51">
        <v>119</v>
      </c>
    </row>
    <row r="104" spans="5:9" x14ac:dyDescent="0.25">
      <c r="E104">
        <f t="shared" si="10"/>
        <v>2</v>
      </c>
      <c r="G104" t="s">
        <v>277</v>
      </c>
      <c r="H104" s="51">
        <v>1</v>
      </c>
      <c r="I104" s="51">
        <v>119</v>
      </c>
    </row>
    <row r="105" spans="5:9" x14ac:dyDescent="0.25">
      <c r="E105">
        <f t="shared" si="10"/>
        <v>2</v>
      </c>
      <c r="G105" t="s">
        <v>278</v>
      </c>
      <c r="H105" s="51">
        <v>3</v>
      </c>
      <c r="I105" s="51">
        <v>119</v>
      </c>
    </row>
    <row r="106" spans="5:9" x14ac:dyDescent="0.25">
      <c r="E106">
        <f t="shared" si="10"/>
        <v>2</v>
      </c>
      <c r="G106" t="s">
        <v>279</v>
      </c>
      <c r="H106" s="51">
        <v>2</v>
      </c>
      <c r="I106" s="51">
        <v>119</v>
      </c>
    </row>
    <row r="107" spans="5:9" x14ac:dyDescent="0.25">
      <c r="E107">
        <f t="shared" si="10"/>
        <v>2</v>
      </c>
      <c r="G107" t="s">
        <v>280</v>
      </c>
      <c r="H107" s="51"/>
      <c r="I107" s="51">
        <v>119</v>
      </c>
    </row>
    <row r="108" spans="5:9" x14ac:dyDescent="0.25">
      <c r="E108">
        <f t="shared" si="10"/>
        <v>2</v>
      </c>
      <c r="G108" t="s">
        <v>281</v>
      </c>
      <c r="H108" s="51">
        <v>1</v>
      </c>
      <c r="I108" s="51">
        <v>119</v>
      </c>
    </row>
    <row r="109" spans="5:9" x14ac:dyDescent="0.25">
      <c r="E109">
        <f t="shared" si="10"/>
        <v>2</v>
      </c>
      <c r="G109" t="s">
        <v>282</v>
      </c>
      <c r="H109" s="51"/>
      <c r="I109" s="51">
        <v>119</v>
      </c>
    </row>
    <row r="110" spans="5:9" x14ac:dyDescent="0.25">
      <c r="E110">
        <f t="shared" si="10"/>
        <v>2</v>
      </c>
      <c r="G110" t="s">
        <v>283</v>
      </c>
      <c r="H110" s="51">
        <v>2</v>
      </c>
      <c r="I110" s="51">
        <v>119</v>
      </c>
    </row>
    <row r="111" spans="5:9" x14ac:dyDescent="0.25">
      <c r="E111">
        <f>+$F$111</f>
        <v>20</v>
      </c>
      <c r="F111">
        <v>20</v>
      </c>
      <c r="G111" t="s">
        <v>275</v>
      </c>
      <c r="H111" s="51"/>
      <c r="I111" s="51">
        <v>228</v>
      </c>
    </row>
    <row r="112" spans="5:9" x14ac:dyDescent="0.25">
      <c r="E112">
        <f t="shared" ref="E112:E119" si="11">+$F$111</f>
        <v>20</v>
      </c>
      <c r="G112" t="s">
        <v>276</v>
      </c>
      <c r="H112" s="51"/>
      <c r="I112" s="51">
        <v>228</v>
      </c>
    </row>
    <row r="113" spans="5:9" x14ac:dyDescent="0.25">
      <c r="E113">
        <f t="shared" si="11"/>
        <v>20</v>
      </c>
      <c r="G113" t="s">
        <v>277</v>
      </c>
      <c r="H113" s="51"/>
      <c r="I113" s="51">
        <v>228</v>
      </c>
    </row>
    <row r="114" spans="5:9" x14ac:dyDescent="0.25">
      <c r="E114">
        <f t="shared" si="11"/>
        <v>20</v>
      </c>
      <c r="G114" t="s">
        <v>278</v>
      </c>
      <c r="H114" s="51"/>
      <c r="I114" s="51">
        <v>228</v>
      </c>
    </row>
    <row r="115" spans="5:9" x14ac:dyDescent="0.25">
      <c r="E115">
        <f t="shared" si="11"/>
        <v>20</v>
      </c>
      <c r="G115" t="s">
        <v>279</v>
      </c>
      <c r="H115" s="51"/>
      <c r="I115" s="51">
        <v>228</v>
      </c>
    </row>
    <row r="116" spans="5:9" x14ac:dyDescent="0.25">
      <c r="E116">
        <f t="shared" si="11"/>
        <v>20</v>
      </c>
      <c r="G116" t="s">
        <v>280</v>
      </c>
      <c r="I116" s="51">
        <v>228</v>
      </c>
    </row>
    <row r="117" spans="5:9" x14ac:dyDescent="0.25">
      <c r="E117">
        <f t="shared" si="11"/>
        <v>20</v>
      </c>
      <c r="G117" t="s">
        <v>281</v>
      </c>
      <c r="H117" s="51"/>
      <c r="I117" s="51">
        <v>228</v>
      </c>
    </row>
    <row r="118" spans="5:9" x14ac:dyDescent="0.25">
      <c r="E118">
        <f t="shared" si="11"/>
        <v>20</v>
      </c>
      <c r="G118" t="s">
        <v>282</v>
      </c>
      <c r="H118" s="51"/>
      <c r="I118" s="51">
        <v>228</v>
      </c>
    </row>
    <row r="119" spans="5:9" x14ac:dyDescent="0.25">
      <c r="E119">
        <f t="shared" si="11"/>
        <v>20</v>
      </c>
      <c r="G119" t="s">
        <v>283</v>
      </c>
      <c r="H119" s="51"/>
      <c r="I119" s="51">
        <v>228</v>
      </c>
    </row>
    <row r="120" spans="5:9" x14ac:dyDescent="0.25">
      <c r="E120">
        <f>+$F$120</f>
        <v>21</v>
      </c>
      <c r="F120">
        <v>21</v>
      </c>
      <c r="G120" t="s">
        <v>275</v>
      </c>
      <c r="H120" s="51">
        <v>6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276</v>
      </c>
      <c r="H121" s="51">
        <v>2</v>
      </c>
      <c r="I121" s="51">
        <v>166</v>
      </c>
    </row>
    <row r="122" spans="5:9" x14ac:dyDescent="0.25">
      <c r="E122">
        <f t="shared" si="12"/>
        <v>21</v>
      </c>
      <c r="G122" t="s">
        <v>277</v>
      </c>
      <c r="H122" s="51">
        <v>3</v>
      </c>
      <c r="I122" s="51">
        <v>166</v>
      </c>
    </row>
    <row r="123" spans="5:9" x14ac:dyDescent="0.25">
      <c r="E123">
        <f t="shared" si="12"/>
        <v>21</v>
      </c>
      <c r="G123" t="s">
        <v>278</v>
      </c>
      <c r="H123" s="51">
        <v>2</v>
      </c>
      <c r="I123" s="51">
        <v>166</v>
      </c>
    </row>
    <row r="124" spans="5:9" x14ac:dyDescent="0.25">
      <c r="E124">
        <f t="shared" si="12"/>
        <v>21</v>
      </c>
      <c r="G124" t="s">
        <v>279</v>
      </c>
      <c r="H124">
        <v>10</v>
      </c>
      <c r="I124" s="51">
        <v>166</v>
      </c>
    </row>
    <row r="125" spans="5:9" x14ac:dyDescent="0.25">
      <c r="E125">
        <f t="shared" si="12"/>
        <v>21</v>
      </c>
      <c r="G125" t="s">
        <v>280</v>
      </c>
      <c r="H125" s="51">
        <v>5</v>
      </c>
      <c r="I125" s="51">
        <v>166</v>
      </c>
    </row>
    <row r="126" spans="5:9" x14ac:dyDescent="0.25">
      <c r="E126">
        <f t="shared" si="12"/>
        <v>21</v>
      </c>
      <c r="G126" t="s">
        <v>281</v>
      </c>
      <c r="H126" s="51"/>
      <c r="I126" s="51">
        <v>166</v>
      </c>
    </row>
    <row r="127" spans="5:9" x14ac:dyDescent="0.25">
      <c r="E127">
        <f t="shared" si="12"/>
        <v>21</v>
      </c>
      <c r="G127" t="s">
        <v>282</v>
      </c>
      <c r="H127" s="51">
        <v>1</v>
      </c>
      <c r="I127" s="51">
        <v>166</v>
      </c>
    </row>
    <row r="128" spans="5:9" x14ac:dyDescent="0.25">
      <c r="E128">
        <f t="shared" si="12"/>
        <v>21</v>
      </c>
      <c r="G128" t="s">
        <v>283</v>
      </c>
      <c r="H128" s="51">
        <v>1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275</v>
      </c>
      <c r="H129" s="51">
        <v>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276</v>
      </c>
      <c r="H130" s="51"/>
      <c r="I130" s="51">
        <v>79</v>
      </c>
    </row>
    <row r="131" spans="5:9" x14ac:dyDescent="0.25">
      <c r="E131">
        <f t="shared" si="13"/>
        <v>22</v>
      </c>
      <c r="G131" t="s">
        <v>277</v>
      </c>
      <c r="H131" s="51">
        <v>1</v>
      </c>
      <c r="I131" s="51">
        <v>79</v>
      </c>
    </row>
    <row r="132" spans="5:9" x14ac:dyDescent="0.25">
      <c r="E132">
        <f t="shared" si="13"/>
        <v>22</v>
      </c>
      <c r="G132" t="s">
        <v>278</v>
      </c>
      <c r="H132" s="51"/>
      <c r="I132" s="51">
        <v>79</v>
      </c>
    </row>
    <row r="133" spans="5:9" x14ac:dyDescent="0.25">
      <c r="E133">
        <f t="shared" si="13"/>
        <v>22</v>
      </c>
      <c r="G133" t="s">
        <v>279</v>
      </c>
      <c r="H133" s="51">
        <v>1</v>
      </c>
      <c r="I133" s="51">
        <v>79</v>
      </c>
    </row>
    <row r="134" spans="5:9" x14ac:dyDescent="0.25">
      <c r="E134">
        <f t="shared" si="13"/>
        <v>22</v>
      </c>
      <c r="G134" t="s">
        <v>280</v>
      </c>
      <c r="H134" s="51">
        <v>1</v>
      </c>
      <c r="I134" s="51">
        <v>79</v>
      </c>
    </row>
    <row r="135" spans="5:9" x14ac:dyDescent="0.25">
      <c r="E135">
        <f t="shared" si="13"/>
        <v>22</v>
      </c>
      <c r="G135" t="s">
        <v>281</v>
      </c>
      <c r="H135" s="51">
        <v>1</v>
      </c>
      <c r="I135" s="51">
        <v>79</v>
      </c>
    </row>
    <row r="136" spans="5:9" x14ac:dyDescent="0.25">
      <c r="E136">
        <f t="shared" si="13"/>
        <v>22</v>
      </c>
      <c r="G136" t="s">
        <v>282</v>
      </c>
      <c r="H136" s="51">
        <v>1</v>
      </c>
      <c r="I136" s="51">
        <v>79</v>
      </c>
    </row>
    <row r="137" spans="5:9" x14ac:dyDescent="0.25">
      <c r="E137">
        <f t="shared" si="13"/>
        <v>22</v>
      </c>
      <c r="G137" t="s">
        <v>283</v>
      </c>
      <c r="H137" s="51">
        <v>1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275</v>
      </c>
      <c r="H138" s="51">
        <v>2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276</v>
      </c>
      <c r="H139" s="51"/>
      <c r="I139" s="51">
        <v>157</v>
      </c>
    </row>
    <row r="140" spans="5:9" x14ac:dyDescent="0.25">
      <c r="E140">
        <f t="shared" si="14"/>
        <v>23</v>
      </c>
      <c r="G140" t="s">
        <v>277</v>
      </c>
      <c r="H140">
        <v>5</v>
      </c>
      <c r="I140" s="51">
        <v>157</v>
      </c>
    </row>
    <row r="141" spans="5:9" x14ac:dyDescent="0.25">
      <c r="E141">
        <f t="shared" si="14"/>
        <v>23</v>
      </c>
      <c r="G141" t="s">
        <v>278</v>
      </c>
      <c r="H141" s="51">
        <v>1</v>
      </c>
      <c r="I141" s="51">
        <v>157</v>
      </c>
    </row>
    <row r="142" spans="5:9" x14ac:dyDescent="0.25">
      <c r="E142">
        <f t="shared" si="14"/>
        <v>23</v>
      </c>
      <c r="G142" t="s">
        <v>279</v>
      </c>
      <c r="H142" s="51">
        <v>4</v>
      </c>
      <c r="I142" s="51">
        <v>157</v>
      </c>
    </row>
    <row r="143" spans="5:9" x14ac:dyDescent="0.25">
      <c r="E143">
        <f t="shared" si="14"/>
        <v>23</v>
      </c>
      <c r="G143" t="s">
        <v>280</v>
      </c>
      <c r="H143" s="51">
        <v>2</v>
      </c>
      <c r="I143" s="51">
        <v>157</v>
      </c>
    </row>
    <row r="144" spans="5:9" x14ac:dyDescent="0.25">
      <c r="E144">
        <f t="shared" si="14"/>
        <v>23</v>
      </c>
      <c r="G144" t="s">
        <v>281</v>
      </c>
      <c r="H144" s="51"/>
      <c r="I144" s="51">
        <v>157</v>
      </c>
    </row>
    <row r="145" spans="5:9" x14ac:dyDescent="0.25">
      <c r="E145">
        <f t="shared" si="14"/>
        <v>23</v>
      </c>
      <c r="G145" t="s">
        <v>282</v>
      </c>
      <c r="H145" s="51"/>
      <c r="I145" s="51">
        <v>157</v>
      </c>
    </row>
    <row r="146" spans="5:9" x14ac:dyDescent="0.25">
      <c r="E146">
        <f t="shared" si="14"/>
        <v>23</v>
      </c>
      <c r="G146" t="s">
        <v>283</v>
      </c>
      <c r="H146" s="51">
        <v>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275</v>
      </c>
      <c r="H147" s="51"/>
      <c r="I147" s="51">
        <v>184</v>
      </c>
    </row>
    <row r="148" spans="5:9" x14ac:dyDescent="0.25">
      <c r="E148">
        <f t="shared" ref="E148:E155" si="15">+$F$147</f>
        <v>24</v>
      </c>
      <c r="G148" t="s">
        <v>276</v>
      </c>
      <c r="I148" s="51">
        <v>184</v>
      </c>
    </row>
    <row r="149" spans="5:9" x14ac:dyDescent="0.25">
      <c r="E149">
        <f t="shared" si="15"/>
        <v>24</v>
      </c>
      <c r="G149" t="s">
        <v>277</v>
      </c>
      <c r="H149" s="51">
        <v>1</v>
      </c>
      <c r="I149" s="51">
        <v>184</v>
      </c>
    </row>
    <row r="150" spans="5:9" x14ac:dyDescent="0.25">
      <c r="E150">
        <f t="shared" si="15"/>
        <v>24</v>
      </c>
      <c r="G150" t="s">
        <v>278</v>
      </c>
      <c r="H150" s="51">
        <v>2</v>
      </c>
      <c r="I150" s="51">
        <v>184</v>
      </c>
    </row>
    <row r="151" spans="5:9" x14ac:dyDescent="0.25">
      <c r="E151">
        <f t="shared" si="15"/>
        <v>24</v>
      </c>
      <c r="G151" t="s">
        <v>279</v>
      </c>
      <c r="H151" s="51">
        <v>4</v>
      </c>
      <c r="I151" s="51">
        <v>184</v>
      </c>
    </row>
    <row r="152" spans="5:9" x14ac:dyDescent="0.25">
      <c r="E152">
        <f t="shared" si="15"/>
        <v>24</v>
      </c>
      <c r="G152" t="s">
        <v>280</v>
      </c>
      <c r="H152" s="51">
        <v>1</v>
      </c>
      <c r="I152" s="51">
        <v>184</v>
      </c>
    </row>
    <row r="153" spans="5:9" x14ac:dyDescent="0.25">
      <c r="E153">
        <f t="shared" si="15"/>
        <v>24</v>
      </c>
      <c r="G153" t="s">
        <v>281</v>
      </c>
      <c r="H153" s="51">
        <v>1</v>
      </c>
      <c r="I153" s="51">
        <v>184</v>
      </c>
    </row>
    <row r="154" spans="5:9" x14ac:dyDescent="0.25">
      <c r="E154">
        <f t="shared" si="15"/>
        <v>24</v>
      </c>
      <c r="G154" t="s">
        <v>282</v>
      </c>
      <c r="H154" s="51"/>
      <c r="I154" s="51">
        <v>184</v>
      </c>
    </row>
    <row r="155" spans="5:9" x14ac:dyDescent="0.25">
      <c r="E155">
        <f t="shared" si="15"/>
        <v>24</v>
      </c>
      <c r="G155" t="s">
        <v>283</v>
      </c>
      <c r="H155" s="51"/>
      <c r="I155" s="51">
        <v>184</v>
      </c>
    </row>
    <row r="156" spans="5:9" x14ac:dyDescent="0.25">
      <c r="E156">
        <f>+$F$156</f>
        <v>25</v>
      </c>
      <c r="F156">
        <v>25</v>
      </c>
      <c r="G156" t="s">
        <v>275</v>
      </c>
      <c r="H156" s="51"/>
      <c r="I156" s="51">
        <v>174</v>
      </c>
    </row>
    <row r="157" spans="5:9" x14ac:dyDescent="0.25">
      <c r="E157">
        <f t="shared" ref="E157:E164" si="16">+$F$156</f>
        <v>25</v>
      </c>
      <c r="G157" t="s">
        <v>276</v>
      </c>
      <c r="H157" s="51"/>
      <c r="I157" s="51">
        <v>174</v>
      </c>
    </row>
    <row r="158" spans="5:9" x14ac:dyDescent="0.25">
      <c r="E158">
        <f t="shared" si="16"/>
        <v>25</v>
      </c>
      <c r="G158" t="s">
        <v>277</v>
      </c>
      <c r="H158" s="51"/>
      <c r="I158" s="51">
        <v>174</v>
      </c>
    </row>
    <row r="159" spans="5:9" x14ac:dyDescent="0.25">
      <c r="E159">
        <f t="shared" si="16"/>
        <v>25</v>
      </c>
      <c r="G159" t="s">
        <v>278</v>
      </c>
      <c r="H159" s="51"/>
      <c r="I159" s="51">
        <v>174</v>
      </c>
    </row>
    <row r="160" spans="5:9" x14ac:dyDescent="0.25">
      <c r="E160">
        <f t="shared" si="16"/>
        <v>25</v>
      </c>
      <c r="G160" t="s">
        <v>279</v>
      </c>
      <c r="H160" s="51"/>
      <c r="I160" s="51">
        <v>174</v>
      </c>
    </row>
    <row r="161" spans="5:9" x14ac:dyDescent="0.25">
      <c r="E161">
        <f t="shared" si="16"/>
        <v>25</v>
      </c>
      <c r="G161" t="s">
        <v>280</v>
      </c>
      <c r="H161" s="51"/>
      <c r="I161" s="51">
        <v>174</v>
      </c>
    </row>
    <row r="162" spans="5:9" x14ac:dyDescent="0.25">
      <c r="E162">
        <f t="shared" si="16"/>
        <v>25</v>
      </c>
      <c r="G162" t="s">
        <v>281</v>
      </c>
      <c r="H162" s="51"/>
      <c r="I162" s="51">
        <v>174</v>
      </c>
    </row>
    <row r="163" spans="5:9" x14ac:dyDescent="0.25">
      <c r="E163">
        <f t="shared" si="16"/>
        <v>25</v>
      </c>
      <c r="G163" t="s">
        <v>282</v>
      </c>
      <c r="H163" s="51"/>
      <c r="I163" s="51">
        <v>174</v>
      </c>
    </row>
    <row r="164" spans="5:9" x14ac:dyDescent="0.25">
      <c r="E164">
        <f t="shared" si="16"/>
        <v>25</v>
      </c>
      <c r="G164" t="s">
        <v>283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275</v>
      </c>
      <c r="H165" s="51"/>
      <c r="I165" s="51">
        <v>168</v>
      </c>
    </row>
    <row r="166" spans="5:9" x14ac:dyDescent="0.25">
      <c r="E166">
        <f t="shared" ref="E166:E173" si="17">+$F$165</f>
        <v>26</v>
      </c>
      <c r="G166" t="s">
        <v>276</v>
      </c>
      <c r="H166" s="51"/>
      <c r="I166" s="51">
        <v>168</v>
      </c>
    </row>
    <row r="167" spans="5:9" x14ac:dyDescent="0.25">
      <c r="E167">
        <f t="shared" si="17"/>
        <v>26</v>
      </c>
      <c r="G167" t="s">
        <v>277</v>
      </c>
      <c r="H167" s="51"/>
      <c r="I167" s="51">
        <v>168</v>
      </c>
    </row>
    <row r="168" spans="5:9" x14ac:dyDescent="0.25">
      <c r="E168">
        <f t="shared" si="17"/>
        <v>26</v>
      </c>
      <c r="G168" t="s">
        <v>278</v>
      </c>
      <c r="H168" s="51"/>
      <c r="I168" s="51">
        <v>168</v>
      </c>
    </row>
    <row r="169" spans="5:9" x14ac:dyDescent="0.25">
      <c r="E169">
        <f t="shared" si="17"/>
        <v>26</v>
      </c>
      <c r="G169" t="s">
        <v>279</v>
      </c>
      <c r="H169" s="51"/>
      <c r="I169" s="51">
        <v>168</v>
      </c>
    </row>
    <row r="170" spans="5:9" x14ac:dyDescent="0.25">
      <c r="E170">
        <f t="shared" si="17"/>
        <v>26</v>
      </c>
      <c r="G170" t="s">
        <v>280</v>
      </c>
      <c r="H170" s="51"/>
      <c r="I170" s="51">
        <v>168</v>
      </c>
    </row>
    <row r="171" spans="5:9" x14ac:dyDescent="0.25">
      <c r="E171">
        <f t="shared" si="17"/>
        <v>26</v>
      </c>
      <c r="G171" t="s">
        <v>281</v>
      </c>
      <c r="H171" s="51"/>
      <c r="I171" s="51">
        <v>168</v>
      </c>
    </row>
    <row r="172" spans="5:9" x14ac:dyDescent="0.25">
      <c r="E172">
        <f t="shared" si="17"/>
        <v>26</v>
      </c>
      <c r="G172" t="s">
        <v>282</v>
      </c>
      <c r="H172" s="51"/>
      <c r="I172" s="51">
        <v>168</v>
      </c>
    </row>
    <row r="173" spans="5:9" x14ac:dyDescent="0.25">
      <c r="E173">
        <f t="shared" si="17"/>
        <v>26</v>
      </c>
      <c r="G173" t="s">
        <v>283</v>
      </c>
      <c r="H173" s="51"/>
      <c r="I173" s="51">
        <v>168</v>
      </c>
    </row>
    <row r="174" spans="5:9" x14ac:dyDescent="0.25">
      <c r="E174">
        <f>+$F$174</f>
        <v>27</v>
      </c>
      <c r="F174">
        <v>27</v>
      </c>
      <c r="G174" t="s">
        <v>275</v>
      </c>
      <c r="H174" s="51">
        <v>1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276</v>
      </c>
      <c r="H175" s="51"/>
      <c r="I175" s="51">
        <v>131</v>
      </c>
    </row>
    <row r="176" spans="5:9" x14ac:dyDescent="0.25">
      <c r="E176">
        <f t="shared" si="18"/>
        <v>27</v>
      </c>
      <c r="G176" t="s">
        <v>277</v>
      </c>
      <c r="H176" s="51">
        <v>2</v>
      </c>
      <c r="I176" s="51">
        <v>131</v>
      </c>
    </row>
    <row r="177" spans="5:9" x14ac:dyDescent="0.25">
      <c r="E177">
        <f t="shared" si="18"/>
        <v>27</v>
      </c>
      <c r="G177" t="s">
        <v>278</v>
      </c>
      <c r="H177" s="51">
        <v>1</v>
      </c>
      <c r="I177" s="51">
        <v>131</v>
      </c>
    </row>
    <row r="178" spans="5:9" x14ac:dyDescent="0.25">
      <c r="E178">
        <f t="shared" si="18"/>
        <v>27</v>
      </c>
      <c r="G178" t="s">
        <v>279</v>
      </c>
      <c r="H178" s="51">
        <v>2</v>
      </c>
      <c r="I178" s="51">
        <v>131</v>
      </c>
    </row>
    <row r="179" spans="5:9" x14ac:dyDescent="0.25">
      <c r="E179">
        <f t="shared" si="18"/>
        <v>27</v>
      </c>
      <c r="G179" t="s">
        <v>280</v>
      </c>
      <c r="H179" s="51"/>
      <c r="I179" s="51">
        <v>131</v>
      </c>
    </row>
    <row r="180" spans="5:9" x14ac:dyDescent="0.25">
      <c r="E180">
        <f t="shared" si="18"/>
        <v>27</v>
      </c>
      <c r="G180" t="s">
        <v>281</v>
      </c>
      <c r="H180">
        <v>1</v>
      </c>
      <c r="I180" s="51">
        <v>131</v>
      </c>
    </row>
    <row r="181" spans="5:9" x14ac:dyDescent="0.25">
      <c r="E181">
        <f t="shared" si="18"/>
        <v>27</v>
      </c>
      <c r="G181" t="s">
        <v>282</v>
      </c>
      <c r="H181" s="51">
        <v>2</v>
      </c>
      <c r="I181" s="51">
        <v>131</v>
      </c>
    </row>
    <row r="182" spans="5:9" x14ac:dyDescent="0.25">
      <c r="E182">
        <f t="shared" si="18"/>
        <v>27</v>
      </c>
      <c r="G182" t="s">
        <v>283</v>
      </c>
      <c r="H182" s="51">
        <v>1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275</v>
      </c>
      <c r="H183" s="51">
        <v>2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276</v>
      </c>
      <c r="H184" s="51"/>
      <c r="I184" s="51">
        <v>169</v>
      </c>
    </row>
    <row r="185" spans="5:9" x14ac:dyDescent="0.25">
      <c r="E185">
        <f t="shared" si="19"/>
        <v>28</v>
      </c>
      <c r="G185" t="s">
        <v>277</v>
      </c>
      <c r="H185" s="51">
        <v>1</v>
      </c>
      <c r="I185" s="51">
        <v>169</v>
      </c>
    </row>
    <row r="186" spans="5:9" x14ac:dyDescent="0.25">
      <c r="E186">
        <f t="shared" si="19"/>
        <v>28</v>
      </c>
      <c r="G186" t="s">
        <v>278</v>
      </c>
      <c r="I186" s="51">
        <v>169</v>
      </c>
    </row>
    <row r="187" spans="5:9" x14ac:dyDescent="0.25">
      <c r="E187">
        <f t="shared" si="19"/>
        <v>28</v>
      </c>
      <c r="G187" t="s">
        <v>279</v>
      </c>
      <c r="H187" s="51"/>
      <c r="I187" s="51">
        <v>169</v>
      </c>
    </row>
    <row r="188" spans="5:9" x14ac:dyDescent="0.25">
      <c r="E188">
        <f t="shared" si="19"/>
        <v>28</v>
      </c>
      <c r="G188" t="s">
        <v>280</v>
      </c>
      <c r="H188" s="51"/>
      <c r="I188" s="51">
        <v>169</v>
      </c>
    </row>
    <row r="189" spans="5:9" x14ac:dyDescent="0.25">
      <c r="E189">
        <f t="shared" si="19"/>
        <v>28</v>
      </c>
      <c r="G189" t="s">
        <v>281</v>
      </c>
      <c r="H189" s="51"/>
      <c r="I189" s="51">
        <v>169</v>
      </c>
    </row>
    <row r="190" spans="5:9" x14ac:dyDescent="0.25">
      <c r="E190">
        <f t="shared" si="19"/>
        <v>28</v>
      </c>
      <c r="G190" t="s">
        <v>282</v>
      </c>
      <c r="H190" s="51"/>
      <c r="I190" s="51">
        <v>169</v>
      </c>
    </row>
    <row r="191" spans="5:9" x14ac:dyDescent="0.25">
      <c r="E191">
        <f t="shared" si="19"/>
        <v>28</v>
      </c>
      <c r="G191" t="s">
        <v>283</v>
      </c>
      <c r="H191" s="51"/>
      <c r="I191" s="51">
        <v>169</v>
      </c>
    </row>
    <row r="192" spans="5:9" x14ac:dyDescent="0.25">
      <c r="E192">
        <f>+$F$192</f>
        <v>3</v>
      </c>
      <c r="F192">
        <v>3</v>
      </c>
      <c r="G192" t="s">
        <v>275</v>
      </c>
      <c r="H192" s="51">
        <v>3</v>
      </c>
      <c r="I192" s="51">
        <v>172</v>
      </c>
    </row>
    <row r="193" spans="5:9" x14ac:dyDescent="0.25">
      <c r="E193">
        <f t="shared" ref="E193:E200" si="20">+$F$192</f>
        <v>3</v>
      </c>
      <c r="G193" t="s">
        <v>276</v>
      </c>
      <c r="H193" s="51">
        <v>1</v>
      </c>
      <c r="I193" s="51">
        <v>172</v>
      </c>
    </row>
    <row r="194" spans="5:9" x14ac:dyDescent="0.25">
      <c r="E194">
        <f t="shared" si="20"/>
        <v>3</v>
      </c>
      <c r="G194" t="s">
        <v>277</v>
      </c>
      <c r="H194" s="51">
        <v>4</v>
      </c>
      <c r="I194" s="51">
        <v>172</v>
      </c>
    </row>
    <row r="195" spans="5:9" x14ac:dyDescent="0.25">
      <c r="E195">
        <f t="shared" si="20"/>
        <v>3</v>
      </c>
      <c r="G195" t="s">
        <v>278</v>
      </c>
      <c r="H195" s="51">
        <v>2</v>
      </c>
      <c r="I195" s="51">
        <v>172</v>
      </c>
    </row>
    <row r="196" spans="5:9" x14ac:dyDescent="0.25">
      <c r="E196">
        <f t="shared" si="20"/>
        <v>3</v>
      </c>
      <c r="G196" t="s">
        <v>279</v>
      </c>
      <c r="H196">
        <v>6</v>
      </c>
      <c r="I196" s="51">
        <v>172</v>
      </c>
    </row>
    <row r="197" spans="5:9" x14ac:dyDescent="0.25">
      <c r="E197">
        <f t="shared" si="20"/>
        <v>3</v>
      </c>
      <c r="G197" t="s">
        <v>280</v>
      </c>
      <c r="H197" s="51">
        <v>2</v>
      </c>
      <c r="I197" s="51">
        <v>172</v>
      </c>
    </row>
    <row r="198" spans="5:9" x14ac:dyDescent="0.25">
      <c r="E198">
        <f t="shared" si="20"/>
        <v>3</v>
      </c>
      <c r="G198" t="s">
        <v>281</v>
      </c>
      <c r="H198" s="51">
        <v>2</v>
      </c>
      <c r="I198" s="51">
        <v>172</v>
      </c>
    </row>
    <row r="199" spans="5:9" x14ac:dyDescent="0.25">
      <c r="E199">
        <f t="shared" si="20"/>
        <v>3</v>
      </c>
      <c r="G199" t="s">
        <v>282</v>
      </c>
      <c r="H199" s="51">
        <v>1</v>
      </c>
      <c r="I199" s="51">
        <v>172</v>
      </c>
    </row>
    <row r="200" spans="5:9" x14ac:dyDescent="0.25">
      <c r="E200">
        <f t="shared" si="20"/>
        <v>3</v>
      </c>
      <c r="G200" t="s">
        <v>283</v>
      </c>
      <c r="H200" s="51">
        <v>2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275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276</v>
      </c>
      <c r="H202" s="51"/>
      <c r="I202" s="51">
        <v>122</v>
      </c>
    </row>
    <row r="203" spans="5:9" x14ac:dyDescent="0.25">
      <c r="E203">
        <f t="shared" si="21"/>
        <v>30</v>
      </c>
      <c r="G203" t="s">
        <v>277</v>
      </c>
      <c r="H203" s="51"/>
      <c r="I203" s="51">
        <v>122</v>
      </c>
    </row>
    <row r="204" spans="5:9" x14ac:dyDescent="0.25">
      <c r="E204">
        <f t="shared" si="21"/>
        <v>30</v>
      </c>
      <c r="G204" t="s">
        <v>278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279</v>
      </c>
      <c r="H205" s="51"/>
      <c r="I205" s="51">
        <v>122</v>
      </c>
    </row>
    <row r="206" spans="5:9" x14ac:dyDescent="0.25">
      <c r="E206">
        <f t="shared" si="21"/>
        <v>30</v>
      </c>
      <c r="G206" t="s">
        <v>280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281</v>
      </c>
      <c r="H207" s="51"/>
      <c r="I207" s="51">
        <v>122</v>
      </c>
    </row>
    <row r="208" spans="5:9" x14ac:dyDescent="0.25">
      <c r="E208">
        <f t="shared" si="21"/>
        <v>30</v>
      </c>
      <c r="G208" t="s">
        <v>282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283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275</v>
      </c>
      <c r="H210" s="51">
        <v>3</v>
      </c>
      <c r="I210" s="51">
        <v>160</v>
      </c>
    </row>
    <row r="211" spans="5:9" x14ac:dyDescent="0.25">
      <c r="E211">
        <f t="shared" ref="E211:E218" si="22">+$F$210</f>
        <v>31</v>
      </c>
      <c r="G211" t="s">
        <v>276</v>
      </c>
      <c r="H211" s="51"/>
      <c r="I211" s="51">
        <v>160</v>
      </c>
    </row>
    <row r="212" spans="5:9" x14ac:dyDescent="0.25">
      <c r="E212">
        <f t="shared" si="22"/>
        <v>31</v>
      </c>
      <c r="G212" t="s">
        <v>277</v>
      </c>
      <c r="H212">
        <v>1</v>
      </c>
      <c r="I212" s="51">
        <v>160</v>
      </c>
    </row>
    <row r="213" spans="5:9" x14ac:dyDescent="0.25">
      <c r="E213">
        <f t="shared" si="22"/>
        <v>31</v>
      </c>
      <c r="G213" t="s">
        <v>278</v>
      </c>
      <c r="H213" s="51"/>
      <c r="I213" s="51">
        <v>160</v>
      </c>
    </row>
    <row r="214" spans="5:9" x14ac:dyDescent="0.25">
      <c r="E214">
        <f t="shared" si="22"/>
        <v>31</v>
      </c>
      <c r="G214" t="s">
        <v>279</v>
      </c>
      <c r="H214" s="51">
        <v>1</v>
      </c>
      <c r="I214" s="51">
        <v>160</v>
      </c>
    </row>
    <row r="215" spans="5:9" x14ac:dyDescent="0.25">
      <c r="E215">
        <f t="shared" si="22"/>
        <v>31</v>
      </c>
      <c r="G215" t="s">
        <v>280</v>
      </c>
      <c r="H215" s="51"/>
      <c r="I215" s="51">
        <v>160</v>
      </c>
    </row>
    <row r="216" spans="5:9" x14ac:dyDescent="0.25">
      <c r="E216">
        <f t="shared" si="22"/>
        <v>31</v>
      </c>
      <c r="G216" t="s">
        <v>281</v>
      </c>
      <c r="H216" s="51">
        <v>1</v>
      </c>
      <c r="I216" s="51">
        <v>160</v>
      </c>
    </row>
    <row r="217" spans="5:9" x14ac:dyDescent="0.25">
      <c r="E217">
        <f t="shared" si="22"/>
        <v>31</v>
      </c>
      <c r="G217" t="s">
        <v>282</v>
      </c>
      <c r="H217" s="51"/>
      <c r="I217" s="51">
        <v>160</v>
      </c>
    </row>
    <row r="218" spans="5:9" x14ac:dyDescent="0.25">
      <c r="E218">
        <f t="shared" si="22"/>
        <v>31</v>
      </c>
      <c r="G218" t="s">
        <v>283</v>
      </c>
      <c r="H218" s="51"/>
      <c r="I218" s="51">
        <v>160</v>
      </c>
    </row>
    <row r="219" spans="5:9" x14ac:dyDescent="0.25">
      <c r="E219">
        <f>+$F$219</f>
        <v>32</v>
      </c>
      <c r="F219">
        <v>32</v>
      </c>
      <c r="G219" t="s">
        <v>275</v>
      </c>
      <c r="H219" s="51"/>
      <c r="I219" s="51">
        <v>58</v>
      </c>
    </row>
    <row r="220" spans="5:9" x14ac:dyDescent="0.25">
      <c r="E220">
        <f t="shared" ref="E220:E227" si="23">+$F$219</f>
        <v>32</v>
      </c>
      <c r="G220" t="s">
        <v>276</v>
      </c>
      <c r="H220" s="51"/>
      <c r="I220" s="51">
        <v>58</v>
      </c>
    </row>
    <row r="221" spans="5:9" x14ac:dyDescent="0.25">
      <c r="E221">
        <f t="shared" si="23"/>
        <v>32</v>
      </c>
      <c r="G221" t="s">
        <v>277</v>
      </c>
      <c r="H221" s="51"/>
      <c r="I221" s="51">
        <v>58</v>
      </c>
    </row>
    <row r="222" spans="5:9" x14ac:dyDescent="0.25">
      <c r="E222">
        <f t="shared" si="23"/>
        <v>32</v>
      </c>
      <c r="G222" t="s">
        <v>278</v>
      </c>
      <c r="H222" s="51"/>
      <c r="I222" s="51">
        <v>58</v>
      </c>
    </row>
    <row r="223" spans="5:9" x14ac:dyDescent="0.25">
      <c r="E223">
        <f t="shared" si="23"/>
        <v>32</v>
      </c>
      <c r="G223" t="s">
        <v>279</v>
      </c>
      <c r="H223" s="51">
        <v>2</v>
      </c>
      <c r="I223" s="51">
        <v>58</v>
      </c>
    </row>
    <row r="224" spans="5:9" x14ac:dyDescent="0.25">
      <c r="E224">
        <f t="shared" si="23"/>
        <v>32</v>
      </c>
      <c r="G224" t="s">
        <v>280</v>
      </c>
      <c r="H224" s="51"/>
      <c r="I224" s="51">
        <v>58</v>
      </c>
    </row>
    <row r="225" spans="5:9" x14ac:dyDescent="0.25">
      <c r="E225">
        <f t="shared" si="23"/>
        <v>32</v>
      </c>
      <c r="G225" t="s">
        <v>281</v>
      </c>
      <c r="H225" s="51">
        <v>1</v>
      </c>
      <c r="I225" s="51">
        <v>58</v>
      </c>
    </row>
    <row r="226" spans="5:9" x14ac:dyDescent="0.25">
      <c r="E226">
        <f t="shared" si="23"/>
        <v>32</v>
      </c>
      <c r="G226" t="s">
        <v>282</v>
      </c>
      <c r="H226" s="51"/>
      <c r="I226" s="51">
        <v>58</v>
      </c>
    </row>
    <row r="227" spans="5:9" x14ac:dyDescent="0.25">
      <c r="E227">
        <f t="shared" si="23"/>
        <v>32</v>
      </c>
      <c r="G227" t="s">
        <v>283</v>
      </c>
      <c r="H227" s="51"/>
      <c r="I227" s="51">
        <v>58</v>
      </c>
    </row>
    <row r="228" spans="5:9" x14ac:dyDescent="0.25">
      <c r="E228">
        <f>+$F$228</f>
        <v>33</v>
      </c>
      <c r="F228">
        <v>33</v>
      </c>
      <c r="G228" t="s">
        <v>275</v>
      </c>
      <c r="H228" s="51">
        <v>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276</v>
      </c>
      <c r="H229" s="51">
        <v>1</v>
      </c>
      <c r="I229" s="51">
        <v>167</v>
      </c>
    </row>
    <row r="230" spans="5:9" x14ac:dyDescent="0.25">
      <c r="E230">
        <f t="shared" si="24"/>
        <v>33</v>
      </c>
      <c r="G230" t="s">
        <v>277</v>
      </c>
      <c r="H230" s="51">
        <v>1</v>
      </c>
      <c r="I230" s="51">
        <v>167</v>
      </c>
    </row>
    <row r="231" spans="5:9" x14ac:dyDescent="0.25">
      <c r="E231">
        <f t="shared" si="24"/>
        <v>33</v>
      </c>
      <c r="G231" t="s">
        <v>278</v>
      </c>
      <c r="H231" s="51">
        <v>1</v>
      </c>
      <c r="I231" s="51">
        <v>167</v>
      </c>
    </row>
    <row r="232" spans="5:9" x14ac:dyDescent="0.25">
      <c r="E232">
        <f t="shared" si="24"/>
        <v>33</v>
      </c>
      <c r="G232" t="s">
        <v>279</v>
      </c>
      <c r="H232" s="51">
        <v>3</v>
      </c>
      <c r="I232" s="51">
        <v>167</v>
      </c>
    </row>
    <row r="233" spans="5:9" x14ac:dyDescent="0.25">
      <c r="E233">
        <f t="shared" si="24"/>
        <v>33</v>
      </c>
      <c r="G233" t="s">
        <v>280</v>
      </c>
      <c r="H233" s="51">
        <v>2</v>
      </c>
      <c r="I233" s="51">
        <v>167</v>
      </c>
    </row>
    <row r="234" spans="5:9" x14ac:dyDescent="0.25">
      <c r="E234">
        <f t="shared" si="24"/>
        <v>33</v>
      </c>
      <c r="G234" t="s">
        <v>281</v>
      </c>
      <c r="H234" s="51"/>
      <c r="I234" s="51">
        <v>167</v>
      </c>
    </row>
    <row r="235" spans="5:9" x14ac:dyDescent="0.25">
      <c r="E235">
        <f t="shared" si="24"/>
        <v>33</v>
      </c>
      <c r="G235" t="s">
        <v>282</v>
      </c>
      <c r="H235" s="51">
        <v>1</v>
      </c>
      <c r="I235" s="51">
        <v>167</v>
      </c>
    </row>
    <row r="236" spans="5:9" x14ac:dyDescent="0.25">
      <c r="E236">
        <f t="shared" si="24"/>
        <v>33</v>
      </c>
      <c r="G236" t="s">
        <v>283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275</v>
      </c>
      <c r="H237" s="51">
        <v>4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276</v>
      </c>
      <c r="H238" s="51"/>
      <c r="I238" s="51">
        <v>159</v>
      </c>
    </row>
    <row r="239" spans="5:9" x14ac:dyDescent="0.25">
      <c r="E239">
        <f t="shared" si="25"/>
        <v>36</v>
      </c>
      <c r="G239" t="s">
        <v>277</v>
      </c>
      <c r="H239" s="51">
        <v>4</v>
      </c>
      <c r="I239" s="51">
        <v>159</v>
      </c>
    </row>
    <row r="240" spans="5:9" x14ac:dyDescent="0.25">
      <c r="E240">
        <f t="shared" si="25"/>
        <v>36</v>
      </c>
      <c r="G240" t="s">
        <v>278</v>
      </c>
      <c r="H240" s="51">
        <v>3</v>
      </c>
      <c r="I240" s="51">
        <v>159</v>
      </c>
    </row>
    <row r="241" spans="5:9" x14ac:dyDescent="0.25">
      <c r="E241">
        <f t="shared" si="25"/>
        <v>36</v>
      </c>
      <c r="G241" t="s">
        <v>279</v>
      </c>
      <c r="H241" s="51">
        <v>1</v>
      </c>
      <c r="I241" s="51">
        <v>159</v>
      </c>
    </row>
    <row r="242" spans="5:9" x14ac:dyDescent="0.25">
      <c r="E242">
        <f t="shared" si="25"/>
        <v>36</v>
      </c>
      <c r="G242" t="s">
        <v>280</v>
      </c>
      <c r="H242" s="51">
        <v>2</v>
      </c>
      <c r="I242" s="51">
        <v>159</v>
      </c>
    </row>
    <row r="243" spans="5:9" x14ac:dyDescent="0.25">
      <c r="E243">
        <f t="shared" si="25"/>
        <v>36</v>
      </c>
      <c r="G243" t="s">
        <v>281</v>
      </c>
      <c r="H243" s="51">
        <v>1</v>
      </c>
      <c r="I243" s="51">
        <v>159</v>
      </c>
    </row>
    <row r="244" spans="5:9" x14ac:dyDescent="0.25">
      <c r="E244">
        <f t="shared" si="25"/>
        <v>36</v>
      </c>
      <c r="G244" t="s">
        <v>282</v>
      </c>
      <c r="I244" s="51">
        <v>159</v>
      </c>
    </row>
    <row r="245" spans="5:9" x14ac:dyDescent="0.25">
      <c r="E245">
        <f t="shared" si="25"/>
        <v>36</v>
      </c>
      <c r="G245" t="s">
        <v>283</v>
      </c>
      <c r="H245" s="51"/>
      <c r="I245" s="51">
        <v>159</v>
      </c>
    </row>
    <row r="246" spans="5:9" x14ac:dyDescent="0.25">
      <c r="E246">
        <f>+$F$246</f>
        <v>37</v>
      </c>
      <c r="F246">
        <v>37</v>
      </c>
      <c r="G246" t="s">
        <v>275</v>
      </c>
      <c r="H246" s="51">
        <v>1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276</v>
      </c>
      <c r="H247" s="51"/>
      <c r="I247" s="51">
        <v>146</v>
      </c>
    </row>
    <row r="248" spans="5:9" x14ac:dyDescent="0.25">
      <c r="E248">
        <f t="shared" si="26"/>
        <v>37</v>
      </c>
      <c r="G248" t="s">
        <v>277</v>
      </c>
      <c r="H248" s="51">
        <v>1</v>
      </c>
      <c r="I248" s="51">
        <v>146</v>
      </c>
    </row>
    <row r="249" spans="5:9" x14ac:dyDescent="0.25">
      <c r="E249">
        <f t="shared" si="26"/>
        <v>37</v>
      </c>
      <c r="G249" t="s">
        <v>278</v>
      </c>
      <c r="H249" s="51">
        <v>1</v>
      </c>
      <c r="I249" s="51">
        <v>146</v>
      </c>
    </row>
    <row r="250" spans="5:9" x14ac:dyDescent="0.25">
      <c r="E250">
        <f t="shared" si="26"/>
        <v>37</v>
      </c>
      <c r="G250" t="s">
        <v>279</v>
      </c>
      <c r="H250" s="51">
        <v>3</v>
      </c>
      <c r="I250" s="51">
        <v>146</v>
      </c>
    </row>
    <row r="251" spans="5:9" x14ac:dyDescent="0.25">
      <c r="E251">
        <f t="shared" si="26"/>
        <v>37</v>
      </c>
      <c r="G251" t="s">
        <v>280</v>
      </c>
      <c r="H251" s="51">
        <v>3</v>
      </c>
      <c r="I251" s="51">
        <v>146</v>
      </c>
    </row>
    <row r="252" spans="5:9" x14ac:dyDescent="0.25">
      <c r="E252">
        <f t="shared" si="26"/>
        <v>37</v>
      </c>
      <c r="G252" t="s">
        <v>281</v>
      </c>
      <c r="I252" s="51">
        <v>146</v>
      </c>
    </row>
    <row r="253" spans="5:9" x14ac:dyDescent="0.25">
      <c r="E253">
        <f t="shared" si="26"/>
        <v>37</v>
      </c>
      <c r="G253" t="s">
        <v>282</v>
      </c>
      <c r="H253" s="51"/>
      <c r="I253" s="51">
        <v>146</v>
      </c>
    </row>
    <row r="254" spans="5:9" x14ac:dyDescent="0.25">
      <c r="E254">
        <f t="shared" si="26"/>
        <v>37</v>
      </c>
      <c r="G254" t="s">
        <v>283</v>
      </c>
      <c r="H254" s="51"/>
      <c r="I254" s="51">
        <v>146</v>
      </c>
    </row>
    <row r="255" spans="5:9" x14ac:dyDescent="0.25">
      <c r="E255">
        <f>+$F$255</f>
        <v>4</v>
      </c>
      <c r="F255">
        <v>4</v>
      </c>
      <c r="G255" t="s">
        <v>275</v>
      </c>
      <c r="H255" s="51">
        <v>1</v>
      </c>
      <c r="I255" s="51">
        <v>182</v>
      </c>
    </row>
    <row r="256" spans="5:9" x14ac:dyDescent="0.25">
      <c r="E256">
        <f t="shared" ref="E256:E263" si="27">+$F$255</f>
        <v>4</v>
      </c>
      <c r="G256" t="s">
        <v>276</v>
      </c>
      <c r="H256" s="51">
        <v>3</v>
      </c>
      <c r="I256" s="51">
        <v>182</v>
      </c>
    </row>
    <row r="257" spans="5:9" x14ac:dyDescent="0.25">
      <c r="E257">
        <f t="shared" si="27"/>
        <v>4</v>
      </c>
      <c r="G257" t="s">
        <v>277</v>
      </c>
      <c r="H257" s="51">
        <v>2</v>
      </c>
      <c r="I257" s="51">
        <v>182</v>
      </c>
    </row>
    <row r="258" spans="5:9" x14ac:dyDescent="0.25">
      <c r="E258">
        <f t="shared" si="27"/>
        <v>4</v>
      </c>
      <c r="G258" t="s">
        <v>278</v>
      </c>
      <c r="H258">
        <v>2</v>
      </c>
      <c r="I258" s="51">
        <v>182</v>
      </c>
    </row>
    <row r="259" spans="5:9" x14ac:dyDescent="0.25">
      <c r="E259">
        <f t="shared" si="27"/>
        <v>4</v>
      </c>
      <c r="G259" t="s">
        <v>279</v>
      </c>
      <c r="H259" s="51">
        <v>1</v>
      </c>
      <c r="I259" s="51">
        <v>182</v>
      </c>
    </row>
    <row r="260" spans="5:9" x14ac:dyDescent="0.25">
      <c r="E260">
        <f t="shared" si="27"/>
        <v>4</v>
      </c>
      <c r="G260" t="s">
        <v>280</v>
      </c>
      <c r="H260">
        <v>3</v>
      </c>
      <c r="I260" s="51">
        <v>182</v>
      </c>
    </row>
    <row r="261" spans="5:9" x14ac:dyDescent="0.25">
      <c r="E261">
        <f t="shared" si="27"/>
        <v>4</v>
      </c>
      <c r="G261" t="s">
        <v>281</v>
      </c>
      <c r="H261" s="51"/>
      <c r="I261" s="51">
        <v>182</v>
      </c>
    </row>
    <row r="262" spans="5:9" x14ac:dyDescent="0.25">
      <c r="E262">
        <f t="shared" si="27"/>
        <v>4</v>
      </c>
      <c r="G262" t="s">
        <v>282</v>
      </c>
      <c r="H262" s="51">
        <v>3</v>
      </c>
      <c r="I262" s="51">
        <v>182</v>
      </c>
    </row>
    <row r="263" spans="5:9" x14ac:dyDescent="0.25">
      <c r="E263">
        <f t="shared" si="27"/>
        <v>4</v>
      </c>
      <c r="G263" t="s">
        <v>283</v>
      </c>
      <c r="H263" s="51">
        <v>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275</v>
      </c>
      <c r="H264" s="51">
        <v>1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276</v>
      </c>
      <c r="I265" s="51">
        <v>222</v>
      </c>
    </row>
    <row r="266" spans="5:9" x14ac:dyDescent="0.25">
      <c r="E266">
        <f t="shared" si="28"/>
        <v>40</v>
      </c>
      <c r="G266" t="s">
        <v>277</v>
      </c>
      <c r="H266" s="51">
        <v>2</v>
      </c>
      <c r="I266" s="51">
        <v>222</v>
      </c>
    </row>
    <row r="267" spans="5:9" x14ac:dyDescent="0.25">
      <c r="E267">
        <f t="shared" si="28"/>
        <v>40</v>
      </c>
      <c r="G267" t="s">
        <v>278</v>
      </c>
      <c r="H267" s="51"/>
      <c r="I267" s="51">
        <v>222</v>
      </c>
    </row>
    <row r="268" spans="5:9" x14ac:dyDescent="0.25">
      <c r="E268">
        <f t="shared" si="28"/>
        <v>40</v>
      </c>
      <c r="G268" t="s">
        <v>279</v>
      </c>
      <c r="H268">
        <v>2</v>
      </c>
      <c r="I268" s="51">
        <v>222</v>
      </c>
    </row>
    <row r="269" spans="5:9" x14ac:dyDescent="0.25">
      <c r="E269">
        <f t="shared" si="28"/>
        <v>40</v>
      </c>
      <c r="G269" t="s">
        <v>280</v>
      </c>
      <c r="H269" s="51">
        <v>2</v>
      </c>
      <c r="I269" s="51">
        <v>222</v>
      </c>
    </row>
    <row r="270" spans="5:9" x14ac:dyDescent="0.25">
      <c r="E270">
        <f t="shared" si="28"/>
        <v>40</v>
      </c>
      <c r="G270" t="s">
        <v>281</v>
      </c>
      <c r="H270" s="51"/>
      <c r="I270" s="51">
        <v>222</v>
      </c>
    </row>
    <row r="271" spans="5:9" x14ac:dyDescent="0.25">
      <c r="E271">
        <f t="shared" si="28"/>
        <v>40</v>
      </c>
      <c r="G271" t="s">
        <v>282</v>
      </c>
      <c r="H271" s="51"/>
      <c r="I271" s="51">
        <v>222</v>
      </c>
    </row>
    <row r="272" spans="5:9" x14ac:dyDescent="0.25">
      <c r="E272">
        <f t="shared" si="28"/>
        <v>40</v>
      </c>
      <c r="G272" t="s">
        <v>283</v>
      </c>
      <c r="H272" s="51"/>
      <c r="I272" s="51">
        <v>222</v>
      </c>
    </row>
    <row r="273" spans="5:9" x14ac:dyDescent="0.25">
      <c r="E273">
        <f>+$F$273</f>
        <v>42</v>
      </c>
      <c r="F273">
        <v>42</v>
      </c>
      <c r="G273" t="s">
        <v>275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276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277</v>
      </c>
      <c r="H275" s="51"/>
      <c r="I275" s="51">
        <v>52</v>
      </c>
    </row>
    <row r="276" spans="5:9" x14ac:dyDescent="0.25">
      <c r="E276">
        <f t="shared" si="29"/>
        <v>42</v>
      </c>
      <c r="G276" t="s">
        <v>278</v>
      </c>
      <c r="I276" s="51">
        <v>52</v>
      </c>
    </row>
    <row r="277" spans="5:9" x14ac:dyDescent="0.25">
      <c r="E277">
        <f t="shared" si="29"/>
        <v>42</v>
      </c>
      <c r="G277" t="s">
        <v>279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280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281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282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275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276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277</v>
      </c>
      <c r="I284" s="51">
        <v>93</v>
      </c>
    </row>
    <row r="285" spans="5:9" x14ac:dyDescent="0.25">
      <c r="E285">
        <f t="shared" si="30"/>
        <v>43</v>
      </c>
      <c r="G285" t="s">
        <v>278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279</v>
      </c>
      <c r="I286" s="51">
        <v>93</v>
      </c>
    </row>
    <row r="287" spans="5:9" x14ac:dyDescent="0.25">
      <c r="E287">
        <f t="shared" si="30"/>
        <v>43</v>
      </c>
      <c r="G287" t="s">
        <v>280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281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282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283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275</v>
      </c>
      <c r="H291">
        <v>2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276</v>
      </c>
      <c r="H292">
        <v>1</v>
      </c>
      <c r="I292" s="51">
        <v>171</v>
      </c>
    </row>
    <row r="293" spans="5:9" x14ac:dyDescent="0.25">
      <c r="E293">
        <f t="shared" si="31"/>
        <v>44</v>
      </c>
      <c r="G293" t="s">
        <v>277</v>
      </c>
      <c r="H293">
        <v>1</v>
      </c>
      <c r="I293" s="51">
        <v>171</v>
      </c>
    </row>
    <row r="294" spans="5:9" x14ac:dyDescent="0.25">
      <c r="E294">
        <f t="shared" si="31"/>
        <v>44</v>
      </c>
      <c r="G294" t="s">
        <v>278</v>
      </c>
      <c r="H294">
        <v>1</v>
      </c>
      <c r="I294" s="51">
        <v>171</v>
      </c>
    </row>
    <row r="295" spans="5:9" x14ac:dyDescent="0.25">
      <c r="E295">
        <f t="shared" si="31"/>
        <v>44</v>
      </c>
      <c r="G295" t="s">
        <v>279</v>
      </c>
      <c r="H295">
        <v>3</v>
      </c>
      <c r="I295" s="51">
        <v>171</v>
      </c>
    </row>
    <row r="296" spans="5:9" x14ac:dyDescent="0.25">
      <c r="E296">
        <f t="shared" si="31"/>
        <v>44</v>
      </c>
      <c r="G296" t="s">
        <v>280</v>
      </c>
      <c r="H296">
        <v>4</v>
      </c>
      <c r="I296" s="51">
        <v>171</v>
      </c>
    </row>
    <row r="297" spans="5:9" x14ac:dyDescent="0.25">
      <c r="E297">
        <f t="shared" si="31"/>
        <v>44</v>
      </c>
      <c r="G297" t="s">
        <v>281</v>
      </c>
      <c r="H297" s="51"/>
      <c r="I297" s="51">
        <v>171</v>
      </c>
    </row>
    <row r="298" spans="5:9" x14ac:dyDescent="0.25">
      <c r="E298">
        <f t="shared" si="31"/>
        <v>44</v>
      </c>
      <c r="G298" t="s">
        <v>282</v>
      </c>
      <c r="H298">
        <v>2</v>
      </c>
      <c r="I298" s="51">
        <v>171</v>
      </c>
    </row>
    <row r="299" spans="5:9" x14ac:dyDescent="0.25">
      <c r="E299">
        <f t="shared" si="31"/>
        <v>44</v>
      </c>
      <c r="G299" t="s">
        <v>283</v>
      </c>
      <c r="H299" s="51">
        <v>2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275</v>
      </c>
      <c r="H300" s="51"/>
      <c r="I300" s="51">
        <v>245</v>
      </c>
    </row>
    <row r="301" spans="5:9" x14ac:dyDescent="0.25">
      <c r="E301">
        <f t="shared" ref="E301:E308" si="32">+$F$300</f>
        <v>49</v>
      </c>
      <c r="G301" t="s">
        <v>276</v>
      </c>
      <c r="H301" s="51"/>
      <c r="I301" s="51">
        <v>245</v>
      </c>
    </row>
    <row r="302" spans="5:9" x14ac:dyDescent="0.25">
      <c r="E302">
        <f t="shared" si="32"/>
        <v>49</v>
      </c>
      <c r="G302" t="s">
        <v>277</v>
      </c>
      <c r="H302" s="51"/>
      <c r="I302" s="51">
        <v>245</v>
      </c>
    </row>
    <row r="303" spans="5:9" x14ac:dyDescent="0.25">
      <c r="E303">
        <f t="shared" si="32"/>
        <v>49</v>
      </c>
      <c r="G303" t="s">
        <v>278</v>
      </c>
      <c r="H303" s="51"/>
      <c r="I303" s="51">
        <v>245</v>
      </c>
    </row>
    <row r="304" spans="5:9" x14ac:dyDescent="0.25">
      <c r="E304">
        <f t="shared" si="32"/>
        <v>49</v>
      </c>
      <c r="G304" t="s">
        <v>279</v>
      </c>
      <c r="H304" s="51"/>
      <c r="I304" s="51">
        <v>245</v>
      </c>
    </row>
    <row r="305" spans="5:9" x14ac:dyDescent="0.25">
      <c r="E305">
        <f t="shared" si="32"/>
        <v>49</v>
      </c>
      <c r="G305" t="s">
        <v>280</v>
      </c>
      <c r="H305" s="51"/>
      <c r="I305" s="51">
        <v>245</v>
      </c>
    </row>
    <row r="306" spans="5:9" x14ac:dyDescent="0.25">
      <c r="E306">
        <f t="shared" si="32"/>
        <v>49</v>
      </c>
      <c r="G306" t="s">
        <v>281</v>
      </c>
      <c r="H306" s="51"/>
      <c r="I306" s="51">
        <v>245</v>
      </c>
    </row>
    <row r="307" spans="5:9" x14ac:dyDescent="0.25">
      <c r="E307">
        <f t="shared" si="32"/>
        <v>49</v>
      </c>
      <c r="G307" t="s">
        <v>282</v>
      </c>
      <c r="I307" s="51">
        <v>245</v>
      </c>
    </row>
    <row r="308" spans="5:9" x14ac:dyDescent="0.25">
      <c r="E308">
        <f t="shared" si="32"/>
        <v>49</v>
      </c>
      <c r="G308" t="s">
        <v>283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275</v>
      </c>
      <c r="H309">
        <v>3</v>
      </c>
      <c r="I309" s="51">
        <v>263</v>
      </c>
    </row>
    <row r="310" spans="5:9" x14ac:dyDescent="0.25">
      <c r="E310">
        <f t="shared" ref="E310:E317" si="33">+$F$309</f>
        <v>5</v>
      </c>
      <c r="G310" t="s">
        <v>276</v>
      </c>
      <c r="H310">
        <v>1</v>
      </c>
      <c r="I310" s="51">
        <v>263</v>
      </c>
    </row>
    <row r="311" spans="5:9" x14ac:dyDescent="0.25">
      <c r="E311">
        <f t="shared" si="33"/>
        <v>5</v>
      </c>
      <c r="G311" t="s">
        <v>277</v>
      </c>
      <c r="H311">
        <v>5</v>
      </c>
      <c r="I311" s="51">
        <v>263</v>
      </c>
    </row>
    <row r="312" spans="5:9" x14ac:dyDescent="0.25">
      <c r="E312">
        <f t="shared" si="33"/>
        <v>5</v>
      </c>
      <c r="G312" t="s">
        <v>278</v>
      </c>
      <c r="H312">
        <v>2</v>
      </c>
      <c r="I312" s="51">
        <v>263</v>
      </c>
    </row>
    <row r="313" spans="5:9" x14ac:dyDescent="0.25">
      <c r="E313">
        <f t="shared" si="33"/>
        <v>5</v>
      </c>
      <c r="G313" t="s">
        <v>279</v>
      </c>
      <c r="H313">
        <v>7</v>
      </c>
      <c r="I313" s="51">
        <v>263</v>
      </c>
    </row>
    <row r="314" spans="5:9" x14ac:dyDescent="0.25">
      <c r="E314">
        <f t="shared" si="33"/>
        <v>5</v>
      </c>
      <c r="G314" t="s">
        <v>280</v>
      </c>
      <c r="H314">
        <v>6</v>
      </c>
      <c r="I314" s="51">
        <v>263</v>
      </c>
    </row>
    <row r="315" spans="5:9" x14ac:dyDescent="0.25">
      <c r="E315">
        <f t="shared" si="33"/>
        <v>5</v>
      </c>
      <c r="G315" t="s">
        <v>281</v>
      </c>
      <c r="H315" s="51"/>
      <c r="I315" s="51">
        <v>263</v>
      </c>
    </row>
    <row r="316" spans="5:9" x14ac:dyDescent="0.25">
      <c r="E316">
        <f t="shared" si="33"/>
        <v>5</v>
      </c>
      <c r="G316" t="s">
        <v>282</v>
      </c>
      <c r="H316">
        <v>1</v>
      </c>
      <c r="I316" s="51">
        <v>263</v>
      </c>
    </row>
    <row r="317" spans="5:9" x14ac:dyDescent="0.25">
      <c r="E317">
        <f t="shared" si="33"/>
        <v>5</v>
      </c>
      <c r="G317" t="s">
        <v>283</v>
      </c>
      <c r="H317" s="51"/>
      <c r="I317" s="51">
        <v>263</v>
      </c>
    </row>
    <row r="318" spans="5:9" x14ac:dyDescent="0.25">
      <c r="E318">
        <f>+$F$318</f>
        <v>52</v>
      </c>
      <c r="F318">
        <v>52</v>
      </c>
      <c r="G318" t="s">
        <v>275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276</v>
      </c>
      <c r="H319" s="51"/>
      <c r="I319" s="51">
        <v>104</v>
      </c>
    </row>
    <row r="320" spans="5:9" x14ac:dyDescent="0.25">
      <c r="E320">
        <f t="shared" si="34"/>
        <v>52</v>
      </c>
      <c r="G320" t="s">
        <v>277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278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279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280</v>
      </c>
      <c r="I323" s="51">
        <v>104</v>
      </c>
    </row>
    <row r="324" spans="5:9" x14ac:dyDescent="0.25">
      <c r="E324">
        <f t="shared" si="34"/>
        <v>52</v>
      </c>
      <c r="G324" t="s">
        <v>281</v>
      </c>
      <c r="H324" s="51"/>
      <c r="I324" s="51">
        <v>104</v>
      </c>
    </row>
    <row r="325" spans="5:9" x14ac:dyDescent="0.25">
      <c r="E325">
        <f t="shared" si="34"/>
        <v>52</v>
      </c>
      <c r="G325" t="s">
        <v>282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283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275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276</v>
      </c>
      <c r="I328" s="51">
        <v>105</v>
      </c>
    </row>
    <row r="329" spans="5:9" x14ac:dyDescent="0.25">
      <c r="E329">
        <f t="shared" si="35"/>
        <v>53</v>
      </c>
      <c r="G329" t="s">
        <v>277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278</v>
      </c>
      <c r="I330" s="51">
        <v>105</v>
      </c>
    </row>
    <row r="331" spans="5:9" x14ac:dyDescent="0.25">
      <c r="E331">
        <f t="shared" si="35"/>
        <v>53</v>
      </c>
      <c r="G331" t="s">
        <v>279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280</v>
      </c>
      <c r="I332" s="51">
        <v>105</v>
      </c>
    </row>
    <row r="333" spans="5:9" x14ac:dyDescent="0.25">
      <c r="E333">
        <f t="shared" si="35"/>
        <v>53</v>
      </c>
      <c r="G333" t="s">
        <v>281</v>
      </c>
      <c r="H333" s="51">
        <v>3</v>
      </c>
      <c r="I333" s="51">
        <v>105</v>
      </c>
    </row>
    <row r="334" spans="5:9" x14ac:dyDescent="0.25">
      <c r="E334">
        <f t="shared" si="35"/>
        <v>53</v>
      </c>
      <c r="G334" t="s">
        <v>282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275</v>
      </c>
      <c r="H336" s="51">
        <v>1</v>
      </c>
      <c r="I336" s="51">
        <v>200</v>
      </c>
    </row>
    <row r="337" spans="5:9" x14ac:dyDescent="0.25">
      <c r="E337">
        <f t="shared" ref="E337:E344" si="36">+$F$336</f>
        <v>54</v>
      </c>
      <c r="G337" t="s">
        <v>276</v>
      </c>
      <c r="H337" s="51">
        <v>1</v>
      </c>
      <c r="I337" s="51">
        <v>200</v>
      </c>
    </row>
    <row r="338" spans="5:9" x14ac:dyDescent="0.25">
      <c r="E338">
        <f t="shared" si="36"/>
        <v>54</v>
      </c>
      <c r="G338" t="s">
        <v>277</v>
      </c>
      <c r="H338" s="51">
        <v>1</v>
      </c>
      <c r="I338" s="51">
        <v>200</v>
      </c>
    </row>
    <row r="339" spans="5:9" x14ac:dyDescent="0.25">
      <c r="E339">
        <f t="shared" si="36"/>
        <v>54</v>
      </c>
      <c r="G339" t="s">
        <v>278</v>
      </c>
      <c r="H339" s="51">
        <v>1</v>
      </c>
      <c r="I339" s="51">
        <v>200</v>
      </c>
    </row>
    <row r="340" spans="5:9" x14ac:dyDescent="0.25">
      <c r="E340">
        <f t="shared" si="36"/>
        <v>54</v>
      </c>
      <c r="G340" t="s">
        <v>279</v>
      </c>
      <c r="H340">
        <v>5</v>
      </c>
      <c r="I340" s="51">
        <v>200</v>
      </c>
    </row>
    <row r="341" spans="5:9" x14ac:dyDescent="0.25">
      <c r="E341">
        <f t="shared" si="36"/>
        <v>54</v>
      </c>
      <c r="G341" t="s">
        <v>280</v>
      </c>
      <c r="H341" s="51">
        <v>1</v>
      </c>
      <c r="I341" s="51">
        <v>200</v>
      </c>
    </row>
    <row r="342" spans="5:9" x14ac:dyDescent="0.25">
      <c r="E342">
        <f t="shared" si="36"/>
        <v>54</v>
      </c>
      <c r="G342" t="s">
        <v>281</v>
      </c>
      <c r="H342" s="51">
        <v>1</v>
      </c>
      <c r="I342" s="51">
        <v>200</v>
      </c>
    </row>
    <row r="343" spans="5:9" x14ac:dyDescent="0.25">
      <c r="E343">
        <f t="shared" si="36"/>
        <v>54</v>
      </c>
      <c r="G343" t="s">
        <v>282</v>
      </c>
      <c r="H343" s="51">
        <v>2</v>
      </c>
      <c r="I343" s="51">
        <v>200</v>
      </c>
    </row>
    <row r="344" spans="5:9" x14ac:dyDescent="0.25">
      <c r="E344">
        <f t="shared" si="36"/>
        <v>54</v>
      </c>
      <c r="G344" t="s">
        <v>283</v>
      </c>
      <c r="H344" s="51">
        <v>2</v>
      </c>
      <c r="I344" s="51">
        <v>200</v>
      </c>
    </row>
    <row r="345" spans="5:9" x14ac:dyDescent="0.25">
      <c r="E345">
        <f>+$F$345</f>
        <v>56</v>
      </c>
      <c r="F345">
        <v>56</v>
      </c>
      <c r="G345" t="s">
        <v>275</v>
      </c>
      <c r="H345">
        <v>2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276</v>
      </c>
      <c r="H346" s="51">
        <v>1</v>
      </c>
      <c r="I346" s="51">
        <v>200</v>
      </c>
    </row>
    <row r="347" spans="5:9" x14ac:dyDescent="0.25">
      <c r="E347">
        <f t="shared" si="37"/>
        <v>56</v>
      </c>
      <c r="G347" t="s">
        <v>277</v>
      </c>
      <c r="H347" s="51">
        <v>4</v>
      </c>
      <c r="I347" s="51">
        <v>200</v>
      </c>
    </row>
    <row r="348" spans="5:9" x14ac:dyDescent="0.25">
      <c r="E348">
        <f t="shared" si="37"/>
        <v>56</v>
      </c>
      <c r="G348" t="s">
        <v>278</v>
      </c>
      <c r="H348">
        <v>1</v>
      </c>
      <c r="I348" s="51">
        <v>200</v>
      </c>
    </row>
    <row r="349" spans="5:9" x14ac:dyDescent="0.25">
      <c r="E349">
        <f t="shared" si="37"/>
        <v>56</v>
      </c>
      <c r="G349" t="s">
        <v>279</v>
      </c>
      <c r="H349" s="51">
        <v>1</v>
      </c>
      <c r="I349" s="51">
        <v>200</v>
      </c>
    </row>
    <row r="350" spans="5:9" x14ac:dyDescent="0.25">
      <c r="E350">
        <f t="shared" si="37"/>
        <v>56</v>
      </c>
      <c r="G350" t="s">
        <v>280</v>
      </c>
      <c r="H350" s="51"/>
      <c r="I350" s="51">
        <v>200</v>
      </c>
    </row>
    <row r="351" spans="5:9" x14ac:dyDescent="0.25">
      <c r="E351">
        <f t="shared" si="37"/>
        <v>56</v>
      </c>
      <c r="G351" t="s">
        <v>281</v>
      </c>
      <c r="H351" s="51">
        <v>1</v>
      </c>
      <c r="I351" s="51">
        <v>200</v>
      </c>
    </row>
    <row r="352" spans="5:9" x14ac:dyDescent="0.25">
      <c r="E352">
        <f t="shared" si="37"/>
        <v>56</v>
      </c>
      <c r="G352" t="s">
        <v>282</v>
      </c>
      <c r="I352" s="51">
        <v>200</v>
      </c>
    </row>
    <row r="353" spans="5:9" x14ac:dyDescent="0.25">
      <c r="E353">
        <f t="shared" si="37"/>
        <v>56</v>
      </c>
      <c r="G353" t="s">
        <v>283</v>
      </c>
      <c r="H353" s="51">
        <v>1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275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276</v>
      </c>
      <c r="H355" s="51">
        <v>2</v>
      </c>
      <c r="I355" s="51">
        <v>103</v>
      </c>
    </row>
    <row r="356" spans="5:9" x14ac:dyDescent="0.25">
      <c r="E356">
        <f t="shared" si="38"/>
        <v>57</v>
      </c>
      <c r="G356" t="s">
        <v>277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278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279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280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281</v>
      </c>
      <c r="H360" s="51">
        <v>3</v>
      </c>
      <c r="I360" s="51">
        <v>103</v>
      </c>
    </row>
    <row r="361" spans="5:9" x14ac:dyDescent="0.25">
      <c r="E361">
        <f t="shared" si="38"/>
        <v>57</v>
      </c>
      <c r="G361" t="s">
        <v>282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283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275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276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277</v>
      </c>
      <c r="H365" s="51"/>
      <c r="I365" s="51">
        <v>83</v>
      </c>
    </row>
    <row r="366" spans="5:9" x14ac:dyDescent="0.25">
      <c r="E366">
        <f t="shared" si="39"/>
        <v>58</v>
      </c>
      <c r="G366" t="s">
        <v>278</v>
      </c>
      <c r="H366" s="51"/>
      <c r="I366" s="51">
        <v>83</v>
      </c>
    </row>
    <row r="367" spans="5:9" x14ac:dyDescent="0.25">
      <c r="E367">
        <f t="shared" si="39"/>
        <v>58</v>
      </c>
      <c r="G367" t="s">
        <v>279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280</v>
      </c>
      <c r="H368" s="51"/>
      <c r="I368" s="51">
        <v>83</v>
      </c>
    </row>
    <row r="369" spans="5:9" x14ac:dyDescent="0.25">
      <c r="E369">
        <f t="shared" si="39"/>
        <v>58</v>
      </c>
      <c r="G369" t="s">
        <v>281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282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275</v>
      </c>
      <c r="I372">
        <v>126</v>
      </c>
    </row>
    <row r="373" spans="5:9" x14ac:dyDescent="0.25">
      <c r="E373">
        <f t="shared" ref="E373:E380" si="40">+$F$372</f>
        <v>59</v>
      </c>
      <c r="G373" t="s">
        <v>276</v>
      </c>
      <c r="I373">
        <v>126</v>
      </c>
    </row>
    <row r="374" spans="5:9" x14ac:dyDescent="0.25">
      <c r="E374">
        <f t="shared" si="40"/>
        <v>59</v>
      </c>
      <c r="G374" t="s">
        <v>277</v>
      </c>
      <c r="I374">
        <v>126</v>
      </c>
    </row>
    <row r="375" spans="5:9" x14ac:dyDescent="0.25">
      <c r="E375">
        <f t="shared" si="40"/>
        <v>59</v>
      </c>
      <c r="G375" t="s">
        <v>278</v>
      </c>
      <c r="I375">
        <v>126</v>
      </c>
    </row>
    <row r="376" spans="5:9" x14ac:dyDescent="0.25">
      <c r="E376">
        <f t="shared" si="40"/>
        <v>59</v>
      </c>
      <c r="G376" t="s">
        <v>279</v>
      </c>
      <c r="I376">
        <v>126</v>
      </c>
    </row>
    <row r="377" spans="5:9" x14ac:dyDescent="0.25">
      <c r="E377">
        <f t="shared" si="40"/>
        <v>59</v>
      </c>
      <c r="G377" t="s">
        <v>280</v>
      </c>
      <c r="I377">
        <v>126</v>
      </c>
    </row>
    <row r="378" spans="5:9" x14ac:dyDescent="0.25">
      <c r="E378">
        <f t="shared" si="40"/>
        <v>59</v>
      </c>
      <c r="G378" t="s">
        <v>281</v>
      </c>
      <c r="I378">
        <v>126</v>
      </c>
    </row>
    <row r="379" spans="5:9" x14ac:dyDescent="0.25">
      <c r="E379">
        <f t="shared" si="40"/>
        <v>59</v>
      </c>
      <c r="G379" t="s">
        <v>282</v>
      </c>
      <c r="I379">
        <v>126</v>
      </c>
    </row>
    <row r="380" spans="5:9" x14ac:dyDescent="0.25">
      <c r="E380">
        <f t="shared" si="40"/>
        <v>59</v>
      </c>
      <c r="G380" t="s">
        <v>283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275</v>
      </c>
      <c r="I381">
        <v>68</v>
      </c>
    </row>
    <row r="382" spans="5:9" x14ac:dyDescent="0.25">
      <c r="E382">
        <f t="shared" ref="E382:E389" si="41">+$F$381</f>
        <v>60</v>
      </c>
      <c r="G382" t="s">
        <v>276</v>
      </c>
      <c r="I382">
        <v>68</v>
      </c>
    </row>
    <row r="383" spans="5:9" x14ac:dyDescent="0.25">
      <c r="E383">
        <f t="shared" si="41"/>
        <v>60</v>
      </c>
      <c r="G383" t="s">
        <v>277</v>
      </c>
      <c r="I383">
        <v>68</v>
      </c>
    </row>
    <row r="384" spans="5:9" x14ac:dyDescent="0.25">
      <c r="E384">
        <f t="shared" si="41"/>
        <v>60</v>
      </c>
      <c r="G384" t="s">
        <v>278</v>
      </c>
      <c r="I384">
        <v>68</v>
      </c>
    </row>
    <row r="385" spans="5:9" x14ac:dyDescent="0.25">
      <c r="E385">
        <f t="shared" si="41"/>
        <v>60</v>
      </c>
      <c r="G385" t="s">
        <v>279</v>
      </c>
      <c r="I385">
        <v>68</v>
      </c>
    </row>
    <row r="386" spans="5:9" x14ac:dyDescent="0.25">
      <c r="E386">
        <f t="shared" si="41"/>
        <v>60</v>
      </c>
      <c r="G386" t="s">
        <v>280</v>
      </c>
      <c r="I386">
        <v>68</v>
      </c>
    </row>
    <row r="387" spans="5:9" x14ac:dyDescent="0.25">
      <c r="E387">
        <f t="shared" si="41"/>
        <v>60</v>
      </c>
      <c r="G387" t="s">
        <v>281</v>
      </c>
      <c r="I387">
        <v>68</v>
      </c>
    </row>
    <row r="388" spans="5:9" x14ac:dyDescent="0.25">
      <c r="E388">
        <f t="shared" si="41"/>
        <v>60</v>
      </c>
      <c r="G388" t="s">
        <v>282</v>
      </c>
      <c r="I388">
        <v>68</v>
      </c>
    </row>
    <row r="389" spans="5:9" x14ac:dyDescent="0.25">
      <c r="E389">
        <f t="shared" si="41"/>
        <v>60</v>
      </c>
      <c r="G389" t="s">
        <v>283</v>
      </c>
      <c r="I389">
        <v>68</v>
      </c>
    </row>
    <row r="390" spans="5:9" x14ac:dyDescent="0.25">
      <c r="E390">
        <f>+$F$390</f>
        <v>7</v>
      </c>
      <c r="F390">
        <v>7</v>
      </c>
      <c r="G390" t="s">
        <v>275</v>
      </c>
      <c r="I390">
        <v>117</v>
      </c>
    </row>
    <row r="391" spans="5:9" x14ac:dyDescent="0.25">
      <c r="E391">
        <f t="shared" ref="E391:E398" si="42">+$F$390</f>
        <v>7</v>
      </c>
      <c r="G391" t="s">
        <v>276</v>
      </c>
      <c r="I391">
        <v>117</v>
      </c>
    </row>
    <row r="392" spans="5:9" x14ac:dyDescent="0.25">
      <c r="E392">
        <f t="shared" si="42"/>
        <v>7</v>
      </c>
      <c r="G392" t="s">
        <v>277</v>
      </c>
      <c r="I392">
        <v>117</v>
      </c>
    </row>
    <row r="393" spans="5:9" x14ac:dyDescent="0.25">
      <c r="E393">
        <f t="shared" si="42"/>
        <v>7</v>
      </c>
      <c r="G393" t="s">
        <v>278</v>
      </c>
      <c r="I393">
        <v>117</v>
      </c>
    </row>
    <row r="394" spans="5:9" x14ac:dyDescent="0.25">
      <c r="E394">
        <f t="shared" si="42"/>
        <v>7</v>
      </c>
      <c r="G394" t="s">
        <v>279</v>
      </c>
      <c r="I394">
        <v>117</v>
      </c>
    </row>
    <row r="395" spans="5:9" x14ac:dyDescent="0.25">
      <c r="E395">
        <f t="shared" si="42"/>
        <v>7</v>
      </c>
      <c r="G395" t="s">
        <v>280</v>
      </c>
      <c r="I395">
        <v>117</v>
      </c>
    </row>
    <row r="396" spans="5:9" x14ac:dyDescent="0.25">
      <c r="E396">
        <f t="shared" si="42"/>
        <v>7</v>
      </c>
      <c r="G396" t="s">
        <v>281</v>
      </c>
      <c r="I396">
        <v>117</v>
      </c>
    </row>
    <row r="397" spans="5:9" x14ac:dyDescent="0.25">
      <c r="E397">
        <f t="shared" si="42"/>
        <v>7</v>
      </c>
      <c r="G397" t="s">
        <v>282</v>
      </c>
      <c r="I397">
        <v>117</v>
      </c>
    </row>
    <row r="398" spans="5:9" x14ac:dyDescent="0.25">
      <c r="E398">
        <f t="shared" si="42"/>
        <v>7</v>
      </c>
      <c r="G398" t="s">
        <v>283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275</v>
      </c>
      <c r="H399">
        <v>1</v>
      </c>
      <c r="I399">
        <v>199</v>
      </c>
    </row>
    <row r="400" spans="5:9" x14ac:dyDescent="0.25">
      <c r="E400">
        <f t="shared" ref="E400:E407" si="43">+$F$399</f>
        <v>8</v>
      </c>
      <c r="G400" t="s">
        <v>276</v>
      </c>
      <c r="I400">
        <v>199</v>
      </c>
    </row>
    <row r="401" spans="5:9" x14ac:dyDescent="0.25">
      <c r="E401">
        <f t="shared" si="43"/>
        <v>8</v>
      </c>
      <c r="G401" t="s">
        <v>277</v>
      </c>
      <c r="H401">
        <v>2</v>
      </c>
      <c r="I401">
        <v>199</v>
      </c>
    </row>
    <row r="402" spans="5:9" x14ac:dyDescent="0.25">
      <c r="E402">
        <f t="shared" si="43"/>
        <v>8</v>
      </c>
      <c r="G402" t="s">
        <v>278</v>
      </c>
      <c r="H402">
        <v>1</v>
      </c>
      <c r="I402">
        <v>199</v>
      </c>
    </row>
    <row r="403" spans="5:9" x14ac:dyDescent="0.25">
      <c r="E403">
        <f t="shared" si="43"/>
        <v>8</v>
      </c>
      <c r="G403" t="s">
        <v>279</v>
      </c>
      <c r="H403">
        <v>2</v>
      </c>
      <c r="I403">
        <v>199</v>
      </c>
    </row>
    <row r="404" spans="5:9" x14ac:dyDescent="0.25">
      <c r="E404">
        <f t="shared" si="43"/>
        <v>8</v>
      </c>
      <c r="G404" t="s">
        <v>280</v>
      </c>
      <c r="H404">
        <v>1</v>
      </c>
      <c r="I404">
        <v>199</v>
      </c>
    </row>
    <row r="405" spans="5:9" x14ac:dyDescent="0.25">
      <c r="E405">
        <f t="shared" si="43"/>
        <v>8</v>
      </c>
      <c r="G405" t="s">
        <v>281</v>
      </c>
      <c r="I405">
        <v>199</v>
      </c>
    </row>
    <row r="406" spans="5:9" x14ac:dyDescent="0.25">
      <c r="E406">
        <f t="shared" si="43"/>
        <v>8</v>
      </c>
      <c r="G406" t="s">
        <v>282</v>
      </c>
      <c r="I406">
        <v>199</v>
      </c>
    </row>
    <row r="407" spans="5:9" x14ac:dyDescent="0.25">
      <c r="E407">
        <f t="shared" si="43"/>
        <v>8</v>
      </c>
      <c r="G407" t="s">
        <v>283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275</v>
      </c>
      <c r="H408">
        <v>3</v>
      </c>
      <c r="I408">
        <v>157</v>
      </c>
    </row>
    <row r="409" spans="5:9" x14ac:dyDescent="0.25">
      <c r="E409">
        <f t="shared" ref="E409:E416" si="44">+$F$408</f>
        <v>9</v>
      </c>
      <c r="G409" t="s">
        <v>276</v>
      </c>
      <c r="H409">
        <v>3</v>
      </c>
      <c r="I409">
        <v>157</v>
      </c>
    </row>
    <row r="410" spans="5:9" x14ac:dyDescent="0.25">
      <c r="E410">
        <f t="shared" si="44"/>
        <v>9</v>
      </c>
      <c r="G410" t="s">
        <v>277</v>
      </c>
      <c r="H410">
        <v>4</v>
      </c>
      <c r="I410">
        <v>157</v>
      </c>
    </row>
    <row r="411" spans="5:9" x14ac:dyDescent="0.25">
      <c r="E411">
        <f t="shared" si="44"/>
        <v>9</v>
      </c>
      <c r="G411" t="s">
        <v>278</v>
      </c>
      <c r="H411">
        <v>2</v>
      </c>
      <c r="I411">
        <v>157</v>
      </c>
    </row>
    <row r="412" spans="5:9" x14ac:dyDescent="0.25">
      <c r="E412">
        <f t="shared" si="44"/>
        <v>9</v>
      </c>
      <c r="G412" t="s">
        <v>279</v>
      </c>
      <c r="H412">
        <v>5</v>
      </c>
      <c r="I412">
        <v>157</v>
      </c>
    </row>
    <row r="413" spans="5:9" x14ac:dyDescent="0.25">
      <c r="E413">
        <f t="shared" si="44"/>
        <v>9</v>
      </c>
      <c r="G413" t="s">
        <v>280</v>
      </c>
      <c r="H413">
        <v>4</v>
      </c>
      <c r="I413">
        <v>157</v>
      </c>
    </row>
    <row r="414" spans="5:9" x14ac:dyDescent="0.25">
      <c r="E414">
        <f t="shared" si="44"/>
        <v>9</v>
      </c>
      <c r="G414" t="s">
        <v>281</v>
      </c>
      <c r="I414">
        <v>157</v>
      </c>
    </row>
    <row r="415" spans="5:9" x14ac:dyDescent="0.25">
      <c r="E415">
        <f t="shared" si="44"/>
        <v>9</v>
      </c>
      <c r="G415" t="s">
        <v>282</v>
      </c>
      <c r="H415">
        <v>1</v>
      </c>
      <c r="I415">
        <v>157</v>
      </c>
    </row>
    <row r="416" spans="5:9" x14ac:dyDescent="0.25">
      <c r="E416">
        <f t="shared" si="44"/>
        <v>9</v>
      </c>
      <c r="G416" t="s">
        <v>283</v>
      </c>
      <c r="H416">
        <v>2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5.8634259259259247E-2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0.11809027777777781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7.9409722222222257E-2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0.10239583333333335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0.17619212962962966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0.11876157407407406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8.6261574074074088E-2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0.11979166666666663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 t="e">
        <v>#DIV/0!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0.10409722222222223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0.10127314814814814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6.4120370370370383E-2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9.5787037037037004E-2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0.1052777777777778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0.10234953703703709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8.6643518518518481E-2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1.8171296296296546E-3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1.8171296296296546E-3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0.15884259259259265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0.11118055555555556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4.7465277777777759E-2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7.979166666666665E-2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6.5960648148148171E-2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8.0740740740740724E-2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8.065972222222223E-2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9.9803240740740762E-2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9.1365740740740775E-2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0.12841435185185185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2.4548611111111118E-2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8.4999999999999964E-2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7.6006944444444446E-2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0.10780092592592594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 t="e">
        <v>#DIV/0!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 t="e">
        <v>#DIV/0!</v>
      </c>
    </row>
    <row r="36" spans="1:4" x14ac:dyDescent="0.25">
      <c r="A36" s="133" t="s">
        <v>263</v>
      </c>
      <c r="B36" s="133" t="str">
        <f>+AVANCE!B36</f>
        <v>57 - ROUBINEAU SEBASTIAN</v>
      </c>
      <c r="C36" s="131"/>
      <c r="D36" s="131">
        <v>0.11476851851851849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221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workbookViewId="0">
      <selection activeCell="E20" sqref="E2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N48"/>
  <sheetViews>
    <sheetView workbookViewId="0">
      <selection sqref="A1:XFD1048576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  <col min="14" max="14" width="5.140625" bestFit="1" customWidth="1"/>
  </cols>
  <sheetData>
    <row r="1" spans="1:14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IFERROR(+VLOOKUP(B2,[1]COMISIONES!A:E,5,FALSE),"0")*1</f>
        <v>47694545.197641112</v>
      </c>
      <c r="E2" s="59">
        <v>46836440.414370194</v>
      </c>
      <c r="F2" s="59">
        <f t="shared" ref="F2:F9" si="0">+D2-E2</f>
        <v>858104.78327091783</v>
      </c>
      <c r="G2" s="60">
        <f t="shared" ref="G2:G47" si="1">+D2/C2</f>
        <v>1.4775684488174921</v>
      </c>
      <c r="H2" s="59">
        <f>+D2/$N$3*$N$4</f>
        <v>47694545.197641112</v>
      </c>
      <c r="I2" s="60">
        <f t="shared" ref="I2:I48" si="2">+H2/C2</f>
        <v>1.4775684488174921</v>
      </c>
      <c r="J2" s="59">
        <f>+D2/$N$3</f>
        <v>1834405.584524658</v>
      </c>
      <c r="K2" s="59" t="e">
        <f t="shared" ref="K2:K47" si="3">+(C2-D2)/$N$2</f>
        <v>#DIV/0!</v>
      </c>
      <c r="L2" s="61" cm="1">
        <f t="array" ref="L2">+_xlfn.IFS(I2&gt;114%,H2*0.02,I2&gt;109%,H2*0.015,I2&gt;104%,H2*0.0125,I2&gt;99%,H2*0.01,I2&lt;99%,H2*0)</f>
        <v>953890.90395282221</v>
      </c>
      <c r="M2" s="53" t="s">
        <v>36</v>
      </c>
      <c r="N2">
        <v>0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IFERROR(+VLOOKUP(B3,[1]COMISIONES!A:E,5,FALSE),"0")*1</f>
        <v>45343703.465104036</v>
      </c>
      <c r="E3" s="4">
        <v>44411092.294184931</v>
      </c>
      <c r="F3" s="59">
        <f t="shared" si="0"/>
        <v>932611.17091910541</v>
      </c>
      <c r="G3" s="5">
        <f t="shared" si="1"/>
        <v>1.4635155175265915</v>
      </c>
      <c r="H3" s="4">
        <f t="shared" ref="H3:H47" si="4">+D3/$N$3*$N$4</f>
        <v>45343703.465104036</v>
      </c>
      <c r="I3" s="5">
        <f t="shared" si="2"/>
        <v>1.4635155175265915</v>
      </c>
      <c r="J3" s="4">
        <f t="shared" ref="J3:J47" si="5">+D3/$N$3</f>
        <v>1743988.5948116938</v>
      </c>
      <c r="K3" s="4" t="e">
        <f t="shared" si="3"/>
        <v>#DIV/0!</v>
      </c>
      <c r="L3" s="63" cm="1">
        <f t="array" ref="L3">+_xlfn.IFS(I3&gt;114%,H3*0.02,I3&gt;109%,H3*0.015,I3&gt;104%,H3*0.0125,I3&gt;99%,H3*0.01,I3&lt;99%,H3*0)</f>
        <v>906874.06930208078</v>
      </c>
      <c r="M3" s="53" t="s">
        <v>40</v>
      </c>
      <c r="N3">
        <f>N4-N2</f>
        <v>26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IFERROR(+VLOOKUP(B4,[1]COMISIONES!A:E,5,FALSE),"0")*1</f>
        <v>33033542.72394577</v>
      </c>
      <c r="E4" s="4">
        <v>32436772.657611098</v>
      </c>
      <c r="F4" s="59">
        <f t="shared" si="0"/>
        <v>596770.06633467227</v>
      </c>
      <c r="G4" s="5">
        <f t="shared" si="1"/>
        <v>1.1635613367680833</v>
      </c>
      <c r="H4" s="4">
        <f t="shared" si="4"/>
        <v>33033542.723945767</v>
      </c>
      <c r="I4" s="5">
        <f t="shared" si="2"/>
        <v>1.163561336768083</v>
      </c>
      <c r="J4" s="4">
        <f t="shared" si="5"/>
        <v>1270520.8739979141</v>
      </c>
      <c r="K4" s="4" t="e">
        <f t="shared" si="3"/>
        <v>#DIV/0!</v>
      </c>
      <c r="L4" s="63" cm="1">
        <f t="array" ref="L4">+_xlfn.IFS(I4&gt;114%,H4*0.02,I4&gt;109%,H4*0.015,I4&gt;104%,H4*0.0125,I4&gt;99%,H4*0.01,I4&lt;99%,H4*0)</f>
        <v>660670.85447891534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IFERROR(+VLOOKUP(B5,[1]COMISIONES!A:E,5,FALSE),"0")*1</f>
        <v>37562080.648648612</v>
      </c>
      <c r="E5" s="4">
        <v>36453782.541685887</v>
      </c>
      <c r="F5" s="59">
        <f t="shared" si="0"/>
        <v>1108298.1069627255</v>
      </c>
      <c r="G5" s="5">
        <f t="shared" si="1"/>
        <v>1.3230728879603375</v>
      </c>
      <c r="H5" s="4">
        <f t="shared" si="4"/>
        <v>37562080.648648612</v>
      </c>
      <c r="I5" s="5">
        <f t="shared" si="2"/>
        <v>1.3230728879603375</v>
      </c>
      <c r="J5" s="4">
        <f t="shared" si="5"/>
        <v>1444695.4095634082</v>
      </c>
      <c r="K5" s="4" t="e">
        <f t="shared" si="3"/>
        <v>#DIV/0!</v>
      </c>
      <c r="L5" s="63" cm="1">
        <f t="array" ref="L5">+_xlfn.IFS(I5&gt;114%,H5*0.02,I5&gt;109%,H5*0.015,I5&gt;104%,H5*0.0125,I5&gt;99%,H5*0.01,I5&lt;99%,H5*0)</f>
        <v>751241.61297297222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IFERROR(+VLOOKUP(B6,[1]COMISIONES!A:E,5,FALSE),"0")*1</f>
        <v>28724369.683473486</v>
      </c>
      <c r="E6" s="4">
        <v>27932712.401447035</v>
      </c>
      <c r="F6" s="59">
        <f t="shared" si="0"/>
        <v>791657.28202645108</v>
      </c>
      <c r="G6" s="5">
        <f t="shared" si="1"/>
        <v>1.2208213682670352</v>
      </c>
      <c r="H6" s="4">
        <f t="shared" si="4"/>
        <v>28724369.683473486</v>
      </c>
      <c r="I6" s="5">
        <f t="shared" si="2"/>
        <v>1.2208213682670352</v>
      </c>
      <c r="J6" s="4">
        <f t="shared" si="5"/>
        <v>1104783.4493643648</v>
      </c>
      <c r="K6" s="4" t="e">
        <f t="shared" si="3"/>
        <v>#DIV/0!</v>
      </c>
      <c r="L6" s="63" cm="1">
        <f t="array" ref="L6">+_xlfn.IFS(I6&gt;114%,H6*0.02,I6&gt;109%,H6*0.015,I6&gt;104%,H6*0.0125,I6&gt;99%,H6*0.01,I6&lt;99%,H6*0)</f>
        <v>574487.39366946975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f>IFERROR(+VLOOKUP(B7,[1]COMISIONES!A:E,5,FALSE),"0")*1</f>
        <v>22267052.806140915</v>
      </c>
      <c r="E7" s="4">
        <v>21361654.623240348</v>
      </c>
      <c r="F7" s="59">
        <f t="shared" si="0"/>
        <v>905398.18290056661</v>
      </c>
      <c r="G7" s="5">
        <f t="shared" si="1"/>
        <v>0.80265184777243004</v>
      </c>
      <c r="H7" s="4">
        <f t="shared" si="4"/>
        <v>22267052.806140915</v>
      </c>
      <c r="I7" s="5">
        <f t="shared" si="2"/>
        <v>0.80265184777243004</v>
      </c>
      <c r="J7" s="4">
        <f t="shared" si="5"/>
        <v>856425.10792849667</v>
      </c>
      <c r="K7" s="4" t="e">
        <f t="shared" si="3"/>
        <v>#DIV/0!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IFERROR(+VLOOKUP(B8,[1]COMISIONES!A:E,5,FALSE),"0")*1</f>
        <v>42645282.505189985</v>
      </c>
      <c r="E8" s="4">
        <v>40968098.45140481</v>
      </c>
      <c r="F8" s="59">
        <f t="shared" si="0"/>
        <v>1677184.0537851751</v>
      </c>
      <c r="G8" s="5">
        <f t="shared" si="1"/>
        <v>1.1901760348995576</v>
      </c>
      <c r="H8" s="4">
        <f t="shared" si="4"/>
        <v>42645282.505189985</v>
      </c>
      <c r="I8" s="5">
        <f t="shared" si="2"/>
        <v>1.1901760348995576</v>
      </c>
      <c r="J8" s="4">
        <f t="shared" si="5"/>
        <v>1640203.1732765378</v>
      </c>
      <c r="K8" s="4" t="e">
        <f t="shared" si="3"/>
        <v>#DIV/0!</v>
      </c>
      <c r="L8" s="63" cm="1">
        <f t="array" ref="L8">+_xlfn.IFS(I8&gt;114%,H8*0.02,I8&gt;109%,H8*0.015,I8&gt;104%,H8*0.0125,I8&gt;99%,H8*0.01,I8&lt;99%,H8*0)</f>
        <v>852905.65010379977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IFERROR(+VLOOKUP(B9,[1]COMISIONES!A:E,5,FALSE),"0")*1</f>
        <v>43796429.304356754</v>
      </c>
      <c r="E9" s="4">
        <v>43105817.797800437</v>
      </c>
      <c r="F9" s="59">
        <f t="shared" si="0"/>
        <v>690611.50655631721</v>
      </c>
      <c r="G9" s="5">
        <f t="shared" si="1"/>
        <v>1.2223030898171299</v>
      </c>
      <c r="H9" s="4">
        <f t="shared" si="4"/>
        <v>43796429.304356754</v>
      </c>
      <c r="I9" s="5">
        <f t="shared" si="2"/>
        <v>1.2223030898171299</v>
      </c>
      <c r="J9" s="4">
        <f t="shared" si="5"/>
        <v>1684478.0501675676</v>
      </c>
      <c r="K9" s="4" t="e">
        <f t="shared" si="3"/>
        <v>#DIV/0!</v>
      </c>
      <c r="L9" s="63" cm="1">
        <f t="array" ref="L9">+_xlfn.IFS(I9&gt;114%,H9*0.02,I9&gt;109%,H9*0.015,I9&gt;104%,H9*0.0125,I9&gt;99%,H9*0.01,I9&lt;99%,H9*0)</f>
        <v>875928.58608713513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301067006.33450067</v>
      </c>
      <c r="E10" s="64">
        <v>293506371.18174475</v>
      </c>
      <c r="F10" s="66">
        <f>+D10-E10</f>
        <v>7560635.1527559161</v>
      </c>
      <c r="G10" s="65">
        <f t="shared" si="1"/>
        <v>1.2390884338128341</v>
      </c>
      <c r="H10" s="64">
        <f t="shared" si="4"/>
        <v>301067006.33450067</v>
      </c>
      <c r="I10" s="65">
        <f t="shared" si="2"/>
        <v>1.2390884338128341</v>
      </c>
      <c r="J10" s="64">
        <f t="shared" si="5"/>
        <v>11579500.243634641</v>
      </c>
      <c r="K10" s="66" t="e">
        <f t="shared" si="3"/>
        <v>#DIV/0!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IFERROR(+VLOOKUP(B11,[1]COMISIONES!A:E,5,FALSE),"0")*1</f>
        <v>119458907.73264194</v>
      </c>
      <c r="E11" s="59">
        <v>116705294.416097</v>
      </c>
      <c r="F11" s="59">
        <f t="shared" ref="F11:F14" si="6">+D11-E11</f>
        <v>2753613.3165449351</v>
      </c>
      <c r="G11" s="60">
        <f t="shared" si="1"/>
        <v>1.2318913830746667</v>
      </c>
      <c r="H11" s="59">
        <f t="shared" si="4"/>
        <v>119458907.73264194</v>
      </c>
      <c r="I11" s="60">
        <f t="shared" si="2"/>
        <v>1.2318913830746667</v>
      </c>
      <c r="J11" s="59">
        <f t="shared" si="5"/>
        <v>4594573.3743323823</v>
      </c>
      <c r="K11" s="59" t="e">
        <f t="shared" si="3"/>
        <v>#DIV/0!</v>
      </c>
      <c r="L11" s="61" cm="1">
        <f t="array" ref="L11">+_xlfn.IFS(I11&gt;114%,H11*0.0125,I11&gt;109%,H11*0.01,I11&gt;104%,H11*0.0075,I11&gt;99%,H11*0.005,I11&lt;99%,H11*0)</f>
        <v>1493236.3466580242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IFERROR(+VLOOKUP(B12,[1]COMISIONES!A:E,5,FALSE),"0")*1</f>
        <v>139375948.61764529</v>
      </c>
      <c r="E12" s="4">
        <v>128019920.63498563</v>
      </c>
      <c r="F12" s="59">
        <f t="shared" si="6"/>
        <v>11356027.982659668</v>
      </c>
      <c r="G12" s="5">
        <f t="shared" si="1"/>
        <v>1.0857876019972654</v>
      </c>
      <c r="H12" s="4">
        <f t="shared" si="4"/>
        <v>139375948.61764529</v>
      </c>
      <c r="I12" s="5">
        <f t="shared" si="2"/>
        <v>1.0857876019972654</v>
      </c>
      <c r="J12" s="4">
        <f t="shared" si="5"/>
        <v>5360613.4083709726</v>
      </c>
      <c r="K12" s="4" t="e">
        <f t="shared" si="3"/>
        <v>#DIV/0!</v>
      </c>
      <c r="L12" s="63" cm="1">
        <f t="array" ref="L12">+_xlfn.IFS(I12&gt;114%,H12*0.0125,I12&gt;109%,H12*0.01,I12&gt;104%,H12*0.0075,I12&gt;99%,H12*0.005,I12&lt;99%,H12*0)</f>
        <v>1045319.6146323397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f>IFERROR(+VLOOKUP(B13,[1]COMISIONES!A:E,5,FALSE),"0")*1</f>
        <v>38452846.108100735</v>
      </c>
      <c r="E13" s="4">
        <v>36536665.120000735</v>
      </c>
      <c r="F13" s="59">
        <f t="shared" si="6"/>
        <v>1916180.9880999997</v>
      </c>
      <c r="G13" s="5">
        <f t="shared" si="1"/>
        <v>0.90585865665541665</v>
      </c>
      <c r="H13" s="4">
        <f t="shared" si="4"/>
        <v>38452846.108100735</v>
      </c>
      <c r="I13" s="5">
        <f t="shared" si="2"/>
        <v>0.90585865665541665</v>
      </c>
      <c r="J13" s="4">
        <f t="shared" si="5"/>
        <v>1478955.6195423359</v>
      </c>
      <c r="K13" s="4" t="e">
        <f t="shared" si="3"/>
        <v>#DIV/0!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IFERROR(+VLOOKUP(B14,[1]COMISIONES!A:E,5,FALSE),"0")*1</f>
        <v>45377542.441706695</v>
      </c>
      <c r="E14" s="4">
        <v>42911826.192505755</v>
      </c>
      <c r="F14" s="59">
        <f t="shared" si="6"/>
        <v>2465716.2492009401</v>
      </c>
      <c r="G14" s="5">
        <f t="shared" si="1"/>
        <v>1.0689882232126635</v>
      </c>
      <c r="H14" s="4">
        <f t="shared" si="4"/>
        <v>45377542.441706695</v>
      </c>
      <c r="I14" s="5">
        <f t="shared" si="2"/>
        <v>1.0689882232126635</v>
      </c>
      <c r="J14" s="4">
        <f t="shared" si="5"/>
        <v>1745290.0939117959</v>
      </c>
      <c r="K14" s="4" t="e">
        <f t="shared" si="3"/>
        <v>#DIV/0!</v>
      </c>
      <c r="L14" s="63" cm="1">
        <f t="array" ref="L14">+_xlfn.IFS(I14&gt;109%,H14*0.015,I14&gt;104%,H14*0.0125,I14&gt;99%,H14*0.01,I14&lt;99%,H14*0)</f>
        <v>567219.28052133368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342665244.90009469</v>
      </c>
      <c r="E15" s="64">
        <v>324173706.36358911</v>
      </c>
      <c r="F15" s="66">
        <f>+D15-E15</f>
        <v>18491538.53650558</v>
      </c>
      <c r="G15" s="65">
        <f t="shared" si="1"/>
        <v>1.0023411680740955</v>
      </c>
      <c r="H15" s="64">
        <f t="shared" si="4"/>
        <v>342665244.90009469</v>
      </c>
      <c r="I15" s="65">
        <f t="shared" si="2"/>
        <v>1.0023411680740955</v>
      </c>
      <c r="J15" s="64">
        <f t="shared" si="5"/>
        <v>13179432.496157488</v>
      </c>
      <c r="K15" s="66" t="e">
        <f t="shared" si="3"/>
        <v>#DIV/0!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IFERROR(+VLOOKUP(B16,[1]COMISIONES!A:E,5,FALSE),"0")*1</f>
        <v>17430636.704059932</v>
      </c>
      <c r="E16" s="59">
        <v>16500079.026056459</v>
      </c>
      <c r="F16" s="59">
        <f t="shared" ref="F16:F46" si="7">+D16-E16</f>
        <v>930557.67800347321</v>
      </c>
      <c r="G16" s="60">
        <f t="shared" si="1"/>
        <v>0.61310716510938912</v>
      </c>
      <c r="H16" s="59">
        <f t="shared" si="4"/>
        <v>17430636.704059932</v>
      </c>
      <c r="I16" s="60">
        <f t="shared" si="2"/>
        <v>0.61310716510938912</v>
      </c>
      <c r="J16" s="59">
        <f t="shared" si="5"/>
        <v>670409.10400230507</v>
      </c>
      <c r="K16" s="59" t="e">
        <f t="shared" si="3"/>
        <v>#DIV/0!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IFERROR(+VLOOKUP(B17,[1]COMISIONES!A:E,5,FALSE),"0")*1</f>
        <v>28659810.842977829</v>
      </c>
      <c r="E17" s="4">
        <v>28062022.667462606</v>
      </c>
      <c r="F17" s="59">
        <f t="shared" si="7"/>
        <v>597788.17551522329</v>
      </c>
      <c r="G17" s="5">
        <f t="shared" si="1"/>
        <v>1.1463924337191131</v>
      </c>
      <c r="H17" s="4">
        <f t="shared" si="4"/>
        <v>28659810.842977829</v>
      </c>
      <c r="I17" s="5">
        <f t="shared" si="2"/>
        <v>1.1463924337191131</v>
      </c>
      <c r="J17" s="4">
        <f t="shared" si="5"/>
        <v>1102300.4170376088</v>
      </c>
      <c r="K17" s="4" t="e">
        <f t="shared" si="3"/>
        <v>#DIV/0!</v>
      </c>
      <c r="L17" s="63" cm="1">
        <f t="array" ref="L17">+_xlfn.IFS(I17&gt;114%,H17*0.02,I17&gt;109%,H17*0.015,I17&gt;104%,H17*0.0125,I17&gt;99%,H17*0.01,I17&lt;99%,H17*0)</f>
        <v>573196.21685955662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IFERROR(+VLOOKUP(B18,[1]COMISIONES!A:E,5,FALSE),"0")*1</f>
        <v>25727118.870885003</v>
      </c>
      <c r="E18" s="4">
        <v>24837785.161016472</v>
      </c>
      <c r="F18" s="59">
        <f t="shared" si="7"/>
        <v>889333.70986853167</v>
      </c>
      <c r="G18" s="5">
        <f t="shared" si="1"/>
        <v>1.0089066223876473</v>
      </c>
      <c r="H18" s="4">
        <f t="shared" si="4"/>
        <v>25727118.870885003</v>
      </c>
      <c r="I18" s="5">
        <f t="shared" si="2"/>
        <v>1.0089066223876473</v>
      </c>
      <c r="J18" s="4">
        <f t="shared" si="5"/>
        <v>989504.57195711555</v>
      </c>
      <c r="K18" s="4" t="e">
        <f t="shared" si="3"/>
        <v>#DIV/0!</v>
      </c>
      <c r="L18" s="63" cm="1">
        <f t="array" ref="L18">+_xlfn.IFS(I18&gt;114%,H18*0.02,I18&gt;109%,H18*0.015,I18&gt;104%,H18*0.0125,I18&gt;99%,H18*0.01,I18&lt;99%,H18*0)</f>
        <v>257271.18870885004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IFERROR(+VLOOKUP(B19,[1]COMISIONES!A:E,5,FALSE),"0")*1</f>
        <v>42193890.428047709</v>
      </c>
      <c r="E19" s="4">
        <v>41152966.399721123</v>
      </c>
      <c r="F19" s="59">
        <f t="shared" si="7"/>
        <v>1040924.0283265859</v>
      </c>
      <c r="G19" s="5">
        <f t="shared" si="1"/>
        <v>1.1986900689786282</v>
      </c>
      <c r="H19" s="4">
        <f t="shared" si="4"/>
        <v>42193890.428047709</v>
      </c>
      <c r="I19" s="5">
        <f t="shared" si="2"/>
        <v>1.1986900689786282</v>
      </c>
      <c r="J19" s="4">
        <f t="shared" si="5"/>
        <v>1622841.9395402966</v>
      </c>
      <c r="K19" s="4" t="e">
        <f t="shared" si="3"/>
        <v>#DIV/0!</v>
      </c>
      <c r="L19" s="63" cm="1">
        <f t="array" ref="L19">+_xlfn.IFS(I19&gt;114%,H19*0.02,I19&gt;109%,H19*0.015,I19&gt;104%,H19*0.0125,I19&gt;99%,H19*0.01,I19&lt;99%,H19*0)</f>
        <v>843877.80856095417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IFERROR(+VLOOKUP(B20,[1]COMISIONES!A:E,5,FALSE),"0")*1</f>
        <v>21014493.59536887</v>
      </c>
      <c r="E20" s="4">
        <v>19670045.833614059</v>
      </c>
      <c r="F20" s="59">
        <f t="shared" si="7"/>
        <v>1344447.7617548108</v>
      </c>
      <c r="G20" s="5">
        <f t="shared" si="1"/>
        <v>0.80515301131681494</v>
      </c>
      <c r="H20" s="4">
        <f t="shared" si="4"/>
        <v>21014493.59536887</v>
      </c>
      <c r="I20" s="5">
        <f t="shared" si="2"/>
        <v>0.80515301131681494</v>
      </c>
      <c r="J20" s="4">
        <f t="shared" si="5"/>
        <v>808249.7536680334</v>
      </c>
      <c r="K20" s="4" t="e">
        <f t="shared" si="3"/>
        <v>#DIV/0!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f>IFERROR(+VLOOKUP(B21,[1]COMISIONES!A:E,5,FALSE),"0")*1</f>
        <v>32758101.572444998</v>
      </c>
      <c r="E21" s="4">
        <v>29978995.485085707</v>
      </c>
      <c r="F21" s="59">
        <f t="shared" si="7"/>
        <v>2779106.0873592906</v>
      </c>
      <c r="G21" s="5">
        <f t="shared" si="1"/>
        <v>1.0048497414860429</v>
      </c>
      <c r="H21" s="4">
        <f t="shared" si="4"/>
        <v>32758101.572444998</v>
      </c>
      <c r="I21" s="5">
        <f t="shared" si="2"/>
        <v>1.0048497414860429</v>
      </c>
      <c r="J21" s="4">
        <f t="shared" si="5"/>
        <v>1259926.9835555768</v>
      </c>
      <c r="K21" s="4" t="e">
        <f t="shared" si="3"/>
        <v>#DIV/0!</v>
      </c>
      <c r="L21" s="63" cm="1">
        <f t="array" ref="L21">+_xlfn.IFS(I21&gt;114%,H21*0.02,I21&gt;109%,H21*0.015,I21&gt;104%,H21*0.0125,I21&gt;99%,H21*0.01,I21&lt;99%,H21*0)</f>
        <v>327581.01572445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IFERROR(+VLOOKUP(B22,[1]COMISIONES!A:E,5,FALSE),"0")*1</f>
        <v>26994925.841703027</v>
      </c>
      <c r="E22" s="4">
        <v>26222331.740455862</v>
      </c>
      <c r="F22" s="59">
        <f t="shared" si="7"/>
        <v>772594.10124716535</v>
      </c>
      <c r="G22" s="5">
        <f t="shared" si="1"/>
        <v>0.95726687381925635</v>
      </c>
      <c r="H22" s="4">
        <f t="shared" si="4"/>
        <v>26994925.841703027</v>
      </c>
      <c r="I22" s="5">
        <f t="shared" si="2"/>
        <v>0.95726687381925635</v>
      </c>
      <c r="J22" s="4">
        <f t="shared" si="5"/>
        <v>1038266.3785270395</v>
      </c>
      <c r="K22" s="4" t="e">
        <f t="shared" si="3"/>
        <v>#DIV/0!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f>IFERROR(+VLOOKUP(B23,[1]COMISIONES!A:E,5,FALSE),"0")*1</f>
        <v>51964700.729899384</v>
      </c>
      <c r="E23" s="4">
        <v>49130247.024129808</v>
      </c>
      <c r="F23" s="59">
        <f t="shared" si="7"/>
        <v>2834453.7057695761</v>
      </c>
      <c r="G23" s="5">
        <f t="shared" si="1"/>
        <v>1.4198005663906936</v>
      </c>
      <c r="H23" s="4">
        <f t="shared" si="4"/>
        <v>51964700.729899384</v>
      </c>
      <c r="I23" s="5">
        <f t="shared" si="2"/>
        <v>1.4198005663906936</v>
      </c>
      <c r="J23" s="4">
        <f t="shared" si="5"/>
        <v>1998642.3357653609</v>
      </c>
      <c r="K23" s="4" t="e">
        <f t="shared" si="3"/>
        <v>#DIV/0!</v>
      </c>
      <c r="L23" s="63" cm="1">
        <f t="array" ref="L23">+_xlfn.IFS(I23&gt;114%,H23*0.02,I23&gt;109%,H23*0.015,I23&gt;104%,H23*0.0125,I23&gt;99%,H23*0.01,I23&lt;99%,H23*0)</f>
        <v>1039294.0145979878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246743678.58538675</v>
      </c>
      <c r="E24" s="66">
        <v>235554473.33754209</v>
      </c>
      <c r="F24" s="66">
        <f>+D24-E24</f>
        <v>11189205.247844666</v>
      </c>
      <c r="G24" s="65">
        <f t="shared" si="1"/>
        <v>1.0383523906299152</v>
      </c>
      <c r="H24" s="64">
        <f t="shared" si="4"/>
        <v>246743678.58538675</v>
      </c>
      <c r="I24" s="65">
        <f t="shared" si="2"/>
        <v>1.0383523906299152</v>
      </c>
      <c r="J24" s="64">
        <f t="shared" si="5"/>
        <v>9490141.4840533361</v>
      </c>
      <c r="K24" s="66" t="e">
        <f t="shared" si="3"/>
        <v>#DIV/0!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IFERROR(+VLOOKUP(B25,[1]COMISIONES!A:E,5,FALSE),"0")*1</f>
        <v>81251469.081685379</v>
      </c>
      <c r="E25" s="59">
        <v>76952384.208156615</v>
      </c>
      <c r="F25" s="59">
        <f t="shared" ref="F25:F48" si="8">+D25-E25</f>
        <v>4299084.8735287637</v>
      </c>
      <c r="G25" s="60">
        <f t="shared" si="1"/>
        <v>0.96696694263624849</v>
      </c>
      <c r="H25" s="59">
        <f t="shared" si="4"/>
        <v>81251469.081685379</v>
      </c>
      <c r="I25" s="60">
        <f t="shared" si="2"/>
        <v>0.96696694263624849</v>
      </c>
      <c r="J25" s="59">
        <f t="shared" si="5"/>
        <v>3125056.5031417455</v>
      </c>
      <c r="K25" s="59" t="e">
        <f t="shared" si="3"/>
        <v>#DIV/0!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IFERROR(+VLOOKUP(B26,[1]COMISIONES!A:E,5,FALSE),"0")*1</f>
        <v>15027083.523353396</v>
      </c>
      <c r="E26" s="4">
        <v>14602289.639557641</v>
      </c>
      <c r="F26" s="59">
        <f t="shared" si="8"/>
        <v>424793.88379575498</v>
      </c>
      <c r="G26" s="5">
        <f t="shared" si="1"/>
        <v>0.69812234719411836</v>
      </c>
      <c r="H26" s="4">
        <f t="shared" si="4"/>
        <v>15027083.523353396</v>
      </c>
      <c r="I26" s="5">
        <f t="shared" si="2"/>
        <v>0.69812234719411836</v>
      </c>
      <c r="J26" s="4">
        <f t="shared" si="5"/>
        <v>577964.75089820754</v>
      </c>
      <c r="K26" s="4" t="e">
        <f t="shared" si="3"/>
        <v>#DIV/0!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IFERROR(+VLOOKUP(B27,[1]COMISIONES!A:E,5,FALSE),"0")*1</f>
        <v>17991211.30172886</v>
      </c>
      <c r="E27" s="4">
        <v>17262633.614023104</v>
      </c>
      <c r="F27" s="59">
        <f t="shared" si="8"/>
        <v>728577.68770575523</v>
      </c>
      <c r="G27" s="5">
        <f t="shared" si="1"/>
        <v>0.68191941902894659</v>
      </c>
      <c r="H27" s="4">
        <f t="shared" si="4"/>
        <v>17991211.30172886</v>
      </c>
      <c r="I27" s="5">
        <f t="shared" si="2"/>
        <v>0.68191941902894659</v>
      </c>
      <c r="J27" s="4">
        <f t="shared" si="5"/>
        <v>691969.66545110999</v>
      </c>
      <c r="K27" s="4" t="e">
        <f t="shared" si="3"/>
        <v>#DIV/0!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IFERROR(+VLOOKUP(B28,[1]COMISIONES!A:E,5,FALSE),"0")*1</f>
        <v>24649968.962333329</v>
      </c>
      <c r="E28" s="4">
        <v>24211066.525152564</v>
      </c>
      <c r="F28" s="59">
        <f t="shared" si="8"/>
        <v>438902.43718076497</v>
      </c>
      <c r="G28" s="5">
        <f t="shared" si="1"/>
        <v>0.62900167894967829</v>
      </c>
      <c r="H28" s="4">
        <f t="shared" si="4"/>
        <v>24649968.962333329</v>
      </c>
      <c r="I28" s="5">
        <f t="shared" si="2"/>
        <v>0.62900167894967829</v>
      </c>
      <c r="J28" s="4">
        <f t="shared" si="5"/>
        <v>948075.72932051262</v>
      </c>
      <c r="K28" s="4" t="e">
        <f t="shared" si="3"/>
        <v>#DIV/0!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IFERROR(+VLOOKUP(B29,[1]COMISIONES!A:E,5,FALSE),"0")*1</f>
        <v>28866128.397854213</v>
      </c>
      <c r="E29" s="4">
        <v>28617303.951834902</v>
      </c>
      <c r="F29" s="59">
        <f t="shared" si="8"/>
        <v>248824.4460193105</v>
      </c>
      <c r="G29" s="5">
        <f t="shared" si="1"/>
        <v>1.1080778857462126</v>
      </c>
      <c r="H29" s="4">
        <f t="shared" si="4"/>
        <v>28866128.397854209</v>
      </c>
      <c r="I29" s="5">
        <f t="shared" si="2"/>
        <v>1.1080778857462126</v>
      </c>
      <c r="J29" s="4">
        <f t="shared" si="5"/>
        <v>1110235.7076097773</v>
      </c>
      <c r="K29" s="4" t="e">
        <f t="shared" si="3"/>
        <v>#DIV/0!</v>
      </c>
      <c r="L29" s="63" cm="1">
        <f t="array" ref="L29">+_xlfn.IFS(I29&gt;114%,H29*0.02,I29&gt;109%,H29*0.015,I29&gt;104%,H29*0.0125,I29&gt;99%,H29*0.01,I29&lt;99%,H29*0)</f>
        <v>432991.92596781312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IFERROR(+VLOOKUP(B30,[1]COMISIONES!A:E,5,FALSE),"0")*1</f>
        <v>18653586.986694366</v>
      </c>
      <c r="E30" s="4">
        <v>17770782.419608682</v>
      </c>
      <c r="F30" s="59">
        <f t="shared" si="8"/>
        <v>882804.56708568335</v>
      </c>
      <c r="G30" s="5">
        <f t="shared" si="1"/>
        <v>0.72216751787434641</v>
      </c>
      <c r="H30" s="4">
        <f t="shared" si="4"/>
        <v>18653586.986694366</v>
      </c>
      <c r="I30" s="5">
        <f t="shared" si="2"/>
        <v>0.72216751787434641</v>
      </c>
      <c r="J30" s="4">
        <f t="shared" si="5"/>
        <v>717445.65333439864</v>
      </c>
      <c r="K30" s="4" t="e">
        <f t="shared" si="3"/>
        <v>#DIV/0!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IFERROR(+VLOOKUP(B31,[1]COMISIONES!A:E,5,FALSE),"0")*1</f>
        <v>30270119.210779201</v>
      </c>
      <c r="E31" s="4">
        <v>28032289.867845565</v>
      </c>
      <c r="F31" s="59">
        <f t="shared" si="8"/>
        <v>2237829.3429336362</v>
      </c>
      <c r="G31" s="5">
        <f t="shared" si="1"/>
        <v>1.114545127997675</v>
      </c>
      <c r="H31" s="4">
        <f t="shared" si="4"/>
        <v>30270119.210779201</v>
      </c>
      <c r="I31" s="5">
        <f t="shared" si="2"/>
        <v>1.114545127997675</v>
      </c>
      <c r="J31" s="4">
        <f t="shared" si="5"/>
        <v>1164235.3542607385</v>
      </c>
      <c r="K31" s="4" t="e">
        <f t="shared" si="3"/>
        <v>#DIV/0!</v>
      </c>
      <c r="L31" s="63" cm="1">
        <f t="array" ref="L31">+_xlfn.IFS(I31&gt;114%,H31*0.02,I31&gt;109%,H31*0.015,I31&gt;104%,H31*0.0125,I31&gt;99%,H31*0.01,I31&lt;99%,H31*0)</f>
        <v>454051.78816168802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IFERROR(+VLOOKUP(B32,[1]COMISIONES!A:E,5,FALSE),"0")*1</f>
        <v>12776750.42980786</v>
      </c>
      <c r="E32" s="4">
        <v>12312611.37117344</v>
      </c>
      <c r="F32" s="59">
        <f t="shared" si="8"/>
        <v>464139.05863442086</v>
      </c>
      <c r="G32" s="5">
        <f t="shared" si="1"/>
        <v>0.5935772557402027</v>
      </c>
      <c r="H32" s="4">
        <f t="shared" si="4"/>
        <v>12776750.42980786</v>
      </c>
      <c r="I32" s="5">
        <f t="shared" si="2"/>
        <v>0.5935772557402027</v>
      </c>
      <c r="J32" s="4">
        <f t="shared" si="5"/>
        <v>491413.47806953307</v>
      </c>
      <c r="K32" s="4" t="e">
        <f t="shared" si="3"/>
        <v>#DIV/0!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f>IFERROR(+VLOOKUP(B33,[1]COMISIONES!A:E,5,FALSE),"0")*1</f>
        <v>9035243.4868967943</v>
      </c>
      <c r="E33" s="4">
        <v>8626881.987285044</v>
      </c>
      <c r="F33" s="59">
        <f t="shared" si="8"/>
        <v>408361.49961175025</v>
      </c>
      <c r="G33" s="5">
        <f t="shared" si="1"/>
        <v>0.35748236669884498</v>
      </c>
      <c r="H33" s="4">
        <f t="shared" si="4"/>
        <v>9035243.4868967943</v>
      </c>
      <c r="I33" s="5">
        <f t="shared" si="2"/>
        <v>0.35748236669884498</v>
      </c>
      <c r="J33" s="4">
        <f t="shared" si="5"/>
        <v>347509.36488064594</v>
      </c>
      <c r="K33" s="4" t="e">
        <f t="shared" si="3"/>
        <v>#DIV/0!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f>IFERROR(+VLOOKUP(B34,[1]COMISIONES!A:E,5,FALSE),"0")*1</f>
        <v>13073320.792576093</v>
      </c>
      <c r="E34" s="4">
        <v>12744614.064008825</v>
      </c>
      <c r="F34" s="59">
        <f t="shared" si="8"/>
        <v>328706.7285672687</v>
      </c>
      <c r="G34" s="5">
        <f t="shared" si="1"/>
        <v>0.50542735525382754</v>
      </c>
      <c r="H34" s="4">
        <f t="shared" si="4"/>
        <v>13073320.792576093</v>
      </c>
      <c r="I34" s="5">
        <f t="shared" si="2"/>
        <v>0.50542735525382754</v>
      </c>
      <c r="J34" s="4">
        <f t="shared" si="5"/>
        <v>502820.03048369591</v>
      </c>
      <c r="K34" s="4" t="e">
        <f t="shared" si="3"/>
        <v>#DIV/0!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IFERROR(+VLOOKUP(B35,[1]COMISIONES!A:E,5,FALSE),"0")*1</f>
        <v>104692818.37833451</v>
      </c>
      <c r="E35" s="4">
        <v>95594164.651924506</v>
      </c>
      <c r="F35" s="59">
        <f t="shared" si="8"/>
        <v>9098653.7264100015</v>
      </c>
      <c r="G35" s="5">
        <f t="shared" si="1"/>
        <v>0.83712703902085817</v>
      </c>
      <c r="H35" s="4">
        <f t="shared" si="4"/>
        <v>104692818.37833451</v>
      </c>
      <c r="I35" s="5">
        <f t="shared" si="2"/>
        <v>0.83712703902085817</v>
      </c>
      <c r="J35" s="4">
        <f t="shared" si="5"/>
        <v>4026646.8607051736</v>
      </c>
      <c r="K35" s="4" t="e">
        <f t="shared" si="3"/>
        <v>#DIV/0!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IFERROR(+VLOOKUP(B36,[1]COMISIONES!A:E,5,FALSE),"0")*1</f>
        <v>19854433.27797151</v>
      </c>
      <c r="E36" s="4">
        <v>17150855.408873394</v>
      </c>
      <c r="F36" s="59">
        <f t="shared" si="8"/>
        <v>2703577.8690981157</v>
      </c>
      <c r="G36" s="5">
        <f t="shared" si="1"/>
        <v>0.54258203943353178</v>
      </c>
      <c r="H36" s="4">
        <f t="shared" si="4"/>
        <v>19854433.27797151</v>
      </c>
      <c r="I36" s="5">
        <f t="shared" si="2"/>
        <v>0.54258203943353178</v>
      </c>
      <c r="J36" s="4">
        <f t="shared" si="5"/>
        <v>763632.04915275041</v>
      </c>
      <c r="K36" s="4" t="e">
        <f t="shared" si="3"/>
        <v>#DIV/0!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IFERROR(+VLOOKUP(B37,[1]COMISIONES!A:E,5,FALSE),"0")*1</f>
        <v>27185326.82477615</v>
      </c>
      <c r="E37" s="4">
        <v>26389534.349994246</v>
      </c>
      <c r="F37" s="59">
        <f t="shared" si="8"/>
        <v>795792.47478190437</v>
      </c>
      <c r="G37" s="5">
        <f t="shared" si="1"/>
        <v>0.72940672911216531</v>
      </c>
      <c r="H37" s="4">
        <f t="shared" si="4"/>
        <v>27185326.82477615</v>
      </c>
      <c r="I37" s="5">
        <f t="shared" si="2"/>
        <v>0.72940672911216531</v>
      </c>
      <c r="J37" s="4">
        <f t="shared" si="5"/>
        <v>1045589.4932606212</v>
      </c>
      <c r="K37" s="4" t="e">
        <f t="shared" si="3"/>
        <v>#DIV/0!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403327460.65479165</v>
      </c>
      <c r="E38" s="66">
        <v>380267412.05943853</v>
      </c>
      <c r="F38" s="66">
        <f>+D38-E38</f>
        <v>23060048.595353127</v>
      </c>
      <c r="G38" s="65">
        <f t="shared" si="1"/>
        <v>0.77302122034955512</v>
      </c>
      <c r="H38" s="64">
        <f t="shared" si="4"/>
        <v>403327460.65479165</v>
      </c>
      <c r="I38" s="65">
        <f t="shared" si="2"/>
        <v>0.77302122034955512</v>
      </c>
      <c r="J38" s="64">
        <f t="shared" si="5"/>
        <v>15512594.64056891</v>
      </c>
      <c r="K38" s="66" t="e">
        <f t="shared" si="3"/>
        <v>#DIV/0!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IFERROR(+VLOOKUP(B39,[1]COMISIONES!A:E,5,FALSE),"0")*1</f>
        <v>33569113.032947592</v>
      </c>
      <c r="E39" s="4">
        <v>24669197.621924087</v>
      </c>
      <c r="F39" s="59">
        <f t="shared" ref="F39:F48" si="9">+D39-E39</f>
        <v>8899915.411023505</v>
      </c>
      <c r="G39" s="5">
        <f t="shared" si="1"/>
        <v>0.95911751522707411</v>
      </c>
      <c r="H39" s="4">
        <f t="shared" si="4"/>
        <v>33569113.032947592</v>
      </c>
      <c r="I39" s="5">
        <f t="shared" si="2"/>
        <v>0.95911751522707411</v>
      </c>
      <c r="J39" s="4">
        <f t="shared" si="5"/>
        <v>1291119.7320364458</v>
      </c>
      <c r="K39" s="4" t="e">
        <f t="shared" si="3"/>
        <v>#DIV/0!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IFERROR(+VLOOKUP(B40,[1]COMISIONES!A:E,5,FALSE),"0")*1</f>
        <v>16739895.643149663</v>
      </c>
      <c r="E40" s="4">
        <v>14430657.397060707</v>
      </c>
      <c r="F40" s="59">
        <f t="shared" si="9"/>
        <v>2309238.2460889556</v>
      </c>
      <c r="G40" s="5">
        <f t="shared" si="1"/>
        <v>0.55799652143832212</v>
      </c>
      <c r="H40" s="4">
        <f t="shared" si="4"/>
        <v>16739895.643149663</v>
      </c>
      <c r="I40" s="5">
        <f t="shared" si="2"/>
        <v>0.55799652143832212</v>
      </c>
      <c r="J40" s="4">
        <f t="shared" si="5"/>
        <v>643842.14012114087</v>
      </c>
      <c r="K40" s="4" t="e">
        <f t="shared" si="3"/>
        <v>#DIV/0!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IFERROR(+VLOOKUP(B41,[1]COMISIONES!A:E,5,FALSE),"0")*1</f>
        <v>23502345.16595237</v>
      </c>
      <c r="E41" s="4">
        <v>23502345.16595237</v>
      </c>
      <c r="F41" s="59">
        <f t="shared" si="9"/>
        <v>0</v>
      </c>
      <c r="G41" s="5">
        <f t="shared" si="1"/>
        <v>0.72489608228392799</v>
      </c>
      <c r="H41" s="4">
        <f t="shared" si="4"/>
        <v>23502345.16595237</v>
      </c>
      <c r="I41" s="5">
        <f t="shared" si="2"/>
        <v>0.72489608228392799</v>
      </c>
      <c r="J41" s="4">
        <f t="shared" si="5"/>
        <v>903936.35253662965</v>
      </c>
      <c r="K41" s="4" t="e">
        <f t="shared" si="3"/>
        <v>#DIV/0!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IFERROR(+VLOOKUP(B42,[1]COMISIONES!A:E,5,FALSE),"0")*1</f>
        <v>67810011.756313652</v>
      </c>
      <c r="E42" s="4">
        <v>67507435.480054155</v>
      </c>
      <c r="F42" s="59">
        <f t="shared" si="9"/>
        <v>302576.27625949681</v>
      </c>
      <c r="G42" s="5">
        <f t="shared" si="1"/>
        <v>1.2236412967147401</v>
      </c>
      <c r="H42" s="4">
        <f t="shared" si="4"/>
        <v>67810011.756313652</v>
      </c>
      <c r="I42" s="5">
        <f t="shared" si="2"/>
        <v>1.2236412967147401</v>
      </c>
      <c r="J42" s="4">
        <f t="shared" si="5"/>
        <v>2608077.3752428326</v>
      </c>
      <c r="K42" s="4" t="e">
        <f t="shared" si="3"/>
        <v>#DIV/0!</v>
      </c>
      <c r="L42" s="63" cm="1">
        <f t="array" ref="L42">+_xlfn.IFS(I42&gt;114%,H42*0.02,I42&gt;109%,H42*0.015,I42&gt;104%,H42*0.0125,I42&gt;99%,H42*0.01,I42&lt;99%,H42*0)</f>
        <v>1356200.235126273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IFERROR(+VLOOKUP(B43,[1]COMISIONES!A:E,5,FALSE),"0")*1</f>
        <v>70633225.909723982</v>
      </c>
      <c r="E43" s="4">
        <v>70633225.909723982</v>
      </c>
      <c r="F43" s="59">
        <f t="shared" si="9"/>
        <v>0</v>
      </c>
      <c r="G43" s="5">
        <f t="shared" si="1"/>
        <v>0.70633225909723985</v>
      </c>
      <c r="H43" s="4">
        <f t="shared" si="4"/>
        <v>70633225.909723982</v>
      </c>
      <c r="I43" s="5">
        <f t="shared" si="2"/>
        <v>0.70633225909723985</v>
      </c>
      <c r="J43" s="4">
        <f t="shared" si="5"/>
        <v>2716662.534989384</v>
      </c>
      <c r="K43" s="4" t="e">
        <f t="shared" si="3"/>
        <v>#DIV/0!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IFERROR(+VLOOKUP(B44,[1]COMISIONES!A:E,5,FALSE),"0")*1</f>
        <v>101727325.82770839</v>
      </c>
      <c r="E44" s="4">
        <v>101815489.4705084</v>
      </c>
      <c r="F44" s="59">
        <f t="shared" si="9"/>
        <v>-88163.64280000329</v>
      </c>
      <c r="G44" s="5">
        <f t="shared" si="1"/>
        <v>1.017273258277084</v>
      </c>
      <c r="H44" s="4">
        <f t="shared" si="4"/>
        <v>101727325.82770839</v>
      </c>
      <c r="I44" s="5">
        <f t="shared" si="2"/>
        <v>1.017273258277084</v>
      </c>
      <c r="J44" s="4">
        <f t="shared" si="5"/>
        <v>3912589.4549118611</v>
      </c>
      <c r="K44" s="4" t="e">
        <f t="shared" si="3"/>
        <v>#DIV/0!</v>
      </c>
      <c r="L44" s="63" cm="1">
        <f t="array" ref="L44">+_xlfn.IFS(I44&gt;114%,H44*0.02,I44&gt;109%,H44*0.015,I44&gt;104%,H44*0.0125,I44&gt;99%,H44*0.01,I44&lt;99%,H44*0)</f>
        <v>1017273.258277084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IFERROR(+VLOOKUP(B45,[1]COMISIONES!A:E,5,FALSE),"0")*1</f>
        <v>13890576.9522874</v>
      </c>
      <c r="E45" s="4">
        <v>13415069.928110547</v>
      </c>
      <c r="F45" s="59">
        <f t="shared" si="9"/>
        <v>475507.02417685278</v>
      </c>
      <c r="G45" s="5">
        <f t="shared" si="1"/>
        <v>0.55562307809149603</v>
      </c>
      <c r="H45" s="4">
        <f t="shared" si="4"/>
        <v>13890576.952287398</v>
      </c>
      <c r="I45" s="5">
        <f t="shared" si="2"/>
        <v>0.55562307809149591</v>
      </c>
      <c r="J45" s="4">
        <f t="shared" si="5"/>
        <v>534252.9597033615</v>
      </c>
      <c r="K45" s="4" t="e">
        <f t="shared" si="3"/>
        <v>#DIV/0!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IFERROR(+VLOOKUP(B46,[1]COMISIONES!A:E,5,FALSE),"0")*1</f>
        <v>37247396.660747953</v>
      </c>
      <c r="E46" s="4">
        <v>35002321.995747954</v>
      </c>
      <c r="F46" s="59">
        <f t="shared" si="9"/>
        <v>2245074.6649999991</v>
      </c>
      <c r="G46" s="5">
        <f t="shared" si="1"/>
        <v>0.3724739666074795</v>
      </c>
      <c r="H46" s="4">
        <f t="shared" si="4"/>
        <v>37247396.660747953</v>
      </c>
      <c r="I46" s="5">
        <f t="shared" si="2"/>
        <v>0.3724739666074795</v>
      </c>
      <c r="J46" s="4">
        <f t="shared" si="5"/>
        <v>1432592.1792595366</v>
      </c>
      <c r="K46" s="4" t="e">
        <f t="shared" si="3"/>
        <v>#DIV/0!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365119890.94883096</v>
      </c>
      <c r="E47" s="66">
        <v>350975742.96908224</v>
      </c>
      <c r="F47" s="66">
        <f>+SUM(F39:F46)</f>
        <v>14144147.979748806</v>
      </c>
      <c r="G47" s="65">
        <f t="shared" si="1"/>
        <v>0.80123592682149636</v>
      </c>
      <c r="H47" s="64">
        <f t="shared" si="4"/>
        <v>365119890.94883096</v>
      </c>
      <c r="I47" s="65">
        <f t="shared" si="2"/>
        <v>0.80123592682149636</v>
      </c>
      <c r="J47" s="64">
        <f t="shared" si="5"/>
        <v>14043072.728801191</v>
      </c>
      <c r="K47" s="66" t="e">
        <f t="shared" si="3"/>
        <v>#DIV/0!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f>+D38+D24+D10+D15+D47</f>
        <v>1658923281.4236045</v>
      </c>
      <c r="E48" s="77">
        <v>1584477705.9113965</v>
      </c>
      <c r="F48" s="77">
        <f>+D48-E48</f>
        <v>74445575.512207985</v>
      </c>
      <c r="G48" s="78">
        <f>+D48/C48</f>
        <v>1.2023211923247981</v>
      </c>
      <c r="H48" s="77">
        <f>+D48/$N$3*$N$4</f>
        <v>1658923281.4236045</v>
      </c>
      <c r="I48" s="140">
        <f t="shared" si="2"/>
        <v>1.2023211923247981</v>
      </c>
      <c r="J48" s="77">
        <f>+D48/$N$3</f>
        <v>63804741.593215555</v>
      </c>
      <c r="K48" s="77" t="e">
        <f>+(C48-D48)/$N$2</f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2026-08-03T18:06:51Z</dcterms:modified>
</cp:coreProperties>
</file>