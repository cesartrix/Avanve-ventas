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9A17FD8D-447C-4CD2-AFC1-AB3369DEF39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<sst xmlns="http://schemas.openxmlformats.org/spreadsheetml/2006/main" count="902" uniqueCount="235">
  <si>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</si>
  <si>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</si>
  <si>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</si>
  <si>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</si>
  <si>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</si>
  <si>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</si>
  <si>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</si>
  <si>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</si>
  <si>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</si>
  <si>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</si>
  <si>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</si>
  <si>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</si>
  <si>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</si>
  <si>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</si>
  <si>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</si>
  <si>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</si>
  <si>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</si>
  <si>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</si>
  <si>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</si>
  <si>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</si>
  <si>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</si>
  <si>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</si>
  <si>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</si>
  <si>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</si>
  <si>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</si>
  <si>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</si>
  <si>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</si>
  <si>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</si>
  <si>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</si>
  <si>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</si>
  <si>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</si>
  <si>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</si>
  <si>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</si>
  <si>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</si>
  <si>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</si>
  <si>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</si>
  <si>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</si>
  <si>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</si>
  <si>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</si>
  <si>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</si>
  <si>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</si>
  <si>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</si>
  <si>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</si>
  <si>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</si>
  <si>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</si>
  <si>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</si>
  <si>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</si>
  <si>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</si>
  <si>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</si>
  <si>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</si>
  <si>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</si>
  <si>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</si>
  <si>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</si>
  <si>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</si>
  <si>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</si>
  <si>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</si>
  <si>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</si>
  <si>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</si>
  <si>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</si>
  <si>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</si>
  <si>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</si>
  <si>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</si>
  <si>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</si>
  <si>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</si>
  <si>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</si>
  <si>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</si>
  <si>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</si>
  <si>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</si>
  <si>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</si>
  <si>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</si>
  <si>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</si>
  <si>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</si>
  <si>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</si>
  <si>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</si>
  <si>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</si>
  <si>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</si>
  <si>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</si>
  <si>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</si>
  <si>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</si>
  <si>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</si>
  <si>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</si>
  <si>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</si>
  <si>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</si>
  <si>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</si>
  <si>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</si>
  <si>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</si>
  <si>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</si>
  <si>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</si>
  <si>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</si>
  <si>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</si>
  <si>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</si>
  <si>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</si>
  <si>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</si>
  <si>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</si>
  <si>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</si>
  <si>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</si>
  <si>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</si>
  <si>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</si>
  <si>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</si>
  <si>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</si>
  <si>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</si>
  <si>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</si>
  <si>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</si>
  <si>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</si>
  <si>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</si>
  <si>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</si>
  <si>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</si>
  <si>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</si>
  <si>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</si>
  <si>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</si>
  <si>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</si>
  <si>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</si>
  <si>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</si>
  <si>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</si>
  <si>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</si>
  <si>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</si>
  <si>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</si>
  <si>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</si>
  <si>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</si>
  <si>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</si>
  <si>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</si>
  <si>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</si>
  <si>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</si>
  <si>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</si>
  <si>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</si>
  <si>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</si>
  <si>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</si>
  <si>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</si>
  <si>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</si>
  <si>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</si>
  <si>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</si>
  <si>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</si>
  <si>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</si>
  <si>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</si>
  <si>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</si>
  <si>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</si>
  <si>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</si>
  <si>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</si>
  <si>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</si>
  <si>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</si>
  <si>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</si>
  <si>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</si>
  <si>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</si>
  <si>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</si>
  <si>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</si>
  <si>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</si>
  <si>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</si>
  <si>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</si>
  <si>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</si>
  <si>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</si>
  <si>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</si>
  <si>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</si>
  <si>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</si>
  <si>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</si>
  <si>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</si>
  <si>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</si>
  <si>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</si>
  <si>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</si>
  <si>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</si>
  <si>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</si>
  <si>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</si>
  <si>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</si>
  <si>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</si>
  <si>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</si>
  <si>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</si>
  <si>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</si>
  <si>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</si>
  <si>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</si>
  <si>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</si>
  <si>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</si>
  <si>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</si>
  <si>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</si>
  <si>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</si>
  <si>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</si>
  <si>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</si>
  <si>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</si>
  <si>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</si>
  <si>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</si>
  <si>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</si>
  <si>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</si>
  <si>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</si>
  <si>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</si>
  <si>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</si>
  <si>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</si>
  <si>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</si>
  <si>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</si>
  <si>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</si>
  <si>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</si>
  <si>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</si>
  <si>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</si>
  <si>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</si>
  <si>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</si>
  <si>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</si>
  <si>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</si>
  <si>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</si>
  <si>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</si>
  <si>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</si>
  <si>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</si>
  <si>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</si>
  <si>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</si>
  <si>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</si>
  <si>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</si>
  <si>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</si>
  <si>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</si>
  <si>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</si>
  <si>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</si>
  <si>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</si>
  <si>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</si>
  <si>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</si>
  <si>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</si>
  <si>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</si>
  <si>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</si>
  <si>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</si>
  <si>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</si>
  <si>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</si>
  <si>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</si>
  <si>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</si>
  <si>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</si>
  <si>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</si>
  <si>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</si>
  <si>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</si>
  <si>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</si>
  <si>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</si>
  <si>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</si>
  <si>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</si>
  <si>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</si>
  <si>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</si>
  <si>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</si>
  <si>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</si>
  <si>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</si>
  <si>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</si>
  <si>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</si>
  <si>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</si>
  <si>
    <t>31 - RENZO RAMOS</t>
  </si>
  <si>
    <t>54 - BARTSCHAT EMILIANO NAHUEL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</si>
</sst>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97" t="s">
        <v>76</v>
      </c>
      <c r="B1" s="97" t="s">
        <v>147</v>
      </c>
      <c r="C1" s="97" t="s">
        <v>148</v>
      </c>
      <c r="D1" s="97" t="s">
        <v>149</v>
      </c>
      <c r="E1" s="97" t="s">
        <v>150</v>
      </c>
      <c r="F1" s="97" t="s">
        <v>151</v>
      </c>
      <c r="G1" s="97" t="s">
        <v>152</v>
      </c>
      <c r="H1" s="97" t="s">
        <v>153</v>
      </c>
    </row>
    <row r="2" spans="1:8" x14ac:dyDescent="0.25">
      <c r="A2" s="96" t="s">
        <v>154</v>
      </c>
      <c r="B2" s="96">
        <v>0</v>
      </c>
      <c r="C2" s="96">
        <v>44613.344784379296</v>
      </c>
      <c r="D2" s="96">
        <v>221833.72900107491</v>
      </c>
      <c r="E2" s="96">
        <v>730628312.80947816</v>
      </c>
      <c r="F2" s="96">
        <v>0</v>
      </c>
      <c r="G2" s="96">
        <v>337771.994643885</v>
      </c>
      <c r="H2" s="96">
        <v>337772.15</v>
      </c>
    </row>
    <row r="3" spans="1:8" x14ac:dyDescent="0.25">
      <c r="A3" s="96" t="s">
        <v>81</v>
      </c>
      <c r="B3" s="96">
        <v>1</v>
      </c>
      <c r="C3" s="96">
        <v>511.61216639219998</v>
      </c>
      <c r="D3" s="96">
        <v>884.13180968389997</v>
      </c>
      <c r="E3" s="96">
        <v>11259066.488129456</v>
      </c>
      <c r="F3" s="96">
        <v>0</v>
      </c>
      <c r="G3" s="96">
        <v>337771.994643885</v>
      </c>
      <c r="H3" s="96">
        <v>337772.15</v>
      </c>
    </row>
    <row r="4" spans="1:8" x14ac:dyDescent="0.25">
      <c r="A4" s="96" t="s">
        <v>82</v>
      </c>
      <c r="B4" s="96">
        <v>1</v>
      </c>
      <c r="C4" s="96">
        <v>312.1424603154</v>
      </c>
      <c r="D4" s="96">
        <v>599.76410714370002</v>
      </c>
      <c r="E4" s="96">
        <v>8693363.8308905065</v>
      </c>
      <c r="F4" s="96">
        <v>0</v>
      </c>
      <c r="G4" s="96">
        <v>0</v>
      </c>
      <c r="H4" s="96">
        <v>0</v>
      </c>
    </row>
    <row r="5" spans="1:8" x14ac:dyDescent="0.25">
      <c r="A5" s="96" t="s">
        <v>83</v>
      </c>
      <c r="B5" s="96">
        <v>1</v>
      </c>
      <c r="C5" s="96">
        <v>420.01353174389999</v>
      </c>
      <c r="D5" s="96">
        <v>1394.5421071373</v>
      </c>
      <c r="E5" s="96">
        <v>9146279.4433018658</v>
      </c>
      <c r="F5" s="96">
        <v>0</v>
      </c>
      <c r="G5" s="96">
        <v>0</v>
      </c>
      <c r="H5" s="96">
        <v>0</v>
      </c>
    </row>
    <row r="6" spans="1:8" x14ac:dyDescent="0.25">
      <c r="A6" s="96" t="s">
        <v>84</v>
      </c>
      <c r="B6" s="96">
        <v>1</v>
      </c>
      <c r="C6" s="96">
        <v>908.03986111020004</v>
      </c>
      <c r="D6" s="96">
        <v>2552.4027381166002</v>
      </c>
      <c r="E6" s="96">
        <v>18863848.650468376</v>
      </c>
      <c r="F6" s="96">
        <v>0</v>
      </c>
      <c r="G6" s="96">
        <v>0</v>
      </c>
      <c r="H6" s="96">
        <v>0</v>
      </c>
    </row>
    <row r="7" spans="1:8" x14ac:dyDescent="0.25">
      <c r="A7" s="96" t="s">
        <v>85</v>
      </c>
      <c r="B7" s="96">
        <v>1</v>
      </c>
      <c r="C7" s="96">
        <v>864.77744841050003</v>
      </c>
      <c r="D7" s="96">
        <v>3050.5546785742999</v>
      </c>
      <c r="E7" s="96">
        <v>16806749.78055869</v>
      </c>
      <c r="F7" s="96">
        <v>0</v>
      </c>
      <c r="G7" s="96">
        <v>0</v>
      </c>
      <c r="H7" s="96">
        <v>0</v>
      </c>
    </row>
    <row r="8" spans="1:8" x14ac:dyDescent="0.25">
      <c r="A8" s="96" t="s">
        <v>111</v>
      </c>
      <c r="B8" s="96">
        <v>1</v>
      </c>
      <c r="C8" s="96">
        <v>2434.2782407408999</v>
      </c>
      <c r="D8" s="96">
        <v>3889.9464768542002</v>
      </c>
      <c r="E8" s="96">
        <v>33451176.522885799</v>
      </c>
      <c r="F8" s="96">
        <v>0</v>
      </c>
      <c r="G8" s="96">
        <v>0</v>
      </c>
      <c r="H8" s="96">
        <v>0</v>
      </c>
    </row>
    <row r="9" spans="1:8" x14ac:dyDescent="0.25">
      <c r="A9" s="96" t="s">
        <v>86</v>
      </c>
      <c r="B9" s="96">
        <v>1</v>
      </c>
      <c r="C9" s="96">
        <v>530.92689285680001</v>
      </c>
      <c r="D9" s="96">
        <v>2237.5115416683002</v>
      </c>
      <c r="E9" s="96">
        <v>9615921.6737193447</v>
      </c>
      <c r="F9" s="96">
        <v>0</v>
      </c>
      <c r="G9" s="96">
        <v>0</v>
      </c>
      <c r="H9" s="96">
        <v>0</v>
      </c>
    </row>
    <row r="10" spans="1:8" x14ac:dyDescent="0.25">
      <c r="A10" s="96" t="s">
        <v>87</v>
      </c>
      <c r="B10" s="96">
        <v>1</v>
      </c>
      <c r="C10" s="96">
        <v>478.68131944409998</v>
      </c>
      <c r="D10" s="96">
        <v>1294.4146598373</v>
      </c>
      <c r="E10" s="96">
        <v>11264156.639444824</v>
      </c>
      <c r="F10" s="96">
        <v>0</v>
      </c>
      <c r="G10" s="96">
        <v>0</v>
      </c>
      <c r="H10" s="96">
        <v>0</v>
      </c>
    </row>
    <row r="11" spans="1:8" x14ac:dyDescent="0.25">
      <c r="A11" s="96" t="s">
        <v>213</v>
      </c>
      <c r="B11" s="96">
        <v>1</v>
      </c>
      <c r="C11" s="96">
        <v>420.02474999819998</v>
      </c>
      <c r="D11" s="96">
        <v>1011.8970952383</v>
      </c>
      <c r="E11" s="96">
        <v>7333522.0196865257</v>
      </c>
      <c r="F11" s="96">
        <v>0</v>
      </c>
      <c r="G11" s="96">
        <v>0</v>
      </c>
      <c r="H11" s="96">
        <v>0</v>
      </c>
    </row>
    <row r="12" spans="1:8" x14ac:dyDescent="0.25">
      <c r="A12" s="96" t="s">
        <v>212</v>
      </c>
      <c r="B12" s="96">
        <v>1</v>
      </c>
      <c r="C12" s="96">
        <v>716.12519047340004</v>
      </c>
      <c r="D12" s="96">
        <v>3462.2189107057002</v>
      </c>
      <c r="E12" s="96">
        <v>11563280.456663784</v>
      </c>
      <c r="F12" s="96">
        <v>0</v>
      </c>
      <c r="G12" s="96">
        <v>0</v>
      </c>
      <c r="H12" s="96">
        <v>0</v>
      </c>
    </row>
    <row r="13" spans="1:8" x14ac:dyDescent="0.25">
      <c r="A13" s="96" t="s">
        <v>90</v>
      </c>
      <c r="B13" s="96">
        <v>1</v>
      </c>
      <c r="C13" s="96">
        <v>911.90615079240001</v>
      </c>
      <c r="D13" s="96">
        <v>1941.9193690540999</v>
      </c>
      <c r="E13" s="96">
        <v>15247177.219484905</v>
      </c>
      <c r="F13" s="96">
        <v>0</v>
      </c>
      <c r="G13" s="96">
        <v>0</v>
      </c>
      <c r="H13" s="96">
        <v>0</v>
      </c>
    </row>
    <row r="14" spans="1:8" x14ac:dyDescent="0.25">
      <c r="A14" s="96" t="s">
        <v>91</v>
      </c>
      <c r="B14" s="96">
        <v>1</v>
      </c>
      <c r="C14" s="96">
        <v>3746.1787698415001</v>
      </c>
      <c r="D14" s="96">
        <v>34210.876666663302</v>
      </c>
      <c r="E14" s="96">
        <v>60038357.598558225</v>
      </c>
      <c r="F14" s="96">
        <v>0</v>
      </c>
      <c r="G14" s="96">
        <v>0</v>
      </c>
      <c r="H14" s="96">
        <v>0</v>
      </c>
    </row>
    <row r="15" spans="1:8" x14ac:dyDescent="0.25">
      <c r="A15" s="96" t="s">
        <v>92</v>
      </c>
      <c r="B15" s="96">
        <v>1</v>
      </c>
      <c r="C15" s="96">
        <v>752.42956348990003</v>
      </c>
      <c r="D15" s="96">
        <v>3038.0966666590002</v>
      </c>
      <c r="E15" s="96">
        <v>13843506.900515262</v>
      </c>
      <c r="F15" s="96">
        <v>0</v>
      </c>
      <c r="G15" s="96">
        <v>0</v>
      </c>
      <c r="H15" s="96">
        <v>0</v>
      </c>
    </row>
    <row r="16" spans="1:8" x14ac:dyDescent="0.25">
      <c r="A16" s="96" t="s">
        <v>93</v>
      </c>
      <c r="B16" s="96">
        <v>1</v>
      </c>
      <c r="C16" s="96">
        <v>401.00738095060001</v>
      </c>
      <c r="D16" s="96">
        <v>2028.6180357170001</v>
      </c>
      <c r="E16" s="96">
        <v>10467417.738483323</v>
      </c>
      <c r="F16" s="96">
        <v>0</v>
      </c>
      <c r="G16" s="96">
        <v>0</v>
      </c>
      <c r="H16" s="96">
        <v>0</v>
      </c>
    </row>
    <row r="17" spans="1:8" x14ac:dyDescent="0.25">
      <c r="A17" s="96" t="s">
        <v>94</v>
      </c>
      <c r="B17" s="96">
        <v>1</v>
      </c>
      <c r="C17" s="96">
        <v>935.11462301339998</v>
      </c>
      <c r="D17" s="96">
        <v>2550.3554523910998</v>
      </c>
      <c r="E17" s="96">
        <v>17944639.742629033</v>
      </c>
      <c r="F17" s="96">
        <v>0</v>
      </c>
      <c r="G17" s="96">
        <v>0</v>
      </c>
      <c r="H17" s="96">
        <v>0</v>
      </c>
    </row>
    <row r="18" spans="1:8" x14ac:dyDescent="0.25">
      <c r="A18" s="96" t="s">
        <v>95</v>
      </c>
      <c r="B18" s="96">
        <v>1</v>
      </c>
      <c r="C18" s="96">
        <v>1215.4854642843</v>
      </c>
      <c r="D18" s="96">
        <v>5747.0228690426002</v>
      </c>
      <c r="E18" s="96">
        <v>22534059.612904426</v>
      </c>
      <c r="F18" s="96">
        <v>0</v>
      </c>
      <c r="G18" s="96">
        <v>0</v>
      </c>
      <c r="H18" s="96">
        <v>0</v>
      </c>
    </row>
    <row r="19" spans="1:8" x14ac:dyDescent="0.25">
      <c r="A19" s="96" t="s">
        <v>96</v>
      </c>
      <c r="B19" s="96">
        <v>1</v>
      </c>
      <c r="C19" s="96">
        <v>1058.6512367703999</v>
      </c>
      <c r="D19" s="96">
        <v>3774.0022262019002</v>
      </c>
      <c r="E19" s="96">
        <v>20445334.936737273</v>
      </c>
      <c r="F19" s="96">
        <v>0</v>
      </c>
      <c r="G19" s="96">
        <v>0</v>
      </c>
      <c r="H19" s="96">
        <v>0</v>
      </c>
    </row>
    <row r="20" spans="1:8" x14ac:dyDescent="0.25">
      <c r="A20" s="96" t="s">
        <v>97</v>
      </c>
      <c r="B20" s="96">
        <v>1</v>
      </c>
      <c r="C20" s="96">
        <v>3280.6037500001999</v>
      </c>
      <c r="D20" s="96">
        <v>14250.8118333277</v>
      </c>
      <c r="E20" s="96">
        <v>49340595.584204771</v>
      </c>
      <c r="F20" s="96">
        <v>0</v>
      </c>
      <c r="G20" s="96">
        <v>0</v>
      </c>
      <c r="H20" s="96">
        <v>0</v>
      </c>
    </row>
    <row r="21" spans="1:8" x14ac:dyDescent="0.25">
      <c r="A21" s="96" t="s">
        <v>98</v>
      </c>
      <c r="B21" s="96">
        <v>1</v>
      </c>
      <c r="C21" s="96">
        <v>484.4090674569</v>
      </c>
      <c r="D21" s="96">
        <v>1836.930880961</v>
      </c>
      <c r="E21" s="96">
        <v>10980183.446752926</v>
      </c>
      <c r="F21" s="96">
        <v>0</v>
      </c>
      <c r="G21" s="96">
        <v>0</v>
      </c>
      <c r="H21" s="96">
        <v>0</v>
      </c>
    </row>
    <row r="22" spans="1:8" x14ac:dyDescent="0.25">
      <c r="A22" s="96" t="s">
        <v>207</v>
      </c>
      <c r="B22" s="96">
        <v>1</v>
      </c>
      <c r="C22" s="96">
        <v>365.69368253829998</v>
      </c>
      <c r="D22" s="96">
        <v>1308.5165238082</v>
      </c>
      <c r="E22" s="96">
        <v>6557112.931111577</v>
      </c>
      <c r="F22" s="96">
        <v>0</v>
      </c>
      <c r="G22" s="96">
        <v>0</v>
      </c>
      <c r="H22" s="96">
        <v>0</v>
      </c>
    </row>
    <row r="23" spans="1:8" x14ac:dyDescent="0.25">
      <c r="A23" s="96" t="s">
        <v>155</v>
      </c>
      <c r="B23" s="96">
        <v>1</v>
      </c>
      <c r="C23" s="96">
        <v>1921.2949206333999</v>
      </c>
      <c r="D23" s="96">
        <v>10953.3035833293</v>
      </c>
      <c r="E23" s="96">
        <v>36322023.908257864</v>
      </c>
      <c r="F23" s="96">
        <v>0</v>
      </c>
      <c r="G23" s="96">
        <v>0</v>
      </c>
      <c r="H23" s="96">
        <v>0</v>
      </c>
    </row>
    <row r="24" spans="1:8" x14ac:dyDescent="0.25">
      <c r="A24" s="96" t="s">
        <v>220</v>
      </c>
      <c r="B24" s="96">
        <v>1</v>
      </c>
      <c r="C24" s="96">
        <v>1861.3213293652</v>
      </c>
      <c r="D24" s="96">
        <v>15300.7601488083</v>
      </c>
      <c r="E24" s="96">
        <v>32490170.4422471</v>
      </c>
      <c r="F24" s="96">
        <v>0</v>
      </c>
      <c r="G24" s="96">
        <v>0</v>
      </c>
      <c r="H24" s="96">
        <v>0</v>
      </c>
    </row>
    <row r="25" spans="1:8" x14ac:dyDescent="0.25">
      <c r="A25" s="96" t="s">
        <v>99</v>
      </c>
      <c r="B25" s="96">
        <v>1</v>
      </c>
      <c r="C25" s="96">
        <v>545.86546825280004</v>
      </c>
      <c r="D25" s="96">
        <v>2142.2391666767999</v>
      </c>
      <c r="E25" s="96">
        <v>9777757.9714250863</v>
      </c>
      <c r="F25" s="96">
        <v>0</v>
      </c>
      <c r="G25" s="96">
        <v>0</v>
      </c>
      <c r="H25" s="96">
        <v>0</v>
      </c>
    </row>
    <row r="26" spans="1:8" x14ac:dyDescent="0.25">
      <c r="A26" s="96" t="s">
        <v>100</v>
      </c>
      <c r="B26" s="96">
        <v>1</v>
      </c>
      <c r="C26" s="96">
        <v>472.79404761749998</v>
      </c>
      <c r="D26" s="96">
        <v>1087.7879166629</v>
      </c>
      <c r="E26" s="96">
        <v>6945315.7802029736</v>
      </c>
      <c r="F26" s="96">
        <v>0</v>
      </c>
      <c r="G26" s="96">
        <v>0</v>
      </c>
      <c r="H26" s="96">
        <v>0</v>
      </c>
    </row>
    <row r="27" spans="1:8" x14ac:dyDescent="0.25">
      <c r="A27" s="96" t="s">
        <v>221</v>
      </c>
      <c r="B27" s="96">
        <v>1</v>
      </c>
      <c r="C27" s="96">
        <v>5474.0857142857003</v>
      </c>
      <c r="D27" s="96">
        <v>16376.539999999801</v>
      </c>
      <c r="E27" s="96">
        <v>54039192.425718747</v>
      </c>
      <c r="F27" s="96">
        <v>0</v>
      </c>
      <c r="G27" s="96">
        <v>0</v>
      </c>
      <c r="H27" s="96">
        <v>0</v>
      </c>
    </row>
    <row r="28" spans="1:8" x14ac:dyDescent="0.25">
      <c r="A28" s="96" t="s">
        <v>233</v>
      </c>
      <c r="B28" s="96">
        <v>1</v>
      </c>
      <c r="C28" s="96">
        <v>748.99325065890002</v>
      </c>
      <c r="D28" s="96">
        <v>3262.8351711400001</v>
      </c>
      <c r="E28" s="96">
        <v>14579075.923666339</v>
      </c>
      <c r="F28" s="96">
        <v>0</v>
      </c>
      <c r="G28" s="96">
        <v>0</v>
      </c>
      <c r="H28" s="96">
        <v>0</v>
      </c>
    </row>
    <row r="29" spans="1:8" x14ac:dyDescent="0.25">
      <c r="A29" s="96" t="s">
        <v>214</v>
      </c>
      <c r="B29" s="96">
        <v>1</v>
      </c>
      <c r="C29" s="96">
        <v>2655.2766269840999</v>
      </c>
      <c r="D29" s="96">
        <v>7266.9416666717998</v>
      </c>
      <c r="E29" s="96">
        <v>34411101.004763618</v>
      </c>
      <c r="F29" s="96">
        <v>0</v>
      </c>
      <c r="G29" s="96">
        <v>0</v>
      </c>
      <c r="H29" s="96">
        <v>0</v>
      </c>
    </row>
    <row r="30" spans="1:8" x14ac:dyDescent="0.25">
      <c r="A30" s="96" t="s">
        <v>139</v>
      </c>
      <c r="B30" s="96">
        <v>1</v>
      </c>
      <c r="C30" s="96">
        <v>275.06251984120001</v>
      </c>
      <c r="D30" s="96">
        <v>1260.8666666715999</v>
      </c>
      <c r="E30" s="96">
        <v>6164880.2550763758</v>
      </c>
      <c r="F30" s="96">
        <v>0</v>
      </c>
      <c r="G30" s="96">
        <v>0</v>
      </c>
      <c r="H30" s="96">
        <v>0</v>
      </c>
    </row>
    <row r="31" spans="1:8" x14ac:dyDescent="0.25">
      <c r="A31" s="96" t="s">
        <v>216</v>
      </c>
      <c r="B31" s="96">
        <v>1</v>
      </c>
      <c r="C31" s="96">
        <v>338.64394841080002</v>
      </c>
      <c r="D31" s="96">
        <v>888.1449999985</v>
      </c>
      <c r="E31" s="96">
        <v>6108215.4389794497</v>
      </c>
      <c r="F31" s="96">
        <v>0</v>
      </c>
      <c r="G31" s="96">
        <v>0</v>
      </c>
      <c r="H31" s="96">
        <v>0</v>
      </c>
    </row>
    <row r="32" spans="1:8" x14ac:dyDescent="0.25">
      <c r="A32" s="96" t="s">
        <v>104</v>
      </c>
      <c r="B32" s="96">
        <v>1</v>
      </c>
      <c r="C32" s="96">
        <v>177.62023809510001</v>
      </c>
      <c r="D32" s="96">
        <v>674.03041666670003</v>
      </c>
      <c r="E32" s="96">
        <v>3882737.6125165834</v>
      </c>
      <c r="F32" s="96">
        <v>0</v>
      </c>
      <c r="G32" s="96">
        <v>0</v>
      </c>
      <c r="H32" s="96">
        <v>0</v>
      </c>
    </row>
    <row r="33" spans="1:8" x14ac:dyDescent="0.25">
      <c r="A33" s="96" t="s">
        <v>215</v>
      </c>
      <c r="B33" s="96">
        <v>1</v>
      </c>
      <c r="C33" s="96">
        <v>482.99939153370002</v>
      </c>
      <c r="D33" s="96">
        <v>1947.6025000052</v>
      </c>
      <c r="E33" s="96">
        <v>9010188.8518341817</v>
      </c>
      <c r="F33" s="96">
        <v>0</v>
      </c>
      <c r="G33" s="96">
        <v>0</v>
      </c>
      <c r="H33" s="96">
        <v>0</v>
      </c>
    </row>
    <row r="34" spans="1:8" x14ac:dyDescent="0.25">
      <c r="A34" s="96" t="s">
        <v>231</v>
      </c>
      <c r="B34" s="96">
        <v>1</v>
      </c>
      <c r="C34" s="96">
        <v>67.860218253900001</v>
      </c>
      <c r="D34" s="96">
        <v>852.25708333290004</v>
      </c>
      <c r="E34" s="96">
        <v>1880938.5392911113</v>
      </c>
      <c r="F34" s="96">
        <v>0</v>
      </c>
      <c r="G34" s="96">
        <v>0</v>
      </c>
      <c r="H34" s="96">
        <v>0</v>
      </c>
    </row>
    <row r="35" spans="1:8" x14ac:dyDescent="0.25">
      <c r="A35" s="96" t="s">
        <v>206</v>
      </c>
      <c r="B35" s="96">
        <v>1</v>
      </c>
      <c r="C35" s="96">
        <v>148</v>
      </c>
      <c r="D35" s="96">
        <v>292.8</v>
      </c>
      <c r="E35" s="96">
        <v>2013486.1534</v>
      </c>
      <c r="F35" s="96">
        <v>0</v>
      </c>
      <c r="G35" s="96">
        <v>0</v>
      </c>
      <c r="H35" s="96">
        <v>0</v>
      </c>
    </row>
    <row r="36" spans="1:8" x14ac:dyDescent="0.25">
      <c r="A36" s="96" t="s">
        <v>162</v>
      </c>
      <c r="B36" s="96">
        <v>1</v>
      </c>
      <c r="C36" s="96">
        <v>782.38255158560003</v>
      </c>
      <c r="D36" s="96">
        <v>2593.4347023876999</v>
      </c>
      <c r="E36" s="96">
        <v>13476544.027213015</v>
      </c>
      <c r="F36" s="96">
        <v>0</v>
      </c>
      <c r="G36" s="96">
        <v>0</v>
      </c>
      <c r="H36" s="96">
        <v>0</v>
      </c>
    </row>
    <row r="37" spans="1:8" x14ac:dyDescent="0.25">
      <c r="A37" s="96" t="s">
        <v>107</v>
      </c>
      <c r="B37" s="96">
        <v>1</v>
      </c>
      <c r="C37" s="96">
        <v>644.06299603219998</v>
      </c>
      <c r="D37" s="96">
        <v>3989.6771547639</v>
      </c>
      <c r="E37" s="96">
        <v>12726652.901956733</v>
      </c>
      <c r="F37" s="96">
        <v>0</v>
      </c>
      <c r="G37" s="96">
        <v>0</v>
      </c>
      <c r="H37" s="96">
        <v>0</v>
      </c>
    </row>
    <row r="38" spans="1:8" x14ac:dyDescent="0.25">
      <c r="A38" s="96" t="s">
        <v>112</v>
      </c>
      <c r="B38" s="96">
        <v>1</v>
      </c>
      <c r="C38" s="96">
        <v>865.17020201989999</v>
      </c>
      <c r="D38" s="96">
        <v>9496.9299999962004</v>
      </c>
      <c r="E38" s="96">
        <v>18735817.540831447</v>
      </c>
      <c r="F38" s="96">
        <v>0</v>
      </c>
      <c r="G38" s="96">
        <v>0</v>
      </c>
      <c r="H38" s="96">
        <v>0</v>
      </c>
    </row>
    <row r="39" spans="1:8" x14ac:dyDescent="0.25">
      <c r="A39" s="96" t="s">
        <v>108</v>
      </c>
      <c r="B39" s="96">
        <v>1</v>
      </c>
      <c r="C39" s="96">
        <v>1209.7499999997999</v>
      </c>
      <c r="D39" s="96">
        <v>14790.2499999968</v>
      </c>
      <c r="E39" s="96">
        <v>27101787.621247634</v>
      </c>
      <c r="F39" s="96">
        <v>0</v>
      </c>
      <c r="G39" s="96">
        <v>0</v>
      </c>
      <c r="H39" s="96">
        <v>0</v>
      </c>
    </row>
    <row r="40" spans="1:8" x14ac:dyDescent="0.25">
      <c r="A40" s="96" t="s">
        <v>234</v>
      </c>
      <c r="B40" s="96">
        <v>1</v>
      </c>
      <c r="C40" s="96">
        <v>1090.8088756614</v>
      </c>
      <c r="D40" s="96">
        <v>6808.9522367935997</v>
      </c>
      <c r="E40" s="96">
        <v>12878412.530010875</v>
      </c>
      <c r="F40" s="96">
        <v>0</v>
      </c>
      <c r="G40" s="96">
        <v>0</v>
      </c>
      <c r="H40" s="96">
        <v>0</v>
      </c>
    </row>
    <row r="41" spans="1:8" x14ac:dyDescent="0.25">
      <c r="A41" s="96" t="s">
        <v>140</v>
      </c>
      <c r="B41" s="96">
        <v>1</v>
      </c>
      <c r="C41" s="96">
        <v>1750.3894047614999</v>
      </c>
      <c r="D41" s="96">
        <v>10233.6645238131</v>
      </c>
      <c r="E41" s="96">
        <v>20675373.952008072</v>
      </c>
      <c r="F41" s="96">
        <v>0</v>
      </c>
      <c r="G41" s="96">
        <v>0</v>
      </c>
      <c r="H41" s="96">
        <v>0</v>
      </c>
    </row>
    <row r="42" spans="1:8" x14ac:dyDescent="0.25">
      <c r="A42" s="96" t="s">
        <v>217</v>
      </c>
      <c r="B42" s="96">
        <v>1</v>
      </c>
      <c r="C42" s="96">
        <v>199.06111111109999</v>
      </c>
      <c r="D42" s="96">
        <v>2699.7299999999</v>
      </c>
      <c r="E42" s="96">
        <v>4955958.0088995183</v>
      </c>
      <c r="F42" s="96">
        <v>0</v>
      </c>
      <c r="G42" s="96">
        <v>0</v>
      </c>
      <c r="H42" s="96">
        <v>0</v>
      </c>
    </row>
    <row r="43" spans="1:8" x14ac:dyDescent="0.25">
      <c r="A43" s="96" t="s">
        <v>145</v>
      </c>
      <c r="B43" s="96">
        <v>1</v>
      </c>
      <c r="C43" s="96">
        <v>290.50262896779998</v>
      </c>
      <c r="D43" s="96">
        <v>1377.1415919577</v>
      </c>
      <c r="E43" s="96">
        <v>10831277.641265372</v>
      </c>
      <c r="F43" s="96">
        <v>0</v>
      </c>
      <c r="G43" s="96">
        <v>0</v>
      </c>
      <c r="H43" s="96">
        <v>0</v>
      </c>
    </row>
    <row r="44" spans="1:8" x14ac:dyDescent="0.25">
      <c r="A44" s="96" t="s">
        <v>146</v>
      </c>
      <c r="B44" s="96">
        <v>1</v>
      </c>
      <c r="C44" s="96">
        <v>1143.0010912705</v>
      </c>
      <c r="D44" s="96">
        <v>12923.737773806901</v>
      </c>
      <c r="E44" s="96">
        <v>16443269.938349089</v>
      </c>
      <c r="F44" s="96">
        <v>0</v>
      </c>
      <c r="G44" s="96">
        <v>0</v>
      </c>
      <c r="H44" s="96">
        <v>0</v>
      </c>
    </row>
    <row r="45" spans="1:8" x14ac:dyDescent="0.25">
      <c r="A45" s="96" t="s">
        <v>156</v>
      </c>
      <c r="B45" s="96">
        <v>1</v>
      </c>
      <c r="C45" s="96">
        <v>398.41769841370001</v>
      </c>
      <c r="D45" s="96">
        <v>3574.5670488094001</v>
      </c>
      <c r="E45" s="96">
        <v>8189989.2717900118</v>
      </c>
      <c r="F45" s="96">
        <v>0</v>
      </c>
      <c r="G45" s="96">
        <v>0</v>
      </c>
      <c r="H45" s="96">
        <v>0</v>
      </c>
    </row>
    <row r="46" spans="1:8" x14ac:dyDescent="0.25">
      <c r="A46" s="96" t="s">
        <v>232</v>
      </c>
      <c r="B46" s="96">
        <v>1</v>
      </c>
      <c r="C46" s="96">
        <v>321.87900000000002</v>
      </c>
      <c r="D46" s="96">
        <v>-24.9999999996</v>
      </c>
      <c r="E46" s="96">
        <v>1592393.851396092</v>
      </c>
      <c r="F46" s="96">
        <v>0</v>
      </c>
      <c r="G46" s="96">
        <v>0</v>
      </c>
      <c r="H46" s="9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87" t="s">
        <v>209</v>
      </c>
      <c r="B2" s="57" t="s">
        <v>95</v>
      </c>
      <c r="C2" s="58">
        <v>32279076.638250753</v>
      </c>
      <c r="D2" s="59">
        <f>IFERROR(+VLOOKUP(B2,COMISIONES!A:E,5,FALSE),"0")*1</f>
        <v>22534059.612904426</v>
      </c>
      <c r="E2" s="59">
        <v>19062578.988594737</v>
      </c>
      <c r="F2" s="59">
        <f t="shared" ref="F2:F9" si="0">+D2-E2</f>
        <v>3471480.6243096888</v>
      </c>
      <c r="G2" s="60">
        <f t="shared" ref="G2:G41" si="1">+D2/C2</f>
        <v>0.69810112183325379</v>
      </c>
      <c r="H2" s="59">
        <f>+D2/$N$3*$N$4</f>
        <v>49165220.973609656</v>
      </c>
      <c r="I2" s="60">
        <f t="shared" ref="I2:I41" si="2">+H2/C2</f>
        <v>1.5231297203634628</v>
      </c>
      <c r="J2" s="59">
        <f>+D2/$N$3</f>
        <v>2048550.8739004023</v>
      </c>
      <c r="K2" s="59">
        <f t="shared" ref="K2:K41" si="3">+(C2-D2)/$N$2</f>
        <v>749616.69425740978</v>
      </c>
      <c r="L2" s="61" cm="1">
        <f t="array" ref="L2">+_xlfn.IFS(I2&gt;114%,H2*0.02,I2&gt;109%,H2*0.015,I2&gt;104%,H2*0.0125,I2&gt;99%,H2*0.01,I2&lt;99%,H2*0)</f>
        <v>983304.41947219311</v>
      </c>
      <c r="M2" s="53" t="s">
        <v>36</v>
      </c>
      <c r="N2">
        <v>13</v>
      </c>
    </row>
    <row r="3" spans="1:14" ht="16.5" thickBot="1" x14ac:dyDescent="0.3">
      <c r="A3" s="88"/>
      <c r="B3" s="36" t="s">
        <v>94</v>
      </c>
      <c r="C3" s="62">
        <v>30982728.178883255</v>
      </c>
      <c r="D3" s="4">
        <f>IFERROR(+VLOOKUP(B3,COMISIONES!A:E,5,FALSE),"0")*1</f>
        <v>17944639.742629033</v>
      </c>
      <c r="E3" s="4">
        <v>16167381.13479867</v>
      </c>
      <c r="F3" s="4">
        <f t="shared" si="0"/>
        <v>1777258.6078303624</v>
      </c>
      <c r="G3" s="5">
        <f t="shared" si="1"/>
        <v>0.57918204100759185</v>
      </c>
      <c r="H3" s="4">
        <f t="shared" ref="H3:H41" si="4">+D3/$N$3*$N$4</f>
        <v>39151941.256645165</v>
      </c>
      <c r="I3" s="5">
        <f t="shared" si="2"/>
        <v>1.2636699076529279</v>
      </c>
      <c r="J3" s="4">
        <f t="shared" ref="J3:J41" si="5">+D3/$N$3</f>
        <v>1631330.8856935485</v>
      </c>
      <c r="K3" s="4">
        <f t="shared" si="3"/>
        <v>1002929.8797118632</v>
      </c>
      <c r="L3" s="63" cm="1">
        <f t="array" ref="L3">+_xlfn.IFS(I3&gt;114%,H3*0.02,I3&gt;109%,H3*0.015,I3&gt;104%,H3*0.0125,I3&gt;99%,H3*0.01,I3&lt;99%,H3*0)</f>
        <v>783038.82513290329</v>
      </c>
      <c r="M3" s="53" t="s">
        <v>40</v>
      </c>
      <c r="N3">
        <f>N4-N2</f>
        <v>11</v>
      </c>
    </row>
    <row r="4" spans="1:14" ht="16.5" thickBot="1" x14ac:dyDescent="0.3">
      <c r="A4" s="88"/>
      <c r="B4" s="36" t="s">
        <v>92</v>
      </c>
      <c r="C4" s="62">
        <v>28390031.260148253</v>
      </c>
      <c r="D4" s="4">
        <f>IFERROR(+VLOOKUP(B4,COMISIONES!A:E,5,FALSE),"0")*1</f>
        <v>13843506.900515262</v>
      </c>
      <c r="E4" s="4">
        <v>12686900.332479352</v>
      </c>
      <c r="F4" s="4">
        <f t="shared" si="0"/>
        <v>1156606.5680359099</v>
      </c>
      <c r="G4" s="5">
        <f t="shared" si="1"/>
        <v>0.48761858603332059</v>
      </c>
      <c r="H4" s="4">
        <f t="shared" si="4"/>
        <v>30204015.055669662</v>
      </c>
      <c r="I4" s="5">
        <f t="shared" si="2"/>
        <v>1.0638950967999721</v>
      </c>
      <c r="J4" s="4">
        <f t="shared" si="5"/>
        <v>1258500.6273195692</v>
      </c>
      <c r="K4" s="4">
        <f t="shared" si="3"/>
        <v>1118963.4122794608</v>
      </c>
      <c r="L4" s="63" cm="1">
        <f t="array" ref="L4">+_xlfn.IFS(I4&gt;114%,H4*0.02,I4&gt;109%,H4*0.015,I4&gt;104%,H4*0.0125,I4&gt;99%,H4*0.01,I4&lt;99%,H4*0)</f>
        <v>377550.18819587078</v>
      </c>
      <c r="M4" s="53" t="s">
        <v>47</v>
      </c>
      <c r="N4">
        <v>24</v>
      </c>
    </row>
    <row r="5" spans="1:14" ht="15.75" x14ac:dyDescent="0.25">
      <c r="A5" s="88"/>
      <c r="B5" s="36" t="s">
        <v>90</v>
      </c>
      <c r="C5" s="62">
        <v>28390031.260148253</v>
      </c>
      <c r="D5" s="4">
        <f>IFERROR(+VLOOKUP(B5,COMISIONES!A:E,5,FALSE),"0")*1</f>
        <v>15247177.219484905</v>
      </c>
      <c r="E5" s="4">
        <v>14492216.412792483</v>
      </c>
      <c r="F5" s="4">
        <f t="shared" si="0"/>
        <v>754960.80669242144</v>
      </c>
      <c r="G5" s="5">
        <f t="shared" si="1"/>
        <v>0.53706095212680238</v>
      </c>
      <c r="H5" s="4">
        <f t="shared" si="4"/>
        <v>33266568.478876155</v>
      </c>
      <c r="I5" s="5">
        <f t="shared" si="2"/>
        <v>1.1717693500948416</v>
      </c>
      <c r="J5" s="4">
        <f t="shared" si="5"/>
        <v>1386107.0199531731</v>
      </c>
      <c r="K5" s="4">
        <f t="shared" si="3"/>
        <v>1010988.7723587191</v>
      </c>
      <c r="L5" s="63" cm="1">
        <f t="array" ref="L5">+_xlfn.IFS(I5&gt;114%,H5*0.02,I5&gt;109%,H5*0.015,I5&gt;104%,H5*0.0125,I5&gt;99%,H5*0.01,I5&lt;99%,H5*0)</f>
        <v>665331.36957752309</v>
      </c>
    </row>
    <row r="6" spans="1:14" ht="15.75" x14ac:dyDescent="0.25">
      <c r="A6" s="88"/>
      <c r="B6" s="36" t="s">
        <v>212</v>
      </c>
      <c r="C6" s="62">
        <v>23528724.537520126</v>
      </c>
      <c r="D6" s="4">
        <f>IFERROR(+VLOOKUP(B6,COMISIONES!A:E,5,FALSE),"0")*1</f>
        <v>11563280.456663784</v>
      </c>
      <c r="E6" s="4">
        <v>10931376.163111016</v>
      </c>
      <c r="F6" s="4">
        <f t="shared" si="0"/>
        <v>631904.29355276749</v>
      </c>
      <c r="G6" s="5">
        <f t="shared" si="1"/>
        <v>0.49145377337493906</v>
      </c>
      <c r="H6" s="4">
        <f t="shared" si="4"/>
        <v>25228975.541811891</v>
      </c>
      <c r="I6" s="5">
        <f t="shared" si="2"/>
        <v>1.0722627782725942</v>
      </c>
      <c r="J6" s="4">
        <f t="shared" si="5"/>
        <v>1051207.314242162</v>
      </c>
      <c r="K6" s="4">
        <f t="shared" si="3"/>
        <v>920418.77545048785</v>
      </c>
      <c r="L6" s="63" cm="1">
        <f t="array" ref="L6">+_xlfn.IFS(I6&gt;114%,H6*0.02,I6&gt;109%,H6*0.015,I6&gt;104%,H6*0.0125,I6&gt;99%,H6*0.01,I6&lt;99%,H6*0)</f>
        <v>315362.19427264866</v>
      </c>
    </row>
    <row r="7" spans="1:14" ht="15.75" x14ac:dyDescent="0.25">
      <c r="A7" s="88"/>
      <c r="B7" s="36" t="s">
        <v>86</v>
      </c>
      <c r="C7" s="62">
        <v>27741857.030464504</v>
      </c>
      <c r="D7" s="4">
        <f>IFERROR(+VLOOKUP(B7,COMISIONES!A:E,5,FALSE),"0")*1</f>
        <v>9615921.6737193447</v>
      </c>
      <c r="E7" s="4">
        <v>8806933.4567012265</v>
      </c>
      <c r="F7" s="4">
        <f t="shared" ref="F7:F8" si="6">+D7-E7</f>
        <v>808988.21701811813</v>
      </c>
      <c r="G7" s="5">
        <f t="shared" si="1"/>
        <v>0.34662141266028784</v>
      </c>
      <c r="H7" s="4">
        <f t="shared" si="4"/>
        <v>20980192.742660388</v>
      </c>
      <c r="I7" s="5">
        <f t="shared" si="2"/>
        <v>0.75626490034971894</v>
      </c>
      <c r="J7" s="4">
        <f t="shared" si="5"/>
        <v>874174.69761084951</v>
      </c>
      <c r="K7" s="4">
        <f t="shared" si="3"/>
        <v>1394302.7197496279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88"/>
      <c r="B8" s="36" t="s">
        <v>85</v>
      </c>
      <c r="C8" s="62">
        <v>35831071.416917704</v>
      </c>
      <c r="D8" s="4">
        <f>IFERROR(+VLOOKUP(B8,COMISIONES!A:E,5,FALSE),"0")*1</f>
        <v>16806749.78055869</v>
      </c>
      <c r="E8" s="4">
        <v>14914934.086527392</v>
      </c>
      <c r="F8" s="4">
        <f t="shared" si="6"/>
        <v>1891815.6940312982</v>
      </c>
      <c r="G8" s="5">
        <f t="shared" si="1"/>
        <v>0.46905518355846187</v>
      </c>
      <c r="H8" s="4">
        <f t="shared" si="4"/>
        <v>36669272.24849169</v>
      </c>
      <c r="I8" s="5">
        <f t="shared" si="2"/>
        <v>1.0233931277639168</v>
      </c>
      <c r="J8" s="4">
        <f t="shared" si="5"/>
        <v>1527886.3436871537</v>
      </c>
      <c r="K8" s="4">
        <f t="shared" si="3"/>
        <v>1463409.3566430011</v>
      </c>
      <c r="L8" s="63" cm="1">
        <f t="array" ref="L8">+_xlfn.IFS(I8&gt;114%,H8*0.02,I8&gt;109%,H8*0.015,I8&gt;104%,H8*0.0125,I8&gt;99%,H8*0.01,I8&lt;99%,H8*0)</f>
        <v>366692.72248491691</v>
      </c>
    </row>
    <row r="9" spans="1:14" ht="15.75" x14ac:dyDescent="0.25">
      <c r="A9" s="88"/>
      <c r="B9" s="36" t="s">
        <v>84</v>
      </c>
      <c r="C9" s="62">
        <v>35831071.416917704</v>
      </c>
      <c r="D9" s="4">
        <f>IFERROR(+VLOOKUP(B9,COMISIONES!A:E,5,FALSE),"0")*1</f>
        <v>18863848.650468376</v>
      </c>
      <c r="E9" s="4">
        <v>16797290.894173365</v>
      </c>
      <c r="F9" s="4">
        <f t="shared" si="0"/>
        <v>2066557.7562950104</v>
      </c>
      <c r="G9" s="5">
        <f t="shared" si="1"/>
        <v>0.5264662178525249</v>
      </c>
      <c r="H9" s="4">
        <f t="shared" si="4"/>
        <v>41157487.964658275</v>
      </c>
      <c r="I9" s="5">
        <f t="shared" si="2"/>
        <v>1.1486535662236907</v>
      </c>
      <c r="J9" s="4">
        <f t="shared" si="5"/>
        <v>1714895.3318607614</v>
      </c>
      <c r="K9" s="4">
        <f t="shared" si="3"/>
        <v>1305170.9820345638</v>
      </c>
      <c r="L9" s="63" cm="1">
        <f t="array" ref="L9">+_xlfn.IFS(I9&gt;114%,H9*0.02,I9&gt;109%,H9*0.015,I9&gt;104%,H9*0.0125,I9&gt;99%,H9*0.01,I9&lt;99%,H9*0)</f>
        <v>823149.75929316552</v>
      </c>
    </row>
    <row r="10" spans="1:14" ht="16.5" thickBot="1" x14ac:dyDescent="0.3">
      <c r="A10" s="89"/>
      <c r="B10" s="3"/>
      <c r="C10" s="64">
        <v>242974591.73925051</v>
      </c>
      <c r="D10" s="64">
        <f>+SUM(D2:D9)</f>
        <v>126419184.03694384</v>
      </c>
      <c r="E10" s="65">
        <v>113859611.46917823</v>
      </c>
      <c r="F10" s="64">
        <f>+SUM(F2:F9)</f>
        <v>12559572.567765577</v>
      </c>
      <c r="G10" s="66">
        <f t="shared" si="1"/>
        <v>0.52029795844913396</v>
      </c>
      <c r="H10" s="64">
        <f t="shared" si="4"/>
        <v>275823674.26242292</v>
      </c>
      <c r="I10" s="66">
        <f t="shared" si="2"/>
        <v>1.1351955457072012</v>
      </c>
      <c r="J10" s="64">
        <f t="shared" si="5"/>
        <v>11492653.094267622</v>
      </c>
      <c r="K10" s="67">
        <f t="shared" si="3"/>
        <v>8965800.592485128</v>
      </c>
      <c r="L10" s="68"/>
    </row>
    <row r="11" spans="1:14" ht="15.75" x14ac:dyDescent="0.25">
      <c r="A11" s="87" t="s">
        <v>210</v>
      </c>
      <c r="B11" s="57" t="s">
        <v>97</v>
      </c>
      <c r="C11" s="58">
        <v>96971948.480137512</v>
      </c>
      <c r="D11" s="59">
        <f>IFERROR(+VLOOKUP(B11,COMISIONES!A:E,5,FALSE),"0")*1</f>
        <v>49340595.584204771</v>
      </c>
      <c r="E11" s="59">
        <v>45072979.61650601</v>
      </c>
      <c r="F11" s="59">
        <f t="shared" ref="F11:F16" si="7">+D11-E11</f>
        <v>4267615.9676987603</v>
      </c>
      <c r="G11" s="60">
        <f t="shared" si="1"/>
        <v>0.50881307798317643</v>
      </c>
      <c r="H11" s="59">
        <f t="shared" si="4"/>
        <v>107652208.54735586</v>
      </c>
      <c r="I11" s="60">
        <f t="shared" si="2"/>
        <v>1.1101376246905665</v>
      </c>
      <c r="J11" s="59">
        <f t="shared" si="5"/>
        <v>4485508.6894731605</v>
      </c>
      <c r="K11" s="59">
        <f t="shared" si="3"/>
        <v>3663950.2227640571</v>
      </c>
      <c r="L11" s="61" cm="1">
        <f t="array" ref="L11">+_xlfn.IFS(I11&gt;114%,H11*0.0125,I11&gt;109%,H11*0.01,I11&gt;104%,H11*0.0075,I11&gt;99%,H11*0.005,I11&lt;99%,H11*0)</f>
        <v>1076522.0854735586</v>
      </c>
    </row>
    <row r="12" spans="1:14" ht="16.5" thickBot="1" x14ac:dyDescent="0.3">
      <c r="A12" s="88"/>
      <c r="B12" s="36" t="s">
        <v>107</v>
      </c>
      <c r="C12" s="62">
        <v>31630902.408567004</v>
      </c>
      <c r="D12" s="4">
        <f>IFERROR(+VLOOKUP(B12,COMISIONES!A:E,5,FALSE),"0")*1</f>
        <v>12726652.901956733</v>
      </c>
      <c r="E12" s="4">
        <v>12726652.901956733</v>
      </c>
      <c r="F12" s="4">
        <f t="shared" si="7"/>
        <v>0</v>
      </c>
      <c r="G12" s="5">
        <f t="shared" si="1"/>
        <v>0.40234871384857518</v>
      </c>
      <c r="H12" s="4">
        <f t="shared" si="4"/>
        <v>27767242.695178326</v>
      </c>
      <c r="I12" s="5">
        <f t="shared" si="2"/>
        <v>0.87785173930598226</v>
      </c>
      <c r="J12" s="4">
        <f t="shared" si="5"/>
        <v>1156968.4456324303</v>
      </c>
      <c r="K12" s="4">
        <f t="shared" si="3"/>
        <v>1454173.0389700208</v>
      </c>
      <c r="L12" s="63" cm="1">
        <f t="array" ref="L12">+_xlfn.IFS(I12&gt;114%,H12*0.02,I12&gt;109%,H12*0.015,I12&gt;104%,H12*0.0125,I12&gt;99%,H12*0.01,I12&lt;99%,H12*0)</f>
        <v>0</v>
      </c>
      <c r="M12" s="27"/>
    </row>
    <row r="13" spans="1:14" ht="16.5" thickBot="1" x14ac:dyDescent="0.3">
      <c r="A13" s="88"/>
      <c r="B13" s="36" t="s">
        <v>91</v>
      </c>
      <c r="C13" s="62">
        <v>128363916.07462499</v>
      </c>
      <c r="D13" s="4">
        <f>IFERROR(+VLOOKUP(B13,COMISIONES!A:E,5,FALSE),"0")*1</f>
        <v>60038357.598558225</v>
      </c>
      <c r="E13" s="4">
        <v>59180827.134406224</v>
      </c>
      <c r="F13" s="4">
        <f t="shared" si="7"/>
        <v>857530.46415200084</v>
      </c>
      <c r="G13" s="5">
        <f t="shared" si="1"/>
        <v>0.46771989695028182</v>
      </c>
      <c r="H13" s="4">
        <f t="shared" si="4"/>
        <v>130992780.21503612</v>
      </c>
      <c r="I13" s="5">
        <f t="shared" si="2"/>
        <v>1.0204797751642514</v>
      </c>
      <c r="J13" s="4">
        <f t="shared" si="5"/>
        <v>5458032.5089598382</v>
      </c>
      <c r="K13" s="4">
        <f t="shared" si="3"/>
        <v>5255812.190466674</v>
      </c>
      <c r="L13" s="63" cm="1">
        <f t="array" ref="L13">+_xlfn.IFS(I13&gt;114%,H13*0.0125,I13&gt;109%,H13*0.01,I13&gt;104%,H13*0.0075,I13&gt;99%,H13*0.005,I13&lt;99%,H13*0)</f>
        <v>654963.90107518062</v>
      </c>
      <c r="M13" s="53" t="s">
        <v>61</v>
      </c>
      <c r="N13" s="25">
        <v>0.02</v>
      </c>
    </row>
    <row r="14" spans="1:14" ht="15.75" x14ac:dyDescent="0.25">
      <c r="A14" s="88"/>
      <c r="B14" s="36" t="s">
        <v>112</v>
      </c>
      <c r="C14" s="62">
        <v>42449057.394974999</v>
      </c>
      <c r="D14" s="4">
        <f>IFERROR(+VLOOKUP(B14,COMISIONES!A:E,5,FALSE),"0")*1</f>
        <v>18735817.540831447</v>
      </c>
      <c r="E14" s="4">
        <v>12063016.447646325</v>
      </c>
      <c r="F14" s="4">
        <f t="shared" si="7"/>
        <v>6672801.0931851212</v>
      </c>
      <c r="G14" s="5">
        <f t="shared" si="1"/>
        <v>0.44137181578616963</v>
      </c>
      <c r="H14" s="4">
        <f t="shared" si="4"/>
        <v>40878147.361814067</v>
      </c>
      <c r="I14" s="5">
        <f t="shared" si="2"/>
        <v>0.96299305262437007</v>
      </c>
      <c r="J14" s="4">
        <f t="shared" si="5"/>
        <v>1703256.140075586</v>
      </c>
      <c r="K14" s="4">
        <f t="shared" si="3"/>
        <v>1824095.3733956579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88"/>
      <c r="B15" s="36" t="s">
        <v>108</v>
      </c>
      <c r="C15" s="62">
        <v>42449057.394974999</v>
      </c>
      <c r="D15" s="4">
        <f>IFERROR(+VLOOKUP(B15,COMISIONES!A:E,5,FALSE),"0")*1</f>
        <v>27101787.621247634</v>
      </c>
      <c r="E15" s="4">
        <v>25192644.671372555</v>
      </c>
      <c r="F15" s="4">
        <f t="shared" si="7"/>
        <v>1909142.9498750791</v>
      </c>
      <c r="G15" s="5">
        <f t="shared" si="1"/>
        <v>0.63845440357071082</v>
      </c>
      <c r="H15" s="4">
        <f t="shared" si="4"/>
        <v>59131172.991813019</v>
      </c>
      <c r="I15" s="5">
        <f t="shared" si="2"/>
        <v>1.3929914259724598</v>
      </c>
      <c r="J15" s="4">
        <f t="shared" si="5"/>
        <v>2463798.8746588756</v>
      </c>
      <c r="K15" s="4">
        <f t="shared" si="3"/>
        <v>1180559.2133636435</v>
      </c>
      <c r="L15" s="63" cm="1">
        <f t="array" ref="L15">+_xlfn.IFS(I15&gt;109%,H15*0.015,I15&gt;104%,H15*0.0125,I15&gt;99%,H15*0.01,I15&lt;99%,H15*0)</f>
        <v>886967.5948771952</v>
      </c>
    </row>
    <row r="16" spans="1:14" ht="16.5" thickBot="1" x14ac:dyDescent="0.3">
      <c r="A16" s="89"/>
      <c r="B16" s="3"/>
      <c r="C16" s="64">
        <v>341864881.75327951</v>
      </c>
      <c r="D16" s="64">
        <f>+SUM(D11:D15)</f>
        <v>167943211.24679881</v>
      </c>
      <c r="E16" s="65">
        <v>154236120.77188784</v>
      </c>
      <c r="F16" s="64">
        <f t="shared" si="7"/>
        <v>13707090.474910975</v>
      </c>
      <c r="G16" s="66">
        <f t="shared" si="1"/>
        <v>0.49125610792629398</v>
      </c>
      <c r="H16" s="64">
        <f t="shared" si="4"/>
        <v>366421551.8111974</v>
      </c>
      <c r="I16" s="66">
        <f t="shared" si="2"/>
        <v>1.0718315082028231</v>
      </c>
      <c r="J16" s="64">
        <f t="shared" si="5"/>
        <v>15267564.658799892</v>
      </c>
      <c r="K16" s="67">
        <f t="shared" si="3"/>
        <v>13378590.038960053</v>
      </c>
      <c r="L16" s="68"/>
    </row>
    <row r="17" spans="1:13" ht="15.75" x14ac:dyDescent="0.25">
      <c r="A17" s="90" t="s">
        <v>211</v>
      </c>
      <c r="B17" s="69" t="s">
        <v>82</v>
      </c>
      <c r="C17" s="70">
        <v>29338018.132500004</v>
      </c>
      <c r="D17" s="59">
        <f>IFERROR(+VLOOKUP(B17,COMISIONES!A:E,5,FALSE),"0")*1</f>
        <v>8693363.8308905065</v>
      </c>
      <c r="E17" s="59">
        <v>7935947.3890327429</v>
      </c>
      <c r="F17" s="59">
        <f t="shared" ref="F17:F40" si="8">+D17-E17</f>
        <v>757416.44185776357</v>
      </c>
      <c r="G17" s="60">
        <f t="shared" si="1"/>
        <v>0.29631735148667698</v>
      </c>
      <c r="H17" s="59">
        <f t="shared" si="4"/>
        <v>18967339.267397467</v>
      </c>
      <c r="I17" s="60">
        <f t="shared" si="2"/>
        <v>0.64651058506184067</v>
      </c>
      <c r="J17" s="59">
        <f t="shared" si="5"/>
        <v>790305.80280822783</v>
      </c>
      <c r="K17" s="59">
        <f t="shared" si="3"/>
        <v>1588050.3308930383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91"/>
      <c r="B18" s="19" t="s">
        <v>83</v>
      </c>
      <c r="C18" s="71">
        <v>24959505.900000002</v>
      </c>
      <c r="D18" s="4">
        <f>IFERROR(+VLOOKUP(B18,COMISIONES!A:E,5,FALSE),"0")*1</f>
        <v>9146279.4433018658</v>
      </c>
      <c r="E18" s="4">
        <v>8747383.1666885894</v>
      </c>
      <c r="F18" s="4">
        <f t="shared" si="8"/>
        <v>398896.27661327645</v>
      </c>
      <c r="G18" s="5">
        <f t="shared" si="1"/>
        <v>0.36644473171649866</v>
      </c>
      <c r="H18" s="4">
        <f t="shared" si="4"/>
        <v>19955518.785385888</v>
      </c>
      <c r="I18" s="5">
        <f t="shared" si="2"/>
        <v>0.79951577829054243</v>
      </c>
      <c r="J18" s="4">
        <f t="shared" si="5"/>
        <v>831479.94939107867</v>
      </c>
      <c r="K18" s="4">
        <f t="shared" si="3"/>
        <v>1216402.0351306258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91"/>
      <c r="B19" s="19" t="s">
        <v>93</v>
      </c>
      <c r="C19" s="71">
        <v>25856650.1655</v>
      </c>
      <c r="D19" s="4">
        <f>IFERROR(+VLOOKUP(B19,COMISIONES!A:E,5,FALSE),"0")*1</f>
        <v>10467417.738483323</v>
      </c>
      <c r="E19" s="4">
        <v>9582764.4529769439</v>
      </c>
      <c r="F19" s="4">
        <f t="shared" si="8"/>
        <v>884653.28550637886</v>
      </c>
      <c r="G19" s="5">
        <f t="shared" si="1"/>
        <v>0.40482497429035819</v>
      </c>
      <c r="H19" s="4">
        <f t="shared" si="4"/>
        <v>22838002.338509068</v>
      </c>
      <c r="I19" s="5">
        <f t="shared" si="2"/>
        <v>0.88325448936078144</v>
      </c>
      <c r="J19" s="4">
        <f t="shared" si="5"/>
        <v>951583.43077121116</v>
      </c>
      <c r="K19" s="4">
        <f t="shared" si="3"/>
        <v>1183787.1097705136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91"/>
      <c r="B20" s="19" t="s">
        <v>96</v>
      </c>
      <c r="C20" s="71">
        <v>33548130</v>
      </c>
      <c r="D20" s="4">
        <f>IFERROR(+VLOOKUP(B20,COMISIONES!A:E,5,FALSE),"0")*1</f>
        <v>20445334.936737273</v>
      </c>
      <c r="E20" s="4">
        <v>18556073.997634564</v>
      </c>
      <c r="F20" s="4">
        <f t="shared" si="8"/>
        <v>1889260.9391027093</v>
      </c>
      <c r="G20" s="5">
        <f t="shared" si="1"/>
        <v>0.60943292328774434</v>
      </c>
      <c r="H20" s="4">
        <f t="shared" si="4"/>
        <v>44608003.498335868</v>
      </c>
      <c r="I20" s="5">
        <f t="shared" si="2"/>
        <v>1.3296718326278056</v>
      </c>
      <c r="J20" s="4">
        <f t="shared" si="5"/>
        <v>1858666.8124306612</v>
      </c>
      <c r="K20" s="4">
        <f t="shared" si="3"/>
        <v>1007907.3125586713</v>
      </c>
      <c r="L20" s="63" cm="1">
        <f t="array" ref="L20">+_xlfn.IFS(I20&gt;114%,H20*0.02,I20&gt;109%,H20*0.015,I20&gt;104%,H20*0.0125,I20&gt;99%,H20*0.01,I20&lt;99%,H20*0)</f>
        <v>892160.06996671739</v>
      </c>
    </row>
    <row r="21" spans="1:13" ht="15.75" x14ac:dyDescent="0.25">
      <c r="A21" s="91"/>
      <c r="B21" s="19" t="s">
        <v>98</v>
      </c>
      <c r="C21" s="71">
        <v>25458510</v>
      </c>
      <c r="D21" s="4">
        <f>IFERROR(+VLOOKUP(B21,COMISIONES!A:E,5,FALSE),"0")*1</f>
        <v>10980183.446752926</v>
      </c>
      <c r="E21" s="4">
        <v>9684737.8484921921</v>
      </c>
      <c r="F21" s="4">
        <f t="shared" ref="F21:F23" si="9">+D21-E21</f>
        <v>1295445.5982607342</v>
      </c>
      <c r="G21" s="5">
        <f t="shared" si="1"/>
        <v>0.43129717515883398</v>
      </c>
      <c r="H21" s="4">
        <f t="shared" si="4"/>
        <v>23956763.883824568</v>
      </c>
      <c r="I21" s="5">
        <f t="shared" si="2"/>
        <v>0.94101201852836514</v>
      </c>
      <c r="J21" s="4">
        <f t="shared" si="5"/>
        <v>998198.49515935697</v>
      </c>
      <c r="K21" s="4">
        <f t="shared" si="3"/>
        <v>1113717.4271728517</v>
      </c>
      <c r="L21" s="63" cm="1">
        <f t="array" ref="L21">+_xlfn.IFS(I21&gt;114%,H21*0.02,I21&gt;109%,H21*0.015,I21&gt;104%,H21*0.0125,I21&gt;99%,H21*0.01,I21&lt;99%,H21*0)</f>
        <v>0</v>
      </c>
    </row>
    <row r="22" spans="1:13" ht="15.75" x14ac:dyDescent="0.25">
      <c r="A22" s="91"/>
      <c r="B22" s="19" t="s">
        <v>233</v>
      </c>
      <c r="C22" s="71">
        <v>31742890.200000003</v>
      </c>
      <c r="D22" s="4">
        <f>IFERROR(+VLOOKUP(B22,COMISIONES!A:E,5,FALSE),"0")*1</f>
        <v>14579075.923666339</v>
      </c>
      <c r="E22" s="4">
        <v>13932220.499480665</v>
      </c>
      <c r="F22" s="4">
        <f t="shared" si="9"/>
        <v>646855.42418567464</v>
      </c>
      <c r="G22" s="5">
        <f t="shared" si="1"/>
        <v>0.45928634197481921</v>
      </c>
      <c r="H22" s="4">
        <f t="shared" si="4"/>
        <v>31808892.92436292</v>
      </c>
      <c r="I22" s="5">
        <f t="shared" si="2"/>
        <v>1.0020792915814236</v>
      </c>
      <c r="J22" s="4">
        <f t="shared" si="5"/>
        <v>1325370.5385151217</v>
      </c>
      <c r="K22" s="4">
        <f t="shared" si="3"/>
        <v>1320293.4058718202</v>
      </c>
      <c r="L22" s="63" cm="1">
        <f t="array" ref="L22">+_xlfn.IFS(I22&gt;114%,H22*0.02,I22&gt;109%,H22*0.015,I22&gt;104%,H22*0.0125,I22&gt;99%,H22*0.01,I22&lt;99%,H22*0)</f>
        <v>318088.92924362922</v>
      </c>
    </row>
    <row r="23" spans="1:13" ht="15.75" x14ac:dyDescent="0.25">
      <c r="A23" s="91"/>
      <c r="B23" s="19" t="s">
        <v>162</v>
      </c>
      <c r="C23" s="71">
        <v>27435946.230000004</v>
      </c>
      <c r="D23" s="4">
        <f>IFERROR(+VLOOKUP(B23,COMISIONES!A:E,5,FALSE),"0")*1</f>
        <v>13476544.027213015</v>
      </c>
      <c r="E23" s="4">
        <v>12619217.089428457</v>
      </c>
      <c r="F23" s="4">
        <f t="shared" si="9"/>
        <v>857326.93778455816</v>
      </c>
      <c r="G23" s="5">
        <f t="shared" si="1"/>
        <v>0.49120026385228166</v>
      </c>
      <c r="H23" s="4">
        <f t="shared" si="4"/>
        <v>29403368.786646578</v>
      </c>
      <c r="I23" s="5">
        <f t="shared" si="2"/>
        <v>1.0717096665867965</v>
      </c>
      <c r="J23" s="4">
        <f t="shared" si="5"/>
        <v>1225140.3661102741</v>
      </c>
      <c r="K23" s="4">
        <f t="shared" si="3"/>
        <v>1073800.1694451531</v>
      </c>
      <c r="L23" s="63" cm="1">
        <f t="array" ref="L23">+_xlfn.IFS(I23&gt;114%,H23*0.02,I23&gt;109%,H23*0.015,I23&gt;104%,H23*0.0125,I23&gt;99%,H23*0.01,I23&lt;99%,H23*0)</f>
        <v>367542.10983308224</v>
      </c>
    </row>
    <row r="24" spans="1:13" ht="15.75" x14ac:dyDescent="0.25">
      <c r="A24" s="91"/>
      <c r="B24" s="19" t="s">
        <v>234</v>
      </c>
      <c r="C24" s="71">
        <v>33494055</v>
      </c>
      <c r="D24" s="4">
        <f>IFERROR(+VLOOKUP(B24,COMISIONES!A:E,5,FALSE),"0")*1</f>
        <v>12878412.530010875</v>
      </c>
      <c r="E24" s="4">
        <v>10463850.92498962</v>
      </c>
      <c r="F24" s="4">
        <f t="shared" si="8"/>
        <v>2414561.6050212551</v>
      </c>
      <c r="G24" s="5">
        <f t="shared" si="1"/>
        <v>0.38449845890594242</v>
      </c>
      <c r="H24" s="4">
        <f t="shared" si="4"/>
        <v>28098354.61093282</v>
      </c>
      <c r="I24" s="5">
        <f t="shared" si="2"/>
        <v>0.83890572852205625</v>
      </c>
      <c r="J24" s="4">
        <f t="shared" si="5"/>
        <v>1170764.7754555342</v>
      </c>
      <c r="K24" s="4">
        <f t="shared" si="3"/>
        <v>1585818.6515376249</v>
      </c>
      <c r="L24" s="63" cm="1">
        <f t="array" ref="L24">+_xlfn.IFS(I24&gt;114%,H24*0.02,I24&gt;109%,H24*0.015,I24&gt;104%,H24*0.0125,I24&gt;99%,H24*0.01,I24&lt;99%,H24*0)</f>
        <v>0</v>
      </c>
    </row>
    <row r="25" spans="1:13" ht="15.75" x14ac:dyDescent="0.25">
      <c r="A25" s="91"/>
      <c r="B25" s="19" t="s">
        <v>140</v>
      </c>
      <c r="C25" s="71">
        <v>54064952.86500001</v>
      </c>
      <c r="D25" s="4">
        <f>IFERROR(+VLOOKUP(B25,COMISIONES!A:E,5,FALSE),"0")*1</f>
        <v>20675373.952008072</v>
      </c>
      <c r="E25" s="4">
        <v>19594052.122893002</v>
      </c>
      <c r="F25" s="4">
        <f t="shared" si="8"/>
        <v>1081321.8291150704</v>
      </c>
      <c r="G25" s="5">
        <f t="shared" si="1"/>
        <v>0.38241731207339447</v>
      </c>
      <c r="H25" s="4">
        <f t="shared" si="4"/>
        <v>45109906.804381251</v>
      </c>
      <c r="I25" s="5">
        <f t="shared" si="2"/>
        <v>0.83436504452376981</v>
      </c>
      <c r="J25" s="4">
        <f t="shared" si="5"/>
        <v>1879579.450182552</v>
      </c>
      <c r="K25" s="4">
        <f t="shared" si="3"/>
        <v>2568429.1471532257</v>
      </c>
      <c r="L25" s="63" cm="1">
        <f t="array" ref="L25">+_xlfn.IFS(I25&gt;109%,H25*0.015,I25&gt;104%,H25*0.0125,I25&gt;99%,H25*0.01,I25&lt;99%,H25*0)</f>
        <v>0</v>
      </c>
    </row>
    <row r="26" spans="1:13" ht="16.5" thickBot="1" x14ac:dyDescent="0.3">
      <c r="A26" s="92"/>
      <c r="B26" s="72"/>
      <c r="C26" s="67">
        <v>285898658.49300003</v>
      </c>
      <c r="D26" s="67">
        <f>+SUM(D17:D25)</f>
        <v>121341985.82906419</v>
      </c>
      <c r="E26" s="65">
        <v>111116247.49161679</v>
      </c>
      <c r="F26" s="67">
        <f>+D26-E26</f>
        <v>10225738.337447405</v>
      </c>
      <c r="G26" s="66">
        <f t="shared" si="1"/>
        <v>0.42442306819021025</v>
      </c>
      <c r="H26" s="64">
        <f t="shared" si="4"/>
        <v>264746150.8997764</v>
      </c>
      <c r="I26" s="66">
        <f t="shared" si="2"/>
        <v>0.92601396696045868</v>
      </c>
      <c r="J26" s="64">
        <f t="shared" si="5"/>
        <v>11031089.620824017</v>
      </c>
      <c r="K26" s="67">
        <f t="shared" si="3"/>
        <v>12658205.589533526</v>
      </c>
      <c r="L26" s="68"/>
    </row>
    <row r="27" spans="1:13" ht="15.75" x14ac:dyDescent="0.25">
      <c r="A27" s="87" t="s">
        <v>219</v>
      </c>
      <c r="B27" s="57" t="s">
        <v>214</v>
      </c>
      <c r="C27" s="73">
        <v>81977700</v>
      </c>
      <c r="D27" s="59">
        <f>IFERROR(+VLOOKUP(B27,COMISIONES!A:E,5,FALSE),"0")*1</f>
        <v>34411101.004763618</v>
      </c>
      <c r="E27" s="59">
        <v>33450220.947755333</v>
      </c>
      <c r="F27" s="59">
        <f t="shared" si="8"/>
        <v>960880.05700828508</v>
      </c>
      <c r="G27" s="60">
        <f t="shared" si="1"/>
        <v>0.41976172794264316</v>
      </c>
      <c r="H27" s="59">
        <f t="shared" si="4"/>
        <v>75078765.828575164</v>
      </c>
      <c r="I27" s="60">
        <f t="shared" si="2"/>
        <v>0.91584377005667594</v>
      </c>
      <c r="J27" s="59">
        <f t="shared" si="5"/>
        <v>3128281.9095239653</v>
      </c>
      <c r="K27" s="59">
        <f t="shared" si="3"/>
        <v>3658969.1534797219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88"/>
      <c r="B28" s="36" t="s">
        <v>216</v>
      </c>
      <c r="C28" s="74">
        <v>21000000</v>
      </c>
      <c r="D28" s="4">
        <f>IFERROR(+VLOOKUP(B28,COMISIONES!A:E,5,FALSE),"0")*1</f>
        <v>6108215.4389794497</v>
      </c>
      <c r="E28" s="4">
        <v>5777964.8325451156</v>
      </c>
      <c r="F28" s="4">
        <f t="shared" si="8"/>
        <v>330250.60643433407</v>
      </c>
      <c r="G28" s="5">
        <f t="shared" si="1"/>
        <v>0.29086740185616428</v>
      </c>
      <c r="H28" s="4">
        <f t="shared" si="4"/>
        <v>13327015.50322789</v>
      </c>
      <c r="I28" s="5">
        <f t="shared" si="2"/>
        <v>0.63461978586799472</v>
      </c>
      <c r="J28" s="4">
        <f t="shared" si="5"/>
        <v>555292.31263449544</v>
      </c>
      <c r="K28" s="4">
        <f t="shared" si="3"/>
        <v>1145521.8893092731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88"/>
      <c r="B29" s="36" t="s">
        <v>87</v>
      </c>
      <c r="C29" s="74">
        <v>25739700</v>
      </c>
      <c r="D29" s="4">
        <f>IFERROR(+VLOOKUP(B29,COMISIONES!A:E,5,FALSE),"0")*1</f>
        <v>11264156.639444824</v>
      </c>
      <c r="E29" s="4">
        <v>9823471.9917300809</v>
      </c>
      <c r="F29" s="4">
        <f t="shared" si="8"/>
        <v>1440684.6477147434</v>
      </c>
      <c r="G29" s="5">
        <f t="shared" si="1"/>
        <v>0.4376180234985188</v>
      </c>
      <c r="H29" s="4">
        <f t="shared" si="4"/>
        <v>24576341.758788709</v>
      </c>
      <c r="I29" s="5">
        <f t="shared" si="2"/>
        <v>0.95480296036040468</v>
      </c>
      <c r="J29" s="4">
        <f t="shared" si="5"/>
        <v>1024014.2399495295</v>
      </c>
      <c r="K29" s="4">
        <f t="shared" si="3"/>
        <v>1113503.3354273213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88"/>
      <c r="B30" s="36" t="s">
        <v>215</v>
      </c>
      <c r="C30" s="74">
        <v>38233205.112125672</v>
      </c>
      <c r="D30" s="4">
        <f>IFERROR(+VLOOKUP(B30,COMISIONES!A:E,5,FALSE),"0")*1</f>
        <v>9010188.8518341817</v>
      </c>
      <c r="E30" s="4">
        <v>8588184.3117468338</v>
      </c>
      <c r="F30" s="4">
        <f t="shared" si="8"/>
        <v>422004.54008734785</v>
      </c>
      <c r="G30" s="5">
        <f t="shared" si="1"/>
        <v>0.23566396867357053</v>
      </c>
      <c r="H30" s="4">
        <f t="shared" si="4"/>
        <v>19658593.858547304</v>
      </c>
      <c r="I30" s="5">
        <f t="shared" si="2"/>
        <v>0.51417593165142661</v>
      </c>
      <c r="J30" s="4">
        <f t="shared" si="5"/>
        <v>819108.07743947103</v>
      </c>
      <c r="K30" s="4">
        <f t="shared" si="3"/>
        <v>2247924.3277147301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88"/>
      <c r="B31" s="36" t="s">
        <v>99</v>
      </c>
      <c r="C31" s="74">
        <v>25415250</v>
      </c>
      <c r="D31" s="4">
        <f>IFERROR(+VLOOKUP(B31,COMISIONES!A:E,5,FALSE),"0")*1</f>
        <v>9777757.9714250863</v>
      </c>
      <c r="E31" s="4">
        <v>9407600.5395302419</v>
      </c>
      <c r="F31" s="4">
        <f t="shared" si="8"/>
        <v>370157.4318948444</v>
      </c>
      <c r="G31" s="5">
        <f t="shared" si="1"/>
        <v>0.38472011770197367</v>
      </c>
      <c r="H31" s="4">
        <f t="shared" si="4"/>
        <v>21333290.119472917</v>
      </c>
      <c r="I31" s="5">
        <f t="shared" si="2"/>
        <v>0.83938934771339713</v>
      </c>
      <c r="J31" s="4">
        <f t="shared" si="5"/>
        <v>888887.08831137151</v>
      </c>
      <c r="K31" s="4">
        <f t="shared" si="3"/>
        <v>1202884.0021980703</v>
      </c>
      <c r="L31" s="63" cm="1">
        <f t="array" ref="L31">+_xlfn.IFS(I31&gt;114%,H31*0.02,I31&gt;109%,H31*0.015,I31&gt;104%,H31*0.0125,I31&gt;99%,H31*0.01,I31&lt;99%,H31*0)</f>
        <v>0</v>
      </c>
      <c r="M31" s="27"/>
    </row>
    <row r="32" spans="1:13" ht="15.75" x14ac:dyDescent="0.25">
      <c r="A32" s="88"/>
      <c r="B32" s="36" t="s">
        <v>213</v>
      </c>
      <c r="C32" s="74">
        <v>25200000</v>
      </c>
      <c r="D32" s="4">
        <f>IFERROR(+VLOOKUP(B32,COMISIONES!A:E,5,FALSE),"0")*1</f>
        <v>7333522.0196865257</v>
      </c>
      <c r="E32" s="4">
        <v>6665534.1859788187</v>
      </c>
      <c r="F32" s="4">
        <f t="shared" si="8"/>
        <v>667987.833707707</v>
      </c>
      <c r="G32" s="5">
        <f t="shared" si="1"/>
        <v>0.2910127785589891</v>
      </c>
      <c r="H32" s="4">
        <f t="shared" si="4"/>
        <v>16000411.679316055</v>
      </c>
      <c r="I32" s="5">
        <f t="shared" si="2"/>
        <v>0.63493697140143079</v>
      </c>
      <c r="J32" s="4">
        <f t="shared" si="5"/>
        <v>666683.81997150229</v>
      </c>
      <c r="K32" s="4">
        <f t="shared" si="3"/>
        <v>1374344.4600241133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88"/>
      <c r="B33" s="36" t="s">
        <v>100</v>
      </c>
      <c r="C33" s="74">
        <v>26496750</v>
      </c>
      <c r="D33" s="4">
        <f>IFERROR(+VLOOKUP(B33,COMISIONES!A:E,5,FALSE),"0")*1</f>
        <v>6945315.7802029736</v>
      </c>
      <c r="E33" s="4">
        <v>6448364.3120282274</v>
      </c>
      <c r="F33" s="4">
        <f t="shared" si="8"/>
        <v>496951.46817474626</v>
      </c>
      <c r="G33" s="5">
        <f t="shared" si="1"/>
        <v>0.26211953466757143</v>
      </c>
      <c r="H33" s="4">
        <f t="shared" si="4"/>
        <v>15153416.247715579</v>
      </c>
      <c r="I33" s="5">
        <f t="shared" si="2"/>
        <v>0.57189716654742861</v>
      </c>
      <c r="J33" s="4">
        <f t="shared" si="5"/>
        <v>631392.34365481581</v>
      </c>
      <c r="K33" s="4">
        <f t="shared" si="3"/>
        <v>1503956.4784459251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88"/>
      <c r="B34" s="36" t="s">
        <v>139</v>
      </c>
      <c r="C34" s="74">
        <v>21000000</v>
      </c>
      <c r="D34" s="4">
        <f>IFERROR(+VLOOKUP(B34,COMISIONES!A:E,5,FALSE),"0")*1</f>
        <v>6164880.2550763758</v>
      </c>
      <c r="E34" s="4">
        <v>5618690.4157067938</v>
      </c>
      <c r="F34" s="4">
        <f t="shared" si="8"/>
        <v>546189.83936958201</v>
      </c>
      <c r="G34" s="5">
        <f t="shared" si="1"/>
        <v>0.29356572643220835</v>
      </c>
      <c r="H34" s="4">
        <f t="shared" si="4"/>
        <v>13450647.829257548</v>
      </c>
      <c r="I34" s="5">
        <f t="shared" si="2"/>
        <v>0.64050703948845467</v>
      </c>
      <c r="J34" s="4">
        <f t="shared" si="5"/>
        <v>560443.65955239779</v>
      </c>
      <c r="K34" s="4">
        <f t="shared" si="3"/>
        <v>1141163.0573018172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88"/>
      <c r="B35" s="19" t="s">
        <v>104</v>
      </c>
      <c r="C35" s="74">
        <v>24658200</v>
      </c>
      <c r="D35" s="4">
        <f>IFERROR(+VLOOKUP(B35,COMISIONES!A:E,5,FALSE),"0")*1</f>
        <v>3882737.6125165834</v>
      </c>
      <c r="E35" s="4">
        <v>3802949.3075159392</v>
      </c>
      <c r="F35" s="4">
        <f t="shared" si="8"/>
        <v>79788.305000644177</v>
      </c>
      <c r="G35" s="5">
        <f t="shared" si="1"/>
        <v>0.15746232946916577</v>
      </c>
      <c r="H35" s="4">
        <f t="shared" si="4"/>
        <v>8471427.5182179995</v>
      </c>
      <c r="I35" s="5">
        <f t="shared" si="2"/>
        <v>0.34355417338727073</v>
      </c>
      <c r="J35" s="4">
        <f t="shared" si="5"/>
        <v>352976.14659241668</v>
      </c>
      <c r="K35" s="4">
        <f t="shared" si="3"/>
        <v>1598112.4913448782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88"/>
      <c r="B36" s="36" t="s">
        <v>207</v>
      </c>
      <c r="C36" s="74">
        <v>25235000</v>
      </c>
      <c r="D36" s="4">
        <f>IFERROR(+VLOOKUP(B36,COMISIONES!A:E,5,FALSE),"0")*1</f>
        <v>6557112.931111577</v>
      </c>
      <c r="E36" s="4">
        <v>6222492.2724699304</v>
      </c>
      <c r="F36" s="4">
        <f t="shared" si="8"/>
        <v>334620.65864164662</v>
      </c>
      <c r="G36" s="5">
        <f t="shared" si="1"/>
        <v>0.25984200242169908</v>
      </c>
      <c r="H36" s="4">
        <f t="shared" si="4"/>
        <v>14306428.213334348</v>
      </c>
      <c r="I36" s="5">
        <f t="shared" si="2"/>
        <v>0.56692800528370713</v>
      </c>
      <c r="J36" s="4">
        <f t="shared" si="5"/>
        <v>596101.17555559787</v>
      </c>
      <c r="K36" s="4">
        <f t="shared" si="3"/>
        <v>1436760.5437606478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88"/>
      <c r="B37" s="36" t="s">
        <v>111</v>
      </c>
      <c r="C37" s="74">
        <v>122011750</v>
      </c>
      <c r="D37" s="4">
        <f>IFERROR(+VLOOKUP(B37,COMISIONES!A:E,5,FALSE),"0")*1</f>
        <v>33451176.522885799</v>
      </c>
      <c r="E37" s="4">
        <v>33451176.522885799</v>
      </c>
      <c r="F37" s="4">
        <f t="shared" si="8"/>
        <v>0</v>
      </c>
      <c r="G37" s="5">
        <f t="shared" si="1"/>
        <v>0.27416356640148021</v>
      </c>
      <c r="H37" s="4">
        <f t="shared" si="4"/>
        <v>72984385.140841737</v>
      </c>
      <c r="I37" s="5">
        <f t="shared" si="2"/>
        <v>0.59817505396686577</v>
      </c>
      <c r="J37" s="4">
        <f t="shared" si="5"/>
        <v>3041016.0475350725</v>
      </c>
      <c r="K37" s="4">
        <f t="shared" si="3"/>
        <v>6812351.8059318615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88"/>
      <c r="B38" s="36" t="s">
        <v>217</v>
      </c>
      <c r="C38" s="74">
        <v>35700000</v>
      </c>
      <c r="D38" s="4">
        <f>IFERROR(+VLOOKUP(B38,COMISIONES!A:E,5,FALSE),"0")*1</f>
        <v>4955958.0088995183</v>
      </c>
      <c r="E38" s="4">
        <v>4305943.4722995181</v>
      </c>
      <c r="F38" s="4">
        <f t="shared" ref="F38" si="10">+D38-E38</f>
        <v>650014.53660000023</v>
      </c>
      <c r="G38" s="5">
        <f t="shared" si="1"/>
        <v>0.13882235319046271</v>
      </c>
      <c r="H38" s="4">
        <f t="shared" si="4"/>
        <v>10812999.292144403</v>
      </c>
      <c r="I38" s="5">
        <f t="shared" si="2"/>
        <v>0.30288513423373675</v>
      </c>
      <c r="J38" s="4">
        <f t="shared" si="5"/>
        <v>450541.63717268349</v>
      </c>
      <c r="K38" s="4">
        <f t="shared" si="3"/>
        <v>2364926.3070077295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88"/>
      <c r="B39" s="36" t="s">
        <v>81</v>
      </c>
      <c r="C39" s="74">
        <v>36361427.739</v>
      </c>
      <c r="D39" s="4">
        <f>IFERROR(+VLOOKUP(B39,COMISIONES!A:E,5,FALSE),"0")*1</f>
        <v>11259066.488129456</v>
      </c>
      <c r="E39" s="4">
        <v>11081724.942682527</v>
      </c>
      <c r="F39" s="4">
        <f t="shared" si="8"/>
        <v>177341.54544692859</v>
      </c>
      <c r="G39" s="5">
        <f t="shared" si="1"/>
        <v>0.3096431352736288</v>
      </c>
      <c r="H39" s="4">
        <f t="shared" si="4"/>
        <v>24565235.974100631</v>
      </c>
      <c r="I39" s="5">
        <f t="shared" si="2"/>
        <v>0.67558502241519014</v>
      </c>
      <c r="J39" s="4">
        <f t="shared" si="5"/>
        <v>1023551.4989208597</v>
      </c>
      <c r="K39" s="4">
        <f t="shared" si="3"/>
        <v>1930950.8654515804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89"/>
      <c r="B40" s="3"/>
      <c r="C40" s="75">
        <v>509028982.85112572</v>
      </c>
      <c r="D40" s="67">
        <f>+SUM(D27:D39)</f>
        <v>151121189.52495596</v>
      </c>
      <c r="E40" s="65">
        <v>144644318.05487517</v>
      </c>
      <c r="F40" s="67">
        <f t="shared" si="8"/>
        <v>6476871.4700807929</v>
      </c>
      <c r="G40" s="66">
        <f t="shared" si="1"/>
        <v>0.29688130659773049</v>
      </c>
      <c r="H40" s="64">
        <f t="shared" si="4"/>
        <v>329718958.96354026</v>
      </c>
      <c r="I40" s="66">
        <f t="shared" si="2"/>
        <v>0.64774103257686655</v>
      </c>
      <c r="J40" s="64">
        <f t="shared" si="5"/>
        <v>13738289.956814177</v>
      </c>
      <c r="K40" s="67">
        <f t="shared" si="3"/>
        <v>27531368.717397671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566825570.63776278</v>
      </c>
      <c r="E41" s="82">
        <v>523856297.78755802</v>
      </c>
      <c r="F41" s="81">
        <f>+D41-E41</f>
        <v>42969272.850204766</v>
      </c>
      <c r="G41" s="83">
        <f t="shared" si="1"/>
        <v>0.41081248515877389</v>
      </c>
      <c r="H41" s="81">
        <f t="shared" si="4"/>
        <v>1236710335.9369371</v>
      </c>
      <c r="I41" s="83">
        <f t="shared" si="2"/>
        <v>0.89631814943732502</v>
      </c>
      <c r="J41" s="81">
        <f t="shared" si="5"/>
        <v>51529597.33070571</v>
      </c>
      <c r="K41" s="81">
        <f t="shared" si="3"/>
        <v>62533967.419644102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10831277.641265372</v>
      </c>
      <c r="E43" s="4">
        <v>6840893.5633781236</v>
      </c>
      <c r="F43" s="4">
        <f t="shared" ref="F43" si="11">+D43-E43</f>
        <v>3990384.0778872482</v>
      </c>
      <c r="G43" s="5">
        <f>+D43/C43</f>
        <v>0.27078194103163428</v>
      </c>
      <c r="H43" s="4">
        <f t="shared" ref="H43" si="12">+D43/$N$3*$N$4</f>
        <v>23631878.490033537</v>
      </c>
      <c r="I43" s="5">
        <f>+H43/C43</f>
        <v>0.59079696225083844</v>
      </c>
      <c r="J43" s="4">
        <f t="shared" ref="J43" si="13">+D43/$N$3</f>
        <v>984661.60375139746</v>
      </c>
      <c r="K43" s="4">
        <f>+(C43-D43)/$N$2</f>
        <v>2243747.8737488175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16443269.938349089</v>
      </c>
      <c r="E44" s="4">
        <v>14127537.863605659</v>
      </c>
      <c r="F44" s="4">
        <f t="shared" ref="F44" si="14">+D44-E44</f>
        <v>2315732.0747434292</v>
      </c>
      <c r="G44" s="5">
        <f>+D44/C44</f>
        <v>0.54810899794496959</v>
      </c>
      <c r="H44" s="4">
        <f t="shared" ref="H44" si="15">+D44/$N$3*$N$4</f>
        <v>35876225.320034377</v>
      </c>
      <c r="I44" s="5">
        <f>+H44/C44</f>
        <v>1.1958741773344792</v>
      </c>
      <c r="J44" s="4">
        <f t="shared" ref="J44" si="16">+D44/$N$3</f>
        <v>1494842.7216680991</v>
      </c>
      <c r="K44" s="4">
        <f>+(C44-D44)/$N$2</f>
        <v>1042825.3893577624</v>
      </c>
      <c r="L44" s="4" cm="1">
        <f t="array" ref="L44">+_xlfn.IFS(I44&gt;114%,H44*0.02,I44&gt;109%,H44*0.015,I44&gt;104%,H44*0.0125,I44&gt;99%,H44*0.01,I44&lt;99%,H44*0)</f>
        <v>717524.5064006875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topLeftCell="A5" workbookViewId="0">
      <selection activeCell="C16" sqref="C16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93" t="s">
        <v>37</v>
      </c>
      <c r="B2">
        <v>22</v>
      </c>
      <c r="C2" s="12" t="str">
        <f>+AVANCE!B11</f>
        <v>22 - ALMIRON NICOLAS</v>
      </c>
      <c r="D2" s="22">
        <f>H2/G2</f>
        <v>0.68493150684931503</v>
      </c>
      <c r="E2" s="13">
        <v>33</v>
      </c>
      <c r="F2" s="12">
        <f>+H2-E2</f>
        <v>17</v>
      </c>
      <c r="G2" s="13">
        <f>VLOOKUP(B2,'Base Cobertura'!$A:$C,3,FALSE)</f>
        <v>73</v>
      </c>
      <c r="H2" s="13">
        <f>VLOOKUP(B2,'Base Cobertura'!$A:$C,2,FALSE)</f>
        <v>50</v>
      </c>
      <c r="I2" s="17">
        <f>(+G2*$M$2)-H2</f>
        <v>12.049999999999997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93"/>
      <c r="B3">
        <v>49</v>
      </c>
      <c r="C3" s="13" t="str">
        <f>+AVANCE!B12</f>
        <v>49 - ESCOBAR RAÚL</v>
      </c>
      <c r="D3" s="22">
        <f t="shared" ref="D3:D38" si="0">H3/G3</f>
        <v>0.34024896265560167</v>
      </c>
      <c r="E3" s="13">
        <v>1</v>
      </c>
      <c r="F3" s="12">
        <f t="shared" ref="F3:F38" si="1">+H3-E3</f>
        <v>81</v>
      </c>
      <c r="G3" s="13">
        <f>VLOOKUP(B3,'Base Cobertura'!$A:$C,3,FALSE)</f>
        <v>241</v>
      </c>
      <c r="H3" s="13">
        <f>VLOOKUP(B3,'Base Cobertura'!$A:$C,2,FALSE)</f>
        <v>82</v>
      </c>
      <c r="I3" s="17">
        <f t="shared" ref="I3:I38" si="2">(+G3*$M$2)-H3</f>
        <v>122.85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45</v>
      </c>
      <c r="T3" s="12">
        <v>214</v>
      </c>
      <c r="U3" s="41">
        <f>+S3/T3</f>
        <v>0.2102803738317757</v>
      </c>
    </row>
    <row r="4" spans="1:21" x14ac:dyDescent="0.25">
      <c r="A4" s="93"/>
      <c r="B4">
        <v>20</v>
      </c>
      <c r="C4" s="13" t="str">
        <f>+AVANCE!B2</f>
        <v>20 - FLORES JAVIER</v>
      </c>
      <c r="D4" s="22">
        <f t="shared" si="0"/>
        <v>0.78854625550660795</v>
      </c>
      <c r="E4" s="13">
        <v>126</v>
      </c>
      <c r="F4" s="12">
        <f t="shared" si="1"/>
        <v>53</v>
      </c>
      <c r="G4" s="13">
        <f>VLOOKUP(B4,'Base Cobertura'!$A:$C,3,FALSE)</f>
        <v>227</v>
      </c>
      <c r="H4" s="13">
        <f>VLOOKUP(B4,'Base Cobertura'!$A:$C,2,FALSE)</f>
        <v>179</v>
      </c>
      <c r="I4" s="17">
        <f t="shared" si="2"/>
        <v>13.949999999999989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25</v>
      </c>
      <c r="T4" s="13">
        <v>214</v>
      </c>
      <c r="U4" s="5">
        <f t="shared" ref="U4:U11" si="3">+S4/T4</f>
        <v>0.11682242990654206</v>
      </c>
    </row>
    <row r="5" spans="1:21" x14ac:dyDescent="0.25">
      <c r="A5" s="93"/>
      <c r="B5">
        <v>15</v>
      </c>
      <c r="C5" s="13" t="str">
        <f>+AVANCE!B13</f>
        <v>15 - GALARZA GERARDO</v>
      </c>
      <c r="D5" s="22">
        <f t="shared" si="0"/>
        <v>0.67692307692307696</v>
      </c>
      <c r="E5" s="13">
        <v>21</v>
      </c>
      <c r="F5" s="12">
        <f t="shared" si="1"/>
        <v>23</v>
      </c>
      <c r="G5" s="13">
        <f>VLOOKUP(B5,'Base Cobertura'!$A:$C,3,FALSE)</f>
        <v>65</v>
      </c>
      <c r="H5" s="13">
        <f>VLOOKUP(B5,'Base Cobertura'!$A:$C,2,FALSE)</f>
        <v>44</v>
      </c>
      <c r="I5" s="17">
        <f t="shared" si="2"/>
        <v>11.25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66</v>
      </c>
      <c r="T5" s="13">
        <v>214</v>
      </c>
      <c r="U5" s="5">
        <f t="shared" si="3"/>
        <v>0.30841121495327101</v>
      </c>
    </row>
    <row r="6" spans="1:21" x14ac:dyDescent="0.25">
      <c r="A6" s="93"/>
      <c r="B6">
        <v>19</v>
      </c>
      <c r="C6" s="13" t="str">
        <f>+AVANCE!B3</f>
        <v>19 - GONZALEZ MARCELO</v>
      </c>
      <c r="D6" s="22">
        <f t="shared" si="0"/>
        <v>0.72946859903381644</v>
      </c>
      <c r="E6" s="13">
        <v>100</v>
      </c>
      <c r="F6" s="12">
        <f t="shared" si="1"/>
        <v>51</v>
      </c>
      <c r="G6" s="13">
        <f>VLOOKUP(B6,'Base Cobertura'!$A:$C,3,FALSE)</f>
        <v>207</v>
      </c>
      <c r="H6" s="13">
        <f>VLOOKUP(B6,'Base Cobertura'!$A:$C,2,FALSE)</f>
        <v>151</v>
      </c>
      <c r="I6" s="17">
        <f t="shared" si="2"/>
        <v>24.949999999999989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32</v>
      </c>
      <c r="T6" s="13">
        <v>214</v>
      </c>
      <c r="U6" s="5">
        <f t="shared" si="3"/>
        <v>0.14953271028037382</v>
      </c>
    </row>
    <row r="7" spans="1:21" x14ac:dyDescent="0.25">
      <c r="A7" s="93"/>
      <c r="B7">
        <v>16</v>
      </c>
      <c r="C7" s="13" t="str">
        <f>+AVANCE!B4</f>
        <v>16 - GOMEZ MATÍAS</v>
      </c>
      <c r="D7" s="22">
        <f t="shared" si="0"/>
        <v>0.59595959595959591</v>
      </c>
      <c r="E7" s="13">
        <v>81</v>
      </c>
      <c r="F7" s="12">
        <f t="shared" si="1"/>
        <v>37</v>
      </c>
      <c r="G7" s="13">
        <f>VLOOKUP(B7,'Base Cobertura'!$A:$C,3,FALSE)</f>
        <v>198</v>
      </c>
      <c r="H7" s="13">
        <f>VLOOKUP(B7,'Base Cobertura'!$A:$C,2,FALSE)</f>
        <v>118</v>
      </c>
      <c r="I7" s="17">
        <f t="shared" si="2"/>
        <v>50.299999999999983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68</v>
      </c>
      <c r="T7" s="13">
        <v>214</v>
      </c>
      <c r="U7" s="5">
        <f t="shared" si="3"/>
        <v>0.31775700934579437</v>
      </c>
    </row>
    <row r="8" spans="1:21" x14ac:dyDescent="0.25">
      <c r="A8" s="93"/>
      <c r="B8">
        <v>12</v>
      </c>
      <c r="C8" s="13" t="str">
        <f>+AVANCE!B5</f>
        <v>12 - GUTIERREZ MARCOS DAVID</v>
      </c>
      <c r="D8" s="22">
        <f t="shared" si="0"/>
        <v>0.7429906542056075</v>
      </c>
      <c r="E8" s="13">
        <v>89</v>
      </c>
      <c r="F8" s="12">
        <f t="shared" si="1"/>
        <v>70</v>
      </c>
      <c r="G8" s="13">
        <f>VLOOKUP(B8,'Base Cobertura'!$A:$C,3,FALSE)</f>
        <v>214</v>
      </c>
      <c r="H8" s="13">
        <f>VLOOKUP(B8,'Base Cobertura'!$A:$C,2,FALSE)</f>
        <v>159</v>
      </c>
      <c r="I8" s="17">
        <f t="shared" si="2"/>
        <v>22.900000000000006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60</v>
      </c>
      <c r="T8" s="13">
        <v>214</v>
      </c>
      <c r="U8" s="5">
        <f t="shared" si="3"/>
        <v>0.28037383177570091</v>
      </c>
    </row>
    <row r="9" spans="1:21" x14ac:dyDescent="0.25">
      <c r="A9" s="93"/>
      <c r="B9">
        <v>11</v>
      </c>
      <c r="C9" s="30" t="str">
        <f>+AVANCE!B6</f>
        <v>11 - SANCHEZ RICARDO</v>
      </c>
      <c r="D9" s="22">
        <f>H9/G9</f>
        <v>0.66867469879518071</v>
      </c>
      <c r="E9" s="13">
        <v>92</v>
      </c>
      <c r="F9" s="12">
        <f t="shared" si="1"/>
        <v>19</v>
      </c>
      <c r="G9" s="13">
        <f>VLOOKUP(B9,'Base Cobertura'!$A:$C,3,FALSE)</f>
        <v>166</v>
      </c>
      <c r="H9" s="13">
        <f>VLOOKUP(B9,'Base Cobertura'!$A:$C,2,FALSE)</f>
        <v>111</v>
      </c>
      <c r="I9" s="17">
        <f t="shared" si="2"/>
        <v>30.099999999999994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15</v>
      </c>
      <c r="T9" s="13">
        <v>214</v>
      </c>
      <c r="U9" s="5">
        <f t="shared" si="3"/>
        <v>7.0093457943925228E-2</v>
      </c>
    </row>
    <row r="10" spans="1:21" x14ac:dyDescent="0.25">
      <c r="A10" s="93"/>
      <c r="B10">
        <v>8</v>
      </c>
      <c r="C10" s="13" t="str">
        <f>+AVANCE!B7</f>
        <v>8 - RAVAROTTO EMANUEL</v>
      </c>
      <c r="D10" s="22">
        <f t="shared" si="0"/>
        <v>0.57435897435897432</v>
      </c>
      <c r="E10" s="13">
        <v>64</v>
      </c>
      <c r="F10" s="12">
        <f t="shared" si="1"/>
        <v>48</v>
      </c>
      <c r="G10" s="13">
        <f>VLOOKUP(B10,'Base Cobertura'!$A:$C,3,FALSE)</f>
        <v>195</v>
      </c>
      <c r="H10" s="13">
        <f>VLOOKUP(B10,'Base Cobertura'!$A:$C,2,FALSE)</f>
        <v>112</v>
      </c>
      <c r="I10" s="17">
        <f t="shared" si="2"/>
        <v>53.75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17</v>
      </c>
      <c r="T10" s="13">
        <v>214</v>
      </c>
      <c r="U10" s="5">
        <f t="shared" si="3"/>
        <v>7.9439252336448593E-2</v>
      </c>
    </row>
    <row r="11" spans="1:21" x14ac:dyDescent="0.25">
      <c r="A11" s="93"/>
      <c r="B11">
        <v>52</v>
      </c>
      <c r="C11" s="31" t="str">
        <f>+AVANCE!B14</f>
        <v>52 - MARSALL NICOLAS</v>
      </c>
      <c r="D11" s="32">
        <f t="shared" si="0"/>
        <v>0.31683168316831684</v>
      </c>
      <c r="E11" s="31">
        <v>19</v>
      </c>
      <c r="F11" s="33">
        <f t="shared" si="1"/>
        <v>13</v>
      </c>
      <c r="G11" s="13">
        <f>VLOOKUP(B11,'Base Cobertura'!$A:$C,3,FALSE)</f>
        <v>101</v>
      </c>
      <c r="H11" s="13">
        <f>VLOOKUP(B11,'Base Cobertura'!$A:$C,2,FALSE)</f>
        <v>32</v>
      </c>
      <c r="I11" s="34">
        <f t="shared" si="2"/>
        <v>53.849999999999994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28</v>
      </c>
      <c r="T11" s="13">
        <v>214</v>
      </c>
      <c r="U11" s="5">
        <f t="shared" si="3"/>
        <v>0.13084112149532709</v>
      </c>
    </row>
    <row r="12" spans="1:21" x14ac:dyDescent="0.25">
      <c r="A12" s="93"/>
      <c r="B12">
        <v>53</v>
      </c>
      <c r="C12" s="31" t="str">
        <f>+AVANCE!B15</f>
        <v>53 - SANDOVAL RODRIGO</v>
      </c>
      <c r="D12" s="32">
        <f t="shared" si="0"/>
        <v>0.40952380952380951</v>
      </c>
      <c r="E12" s="31">
        <v>24</v>
      </c>
      <c r="F12" s="33">
        <f t="shared" si="1"/>
        <v>19</v>
      </c>
      <c r="G12" s="13">
        <f>VLOOKUP(B12,'Base Cobertura'!$A:$C,3,FALSE)</f>
        <v>105</v>
      </c>
      <c r="H12" s="13">
        <f>VLOOKUP(B12,'Base Cobertura'!$A:$C,2,FALSE)</f>
        <v>43</v>
      </c>
      <c r="I12" s="34">
        <f t="shared" si="2"/>
        <v>46.25</v>
      </c>
      <c r="J12" t="s">
        <v>59</v>
      </c>
    </row>
    <row r="13" spans="1:21" x14ac:dyDescent="0.25">
      <c r="A13" s="93"/>
      <c r="B13">
        <v>5</v>
      </c>
      <c r="C13" s="13" t="str">
        <f>+AVANCE!B8</f>
        <v>5 - SCHELOVER RAUL</v>
      </c>
      <c r="D13" s="22">
        <f t="shared" si="0"/>
        <v>0.72796934865900387</v>
      </c>
      <c r="E13" s="13">
        <v>144</v>
      </c>
      <c r="F13" s="12">
        <f t="shared" si="1"/>
        <v>46</v>
      </c>
      <c r="G13" s="13">
        <f>VLOOKUP(B13,'Base Cobertura'!$A:$C,3,FALSE)</f>
        <v>261</v>
      </c>
      <c r="H13" s="13">
        <f>VLOOKUP(B13,'Base Cobertura'!$A:$C,2,FALSE)</f>
        <v>190</v>
      </c>
      <c r="I13" s="17">
        <f t="shared" si="2"/>
        <v>31.849999999999994</v>
      </c>
      <c r="J13" t="s">
        <v>57</v>
      </c>
      <c r="K13" t="s">
        <v>64</v>
      </c>
    </row>
    <row r="14" spans="1:21" ht="15.75" thickBot="1" x14ac:dyDescent="0.3">
      <c r="A14" s="93"/>
      <c r="B14">
        <v>4</v>
      </c>
      <c r="C14" s="10" t="str">
        <f>+AVANCE!B9</f>
        <v>4 - TUR SPRINGER FERNANDO</v>
      </c>
      <c r="D14" s="22">
        <f t="shared" si="0"/>
        <v>0.59340659340659341</v>
      </c>
      <c r="E14" s="13">
        <v>85</v>
      </c>
      <c r="F14" s="12">
        <f t="shared" si="1"/>
        <v>23</v>
      </c>
      <c r="G14" s="13">
        <f>VLOOKUP(B14,'Base Cobertura'!$A:$C,3,FALSE)</f>
        <v>182</v>
      </c>
      <c r="H14" s="13">
        <f>VLOOKUP(B14,'Base Cobertura'!$A:$C,2,FALSE)</f>
        <v>108</v>
      </c>
      <c r="I14" s="17">
        <f t="shared" si="2"/>
        <v>46.699999999999989</v>
      </c>
      <c r="J14" t="s">
        <v>55</v>
      </c>
      <c r="K14" t="s">
        <v>64</v>
      </c>
    </row>
    <row r="15" spans="1:21" ht="15.75" thickBot="1" x14ac:dyDescent="0.3">
      <c r="A15" s="94"/>
      <c r="C15" s="9"/>
      <c r="D15" s="23"/>
      <c r="E15" s="14"/>
      <c r="F15" s="16">
        <f>+SUM(F2:F14)</f>
        <v>500</v>
      </c>
      <c r="G15" s="8">
        <f>+SUM(G2:G14)</f>
        <v>2235</v>
      </c>
      <c r="H15" s="8">
        <f>+SUM(H2:H14)</f>
        <v>1379</v>
      </c>
      <c r="I15" s="8"/>
    </row>
    <row r="16" spans="1:21" x14ac:dyDescent="0.25">
      <c r="A16" s="95" t="s">
        <v>38</v>
      </c>
      <c r="B16">
        <v>31</v>
      </c>
      <c r="C16" s="12" t="str">
        <f>+AVANCE!B22</f>
        <v>31 - RENZO RAMOS</v>
      </c>
      <c r="D16" s="22">
        <f t="shared" si="0"/>
        <v>0.75</v>
      </c>
      <c r="E16" s="13">
        <v>90</v>
      </c>
      <c r="F16" s="12">
        <f t="shared" si="1"/>
        <v>30</v>
      </c>
      <c r="G16" s="13">
        <f>VLOOKUP(B16,'Base Cobertura'!$A:$C,3,FALSE)</f>
        <v>160</v>
      </c>
      <c r="H16" s="13">
        <f>VLOOKUP(B16,'Base Cobertura'!$A:$C,2,FALSE)</f>
        <v>120</v>
      </c>
      <c r="I16" s="17">
        <f t="shared" si="2"/>
        <v>16</v>
      </c>
      <c r="J16" t="s">
        <v>55</v>
      </c>
      <c r="K16" t="s">
        <v>55</v>
      </c>
    </row>
    <row r="17" spans="1:11" x14ac:dyDescent="0.25">
      <c r="A17" s="93"/>
      <c r="B17">
        <v>54</v>
      </c>
      <c r="C17" s="13" t="str">
        <f>+AVANCE!B24</f>
        <v>54 - BARTSCHAT EMILIANO NAHUEL</v>
      </c>
      <c r="D17" s="22">
        <f t="shared" si="0"/>
        <v>0.43069306930693069</v>
      </c>
      <c r="E17" s="13">
        <v>92</v>
      </c>
      <c r="F17" s="12">
        <f t="shared" si="1"/>
        <v>-5</v>
      </c>
      <c r="G17" s="13">
        <f>VLOOKUP(B17,'Base Cobertura'!$A:$C,3,FALSE)</f>
        <v>202</v>
      </c>
      <c r="H17" s="13">
        <f>VLOOKUP(B17,'Base Cobertura'!$A:$C,2,FALSE)</f>
        <v>87</v>
      </c>
      <c r="I17" s="17">
        <f t="shared" si="2"/>
        <v>84.699999999999989</v>
      </c>
      <c r="J17" t="s">
        <v>55</v>
      </c>
      <c r="K17" t="s">
        <v>63</v>
      </c>
    </row>
    <row r="18" spans="1:11" x14ac:dyDescent="0.25">
      <c r="A18" s="93"/>
      <c r="B18">
        <v>21</v>
      </c>
      <c r="C18" s="13" t="str">
        <f>+AVANCE!B20</f>
        <v>21 - CATAN MATIAS</v>
      </c>
      <c r="D18" s="22">
        <f t="shared" si="0"/>
        <v>0.78947368421052633</v>
      </c>
      <c r="E18" s="13">
        <v>88</v>
      </c>
      <c r="F18" s="12">
        <f t="shared" si="1"/>
        <v>47</v>
      </c>
      <c r="G18" s="13">
        <f>VLOOKUP(B18,'Base Cobertura'!$A:$C,3,FALSE)</f>
        <v>171</v>
      </c>
      <c r="H18" s="13">
        <f>VLOOKUP(B18,'Base Cobertura'!$A:$C,2,FALSE)</f>
        <v>135</v>
      </c>
      <c r="I18" s="17">
        <f t="shared" si="2"/>
        <v>10.349999999999994</v>
      </c>
      <c r="J18" t="s">
        <v>58</v>
      </c>
      <c r="K18" t="s">
        <v>55</v>
      </c>
    </row>
    <row r="19" spans="1:11" x14ac:dyDescent="0.25">
      <c r="A19" s="93"/>
      <c r="B19">
        <v>23</v>
      </c>
      <c r="C19" s="13" t="str">
        <f>+AVANCE!B21</f>
        <v>23 - DELGADO JOSÉ</v>
      </c>
      <c r="D19" s="22">
        <f t="shared" si="0"/>
        <v>0.74025974025974028</v>
      </c>
      <c r="E19" s="13">
        <v>95</v>
      </c>
      <c r="F19" s="12">
        <f t="shared" si="1"/>
        <v>19</v>
      </c>
      <c r="G19" s="13">
        <f>VLOOKUP(B19,'Base Cobertura'!$A:$C,3,FALSE)</f>
        <v>154</v>
      </c>
      <c r="H19" s="13">
        <f>VLOOKUP(B19,'Base Cobertura'!$A:$C,2,FALSE)</f>
        <v>114</v>
      </c>
      <c r="I19" s="17">
        <f t="shared" si="2"/>
        <v>16.900000000000006</v>
      </c>
      <c r="J19" t="s">
        <v>58</v>
      </c>
      <c r="K19" t="s">
        <v>64</v>
      </c>
    </row>
    <row r="20" spans="1:11" x14ac:dyDescent="0.25">
      <c r="A20" s="93"/>
      <c r="B20">
        <v>18</v>
      </c>
      <c r="C20" s="13" t="str">
        <f>+AVANCE!B19</f>
        <v>18 - HERRERA PABLO</v>
      </c>
      <c r="D20" s="22">
        <f t="shared" si="0"/>
        <v>0.76836158192090398</v>
      </c>
      <c r="E20" s="13">
        <v>83</v>
      </c>
      <c r="F20" s="12">
        <f t="shared" si="1"/>
        <v>53</v>
      </c>
      <c r="G20" s="13">
        <f>VLOOKUP(B20,'Base Cobertura'!$A:$C,3,FALSE)</f>
        <v>177</v>
      </c>
      <c r="H20" s="13">
        <f>VLOOKUP(B20,'Base Cobertura'!$A:$C,2,FALSE)</f>
        <v>136</v>
      </c>
      <c r="I20" s="17">
        <f t="shared" si="2"/>
        <v>14.449999999999989</v>
      </c>
      <c r="J20" t="s">
        <v>55</v>
      </c>
      <c r="K20" t="s">
        <v>55</v>
      </c>
    </row>
    <row r="21" spans="1:11" x14ac:dyDescent="0.25">
      <c r="A21" s="93"/>
      <c r="B21">
        <v>44</v>
      </c>
      <c r="C21" s="13" t="str">
        <f>+AVANCE!B23</f>
        <v>44 - MONGES CESAR LUIS</v>
      </c>
      <c r="D21" s="22">
        <f t="shared" si="0"/>
        <v>0.70414201183431957</v>
      </c>
      <c r="E21" s="13">
        <v>64</v>
      </c>
      <c r="F21" s="12">
        <f t="shared" si="1"/>
        <v>55</v>
      </c>
      <c r="G21" s="13">
        <f>VLOOKUP(B21,'Base Cobertura'!$A:$C,3,FALSE)</f>
        <v>169</v>
      </c>
      <c r="H21" s="13">
        <f>VLOOKUP(B21,'Base Cobertura'!$A:$C,2,FALSE)</f>
        <v>119</v>
      </c>
      <c r="I21" s="17">
        <f t="shared" si="2"/>
        <v>24.650000000000006</v>
      </c>
      <c r="J21" t="s">
        <v>58</v>
      </c>
      <c r="K21" t="s">
        <v>64</v>
      </c>
    </row>
    <row r="22" spans="1:11" x14ac:dyDescent="0.25">
      <c r="A22" s="93"/>
      <c r="B22">
        <v>56</v>
      </c>
      <c r="C22" s="13" t="str">
        <f>+AVANCE!B25</f>
        <v>56 - JUAN ANDRES SANCHEZ</v>
      </c>
      <c r="D22" s="22">
        <f t="shared" si="0"/>
        <v>0.34848484848484851</v>
      </c>
      <c r="E22" s="13">
        <v>66</v>
      </c>
      <c r="F22" s="12">
        <f t="shared" si="1"/>
        <v>3</v>
      </c>
      <c r="G22" s="13">
        <f>VLOOKUP(B22,'Base Cobertura'!$A:$C,3,FALSE)</f>
        <v>198</v>
      </c>
      <c r="H22" s="13">
        <f>VLOOKUP(B22,'Base Cobertura'!$A:$C,2,FALSE)</f>
        <v>69</v>
      </c>
      <c r="I22" s="17">
        <f t="shared" si="2"/>
        <v>99.299999999999983</v>
      </c>
      <c r="J22" t="s">
        <v>58</v>
      </c>
      <c r="K22" t="s">
        <v>66</v>
      </c>
    </row>
    <row r="23" spans="1:11" x14ac:dyDescent="0.25">
      <c r="A23" s="93"/>
      <c r="B23">
        <v>2</v>
      </c>
      <c r="C23" s="13" t="str">
        <f>+AVANCE!B17</f>
        <v>2 - OJEDA NORBERTO</v>
      </c>
      <c r="D23" s="22">
        <f t="shared" si="0"/>
        <v>0.63043478260869568</v>
      </c>
      <c r="E23" s="13">
        <v>70</v>
      </c>
      <c r="F23" s="12">
        <f t="shared" si="1"/>
        <v>17</v>
      </c>
      <c r="G23" s="13">
        <f>VLOOKUP(B23,'Base Cobertura'!$A:$C,3,FALSE)</f>
        <v>138</v>
      </c>
      <c r="H23" s="13">
        <f>VLOOKUP(B23,'Base Cobertura'!$A:$C,2,FALSE)</f>
        <v>87</v>
      </c>
      <c r="I23" s="17">
        <f t="shared" si="2"/>
        <v>30.299999999999997</v>
      </c>
      <c r="J23" t="s">
        <v>58</v>
      </c>
      <c r="K23" t="s">
        <v>67</v>
      </c>
    </row>
    <row r="24" spans="1:11" ht="15.75" thickBot="1" x14ac:dyDescent="0.3">
      <c r="A24" s="93"/>
      <c r="B24">
        <v>3</v>
      </c>
      <c r="C24" s="10" t="str">
        <f>+AVANCE!B18</f>
        <v>3 - VIDAL NAHUEL</v>
      </c>
      <c r="D24" s="22">
        <f t="shared" si="0"/>
        <v>0.69411764705882351</v>
      </c>
      <c r="E24" s="13">
        <v>79</v>
      </c>
      <c r="F24" s="12">
        <f t="shared" si="1"/>
        <v>39</v>
      </c>
      <c r="G24" s="13">
        <f>VLOOKUP(B24,'Base Cobertura'!$A:$C,3,FALSE)</f>
        <v>170</v>
      </c>
      <c r="H24" s="13">
        <f>VLOOKUP(B24,'Base Cobertura'!$A:$C,2,FALSE)</f>
        <v>118</v>
      </c>
      <c r="I24" s="17">
        <f t="shared" si="2"/>
        <v>26.5</v>
      </c>
      <c r="J24" t="s">
        <v>60</v>
      </c>
      <c r="K24" t="s">
        <v>64</v>
      </c>
    </row>
    <row r="25" spans="1:11" ht="15.75" thickBot="1" x14ac:dyDescent="0.3">
      <c r="A25" s="94"/>
      <c r="C25" s="9"/>
      <c r="D25" s="23"/>
      <c r="E25" s="14"/>
      <c r="F25" s="16">
        <f>+SUM(F16:F24)</f>
        <v>258</v>
      </c>
      <c r="G25" s="8">
        <f>+SUM(G16:G24)</f>
        <v>1539</v>
      </c>
      <c r="H25" s="8">
        <f>+SUM(H16:H24)</f>
        <v>985</v>
      </c>
      <c r="I25" s="8"/>
    </row>
    <row r="26" spans="1:11" x14ac:dyDescent="0.25">
      <c r="A26" s="95" t="s">
        <v>218</v>
      </c>
      <c r="B26">
        <v>32</v>
      </c>
      <c r="C26" s="12" t="str">
        <f>+AVANCE!B27</f>
        <v>32 - CABRAL GONZALO</v>
      </c>
      <c r="D26" s="22">
        <f t="shared" si="0"/>
        <v>0.57894736842105265</v>
      </c>
      <c r="E26" s="13">
        <v>20</v>
      </c>
      <c r="F26" s="12">
        <f>+H26-E26</f>
        <v>13</v>
      </c>
      <c r="G26" s="13">
        <f>VLOOKUP(B26,'Base Cobertura'!$A:$C,3,FALSE)</f>
        <v>57</v>
      </c>
      <c r="H26" s="13">
        <f>VLOOKUP(B26,'Base Cobertura'!$A:$C,2,FALSE)</f>
        <v>33</v>
      </c>
      <c r="I26" s="17">
        <f t="shared" si="2"/>
        <v>15.449999999999996</v>
      </c>
      <c r="J26" t="s">
        <v>55</v>
      </c>
      <c r="K26" t="s">
        <v>67</v>
      </c>
    </row>
    <row r="27" spans="1:11" x14ac:dyDescent="0.25">
      <c r="A27" s="93"/>
      <c r="B27">
        <v>36</v>
      </c>
      <c r="C27" s="12" t="str">
        <f>+AVANCE!B28</f>
        <v>36 - COSARINSKI DIEGO</v>
      </c>
      <c r="D27" s="22">
        <f t="shared" si="0"/>
        <v>0.63124999999999998</v>
      </c>
      <c r="E27" s="13">
        <v>68</v>
      </c>
      <c r="F27" s="12">
        <f t="shared" si="1"/>
        <v>33</v>
      </c>
      <c r="G27" s="13">
        <f>VLOOKUP(B27,'Base Cobertura'!$A:$C,3,FALSE)</f>
        <v>160</v>
      </c>
      <c r="H27" s="13">
        <f>VLOOKUP(B27,'Base Cobertura'!$A:$C,2,FALSE)</f>
        <v>101</v>
      </c>
      <c r="I27" s="17">
        <f t="shared" si="2"/>
        <v>35</v>
      </c>
      <c r="J27" t="s">
        <v>58</v>
      </c>
      <c r="K27" t="s">
        <v>67</v>
      </c>
    </row>
    <row r="28" spans="1:11" x14ac:dyDescent="0.25">
      <c r="A28" s="93"/>
      <c r="B28">
        <v>9</v>
      </c>
      <c r="C28" s="12" t="str">
        <f>+AVANCE!B29</f>
        <v>9 - ESTIGARRIBIA DAVID</v>
      </c>
      <c r="D28" s="22">
        <f t="shared" si="0"/>
        <v>0.68944099378881984</v>
      </c>
      <c r="E28" s="13">
        <v>80</v>
      </c>
      <c r="F28" s="12">
        <f t="shared" si="1"/>
        <v>31</v>
      </c>
      <c r="G28" s="13">
        <f>VLOOKUP(B28,'Base Cobertura'!$A:$C,3,FALSE)</f>
        <v>161</v>
      </c>
      <c r="H28" s="13">
        <f>VLOOKUP(B28,'Base Cobertura'!$A:$C,2,FALSE)</f>
        <v>111</v>
      </c>
      <c r="I28" s="17">
        <f t="shared" si="2"/>
        <v>25.849999999999994</v>
      </c>
      <c r="J28" t="s">
        <v>58</v>
      </c>
      <c r="K28" t="s">
        <v>55</v>
      </c>
    </row>
    <row r="29" spans="1:11" x14ac:dyDescent="0.25">
      <c r="A29" s="93"/>
      <c r="B29">
        <v>40</v>
      </c>
      <c r="C29" s="12" t="str">
        <f>+AVANCE!B30</f>
        <v>40 - IBARROLA JORGE</v>
      </c>
      <c r="D29" s="22">
        <f t="shared" si="0"/>
        <v>0.34799999999999998</v>
      </c>
      <c r="E29" s="13">
        <v>68</v>
      </c>
      <c r="F29" s="12">
        <f t="shared" si="1"/>
        <v>19</v>
      </c>
      <c r="G29" s="13">
        <f>VLOOKUP(B29,'Base Cobertura'!$A:$C,3,FALSE)</f>
        <v>250</v>
      </c>
      <c r="H29" s="13">
        <f>VLOOKUP(B29,'Base Cobertura'!$A:$C,2,FALSE)</f>
        <v>87</v>
      </c>
      <c r="I29" s="17">
        <f t="shared" si="2"/>
        <v>125.5</v>
      </c>
      <c r="J29" t="s">
        <v>58</v>
      </c>
      <c r="K29" t="s">
        <v>67</v>
      </c>
    </row>
    <row r="30" spans="1:11" x14ac:dyDescent="0.25">
      <c r="A30" s="93"/>
      <c r="B30">
        <v>27</v>
      </c>
      <c r="C30" s="12" t="str">
        <f>+AVANCE!B31</f>
        <v>27 - GOMEZ ADRIÁN</v>
      </c>
      <c r="D30" s="22">
        <f t="shared" si="0"/>
        <v>0.83453237410071945</v>
      </c>
      <c r="E30" s="13">
        <v>73</v>
      </c>
      <c r="F30" s="12">
        <f t="shared" si="1"/>
        <v>43</v>
      </c>
      <c r="G30" s="13">
        <f>VLOOKUP(B30,'Base Cobertura'!$A:$C,3,FALSE)</f>
        <v>139</v>
      </c>
      <c r="H30" s="13">
        <f>VLOOKUP(B30,'Base Cobertura'!$A:$C,2,FALSE)</f>
        <v>116</v>
      </c>
      <c r="I30" s="17">
        <f t="shared" si="2"/>
        <v>2.1499999999999915</v>
      </c>
      <c r="J30" t="s">
        <v>55</v>
      </c>
      <c r="K30" t="s">
        <v>67</v>
      </c>
    </row>
    <row r="31" spans="1:11" x14ac:dyDescent="0.25">
      <c r="A31" s="93"/>
      <c r="B31">
        <v>10</v>
      </c>
      <c r="C31" s="12" t="str">
        <f>+AVANCE!B32</f>
        <v>10 - BRITEZ EMMANUEL</v>
      </c>
      <c r="D31" s="22">
        <f t="shared" si="0"/>
        <v>0.53591160220994472</v>
      </c>
      <c r="E31" s="13">
        <v>40</v>
      </c>
      <c r="F31" s="12">
        <f t="shared" si="1"/>
        <v>57</v>
      </c>
      <c r="G31" s="13">
        <f>VLOOKUP(B31,'Base Cobertura'!$A:$C,3,FALSE)</f>
        <v>181</v>
      </c>
      <c r="H31" s="13">
        <f>VLOOKUP(B31,'Base Cobertura'!$A:$C,2,FALSE)</f>
        <v>97</v>
      </c>
      <c r="I31" s="17">
        <f t="shared" si="2"/>
        <v>56.849999999999994</v>
      </c>
      <c r="J31" t="s">
        <v>58</v>
      </c>
      <c r="K31" t="s">
        <v>67</v>
      </c>
    </row>
    <row r="32" spans="1:11" x14ac:dyDescent="0.25">
      <c r="A32" s="93"/>
      <c r="B32">
        <v>28</v>
      </c>
      <c r="C32" s="12" t="str">
        <f>+AVANCE!B33</f>
        <v>28 - GOMEZ PABLO</v>
      </c>
      <c r="D32" s="22">
        <f t="shared" si="0"/>
        <v>0.6607142857142857</v>
      </c>
      <c r="E32" s="13">
        <v>67</v>
      </c>
      <c r="F32" s="12">
        <f t="shared" si="1"/>
        <v>44</v>
      </c>
      <c r="G32" s="13">
        <f>VLOOKUP(B32,'Base Cobertura'!$A:$C,3,FALSE)</f>
        <v>168</v>
      </c>
      <c r="H32" s="13">
        <f>VLOOKUP(B32,'Base Cobertura'!$A:$C,2,FALSE)</f>
        <v>111</v>
      </c>
      <c r="I32" s="17">
        <f t="shared" si="2"/>
        <v>31.799999999999983</v>
      </c>
      <c r="J32" t="s">
        <v>58</v>
      </c>
      <c r="K32" t="s">
        <v>67</v>
      </c>
    </row>
    <row r="33" spans="1:12" x14ac:dyDescent="0.25">
      <c r="A33" s="93"/>
      <c r="B33">
        <v>33</v>
      </c>
      <c r="C33" s="12" t="str">
        <f>+AVANCE!B34</f>
        <v>33 - NICOLAS AZULA</v>
      </c>
      <c r="D33" s="22">
        <f t="shared" si="0"/>
        <v>0.67261904761904767</v>
      </c>
      <c r="E33" s="13">
        <v>66</v>
      </c>
      <c r="F33" s="12">
        <f t="shared" si="1"/>
        <v>47</v>
      </c>
      <c r="G33" s="13">
        <f>VLOOKUP(B33,'Base Cobertura'!$A:$C,3,FALSE)</f>
        <v>168</v>
      </c>
      <c r="H33" s="13">
        <f>VLOOKUP(B33,'Base Cobertura'!$A:$C,2,FALSE)</f>
        <v>113</v>
      </c>
      <c r="I33" s="17">
        <f t="shared" si="2"/>
        <v>29.799999999999983</v>
      </c>
      <c r="J33" t="s">
        <v>58</v>
      </c>
      <c r="K33" t="s">
        <v>67</v>
      </c>
    </row>
    <row r="34" spans="1:12" x14ac:dyDescent="0.25">
      <c r="A34" s="93"/>
      <c r="B34">
        <v>37</v>
      </c>
      <c r="C34" s="12" t="str">
        <f>+AVANCE!B35</f>
        <v>37 - PEREZ ESQUIVEL BRUNO NICOLAS</v>
      </c>
      <c r="D34" s="22">
        <f t="shared" si="0"/>
        <v>0.4859154929577465</v>
      </c>
      <c r="E34" s="13">
        <v>82</v>
      </c>
      <c r="F34" s="12">
        <f t="shared" si="1"/>
        <v>-13</v>
      </c>
      <c r="G34" s="13">
        <f>VLOOKUP(B34,'Base Cobertura'!$A:$C,3,FALSE)</f>
        <v>142</v>
      </c>
      <c r="H34" s="13">
        <f>VLOOKUP(B34,'Base Cobertura'!$A:$C,2,FALSE)</f>
        <v>69</v>
      </c>
      <c r="I34" s="17">
        <f t="shared" si="2"/>
        <v>51.7</v>
      </c>
      <c r="J34" t="s">
        <v>55</v>
      </c>
      <c r="K34" t="s">
        <v>67</v>
      </c>
    </row>
    <row r="35" spans="1:12" x14ac:dyDescent="0.25">
      <c r="A35" s="93"/>
      <c r="B35">
        <v>24</v>
      </c>
      <c r="C35" s="12" t="str">
        <f>+AVANCE!B36</f>
        <v>24 - MARTINEZ JORGE NICOLAS</v>
      </c>
      <c r="D35" s="22">
        <f t="shared" si="0"/>
        <v>0.61235955056179781</v>
      </c>
      <c r="E35" s="13">
        <v>81</v>
      </c>
      <c r="F35" s="12">
        <f t="shared" si="1"/>
        <v>28</v>
      </c>
      <c r="G35" s="13">
        <f>VLOOKUP(B35,'Base Cobertura'!$A:$C,3,FALSE)</f>
        <v>178</v>
      </c>
      <c r="H35" s="13">
        <f>VLOOKUP(B35,'Base Cobertura'!$A:$C,2,FALSE)</f>
        <v>109</v>
      </c>
      <c r="I35" s="17">
        <f t="shared" si="2"/>
        <v>42.299999999999983</v>
      </c>
      <c r="J35" t="s">
        <v>58</v>
      </c>
      <c r="K35" t="s">
        <v>67</v>
      </c>
    </row>
    <row r="36" spans="1:12" x14ac:dyDescent="0.25">
      <c r="A36" s="93"/>
      <c r="B36">
        <v>7</v>
      </c>
      <c r="C36" s="12" t="str">
        <f>+AVANCE!B37</f>
        <v>7 - VALLEJOS EDUARDO</v>
      </c>
      <c r="D36" s="22">
        <f t="shared" si="0"/>
        <v>6.1403508771929821E-2</v>
      </c>
      <c r="E36" s="13">
        <v>0</v>
      </c>
      <c r="F36" s="12">
        <f t="shared" si="1"/>
        <v>7</v>
      </c>
      <c r="G36" s="13">
        <f>VLOOKUP(B36,'Base Cobertura'!$A:$C,3,FALSE)</f>
        <v>114</v>
      </c>
      <c r="H36" s="13">
        <f>VLOOKUP(B36,'Base Cobertura'!$A:$C,2,FALSE)</f>
        <v>7</v>
      </c>
      <c r="I36" s="17">
        <f t="shared" si="2"/>
        <v>89.899999999999991</v>
      </c>
      <c r="J36" t="s">
        <v>58</v>
      </c>
    </row>
    <row r="37" spans="1:12" x14ac:dyDescent="0.25">
      <c r="A37" s="93"/>
      <c r="B37">
        <v>57</v>
      </c>
      <c r="C37" s="12" t="str">
        <f>+AVANCE!B38</f>
        <v>57 - ROUBINEAU SEBASTIAN</v>
      </c>
      <c r="D37" s="22">
        <f t="shared" si="0"/>
        <v>0.20192307692307693</v>
      </c>
      <c r="E37" s="13">
        <v>17</v>
      </c>
      <c r="F37" s="12">
        <f t="shared" si="1"/>
        <v>4</v>
      </c>
      <c r="G37" s="13">
        <f>VLOOKUP(B37,'Base Cobertura'!$A:$C,3,FALSE)</f>
        <v>104</v>
      </c>
      <c r="H37" s="13">
        <f>VLOOKUP(B37,'Base Cobertura'!$A:$C,2,FALSE)</f>
        <v>21</v>
      </c>
      <c r="I37" s="17">
        <f t="shared" si="2"/>
        <v>67.399999999999991</v>
      </c>
      <c r="J37" t="s">
        <v>59</v>
      </c>
    </row>
    <row r="38" spans="1:12" ht="15.75" thickBot="1" x14ac:dyDescent="0.3">
      <c r="A38" s="93"/>
      <c r="B38">
        <v>1</v>
      </c>
      <c r="C38" s="12" t="str">
        <f>+AVANCE!B39</f>
        <v>1 - VERA ERNESTO</v>
      </c>
      <c r="D38" s="22">
        <f t="shared" si="0"/>
        <v>0.65354330708661412</v>
      </c>
      <c r="E38" s="13">
        <v>60</v>
      </c>
      <c r="F38" s="12">
        <f t="shared" si="1"/>
        <v>23</v>
      </c>
      <c r="G38" s="13">
        <f>VLOOKUP(B38,'Base Cobertura'!$A:$C,3,FALSE)</f>
        <v>127</v>
      </c>
      <c r="H38" s="13">
        <f>VLOOKUP(B38,'Base Cobertura'!$A:$C,2,FALSE)</f>
        <v>83</v>
      </c>
      <c r="I38" s="17">
        <f t="shared" si="2"/>
        <v>24.950000000000003</v>
      </c>
      <c r="J38" t="s">
        <v>55</v>
      </c>
      <c r="K38" t="s">
        <v>55</v>
      </c>
    </row>
    <row r="39" spans="1:12" ht="15.75" thickBot="1" x14ac:dyDescent="0.3">
      <c r="A39" s="94"/>
      <c r="C39" s="9"/>
      <c r="D39" s="23"/>
      <c r="E39" s="14"/>
      <c r="F39" s="8">
        <f>+SUM(F26:F38)</f>
        <v>336</v>
      </c>
      <c r="G39" s="8">
        <f>+SUM(G26:G38)</f>
        <v>1949</v>
      </c>
      <c r="H39" s="8">
        <f>+SUM(H26:H38)</f>
        <v>1058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1094</v>
      </c>
      <c r="G40" s="8">
        <f>+G15+G25+G39</f>
        <v>5723</v>
      </c>
      <c r="H40" s="8">
        <f>+H15+H25+H39</f>
        <v>3422</v>
      </c>
      <c r="I40" s="8"/>
      <c r="L40" s="1">
        <f>+H40/G40</f>
        <v>0.59793814432989689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0.19834710743801653</v>
      </c>
      <c r="E41" s="13">
        <v>60</v>
      </c>
      <c r="F41" s="12">
        <f t="shared" ref="F41:F42" si="5">+H41-E41</f>
        <v>-36</v>
      </c>
      <c r="G41" s="13">
        <f>VLOOKUP(B41,'Base Cobertura'!$A:$C,3,FALSE)</f>
        <v>121</v>
      </c>
      <c r="H41" s="13">
        <f>VLOOKUP(B41,'Base Cobertura'!$A:$C,2,FALSE)</f>
        <v>24</v>
      </c>
      <c r="I41" s="17">
        <f t="shared" ref="I41:I42" si="6">(+G41*$M$2)-H41</f>
        <v>78.849999999999994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0.21311475409836064</v>
      </c>
      <c r="E42" s="13">
        <v>60</v>
      </c>
      <c r="F42" s="12">
        <f t="shared" si="5"/>
        <v>-34</v>
      </c>
      <c r="G42" s="13">
        <f>VLOOKUP(B42,'Base Cobertura'!$A:$C,3,FALSE)</f>
        <v>122</v>
      </c>
      <c r="H42" s="13">
        <f>VLOOKUP(B42,'Base Cobertura'!$A:$C,2,FALSE)</f>
        <v>26</v>
      </c>
      <c r="I42" s="17">
        <f t="shared" si="6"/>
        <v>77.7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4</v>
      </c>
      <c r="C3" s="51">
        <v>3431</v>
      </c>
      <c r="G3" t="s">
        <v>222</v>
      </c>
      <c r="H3" s="51">
        <v>1</v>
      </c>
      <c r="I3" s="51">
        <v>3431</v>
      </c>
    </row>
    <row r="4" spans="1:9" x14ac:dyDescent="0.25">
      <c r="A4">
        <v>1</v>
      </c>
      <c r="B4" s="51">
        <v>83</v>
      </c>
      <c r="C4" s="51">
        <v>127</v>
      </c>
      <c r="G4" t="s">
        <v>223</v>
      </c>
      <c r="H4">
        <v>2</v>
      </c>
      <c r="I4" s="51">
        <v>3431</v>
      </c>
    </row>
    <row r="5" spans="1:9" x14ac:dyDescent="0.25">
      <c r="A5">
        <v>10</v>
      </c>
      <c r="B5" s="51">
        <v>97</v>
      </c>
      <c r="C5" s="51">
        <v>181</v>
      </c>
      <c r="G5" t="s">
        <v>224</v>
      </c>
      <c r="H5" s="51"/>
      <c r="I5" s="51">
        <v>3431</v>
      </c>
    </row>
    <row r="6" spans="1:9" x14ac:dyDescent="0.25">
      <c r="A6">
        <v>100</v>
      </c>
      <c r="B6" s="51">
        <v>34</v>
      </c>
      <c r="C6" s="51">
        <v>2027</v>
      </c>
      <c r="G6" t="s">
        <v>225</v>
      </c>
      <c r="H6" s="51"/>
      <c r="I6" s="51">
        <v>3431</v>
      </c>
    </row>
    <row r="7" spans="1:9" x14ac:dyDescent="0.25">
      <c r="A7">
        <v>11</v>
      </c>
      <c r="B7" s="51">
        <v>111</v>
      </c>
      <c r="C7" s="51">
        <v>166</v>
      </c>
      <c r="G7" t="s">
        <v>226</v>
      </c>
      <c r="H7" s="51">
        <v>2</v>
      </c>
      <c r="I7" s="51">
        <v>3431</v>
      </c>
    </row>
    <row r="8" spans="1:9" x14ac:dyDescent="0.25">
      <c r="A8">
        <v>12</v>
      </c>
      <c r="B8" s="51">
        <v>159</v>
      </c>
      <c r="C8" s="51">
        <v>214</v>
      </c>
      <c r="G8" t="s">
        <v>227</v>
      </c>
      <c r="H8" s="51">
        <v>2</v>
      </c>
      <c r="I8" s="51">
        <v>3431</v>
      </c>
    </row>
    <row r="9" spans="1:9" x14ac:dyDescent="0.25">
      <c r="A9">
        <v>123</v>
      </c>
      <c r="B9" s="51">
        <v>29</v>
      </c>
      <c r="C9" s="51">
        <v>489</v>
      </c>
      <c r="G9" t="s">
        <v>228</v>
      </c>
      <c r="H9" s="51">
        <v>2</v>
      </c>
      <c r="I9" s="51">
        <v>3431</v>
      </c>
    </row>
    <row r="10" spans="1:9" x14ac:dyDescent="0.25">
      <c r="A10">
        <v>15</v>
      </c>
      <c r="B10" s="51">
        <v>44</v>
      </c>
      <c r="C10" s="51">
        <v>65</v>
      </c>
      <c r="G10" t="s">
        <v>229</v>
      </c>
      <c r="H10">
        <v>1</v>
      </c>
      <c r="I10" s="51">
        <v>3431</v>
      </c>
    </row>
    <row r="11" spans="1:9" x14ac:dyDescent="0.25">
      <c r="A11">
        <v>16</v>
      </c>
      <c r="B11" s="51">
        <v>118</v>
      </c>
      <c r="C11" s="51">
        <v>198</v>
      </c>
      <c r="G11" t="s">
        <v>230</v>
      </c>
      <c r="H11" s="51">
        <v>1</v>
      </c>
      <c r="I11" s="51">
        <v>3431</v>
      </c>
    </row>
    <row r="12" spans="1:9" x14ac:dyDescent="0.25">
      <c r="A12">
        <v>18</v>
      </c>
      <c r="B12" s="51">
        <v>136</v>
      </c>
      <c r="C12" s="51">
        <v>177</v>
      </c>
      <c r="E12">
        <f>+F12</f>
        <v>1</v>
      </c>
      <c r="F12">
        <v>1</v>
      </c>
      <c r="G12" t="s">
        <v>222</v>
      </c>
      <c r="H12">
        <v>34</v>
      </c>
      <c r="I12" s="51">
        <v>127</v>
      </c>
    </row>
    <row r="13" spans="1:9" x14ac:dyDescent="0.25">
      <c r="A13">
        <v>19</v>
      </c>
      <c r="B13" s="51">
        <v>151</v>
      </c>
      <c r="C13" s="51">
        <v>207</v>
      </c>
      <c r="E13">
        <f>+$E$12</f>
        <v>1</v>
      </c>
      <c r="G13" t="s">
        <v>223</v>
      </c>
      <c r="H13" s="51">
        <v>31</v>
      </c>
      <c r="I13" s="51">
        <v>127</v>
      </c>
    </row>
    <row r="14" spans="1:9" x14ac:dyDescent="0.25">
      <c r="A14">
        <v>2</v>
      </c>
      <c r="B14" s="51">
        <v>87</v>
      </c>
      <c r="C14" s="51">
        <v>138</v>
      </c>
      <c r="E14">
        <f t="shared" ref="E14:E20" si="0">+$E$12</f>
        <v>1</v>
      </c>
      <c r="G14" t="s">
        <v>224</v>
      </c>
      <c r="H14" s="51">
        <v>49</v>
      </c>
      <c r="I14" s="51">
        <v>127</v>
      </c>
    </row>
    <row r="15" spans="1:9" x14ac:dyDescent="0.25">
      <c r="A15">
        <v>20</v>
      </c>
      <c r="B15" s="51">
        <v>179</v>
      </c>
      <c r="C15" s="51">
        <v>227</v>
      </c>
      <c r="E15">
        <f t="shared" si="0"/>
        <v>1</v>
      </c>
      <c r="G15" t="s">
        <v>225</v>
      </c>
      <c r="H15" s="51">
        <v>30</v>
      </c>
      <c r="I15" s="51">
        <v>127</v>
      </c>
    </row>
    <row r="16" spans="1:9" x14ac:dyDescent="0.25">
      <c r="A16">
        <v>21</v>
      </c>
      <c r="B16" s="51">
        <v>135</v>
      </c>
      <c r="C16" s="51">
        <v>171</v>
      </c>
      <c r="E16">
        <f t="shared" si="0"/>
        <v>1</v>
      </c>
      <c r="G16" t="s">
        <v>226</v>
      </c>
      <c r="H16" s="51">
        <v>54</v>
      </c>
      <c r="I16" s="51">
        <v>127</v>
      </c>
    </row>
    <row r="17" spans="1:9" x14ac:dyDescent="0.25">
      <c r="A17">
        <v>22</v>
      </c>
      <c r="B17" s="51">
        <v>50</v>
      </c>
      <c r="C17" s="51">
        <v>73</v>
      </c>
      <c r="E17">
        <f t="shared" si="0"/>
        <v>1</v>
      </c>
      <c r="G17" t="s">
        <v>227</v>
      </c>
      <c r="H17" s="51">
        <v>48</v>
      </c>
      <c r="I17" s="51">
        <v>127</v>
      </c>
    </row>
    <row r="18" spans="1:9" x14ac:dyDescent="0.25">
      <c r="A18">
        <v>23</v>
      </c>
      <c r="B18" s="51">
        <v>114</v>
      </c>
      <c r="C18" s="51">
        <v>154</v>
      </c>
      <c r="E18">
        <f t="shared" si="0"/>
        <v>1</v>
      </c>
      <c r="G18" t="s">
        <v>228</v>
      </c>
      <c r="H18" s="51">
        <v>21</v>
      </c>
      <c r="I18" s="51">
        <v>127</v>
      </c>
    </row>
    <row r="19" spans="1:9" x14ac:dyDescent="0.25">
      <c r="A19">
        <v>24</v>
      </c>
      <c r="B19" s="51">
        <v>109</v>
      </c>
      <c r="C19" s="51">
        <v>178</v>
      </c>
      <c r="E19">
        <f t="shared" si="0"/>
        <v>1</v>
      </c>
      <c r="G19" t="s">
        <v>229</v>
      </c>
      <c r="H19" s="51">
        <v>24</v>
      </c>
      <c r="I19" s="51">
        <v>127</v>
      </c>
    </row>
    <row r="20" spans="1:9" x14ac:dyDescent="0.25">
      <c r="A20">
        <v>25</v>
      </c>
      <c r="B20" s="51">
        <v>70</v>
      </c>
      <c r="C20" s="51">
        <v>172</v>
      </c>
      <c r="E20">
        <f t="shared" si="0"/>
        <v>1</v>
      </c>
      <c r="G20" t="s">
        <v>230</v>
      </c>
      <c r="H20">
        <v>27</v>
      </c>
      <c r="I20" s="51">
        <v>127</v>
      </c>
    </row>
    <row r="21" spans="1:9" x14ac:dyDescent="0.25">
      <c r="A21">
        <v>26</v>
      </c>
      <c r="B21" s="51">
        <v>56</v>
      </c>
      <c r="C21" s="51">
        <v>165</v>
      </c>
      <c r="E21">
        <f>+$F$21</f>
        <v>10</v>
      </c>
      <c r="F21">
        <v>10</v>
      </c>
      <c r="G21" t="s">
        <v>222</v>
      </c>
      <c r="H21" s="51">
        <v>22</v>
      </c>
      <c r="I21" s="51">
        <v>181</v>
      </c>
    </row>
    <row r="22" spans="1:9" x14ac:dyDescent="0.25">
      <c r="A22">
        <v>27</v>
      </c>
      <c r="B22" s="51">
        <v>116</v>
      </c>
      <c r="C22" s="51">
        <v>139</v>
      </c>
      <c r="E22">
        <f t="shared" ref="E22:E29" si="1">+$F$21</f>
        <v>10</v>
      </c>
      <c r="G22" t="s">
        <v>223</v>
      </c>
      <c r="H22" s="51">
        <v>11</v>
      </c>
      <c r="I22" s="51">
        <v>181</v>
      </c>
    </row>
    <row r="23" spans="1:9" x14ac:dyDescent="0.25">
      <c r="A23">
        <v>28</v>
      </c>
      <c r="B23" s="51">
        <v>111</v>
      </c>
      <c r="C23" s="51">
        <v>168</v>
      </c>
      <c r="E23">
        <f t="shared" si="1"/>
        <v>10</v>
      </c>
      <c r="G23" t="s">
        <v>224</v>
      </c>
      <c r="H23" s="51">
        <v>40</v>
      </c>
      <c r="I23" s="51">
        <v>181</v>
      </c>
    </row>
    <row r="24" spans="1:9" x14ac:dyDescent="0.25">
      <c r="A24">
        <v>3</v>
      </c>
      <c r="B24" s="51">
        <v>118</v>
      </c>
      <c r="C24" s="51">
        <v>170</v>
      </c>
      <c r="E24">
        <f t="shared" si="1"/>
        <v>10</v>
      </c>
      <c r="G24" t="s">
        <v>225</v>
      </c>
      <c r="H24" s="51">
        <v>33</v>
      </c>
      <c r="I24" s="51">
        <v>181</v>
      </c>
    </row>
    <row r="25" spans="1:9" x14ac:dyDescent="0.25">
      <c r="A25">
        <v>30</v>
      </c>
      <c r="B25" s="51">
        <v>18</v>
      </c>
      <c r="C25" s="51">
        <v>139</v>
      </c>
      <c r="E25">
        <f t="shared" si="1"/>
        <v>10</v>
      </c>
      <c r="G25" t="s">
        <v>226</v>
      </c>
      <c r="H25" s="51">
        <v>50</v>
      </c>
      <c r="I25" s="51">
        <v>181</v>
      </c>
    </row>
    <row r="26" spans="1:9" x14ac:dyDescent="0.25">
      <c r="A26">
        <v>31</v>
      </c>
      <c r="B26" s="51">
        <v>120</v>
      </c>
      <c r="C26" s="51">
        <v>160</v>
      </c>
      <c r="E26">
        <f t="shared" si="1"/>
        <v>10</v>
      </c>
      <c r="G26" t="s">
        <v>227</v>
      </c>
      <c r="H26" s="51">
        <v>30</v>
      </c>
      <c r="I26" s="51">
        <v>181</v>
      </c>
    </row>
    <row r="27" spans="1:9" x14ac:dyDescent="0.25">
      <c r="A27">
        <v>32</v>
      </c>
      <c r="B27" s="51">
        <v>33</v>
      </c>
      <c r="C27" s="51">
        <v>57</v>
      </c>
      <c r="E27">
        <f t="shared" si="1"/>
        <v>10</v>
      </c>
      <c r="G27" t="s">
        <v>228</v>
      </c>
      <c r="H27" s="51">
        <v>11</v>
      </c>
      <c r="I27" s="51">
        <v>181</v>
      </c>
    </row>
    <row r="28" spans="1:9" x14ac:dyDescent="0.25">
      <c r="A28">
        <v>33</v>
      </c>
      <c r="B28" s="51">
        <v>113</v>
      </c>
      <c r="C28" s="51">
        <v>168</v>
      </c>
      <c r="E28">
        <f t="shared" si="1"/>
        <v>10</v>
      </c>
      <c r="G28" t="s">
        <v>229</v>
      </c>
      <c r="H28" s="51">
        <v>9</v>
      </c>
      <c r="I28" s="51">
        <v>181</v>
      </c>
    </row>
    <row r="29" spans="1:9" x14ac:dyDescent="0.25">
      <c r="A29">
        <v>36</v>
      </c>
      <c r="B29" s="51">
        <v>101</v>
      </c>
      <c r="C29" s="51">
        <v>160</v>
      </c>
      <c r="E29">
        <f t="shared" si="1"/>
        <v>10</v>
      </c>
      <c r="G29" t="s">
        <v>230</v>
      </c>
      <c r="H29" s="51">
        <v>8</v>
      </c>
      <c r="I29" s="51">
        <v>181</v>
      </c>
    </row>
    <row r="30" spans="1:9" x14ac:dyDescent="0.25">
      <c r="A30">
        <v>37</v>
      </c>
      <c r="B30" s="51">
        <v>69</v>
      </c>
      <c r="C30" s="51">
        <v>142</v>
      </c>
      <c r="E30">
        <f>+$F$30</f>
        <v>100</v>
      </c>
      <c r="F30">
        <v>100</v>
      </c>
      <c r="G30" t="s">
        <v>222</v>
      </c>
      <c r="H30" s="51">
        <v>19</v>
      </c>
      <c r="I30" s="51">
        <v>2027</v>
      </c>
    </row>
    <row r="31" spans="1:9" x14ac:dyDescent="0.25">
      <c r="A31">
        <v>4</v>
      </c>
      <c r="B31" s="51">
        <v>108</v>
      </c>
      <c r="C31" s="51">
        <v>182</v>
      </c>
      <c r="E31">
        <f t="shared" ref="E31:E38" si="2">+$F$30</f>
        <v>100</v>
      </c>
      <c r="G31" t="s">
        <v>223</v>
      </c>
      <c r="H31" s="51">
        <v>14</v>
      </c>
      <c r="I31" s="51">
        <v>2027</v>
      </c>
    </row>
    <row r="32" spans="1:9" x14ac:dyDescent="0.25">
      <c r="A32">
        <v>40</v>
      </c>
      <c r="B32" s="51">
        <v>87</v>
      </c>
      <c r="C32" s="51">
        <v>250</v>
      </c>
      <c r="E32">
        <f t="shared" si="2"/>
        <v>100</v>
      </c>
      <c r="G32" t="s">
        <v>224</v>
      </c>
      <c r="H32" s="51">
        <v>14</v>
      </c>
      <c r="I32" s="51">
        <v>2027</v>
      </c>
    </row>
    <row r="33" spans="1:9" x14ac:dyDescent="0.25">
      <c r="A33">
        <v>42</v>
      </c>
      <c r="B33" s="51">
        <v>9</v>
      </c>
      <c r="C33" s="51">
        <v>52</v>
      </c>
      <c r="E33">
        <f t="shared" si="2"/>
        <v>100</v>
      </c>
      <c r="G33" t="s">
        <v>225</v>
      </c>
      <c r="H33" s="51">
        <v>10</v>
      </c>
      <c r="I33" s="51">
        <v>2027</v>
      </c>
    </row>
    <row r="34" spans="1:9" x14ac:dyDescent="0.25">
      <c r="A34">
        <v>43</v>
      </c>
      <c r="B34" s="51">
        <v>4</v>
      </c>
      <c r="C34" s="51">
        <v>93</v>
      </c>
      <c r="E34">
        <f t="shared" si="2"/>
        <v>100</v>
      </c>
      <c r="G34" t="s">
        <v>226</v>
      </c>
      <c r="H34" s="51">
        <v>20</v>
      </c>
      <c r="I34" s="51">
        <v>2027</v>
      </c>
    </row>
    <row r="35" spans="1:9" x14ac:dyDescent="0.25">
      <c r="A35">
        <v>44</v>
      </c>
      <c r="B35" s="51">
        <v>119</v>
      </c>
      <c r="C35" s="51">
        <v>169</v>
      </c>
      <c r="E35">
        <f t="shared" si="2"/>
        <v>100</v>
      </c>
      <c r="G35" t="s">
        <v>227</v>
      </c>
      <c r="H35" s="51">
        <v>13</v>
      </c>
      <c r="I35" s="51">
        <v>2027</v>
      </c>
    </row>
    <row r="36" spans="1:9" x14ac:dyDescent="0.25">
      <c r="A36">
        <v>49</v>
      </c>
      <c r="B36" s="51">
        <v>82</v>
      </c>
      <c r="C36" s="51">
        <v>241</v>
      </c>
      <c r="E36">
        <f t="shared" si="2"/>
        <v>100</v>
      </c>
      <c r="G36" t="s">
        <v>228</v>
      </c>
      <c r="H36" s="51">
        <v>14</v>
      </c>
      <c r="I36" s="51">
        <v>2027</v>
      </c>
    </row>
    <row r="37" spans="1:9" x14ac:dyDescent="0.25">
      <c r="A37">
        <v>5</v>
      </c>
      <c r="B37" s="51">
        <v>190</v>
      </c>
      <c r="C37" s="51">
        <v>261</v>
      </c>
      <c r="E37">
        <f t="shared" si="2"/>
        <v>100</v>
      </c>
      <c r="G37" t="s">
        <v>229</v>
      </c>
      <c r="H37" s="51">
        <v>5</v>
      </c>
      <c r="I37" s="51">
        <v>2027</v>
      </c>
    </row>
    <row r="38" spans="1:9" x14ac:dyDescent="0.25">
      <c r="A38">
        <v>52</v>
      </c>
      <c r="B38" s="51">
        <v>32</v>
      </c>
      <c r="C38" s="51">
        <v>101</v>
      </c>
      <c r="E38">
        <f t="shared" si="2"/>
        <v>100</v>
      </c>
      <c r="G38" t="s">
        <v>230</v>
      </c>
      <c r="H38" s="51">
        <v>2</v>
      </c>
      <c r="I38" s="51">
        <v>2027</v>
      </c>
    </row>
    <row r="39" spans="1:9" x14ac:dyDescent="0.25">
      <c r="A39">
        <v>53</v>
      </c>
      <c r="B39" s="51">
        <v>43</v>
      </c>
      <c r="C39" s="51">
        <v>105</v>
      </c>
      <c r="E39">
        <f>+$F$39</f>
        <v>11</v>
      </c>
      <c r="F39">
        <v>11</v>
      </c>
      <c r="G39" t="s">
        <v>222</v>
      </c>
      <c r="H39" s="51">
        <v>32</v>
      </c>
      <c r="I39" s="51">
        <v>166</v>
      </c>
    </row>
    <row r="40" spans="1:9" x14ac:dyDescent="0.25">
      <c r="A40">
        <v>54</v>
      </c>
      <c r="B40" s="51">
        <v>87</v>
      </c>
      <c r="C40" s="51">
        <v>202</v>
      </c>
      <c r="E40">
        <f t="shared" ref="E40:E47" si="3">+$F$39</f>
        <v>11</v>
      </c>
      <c r="G40" t="s">
        <v>223</v>
      </c>
      <c r="H40" s="51">
        <v>18</v>
      </c>
      <c r="I40" s="51">
        <v>166</v>
      </c>
    </row>
    <row r="41" spans="1:9" x14ac:dyDescent="0.25">
      <c r="A41">
        <v>56</v>
      </c>
      <c r="B41">
        <v>69</v>
      </c>
      <c r="C41" s="51">
        <v>198</v>
      </c>
      <c r="E41">
        <f t="shared" si="3"/>
        <v>11</v>
      </c>
      <c r="G41" t="s">
        <v>224</v>
      </c>
      <c r="H41" s="51">
        <v>58</v>
      </c>
      <c r="I41" s="51">
        <v>166</v>
      </c>
    </row>
    <row r="42" spans="1:9" x14ac:dyDescent="0.25">
      <c r="A42">
        <v>57</v>
      </c>
      <c r="B42" s="51">
        <v>21</v>
      </c>
      <c r="C42" s="51">
        <v>104</v>
      </c>
      <c r="E42">
        <f t="shared" si="3"/>
        <v>11</v>
      </c>
      <c r="G42" t="s">
        <v>225</v>
      </c>
      <c r="H42" s="51">
        <v>32</v>
      </c>
      <c r="I42" s="51">
        <v>166</v>
      </c>
    </row>
    <row r="43" spans="1:9" x14ac:dyDescent="0.25">
      <c r="A43">
        <v>58</v>
      </c>
      <c r="B43" s="51">
        <v>24</v>
      </c>
      <c r="C43" s="51">
        <v>121</v>
      </c>
      <c r="E43">
        <f t="shared" si="3"/>
        <v>11</v>
      </c>
      <c r="G43" t="s">
        <v>226</v>
      </c>
      <c r="H43" s="51">
        <v>66</v>
      </c>
      <c r="I43" s="51">
        <v>166</v>
      </c>
    </row>
    <row r="44" spans="1:9" x14ac:dyDescent="0.25">
      <c r="A44">
        <v>59</v>
      </c>
      <c r="B44" s="51">
        <v>26</v>
      </c>
      <c r="C44" s="51">
        <v>122</v>
      </c>
      <c r="E44">
        <f t="shared" si="3"/>
        <v>11</v>
      </c>
      <c r="G44" t="s">
        <v>227</v>
      </c>
      <c r="H44" s="51">
        <v>42</v>
      </c>
      <c r="I44" s="51">
        <v>166</v>
      </c>
    </row>
    <row r="45" spans="1:9" x14ac:dyDescent="0.25">
      <c r="A45">
        <v>7</v>
      </c>
      <c r="B45" s="51">
        <v>7</v>
      </c>
      <c r="C45" s="51">
        <v>114</v>
      </c>
      <c r="E45">
        <f t="shared" si="3"/>
        <v>11</v>
      </c>
      <c r="G45" t="s">
        <v>228</v>
      </c>
      <c r="H45" s="51">
        <v>10</v>
      </c>
      <c r="I45" s="51">
        <v>166</v>
      </c>
    </row>
    <row r="46" spans="1:9" x14ac:dyDescent="0.25">
      <c r="A46">
        <v>8</v>
      </c>
      <c r="B46" s="51">
        <v>112</v>
      </c>
      <c r="C46" s="51">
        <v>195</v>
      </c>
      <c r="E46">
        <f t="shared" si="3"/>
        <v>11</v>
      </c>
      <c r="G46" t="s">
        <v>229</v>
      </c>
      <c r="H46" s="51">
        <v>18</v>
      </c>
      <c r="I46" s="51">
        <v>166</v>
      </c>
    </row>
    <row r="47" spans="1:9" x14ac:dyDescent="0.25">
      <c r="A47">
        <v>9</v>
      </c>
      <c r="B47" s="51">
        <v>111</v>
      </c>
      <c r="C47" s="51">
        <v>161</v>
      </c>
      <c r="E47">
        <f t="shared" si="3"/>
        <v>11</v>
      </c>
      <c r="G47" t="s">
        <v>230</v>
      </c>
      <c r="H47" s="51">
        <v>13</v>
      </c>
      <c r="I47" s="51">
        <v>166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45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25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66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32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68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60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15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17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28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19</v>
      </c>
      <c r="I57" s="51">
        <v>489</v>
      </c>
    </row>
    <row r="58" spans="2:9" x14ac:dyDescent="0.25">
      <c r="E58">
        <f t="shared" ref="E58:E65" si="5">+$F$57</f>
        <v>123</v>
      </c>
      <c r="G58" t="s">
        <v>223</v>
      </c>
      <c r="H58" s="51">
        <v>10</v>
      </c>
      <c r="I58" s="51">
        <v>489</v>
      </c>
    </row>
    <row r="59" spans="2:9" x14ac:dyDescent="0.25">
      <c r="E59">
        <f t="shared" si="5"/>
        <v>123</v>
      </c>
      <c r="G59" t="s">
        <v>224</v>
      </c>
      <c r="H59" s="51">
        <v>17</v>
      </c>
      <c r="I59" s="51">
        <v>489</v>
      </c>
    </row>
    <row r="60" spans="2:9" x14ac:dyDescent="0.25">
      <c r="E60">
        <f t="shared" si="5"/>
        <v>123</v>
      </c>
      <c r="G60" t="s">
        <v>225</v>
      </c>
      <c r="H60" s="51">
        <v>1</v>
      </c>
      <c r="I60" s="51">
        <v>489</v>
      </c>
    </row>
    <row r="61" spans="2:9" x14ac:dyDescent="0.25">
      <c r="E61">
        <f t="shared" si="5"/>
        <v>123</v>
      </c>
      <c r="G61" t="s">
        <v>226</v>
      </c>
      <c r="H61" s="51">
        <v>18</v>
      </c>
      <c r="I61" s="51">
        <v>489</v>
      </c>
    </row>
    <row r="62" spans="2:9" x14ac:dyDescent="0.25">
      <c r="E62">
        <f t="shared" si="5"/>
        <v>123</v>
      </c>
      <c r="G62" t="s">
        <v>227</v>
      </c>
      <c r="H62" s="51">
        <v>3</v>
      </c>
      <c r="I62" s="51">
        <v>489</v>
      </c>
    </row>
    <row r="63" spans="2:9" x14ac:dyDescent="0.25">
      <c r="E63">
        <f t="shared" si="5"/>
        <v>123</v>
      </c>
      <c r="G63" t="s">
        <v>228</v>
      </c>
      <c r="H63" s="51">
        <v>12</v>
      </c>
      <c r="I63" s="51">
        <v>489</v>
      </c>
    </row>
    <row r="64" spans="2:9" x14ac:dyDescent="0.25">
      <c r="E64">
        <f t="shared" si="5"/>
        <v>123</v>
      </c>
      <c r="G64" t="s">
        <v>229</v>
      </c>
      <c r="H64" s="51">
        <v>2</v>
      </c>
      <c r="I64" s="51">
        <v>489</v>
      </c>
    </row>
    <row r="65" spans="5:9" x14ac:dyDescent="0.25">
      <c r="E65">
        <f t="shared" si="5"/>
        <v>123</v>
      </c>
      <c r="G65" t="s">
        <v>230</v>
      </c>
      <c r="H65" s="51">
        <v>1</v>
      </c>
      <c r="I65" s="51">
        <v>489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27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11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21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14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30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12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17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10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11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30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14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65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27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63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49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9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22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16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44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31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47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37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91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58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17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22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28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37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25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68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39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107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69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9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23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24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12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40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34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24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50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32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11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14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20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62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50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81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51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100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77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13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26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27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48</v>
      </c>
      <c r="I120" s="51">
        <v>171</v>
      </c>
    </row>
    <row r="121" spans="5:9" x14ac:dyDescent="0.25">
      <c r="E121">
        <f t="shared" ref="E121:E128" si="12">+$F$120</f>
        <v>21</v>
      </c>
      <c r="G121" t="s">
        <v>223</v>
      </c>
      <c r="H121" s="51">
        <v>43</v>
      </c>
      <c r="I121" s="51">
        <v>171</v>
      </c>
    </row>
    <row r="122" spans="5:9" x14ac:dyDescent="0.25">
      <c r="E122">
        <f t="shared" si="12"/>
        <v>21</v>
      </c>
      <c r="G122" t="s">
        <v>224</v>
      </c>
      <c r="H122" s="51">
        <v>70</v>
      </c>
      <c r="I122" s="51">
        <v>171</v>
      </c>
    </row>
    <row r="123" spans="5:9" x14ac:dyDescent="0.25">
      <c r="E123">
        <f t="shared" si="12"/>
        <v>21</v>
      </c>
      <c r="G123" t="s">
        <v>225</v>
      </c>
      <c r="H123" s="51">
        <v>38</v>
      </c>
      <c r="I123" s="51">
        <v>171</v>
      </c>
    </row>
    <row r="124" spans="5:9" x14ac:dyDescent="0.25">
      <c r="E124">
        <f t="shared" si="12"/>
        <v>21</v>
      </c>
      <c r="G124" t="s">
        <v>226</v>
      </c>
      <c r="H124">
        <v>96</v>
      </c>
      <c r="I124" s="51">
        <v>171</v>
      </c>
    </row>
    <row r="125" spans="5:9" x14ac:dyDescent="0.25">
      <c r="E125">
        <f t="shared" si="12"/>
        <v>21</v>
      </c>
      <c r="G125" t="s">
        <v>227</v>
      </c>
      <c r="H125" s="51">
        <v>77</v>
      </c>
      <c r="I125" s="51">
        <v>171</v>
      </c>
    </row>
    <row r="126" spans="5:9" x14ac:dyDescent="0.25">
      <c r="E126">
        <f t="shared" si="12"/>
        <v>21</v>
      </c>
      <c r="G126" t="s">
        <v>228</v>
      </c>
      <c r="H126" s="51">
        <v>20</v>
      </c>
      <c r="I126" s="51">
        <v>171</v>
      </c>
    </row>
    <row r="127" spans="5:9" x14ac:dyDescent="0.25">
      <c r="E127">
        <f t="shared" si="12"/>
        <v>21</v>
      </c>
      <c r="G127" t="s">
        <v>229</v>
      </c>
      <c r="H127" s="51">
        <v>26</v>
      </c>
      <c r="I127" s="51">
        <v>171</v>
      </c>
    </row>
    <row r="128" spans="5:9" x14ac:dyDescent="0.25">
      <c r="E128">
        <f t="shared" si="12"/>
        <v>21</v>
      </c>
      <c r="G128" t="s">
        <v>230</v>
      </c>
      <c r="H128" s="51">
        <v>25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28</v>
      </c>
      <c r="I129" s="51">
        <v>73</v>
      </c>
    </row>
    <row r="130" spans="5:9" x14ac:dyDescent="0.25">
      <c r="E130">
        <f t="shared" ref="E130:E137" si="13">+$F$129</f>
        <v>22</v>
      </c>
      <c r="G130" t="s">
        <v>223</v>
      </c>
      <c r="H130" s="51">
        <v>18</v>
      </c>
      <c r="I130" s="51">
        <v>73</v>
      </c>
    </row>
    <row r="131" spans="5:9" x14ac:dyDescent="0.25">
      <c r="E131">
        <f t="shared" si="13"/>
        <v>22</v>
      </c>
      <c r="G131" t="s">
        <v>224</v>
      </c>
      <c r="H131" s="51">
        <v>30</v>
      </c>
      <c r="I131" s="51">
        <v>73</v>
      </c>
    </row>
    <row r="132" spans="5:9" x14ac:dyDescent="0.25">
      <c r="E132">
        <f t="shared" si="13"/>
        <v>22</v>
      </c>
      <c r="G132" t="s">
        <v>225</v>
      </c>
      <c r="H132" s="51">
        <v>21</v>
      </c>
      <c r="I132" s="51">
        <v>73</v>
      </c>
    </row>
    <row r="133" spans="5:9" x14ac:dyDescent="0.25">
      <c r="E133">
        <f t="shared" si="13"/>
        <v>22</v>
      </c>
      <c r="G133" t="s">
        <v>226</v>
      </c>
      <c r="H133" s="51">
        <v>40</v>
      </c>
      <c r="I133" s="51">
        <v>73</v>
      </c>
    </row>
    <row r="134" spans="5:9" x14ac:dyDescent="0.25">
      <c r="E134">
        <f t="shared" si="13"/>
        <v>22</v>
      </c>
      <c r="G134" t="s">
        <v>227</v>
      </c>
      <c r="H134" s="51">
        <v>23</v>
      </c>
      <c r="I134" s="51">
        <v>73</v>
      </c>
    </row>
    <row r="135" spans="5:9" x14ac:dyDescent="0.25">
      <c r="E135">
        <f t="shared" si="13"/>
        <v>22</v>
      </c>
      <c r="G135" t="s">
        <v>228</v>
      </c>
      <c r="H135" s="51">
        <v>36</v>
      </c>
      <c r="I135" s="51">
        <v>73</v>
      </c>
    </row>
    <row r="136" spans="5:9" x14ac:dyDescent="0.25">
      <c r="E136">
        <f t="shared" si="13"/>
        <v>22</v>
      </c>
      <c r="G136" t="s">
        <v>229</v>
      </c>
      <c r="H136" s="51">
        <v>15</v>
      </c>
      <c r="I136" s="51">
        <v>73</v>
      </c>
    </row>
    <row r="137" spans="5:9" x14ac:dyDescent="0.25">
      <c r="E137">
        <f t="shared" si="13"/>
        <v>22</v>
      </c>
      <c r="G137" t="s">
        <v>230</v>
      </c>
      <c r="H137" s="51">
        <v>23</v>
      </c>
      <c r="I137" s="51">
        <v>73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44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32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64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32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91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57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9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23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16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32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10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63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23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61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38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13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14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6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28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22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24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35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51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40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45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17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13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31</v>
      </c>
      <c r="I165" s="51">
        <v>165</v>
      </c>
    </row>
    <row r="166" spans="5:9" x14ac:dyDescent="0.25">
      <c r="E166">
        <f t="shared" ref="E166:E173" si="17">+$F$165</f>
        <v>26</v>
      </c>
      <c r="G166" t="s">
        <v>223</v>
      </c>
      <c r="H166" s="51">
        <v>7</v>
      </c>
      <c r="I166" s="51">
        <v>165</v>
      </c>
    </row>
    <row r="167" spans="5:9" x14ac:dyDescent="0.25">
      <c r="E167">
        <f t="shared" si="17"/>
        <v>26</v>
      </c>
      <c r="G167" t="s">
        <v>224</v>
      </c>
      <c r="H167" s="51">
        <v>7</v>
      </c>
      <c r="I167" s="51">
        <v>165</v>
      </c>
    </row>
    <row r="168" spans="5:9" x14ac:dyDescent="0.25">
      <c r="E168">
        <f t="shared" si="17"/>
        <v>26</v>
      </c>
      <c r="G168" t="s">
        <v>225</v>
      </c>
      <c r="H168" s="51">
        <v>22</v>
      </c>
      <c r="I168" s="51">
        <v>165</v>
      </c>
    </row>
    <row r="169" spans="5:9" x14ac:dyDescent="0.25">
      <c r="E169">
        <f t="shared" si="17"/>
        <v>26</v>
      </c>
      <c r="G169" t="s">
        <v>226</v>
      </c>
      <c r="H169" s="51">
        <v>21</v>
      </c>
      <c r="I169" s="51">
        <v>165</v>
      </c>
    </row>
    <row r="170" spans="5:9" x14ac:dyDescent="0.25">
      <c r="E170">
        <f t="shared" si="17"/>
        <v>26</v>
      </c>
      <c r="G170" t="s">
        <v>227</v>
      </c>
      <c r="H170" s="51">
        <v>23</v>
      </c>
      <c r="I170" s="51">
        <v>165</v>
      </c>
    </row>
    <row r="171" spans="5:9" x14ac:dyDescent="0.25">
      <c r="E171">
        <f t="shared" si="17"/>
        <v>26</v>
      </c>
      <c r="G171" t="s">
        <v>228</v>
      </c>
      <c r="H171" s="51">
        <v>27</v>
      </c>
      <c r="I171" s="51">
        <v>165</v>
      </c>
    </row>
    <row r="172" spans="5:9" x14ac:dyDescent="0.25">
      <c r="E172">
        <f t="shared" si="17"/>
        <v>26</v>
      </c>
      <c r="G172" t="s">
        <v>229</v>
      </c>
      <c r="H172" s="51">
        <v>13</v>
      </c>
      <c r="I172" s="51">
        <v>165</v>
      </c>
    </row>
    <row r="173" spans="5:9" x14ac:dyDescent="0.25">
      <c r="E173">
        <f t="shared" si="17"/>
        <v>26</v>
      </c>
      <c r="G173" t="s">
        <v>230</v>
      </c>
      <c r="H173" s="51">
        <v>17</v>
      </c>
      <c r="I173" s="51">
        <v>165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41</v>
      </c>
      <c r="I174" s="51">
        <v>139</v>
      </c>
    </row>
    <row r="175" spans="5:9" x14ac:dyDescent="0.25">
      <c r="E175">
        <f t="shared" ref="E175:E182" si="18">+$F$174</f>
        <v>27</v>
      </c>
      <c r="G175" t="s">
        <v>223</v>
      </c>
      <c r="H175" s="51">
        <v>19</v>
      </c>
      <c r="I175" s="51">
        <v>139</v>
      </c>
    </row>
    <row r="176" spans="5:9" x14ac:dyDescent="0.25">
      <c r="E176">
        <f t="shared" si="18"/>
        <v>27</v>
      </c>
      <c r="G176" t="s">
        <v>224</v>
      </c>
      <c r="H176" s="51">
        <v>43</v>
      </c>
      <c r="I176" s="51">
        <v>139</v>
      </c>
    </row>
    <row r="177" spans="5:9" x14ac:dyDescent="0.25">
      <c r="E177">
        <f t="shared" si="18"/>
        <v>27</v>
      </c>
      <c r="G177" t="s">
        <v>225</v>
      </c>
      <c r="H177" s="51">
        <v>27</v>
      </c>
      <c r="I177" s="51">
        <v>139</v>
      </c>
    </row>
    <row r="178" spans="5:9" x14ac:dyDescent="0.25">
      <c r="E178">
        <f t="shared" si="18"/>
        <v>27</v>
      </c>
      <c r="G178" t="s">
        <v>226</v>
      </c>
      <c r="H178" s="51">
        <v>71</v>
      </c>
      <c r="I178" s="51">
        <v>139</v>
      </c>
    </row>
    <row r="179" spans="5:9" x14ac:dyDescent="0.25">
      <c r="E179">
        <f t="shared" si="18"/>
        <v>27</v>
      </c>
      <c r="G179" t="s">
        <v>227</v>
      </c>
      <c r="H179" s="51">
        <v>65</v>
      </c>
      <c r="I179" s="51">
        <v>139</v>
      </c>
    </row>
    <row r="180" spans="5:9" x14ac:dyDescent="0.25">
      <c r="E180">
        <f t="shared" si="18"/>
        <v>27</v>
      </c>
      <c r="G180" t="s">
        <v>228</v>
      </c>
      <c r="H180">
        <v>18</v>
      </c>
      <c r="I180" s="51">
        <v>139</v>
      </c>
    </row>
    <row r="181" spans="5:9" x14ac:dyDescent="0.25">
      <c r="E181">
        <f t="shared" si="18"/>
        <v>27</v>
      </c>
      <c r="G181" t="s">
        <v>229</v>
      </c>
      <c r="H181" s="51">
        <v>24</v>
      </c>
      <c r="I181" s="51">
        <v>139</v>
      </c>
    </row>
    <row r="182" spans="5:9" x14ac:dyDescent="0.25">
      <c r="E182">
        <f t="shared" si="18"/>
        <v>27</v>
      </c>
      <c r="G182" t="s">
        <v>230</v>
      </c>
      <c r="H182" s="51">
        <v>12</v>
      </c>
      <c r="I182" s="51">
        <v>139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28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12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31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23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61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52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9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15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8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37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27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54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30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77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54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11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23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24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5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1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7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/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4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/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10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47</v>
      </c>
      <c r="I210" s="51">
        <v>160</v>
      </c>
    </row>
    <row r="211" spans="5:9" x14ac:dyDescent="0.25">
      <c r="E211">
        <f t="shared" ref="E211:E218" si="22">+$F$210</f>
        <v>31</v>
      </c>
      <c r="G211" t="s">
        <v>223</v>
      </c>
      <c r="H211" s="51">
        <v>22</v>
      </c>
      <c r="I211" s="51">
        <v>160</v>
      </c>
    </row>
    <row r="212" spans="5:9" x14ac:dyDescent="0.25">
      <c r="E212">
        <f t="shared" si="22"/>
        <v>31</v>
      </c>
      <c r="G212" t="s">
        <v>224</v>
      </c>
      <c r="H212">
        <v>56</v>
      </c>
      <c r="I212" s="51">
        <v>160</v>
      </c>
    </row>
    <row r="213" spans="5:9" x14ac:dyDescent="0.25">
      <c r="E213">
        <f t="shared" si="22"/>
        <v>31</v>
      </c>
      <c r="G213" t="s">
        <v>225</v>
      </c>
      <c r="H213" s="51">
        <v>36</v>
      </c>
      <c r="I213" s="51">
        <v>160</v>
      </c>
    </row>
    <row r="214" spans="5:9" x14ac:dyDescent="0.25">
      <c r="E214">
        <f t="shared" si="22"/>
        <v>31</v>
      </c>
      <c r="G214" t="s">
        <v>226</v>
      </c>
      <c r="H214" s="51">
        <v>90</v>
      </c>
      <c r="I214" s="51">
        <v>160</v>
      </c>
    </row>
    <row r="215" spans="5:9" x14ac:dyDescent="0.25">
      <c r="E215">
        <f t="shared" si="22"/>
        <v>31</v>
      </c>
      <c r="G215" t="s">
        <v>227</v>
      </c>
      <c r="H215" s="51">
        <v>63</v>
      </c>
      <c r="I215" s="51">
        <v>160</v>
      </c>
    </row>
    <row r="216" spans="5:9" x14ac:dyDescent="0.25">
      <c r="E216">
        <f t="shared" si="22"/>
        <v>31</v>
      </c>
      <c r="G216" t="s">
        <v>228</v>
      </c>
      <c r="H216" s="51">
        <v>20</v>
      </c>
      <c r="I216" s="51">
        <v>160</v>
      </c>
    </row>
    <row r="217" spans="5:9" x14ac:dyDescent="0.25">
      <c r="E217">
        <f t="shared" si="22"/>
        <v>31</v>
      </c>
      <c r="G217" t="s">
        <v>229</v>
      </c>
      <c r="H217" s="51">
        <v>27</v>
      </c>
      <c r="I217" s="51">
        <v>160</v>
      </c>
    </row>
    <row r="218" spans="5:9" x14ac:dyDescent="0.25">
      <c r="E218">
        <f t="shared" si="22"/>
        <v>31</v>
      </c>
      <c r="G218" t="s">
        <v>230</v>
      </c>
      <c r="H218" s="51">
        <v>13</v>
      </c>
      <c r="I218" s="51">
        <v>160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21</v>
      </c>
      <c r="I219" s="51">
        <v>57</v>
      </c>
    </row>
    <row r="220" spans="5:9" x14ac:dyDescent="0.25">
      <c r="E220">
        <f t="shared" ref="E220:E227" si="23">+$F$219</f>
        <v>32</v>
      </c>
      <c r="G220" t="s">
        <v>223</v>
      </c>
      <c r="H220" s="51">
        <v>11</v>
      </c>
      <c r="I220" s="51">
        <v>57</v>
      </c>
    </row>
    <row r="221" spans="5:9" x14ac:dyDescent="0.25">
      <c r="E221">
        <f t="shared" si="23"/>
        <v>32</v>
      </c>
      <c r="G221" t="s">
        <v>224</v>
      </c>
      <c r="H221" s="51">
        <v>13</v>
      </c>
      <c r="I221" s="51">
        <v>57</v>
      </c>
    </row>
    <row r="222" spans="5:9" x14ac:dyDescent="0.25">
      <c r="E222">
        <f t="shared" si="23"/>
        <v>32</v>
      </c>
      <c r="G222" t="s">
        <v>225</v>
      </c>
      <c r="H222" s="51">
        <v>14</v>
      </c>
      <c r="I222" s="51">
        <v>57</v>
      </c>
    </row>
    <row r="223" spans="5:9" x14ac:dyDescent="0.25">
      <c r="E223">
        <f t="shared" si="23"/>
        <v>32</v>
      </c>
      <c r="G223" t="s">
        <v>226</v>
      </c>
      <c r="H223" s="51">
        <v>27</v>
      </c>
      <c r="I223" s="51">
        <v>57</v>
      </c>
    </row>
    <row r="224" spans="5:9" x14ac:dyDescent="0.25">
      <c r="E224">
        <f t="shared" si="23"/>
        <v>32</v>
      </c>
      <c r="G224" t="s">
        <v>227</v>
      </c>
      <c r="H224" s="51">
        <v>17</v>
      </c>
      <c r="I224" s="51">
        <v>57</v>
      </c>
    </row>
    <row r="225" spans="5:9" x14ac:dyDescent="0.25">
      <c r="E225">
        <f t="shared" si="23"/>
        <v>32</v>
      </c>
      <c r="G225" t="s">
        <v>228</v>
      </c>
      <c r="H225" s="51">
        <v>20</v>
      </c>
      <c r="I225" s="51">
        <v>57</v>
      </c>
    </row>
    <row r="226" spans="5:9" x14ac:dyDescent="0.25">
      <c r="E226">
        <f t="shared" si="23"/>
        <v>32</v>
      </c>
      <c r="G226" t="s">
        <v>229</v>
      </c>
      <c r="H226" s="51">
        <v>9</v>
      </c>
      <c r="I226" s="51">
        <v>57</v>
      </c>
    </row>
    <row r="227" spans="5:9" x14ac:dyDescent="0.25">
      <c r="E227">
        <f t="shared" si="23"/>
        <v>32</v>
      </c>
      <c r="G227" t="s">
        <v>230</v>
      </c>
      <c r="H227" s="51">
        <v>13</v>
      </c>
      <c r="I227" s="51">
        <v>57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36</v>
      </c>
      <c r="I228" s="51">
        <v>168</v>
      </c>
    </row>
    <row r="229" spans="5:9" x14ac:dyDescent="0.25">
      <c r="E229">
        <f t="shared" ref="E229:E236" si="24">+$F$228</f>
        <v>33</v>
      </c>
      <c r="G229" t="s">
        <v>223</v>
      </c>
      <c r="H229" s="51">
        <v>26</v>
      </c>
      <c r="I229" s="51">
        <v>168</v>
      </c>
    </row>
    <row r="230" spans="5:9" x14ac:dyDescent="0.25">
      <c r="E230">
        <f t="shared" si="24"/>
        <v>33</v>
      </c>
      <c r="G230" t="s">
        <v>224</v>
      </c>
      <c r="H230" s="51">
        <v>37</v>
      </c>
      <c r="I230" s="51">
        <v>168</v>
      </c>
    </row>
    <row r="231" spans="5:9" x14ac:dyDescent="0.25">
      <c r="E231">
        <f t="shared" si="24"/>
        <v>33</v>
      </c>
      <c r="G231" t="s">
        <v>225</v>
      </c>
      <c r="H231" s="51">
        <v>32</v>
      </c>
      <c r="I231" s="51">
        <v>168</v>
      </c>
    </row>
    <row r="232" spans="5:9" x14ac:dyDescent="0.25">
      <c r="E232">
        <f t="shared" si="24"/>
        <v>33</v>
      </c>
      <c r="G232" t="s">
        <v>226</v>
      </c>
      <c r="H232" s="51">
        <v>57</v>
      </c>
      <c r="I232" s="51">
        <v>168</v>
      </c>
    </row>
    <row r="233" spans="5:9" x14ac:dyDescent="0.25">
      <c r="E233">
        <f t="shared" si="24"/>
        <v>33</v>
      </c>
      <c r="G233" t="s">
        <v>227</v>
      </c>
      <c r="H233" s="51">
        <v>48</v>
      </c>
      <c r="I233" s="51">
        <v>168</v>
      </c>
    </row>
    <row r="234" spans="5:9" x14ac:dyDescent="0.25">
      <c r="E234">
        <f t="shared" si="24"/>
        <v>33</v>
      </c>
      <c r="G234" t="s">
        <v>228</v>
      </c>
      <c r="H234" s="51">
        <v>11</v>
      </c>
      <c r="I234" s="51">
        <v>168</v>
      </c>
    </row>
    <row r="235" spans="5:9" x14ac:dyDescent="0.25">
      <c r="E235">
        <f t="shared" si="24"/>
        <v>33</v>
      </c>
      <c r="G235" t="s">
        <v>229</v>
      </c>
      <c r="H235" s="51">
        <v>18</v>
      </c>
      <c r="I235" s="51">
        <v>168</v>
      </c>
    </row>
    <row r="236" spans="5:9" x14ac:dyDescent="0.25">
      <c r="E236">
        <f t="shared" si="24"/>
        <v>33</v>
      </c>
      <c r="G236" t="s">
        <v>230</v>
      </c>
      <c r="H236">
        <v>14</v>
      </c>
      <c r="I236" s="51">
        <v>168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25</v>
      </c>
      <c r="I237" s="51">
        <v>160</v>
      </c>
    </row>
    <row r="238" spans="5:9" x14ac:dyDescent="0.25">
      <c r="E238">
        <f t="shared" ref="E238:E245" si="25">+$F$237</f>
        <v>36</v>
      </c>
      <c r="G238" t="s">
        <v>223</v>
      </c>
      <c r="H238" s="51">
        <v>10</v>
      </c>
      <c r="I238" s="51">
        <v>160</v>
      </c>
    </row>
    <row r="239" spans="5:9" x14ac:dyDescent="0.25">
      <c r="E239">
        <f t="shared" si="25"/>
        <v>36</v>
      </c>
      <c r="G239" t="s">
        <v>224</v>
      </c>
      <c r="H239" s="51">
        <v>39</v>
      </c>
      <c r="I239" s="51">
        <v>160</v>
      </c>
    </row>
    <row r="240" spans="5:9" x14ac:dyDescent="0.25">
      <c r="E240">
        <f t="shared" si="25"/>
        <v>36</v>
      </c>
      <c r="G240" t="s">
        <v>225</v>
      </c>
      <c r="H240" s="51">
        <v>32</v>
      </c>
      <c r="I240" s="51">
        <v>160</v>
      </c>
    </row>
    <row r="241" spans="5:9" x14ac:dyDescent="0.25">
      <c r="E241">
        <f t="shared" si="25"/>
        <v>36</v>
      </c>
      <c r="G241" t="s">
        <v>226</v>
      </c>
      <c r="H241" s="51">
        <v>65</v>
      </c>
      <c r="I241" s="51">
        <v>160</v>
      </c>
    </row>
    <row r="242" spans="5:9" x14ac:dyDescent="0.25">
      <c r="E242">
        <f t="shared" si="25"/>
        <v>36</v>
      </c>
      <c r="G242" t="s">
        <v>227</v>
      </c>
      <c r="H242" s="51">
        <v>36</v>
      </c>
      <c r="I242" s="51">
        <v>160</v>
      </c>
    </row>
    <row r="243" spans="5:9" x14ac:dyDescent="0.25">
      <c r="E243">
        <f t="shared" si="25"/>
        <v>36</v>
      </c>
      <c r="G243" t="s">
        <v>228</v>
      </c>
      <c r="H243" s="51">
        <v>14</v>
      </c>
      <c r="I243" s="51">
        <v>160</v>
      </c>
    </row>
    <row r="244" spans="5:9" x14ac:dyDescent="0.25">
      <c r="E244">
        <f t="shared" si="25"/>
        <v>36</v>
      </c>
      <c r="G244" t="s">
        <v>229</v>
      </c>
      <c r="H244">
        <v>10</v>
      </c>
      <c r="I244" s="51">
        <v>160</v>
      </c>
    </row>
    <row r="245" spans="5:9" x14ac:dyDescent="0.25">
      <c r="E245">
        <f t="shared" si="25"/>
        <v>36</v>
      </c>
      <c r="G245" t="s">
        <v>230</v>
      </c>
      <c r="H245" s="51">
        <v>11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13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8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20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16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39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22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12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17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13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27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22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44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39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69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42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13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26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23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19</v>
      </c>
      <c r="I264" s="51">
        <v>250</v>
      </c>
    </row>
    <row r="265" spans="5:9" x14ac:dyDescent="0.25">
      <c r="E265">
        <f t="shared" ref="E265:E272" si="28">+$F$264</f>
        <v>40</v>
      </c>
      <c r="G265" t="s">
        <v>223</v>
      </c>
      <c r="H265">
        <v>3</v>
      </c>
      <c r="I265" s="51">
        <v>250</v>
      </c>
    </row>
    <row r="266" spans="5:9" x14ac:dyDescent="0.25">
      <c r="E266">
        <f t="shared" si="28"/>
        <v>40</v>
      </c>
      <c r="G266" t="s">
        <v>224</v>
      </c>
      <c r="H266" s="51">
        <v>23</v>
      </c>
      <c r="I266" s="51">
        <v>250</v>
      </c>
    </row>
    <row r="267" spans="5:9" x14ac:dyDescent="0.25">
      <c r="E267">
        <f t="shared" si="28"/>
        <v>40</v>
      </c>
      <c r="G267" t="s">
        <v>225</v>
      </c>
      <c r="H267" s="51">
        <v>28</v>
      </c>
      <c r="I267" s="51">
        <v>250</v>
      </c>
    </row>
    <row r="268" spans="5:9" x14ac:dyDescent="0.25">
      <c r="E268">
        <f t="shared" si="28"/>
        <v>40</v>
      </c>
      <c r="G268" t="s">
        <v>226</v>
      </c>
      <c r="H268">
        <v>59</v>
      </c>
      <c r="I268" s="51">
        <v>250</v>
      </c>
    </row>
    <row r="269" spans="5:9" x14ac:dyDescent="0.25">
      <c r="E269">
        <f t="shared" si="28"/>
        <v>40</v>
      </c>
      <c r="G269" t="s">
        <v>227</v>
      </c>
      <c r="H269" s="51">
        <v>41</v>
      </c>
      <c r="I269" s="51">
        <v>250</v>
      </c>
    </row>
    <row r="270" spans="5:9" x14ac:dyDescent="0.25">
      <c r="E270">
        <f t="shared" si="28"/>
        <v>40</v>
      </c>
      <c r="G270" t="s">
        <v>228</v>
      </c>
      <c r="H270" s="51">
        <v>23</v>
      </c>
      <c r="I270" s="51">
        <v>250</v>
      </c>
    </row>
    <row r="271" spans="5:9" x14ac:dyDescent="0.25">
      <c r="E271">
        <f t="shared" si="28"/>
        <v>40</v>
      </c>
      <c r="G271" t="s">
        <v>229</v>
      </c>
      <c r="H271" s="51">
        <v>12</v>
      </c>
      <c r="I271" s="51">
        <v>250</v>
      </c>
    </row>
    <row r="272" spans="5:9" x14ac:dyDescent="0.25">
      <c r="E272">
        <f t="shared" si="28"/>
        <v>40</v>
      </c>
      <c r="G272" t="s">
        <v>230</v>
      </c>
      <c r="H272" s="51">
        <v>9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222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>
        <v>1</v>
      </c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>
        <v>2</v>
      </c>
      <c r="I275" s="51">
        <v>52</v>
      </c>
    </row>
    <row r="276" spans="5:9" x14ac:dyDescent="0.25">
      <c r="E276">
        <f t="shared" si="29"/>
        <v>42</v>
      </c>
      <c r="G276" t="s">
        <v>225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4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3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5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/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1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1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3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/>
      <c r="I289" s="51">
        <v>93</v>
      </c>
    </row>
    <row r="290" spans="5:9" x14ac:dyDescent="0.25">
      <c r="E290">
        <f t="shared" si="30"/>
        <v>43</v>
      </c>
      <c r="G290" t="s">
        <v>230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26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27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60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31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86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66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14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19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20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25</v>
      </c>
      <c r="I300" s="51">
        <v>241</v>
      </c>
    </row>
    <row r="301" spans="5:9" x14ac:dyDescent="0.25">
      <c r="E301">
        <f t="shared" ref="E301:E308" si="32">+$F$300</f>
        <v>49</v>
      </c>
      <c r="G301" t="s">
        <v>223</v>
      </c>
      <c r="H301" s="51">
        <v>12</v>
      </c>
      <c r="I301" s="51">
        <v>241</v>
      </c>
    </row>
    <row r="302" spans="5:9" x14ac:dyDescent="0.25">
      <c r="E302">
        <f t="shared" si="32"/>
        <v>49</v>
      </c>
      <c r="G302" t="s">
        <v>224</v>
      </c>
      <c r="H302" s="51">
        <v>39</v>
      </c>
      <c r="I302" s="51">
        <v>241</v>
      </c>
    </row>
    <row r="303" spans="5:9" x14ac:dyDescent="0.25">
      <c r="E303">
        <f t="shared" si="32"/>
        <v>49</v>
      </c>
      <c r="G303" t="s">
        <v>225</v>
      </c>
      <c r="H303" s="51">
        <v>9</v>
      </c>
      <c r="I303" s="51">
        <v>241</v>
      </c>
    </row>
    <row r="304" spans="5:9" x14ac:dyDescent="0.25">
      <c r="E304">
        <f t="shared" si="32"/>
        <v>49</v>
      </c>
      <c r="G304" t="s">
        <v>226</v>
      </c>
      <c r="H304" s="51">
        <v>28</v>
      </c>
      <c r="I304" s="51">
        <v>241</v>
      </c>
    </row>
    <row r="305" spans="5:9" x14ac:dyDescent="0.25">
      <c r="E305">
        <f t="shared" si="32"/>
        <v>49</v>
      </c>
      <c r="G305" t="s">
        <v>227</v>
      </c>
      <c r="H305" s="51">
        <v>21</v>
      </c>
      <c r="I305" s="51">
        <v>241</v>
      </c>
    </row>
    <row r="306" spans="5:9" x14ac:dyDescent="0.25">
      <c r="E306">
        <f t="shared" si="32"/>
        <v>49</v>
      </c>
      <c r="G306" t="s">
        <v>228</v>
      </c>
      <c r="H306" s="51">
        <v>31</v>
      </c>
      <c r="I306" s="51">
        <v>241</v>
      </c>
    </row>
    <row r="307" spans="5:9" x14ac:dyDescent="0.25">
      <c r="E307">
        <f t="shared" si="32"/>
        <v>49</v>
      </c>
      <c r="G307" t="s">
        <v>229</v>
      </c>
      <c r="H307">
        <v>12</v>
      </c>
      <c r="I307" s="51">
        <v>241</v>
      </c>
    </row>
    <row r="308" spans="5:9" x14ac:dyDescent="0.25">
      <c r="E308">
        <f t="shared" si="32"/>
        <v>49</v>
      </c>
      <c r="G308" t="s">
        <v>230</v>
      </c>
      <c r="H308">
        <v>18</v>
      </c>
      <c r="I308" s="51">
        <v>241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67</v>
      </c>
      <c r="I309" s="51">
        <v>261</v>
      </c>
    </row>
    <row r="310" spans="5:9" x14ac:dyDescent="0.25">
      <c r="E310">
        <f t="shared" ref="E310:E317" si="33">+$F$309</f>
        <v>5</v>
      </c>
      <c r="G310" t="s">
        <v>223</v>
      </c>
      <c r="H310">
        <v>51</v>
      </c>
      <c r="I310" s="51">
        <v>261</v>
      </c>
    </row>
    <row r="311" spans="5:9" x14ac:dyDescent="0.25">
      <c r="E311">
        <f t="shared" si="33"/>
        <v>5</v>
      </c>
      <c r="G311" t="s">
        <v>224</v>
      </c>
      <c r="H311">
        <v>84</v>
      </c>
      <c r="I311" s="51">
        <v>261</v>
      </c>
    </row>
    <row r="312" spans="5:9" x14ac:dyDescent="0.25">
      <c r="E312">
        <f t="shared" si="33"/>
        <v>5</v>
      </c>
      <c r="G312" t="s">
        <v>225</v>
      </c>
      <c r="H312">
        <v>37</v>
      </c>
      <c r="I312" s="51">
        <v>261</v>
      </c>
    </row>
    <row r="313" spans="5:9" x14ac:dyDescent="0.25">
      <c r="E313">
        <f t="shared" si="33"/>
        <v>5</v>
      </c>
      <c r="G313" t="s">
        <v>226</v>
      </c>
      <c r="H313">
        <v>121</v>
      </c>
      <c r="I313" s="51">
        <v>261</v>
      </c>
    </row>
    <row r="314" spans="5:9" x14ac:dyDescent="0.25">
      <c r="E314">
        <f t="shared" si="33"/>
        <v>5</v>
      </c>
      <c r="G314" t="s">
        <v>227</v>
      </c>
      <c r="H314">
        <v>79</v>
      </c>
      <c r="I314" s="51">
        <v>261</v>
      </c>
    </row>
    <row r="315" spans="5:9" x14ac:dyDescent="0.25">
      <c r="E315">
        <f t="shared" si="33"/>
        <v>5</v>
      </c>
      <c r="G315" t="s">
        <v>228</v>
      </c>
      <c r="H315" s="51">
        <v>28</v>
      </c>
      <c r="I315" s="51">
        <v>261</v>
      </c>
    </row>
    <row r="316" spans="5:9" x14ac:dyDescent="0.25">
      <c r="E316">
        <f t="shared" si="33"/>
        <v>5</v>
      </c>
      <c r="G316" t="s">
        <v>229</v>
      </c>
      <c r="H316">
        <v>34</v>
      </c>
      <c r="I316" s="51">
        <v>261</v>
      </c>
    </row>
    <row r="317" spans="5:9" x14ac:dyDescent="0.25">
      <c r="E317">
        <f t="shared" si="33"/>
        <v>5</v>
      </c>
      <c r="G317" t="s">
        <v>230</v>
      </c>
      <c r="H317" s="51">
        <v>24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223</v>
      </c>
      <c r="H319" s="51">
        <v>6</v>
      </c>
      <c r="I319" s="51">
        <v>101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227</v>
      </c>
      <c r="I323" s="51">
        <v>101</v>
      </c>
    </row>
    <row r="324" spans="5:9" x14ac:dyDescent="0.25">
      <c r="E324">
        <f t="shared" si="34"/>
        <v>52</v>
      </c>
      <c r="G324" t="s">
        <v>228</v>
      </c>
      <c r="H324" s="51">
        <v>32</v>
      </c>
      <c r="I324" s="51">
        <v>101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9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42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21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14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45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33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54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40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11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10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21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16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10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41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19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30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19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28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6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4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104</v>
      </c>
    </row>
    <row r="355" spans="5:9" x14ac:dyDescent="0.25">
      <c r="E355">
        <f t="shared" ref="E355:E362" si="38">+$F$354</f>
        <v>57</v>
      </c>
      <c r="G355" t="s">
        <v>223</v>
      </c>
      <c r="H355" s="51">
        <v>1</v>
      </c>
      <c r="I355" s="51">
        <v>104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104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104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104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104</v>
      </c>
    </row>
    <row r="360" spans="5:9" x14ac:dyDescent="0.25">
      <c r="E360">
        <f t="shared" si="38"/>
        <v>57</v>
      </c>
      <c r="G360" t="s">
        <v>228</v>
      </c>
      <c r="H360" s="51">
        <v>21</v>
      </c>
      <c r="I360" s="51">
        <v>104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104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104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1</v>
      </c>
      <c r="I363" s="51">
        <v>121</v>
      </c>
    </row>
    <row r="364" spans="5:9" x14ac:dyDescent="0.25">
      <c r="E364">
        <f t="shared" ref="E364:E371" si="39">+$F$363</f>
        <v>58</v>
      </c>
      <c r="G364" t="s">
        <v>223</v>
      </c>
      <c r="H364" s="51">
        <v>9</v>
      </c>
      <c r="I364" s="51">
        <v>121</v>
      </c>
    </row>
    <row r="365" spans="5:9" x14ac:dyDescent="0.25">
      <c r="E365">
        <f t="shared" si="39"/>
        <v>58</v>
      </c>
      <c r="G365" t="s">
        <v>224</v>
      </c>
      <c r="H365" s="51">
        <v>7</v>
      </c>
      <c r="I365" s="51">
        <v>121</v>
      </c>
    </row>
    <row r="366" spans="5:9" x14ac:dyDescent="0.25">
      <c r="E366">
        <f t="shared" si="39"/>
        <v>58</v>
      </c>
      <c r="G366" t="s">
        <v>225</v>
      </c>
      <c r="H366" s="51">
        <v>13</v>
      </c>
      <c r="I366" s="51">
        <v>121</v>
      </c>
    </row>
    <row r="367" spans="5:9" x14ac:dyDescent="0.25">
      <c r="E367">
        <f t="shared" si="39"/>
        <v>58</v>
      </c>
      <c r="G367" t="s">
        <v>226</v>
      </c>
      <c r="H367" s="51">
        <v>17</v>
      </c>
      <c r="I367" s="51">
        <v>121</v>
      </c>
    </row>
    <row r="368" spans="5:9" x14ac:dyDescent="0.25">
      <c r="E368">
        <f t="shared" si="39"/>
        <v>58</v>
      </c>
      <c r="G368" t="s">
        <v>227</v>
      </c>
      <c r="H368" s="51">
        <v>15</v>
      </c>
      <c r="I368" s="51">
        <v>121</v>
      </c>
    </row>
    <row r="369" spans="5:9" x14ac:dyDescent="0.25">
      <c r="E369">
        <f t="shared" si="39"/>
        <v>58</v>
      </c>
      <c r="G369" t="s">
        <v>228</v>
      </c>
      <c r="H369" s="51">
        <v>3</v>
      </c>
      <c r="I369" s="51">
        <v>121</v>
      </c>
    </row>
    <row r="370" spans="5:9" x14ac:dyDescent="0.25">
      <c r="E370">
        <f t="shared" si="39"/>
        <v>58</v>
      </c>
      <c r="G370" t="s">
        <v>229</v>
      </c>
      <c r="H370" s="51">
        <v>2</v>
      </c>
      <c r="I370" s="51">
        <v>121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121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9</v>
      </c>
      <c r="I372">
        <v>122</v>
      </c>
    </row>
    <row r="373" spans="5:9" x14ac:dyDescent="0.25">
      <c r="E373">
        <f t="shared" ref="E373:E380" si="40">+$F$372</f>
        <v>59</v>
      </c>
      <c r="G373" t="s">
        <v>223</v>
      </c>
      <c r="H373">
        <v>10</v>
      </c>
      <c r="I373">
        <v>122</v>
      </c>
    </row>
    <row r="374" spans="5:9" x14ac:dyDescent="0.25">
      <c r="E374">
        <f t="shared" si="40"/>
        <v>59</v>
      </c>
      <c r="G374" t="s">
        <v>224</v>
      </c>
      <c r="H374">
        <v>7</v>
      </c>
      <c r="I374">
        <v>122</v>
      </c>
    </row>
    <row r="375" spans="5:9" x14ac:dyDescent="0.25">
      <c r="E375">
        <f t="shared" si="40"/>
        <v>59</v>
      </c>
      <c r="G375" t="s">
        <v>225</v>
      </c>
      <c r="H375">
        <v>10</v>
      </c>
      <c r="I375">
        <v>122</v>
      </c>
    </row>
    <row r="376" spans="5:9" x14ac:dyDescent="0.25">
      <c r="E376">
        <f t="shared" si="40"/>
        <v>59</v>
      </c>
      <c r="G376" t="s">
        <v>226</v>
      </c>
      <c r="H376">
        <v>11</v>
      </c>
      <c r="I376">
        <v>122</v>
      </c>
    </row>
    <row r="377" spans="5:9" x14ac:dyDescent="0.25">
      <c r="E377">
        <f t="shared" si="40"/>
        <v>59</v>
      </c>
      <c r="G377" t="s">
        <v>227</v>
      </c>
      <c r="H377">
        <v>10</v>
      </c>
      <c r="I377">
        <v>122</v>
      </c>
    </row>
    <row r="378" spans="5:9" x14ac:dyDescent="0.25">
      <c r="E378">
        <f t="shared" si="40"/>
        <v>59</v>
      </c>
      <c r="G378" t="s">
        <v>228</v>
      </c>
      <c r="H378">
        <v>6</v>
      </c>
      <c r="I378">
        <v>122</v>
      </c>
    </row>
    <row r="379" spans="5:9" x14ac:dyDescent="0.25">
      <c r="E379">
        <f t="shared" si="40"/>
        <v>59</v>
      </c>
      <c r="G379" t="s">
        <v>229</v>
      </c>
      <c r="H379">
        <v>2</v>
      </c>
      <c r="I379">
        <v>122</v>
      </c>
    </row>
    <row r="380" spans="5:9" x14ac:dyDescent="0.25">
      <c r="E380">
        <f t="shared" si="40"/>
        <v>59</v>
      </c>
      <c r="G380" t="s">
        <v>230</v>
      </c>
      <c r="H380">
        <v>2</v>
      </c>
      <c r="I380">
        <v>122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2</v>
      </c>
      <c r="I381">
        <v>114</v>
      </c>
    </row>
    <row r="382" spans="5:9" x14ac:dyDescent="0.25">
      <c r="E382">
        <f t="shared" ref="E382:E389" si="41">+$F$381</f>
        <v>7</v>
      </c>
      <c r="G382" t="s">
        <v>223</v>
      </c>
      <c r="H382">
        <v>1</v>
      </c>
      <c r="I382">
        <v>114</v>
      </c>
    </row>
    <row r="383" spans="5:9" x14ac:dyDescent="0.25">
      <c r="E383">
        <f t="shared" si="41"/>
        <v>7</v>
      </c>
      <c r="G383" t="s">
        <v>224</v>
      </c>
      <c r="H383">
        <v>4</v>
      </c>
      <c r="I383">
        <v>114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114</v>
      </c>
    </row>
    <row r="385" spans="5:9" x14ac:dyDescent="0.25">
      <c r="E385">
        <f t="shared" si="41"/>
        <v>7</v>
      </c>
      <c r="G385" t="s">
        <v>226</v>
      </c>
      <c r="H385">
        <v>3</v>
      </c>
      <c r="I385">
        <v>114</v>
      </c>
    </row>
    <row r="386" spans="5:9" x14ac:dyDescent="0.25">
      <c r="E386">
        <f t="shared" si="41"/>
        <v>7</v>
      </c>
      <c r="G386" t="s">
        <v>227</v>
      </c>
      <c r="H386">
        <v>3</v>
      </c>
      <c r="I386">
        <v>114</v>
      </c>
    </row>
    <row r="387" spans="5:9" x14ac:dyDescent="0.25">
      <c r="E387">
        <f t="shared" si="41"/>
        <v>7</v>
      </c>
      <c r="G387" t="s">
        <v>228</v>
      </c>
      <c r="H387">
        <v>4</v>
      </c>
      <c r="I387">
        <v>114</v>
      </c>
    </row>
    <row r="388" spans="5:9" x14ac:dyDescent="0.25">
      <c r="E388">
        <f t="shared" si="41"/>
        <v>7</v>
      </c>
      <c r="G388" t="s">
        <v>229</v>
      </c>
      <c r="H388">
        <v>1</v>
      </c>
      <c r="I388">
        <v>114</v>
      </c>
    </row>
    <row r="389" spans="5:9" x14ac:dyDescent="0.25">
      <c r="E389">
        <f t="shared" si="41"/>
        <v>7</v>
      </c>
      <c r="G389" t="s">
        <v>230</v>
      </c>
      <c r="H389">
        <v>1</v>
      </c>
      <c r="I389">
        <v>114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40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17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53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19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65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52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15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11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22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31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39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37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27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54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53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13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18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20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COMISIONES</vt:lpstr>
      <vt:lpstr>AVANCE</vt:lpstr>
      <vt:lpstr>COBERTURA</vt:lpstr>
      <vt:lpstr>Venta C</vt:lpstr>
      <vt:lpstr>Base Cobertura</vt:lpstr>
      <vt:lpstr>Base venta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2026-06-12T17:46:26Z</dcterms:modified>
</cp:coreProperties>
</file>