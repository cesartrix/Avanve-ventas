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8B8C8E3F-69C0-4808-A03B-3CE669F7F52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<sst xmlns="http://schemas.openxmlformats.org/spreadsheetml/2006/main" count="1520" uniqueCount="287">
  <si>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</si>
  <si>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</si>
  <si>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</si>
  <si>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</si>
  <si>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</si>
  <si>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</si>
  <si>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</si>
  <si>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</si>
  <si>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</si>
  <si>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</si>
  <si>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</si>
  <si>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</si>
  <si>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</si>
  <si>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</si>
  <si>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</si>
  <si>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</si>
  <si>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</si>
  <si>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</si>
  <si>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</si>
  <si>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</si>
  <si>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</si>
  <si>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</si>
  <si>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</si>
  <si>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</si>
  <si>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</si>
  <si>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</si>
  <si>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</si>
  <si>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</si>
  <si>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</si>
  <si>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</si>
  <si>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</si>
  <si>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</si>
  <si>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</si>
  <si>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</si>
  <si>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</si>
  <si>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</si>
  <si>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</si>
  <si>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</si>
  <si>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</si>
  <si>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</si>
  <si>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</si>
  <si>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</si>
  <si>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</si>
  <si>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</si>
  <si>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</si>
  <si>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</si>
  <si>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</si>
  <si>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</si>
  <si>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</si>
  <si>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</si>
  <si>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</si>
  <si>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</si>
  <si>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</si>
  <si>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</si>
  <si>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</si>
  <si>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</si>
  <si>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</si>
  <si>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</si>
  <si>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</si>
  <si>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</si>
  <si>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</si>
  <si>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</si>
  <si>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</si>
  <si>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</si>
  <si>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</si>
  <si>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</si>
  <si>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</si>
  <si>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</si>
  <si>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</si>
  <si>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</si>
  <si>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</si>
  <si>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</si>
  <si>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</si>
  <si>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</si>
  <si>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</si>
  <si>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</si>
  <si>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</si>
  <si>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</si>
  <si>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</si>
  <si>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</si>
  <si>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</si>
  <si>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</si>
  <si>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</si>
  <si>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</si>
  <si>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</si>
  <si>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</si>
  <si>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</si>
  <si>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</si>
  <si>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</si>
  <si>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</si>
  <si>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</si>
  <si>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</si>
  <si>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</si>
  <si>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</si>
  <si>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</si>
  <si>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</si>
  <si>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</si>
  <si>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</si>
  <si>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</si>
  <si>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</si>
  <si>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</si>
  <si>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</si>
  <si>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</si>
  <si>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</si>
  <si>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</si>
  <si>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</si>
  <si>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</si>
  <si>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</si>
  <si>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</si>
  <si>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</si>
  <si>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</si>
  <si>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</si>
  <si>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</si>
  <si>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</si>
  <si>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</si>
  <si>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</si>
  <si>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</si>
  <si>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</si>
  <si>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</si>
  <si>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</si>
  <si>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</si>
  <si>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</si>
  <si>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</si>
  <si>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</si>
  <si>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</si>
  <si>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</si>
  <si>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</si>
  <si>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</si>
  <si>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</si>
  <si>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</si>
  <si>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</si>
  <si>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</si>
  <si>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</si>
  <si>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</si>
  <si>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</si>
  <si>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</si>
  <si>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</si>
  <si>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</si>
  <si>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</si>
  <si>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</si>
  <si>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</si>
  <si>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</si>
  <si>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</si>
  <si>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</si>
  <si>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</si>
  <si>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</si>
  <si>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</si>
  <si>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</si>
  <si>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</si>
  <si>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</si>
  <si>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</si>
  <si>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</si>
  <si>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</si>
  <si>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</si>
  <si>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</si>
  <si>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</si>
  <si>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</si>
  <si>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</si>
  <si>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</si>
  <si>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</si>
  <si>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</si>
  <si>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</si>
  <si>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</si>
  <si>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</si>
  <si>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</si>
  <si>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</si>
  <si>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</si>
  <si>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</si>
  <si>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</si>
  <si>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</si>
  <si>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</si>
  <si>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</si>
  <si>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</si>
  <si>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</si>
  <si>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</si>
  <si>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</si>
  <si>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</si>
  <si>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</si>
  <si>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</si>
  <si>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</si>
  <si>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</si>
  <si>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</si>
  <si>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</si>
  <si>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</si>
  <si>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</si>
  <si>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</si>
  <si>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</si>
  <si>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</si>
  <si>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</si>
  <si>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</si>
  <si>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</si>
  <si>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</si>
  <si>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</si>
  <si>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</si>
  <si>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</si>
  <si>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</si>
  <si>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</si>
  <si>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</si>
  <si>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</si>
  <si>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</si>
  <si>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</si>
  <si>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</si>
  <si>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</si>
  <si>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</si>
  <si>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</si>
  <si>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</si>
  <si>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</si>
  <si>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</si>
  <si>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</si>
  <si>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</si>
  <si>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</si>
  <si>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</si>
  <si>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</si>
  <si>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</si>
  <si>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</si>
  <si>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</si>
  <si>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</si>
  <si>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</si>
  <si>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</si>
  <si>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</si>
  <si>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</si>
  <si>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</si>
  <si>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</si>
  <si>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</si>
  <si>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</si>
  <si>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</si>
  <si>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</si>
  <si>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</si>
  <si>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</si>
  <si>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</si>
  <si>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</si>
  <si>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</si>
  <si>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</si>
  <si>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</si>
  <si>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</si>
  <si>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</si>
  <si>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</si>
  <si>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</si>
  <si>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</si>
  <si>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</si>
  <si>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</si>
  <si>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</si>
  <si>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</si>
  <si>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</si>
  <si>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</si>
  <si>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</si>
  <si>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</si>
  <si>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</si>
  <si>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</si>
  <si>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</si>
  <si>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</si>
  <si>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</si>
  <si>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</si>
  <si>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</si>
  <si>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</si>
  <si>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</si>
  <si>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</si>
  <si>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</si>
  <si>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</si>
  <si>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</si>
  <si>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</si>
  <si>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</si>
  <si>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</si>
  <si>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</si>
  <si>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</si>
  <si>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</si>
  <si>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</si>
  <si>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</si>
  <si>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</si>
  <si>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</si>
  <si>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</si>
  <si>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</si>
  <si>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</si>
  <si>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</si>
  <si>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</si>
  <si>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</si>
  <si>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</si>
  <si>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</si>
  <si>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</si>
  <si>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RENZO RAMOS</t>
  </si>
  <si>
    <t>SANCHEZ RICARDO</t>
  </si>
  <si>
    <t>MARTINEZ JORGE NICOLAS</t>
  </si>
  <si>
    <t>BRITEZ EMMANUEL</t>
  </si>
  <si>
    <t>COSARINSKI DIEGO</t>
  </si>
  <si>
    <t>IBARROLA JORGE</t>
  </si>
  <si>
    <t>CABRAL GONZALO</t>
  </si>
  <si>
    <t>ROUBINEAU SEBASTIAN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</si>
</sst>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1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10" fontId="0" fillId="36" borderId="39" xfId="2" applyNumberFormat="1" applyFont="1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0" t="s">
        <v>76</v>
      </c>
      <c r="B1" s="150" t="s">
        <v>147</v>
      </c>
      <c r="C1" s="150" t="s">
        <v>148</v>
      </c>
      <c r="D1" s="150" t="s">
        <v>149</v>
      </c>
      <c r="E1" s="150" t="s">
        <v>150</v>
      </c>
      <c r="F1" s="150" t="s">
        <v>151</v>
      </c>
      <c r="G1" s="150" t="s">
        <v>152</v>
      </c>
      <c r="H1" s="150" t="s">
        <v>153</v>
      </c>
    </row>
    <row r="2" spans="1:8" x14ac:dyDescent="0.25">
      <c r="A2" s="149" t="s">
        <v>154</v>
      </c>
      <c r="B2" s="149">
        <v>0</v>
      </c>
      <c r="C2" s="149">
        <v>82986.780248487907</v>
      </c>
      <c r="D2" s="149">
        <v>376843.65367948043</v>
      </c>
      <c r="E2" s="149">
        <v>1388993763.3402033</v>
      </c>
      <c r="F2" s="149">
        <v>0</v>
      </c>
      <c r="G2" s="149">
        <v>658091.30887874123</v>
      </c>
      <c r="H2" s="149">
        <v>658091.78</v>
      </c>
    </row>
    <row r="3" spans="1:8" x14ac:dyDescent="0.25">
      <c r="A3" s="149" t="s">
        <v>81</v>
      </c>
      <c r="B3" s="149">
        <v>1</v>
      </c>
      <c r="C3" s="149">
        <v>888.33785289879995</v>
      </c>
      <c r="D3" s="149">
        <v>1802.4529703860001</v>
      </c>
      <c r="E3" s="149">
        <v>21936376.962624658</v>
      </c>
      <c r="F3" s="149">
        <v>0</v>
      </c>
      <c r="G3" s="149">
        <v>658091.30887874123</v>
      </c>
      <c r="H3" s="149">
        <v>658091.78</v>
      </c>
    </row>
    <row r="4" spans="1:8" x14ac:dyDescent="0.25">
      <c r="A4" s="149" t="s">
        <v>82</v>
      </c>
      <c r="B4" s="149">
        <v>1</v>
      </c>
      <c r="C4" s="149">
        <v>682.1504107106</v>
      </c>
      <c r="D4" s="149">
        <v>1322.3914821438</v>
      </c>
      <c r="E4" s="149">
        <v>17992639.174896277</v>
      </c>
      <c r="F4" s="149">
        <v>0</v>
      </c>
      <c r="G4" s="149">
        <v>0</v>
      </c>
      <c r="H4" s="149">
        <v>0</v>
      </c>
    </row>
    <row r="5" spans="1:8" x14ac:dyDescent="0.25">
      <c r="A5" s="149" t="s">
        <v>83</v>
      </c>
      <c r="B5" s="149">
        <v>1</v>
      </c>
      <c r="C5" s="149">
        <v>886.36962301309995</v>
      </c>
      <c r="D5" s="149">
        <v>3243.1304523733002</v>
      </c>
      <c r="E5" s="149">
        <v>17744324.789419636</v>
      </c>
      <c r="F5" s="149">
        <v>0</v>
      </c>
      <c r="G5" s="149">
        <v>0</v>
      </c>
      <c r="H5" s="149">
        <v>0</v>
      </c>
    </row>
    <row r="6" spans="1:8" x14ac:dyDescent="0.25">
      <c r="A6" s="149" t="s">
        <v>84</v>
      </c>
      <c r="B6" s="149">
        <v>1</v>
      </c>
      <c r="C6" s="149">
        <v>1607.2618849200001</v>
      </c>
      <c r="D6" s="149">
        <v>4114.3219047927996</v>
      </c>
      <c r="E6" s="149">
        <v>30862015.410904195</v>
      </c>
      <c r="F6" s="149">
        <v>0</v>
      </c>
      <c r="G6" s="149">
        <v>0</v>
      </c>
      <c r="H6" s="149">
        <v>0</v>
      </c>
    </row>
    <row r="7" spans="1:8" x14ac:dyDescent="0.25">
      <c r="A7" s="149" t="s">
        <v>85</v>
      </c>
      <c r="B7" s="149">
        <v>1</v>
      </c>
      <c r="C7" s="149">
        <v>1595.1297103152999</v>
      </c>
      <c r="D7" s="149">
        <v>6133.7741904866998</v>
      </c>
      <c r="E7" s="149">
        <v>31484562.573658042</v>
      </c>
      <c r="F7" s="149">
        <v>0</v>
      </c>
      <c r="G7" s="149">
        <v>0</v>
      </c>
      <c r="H7" s="149">
        <v>0</v>
      </c>
    </row>
    <row r="8" spans="1:8" x14ac:dyDescent="0.25">
      <c r="A8" s="149" t="s">
        <v>111</v>
      </c>
      <c r="B8" s="149">
        <v>1</v>
      </c>
      <c r="C8" s="149">
        <v>2885.4697407408999</v>
      </c>
      <c r="D8" s="149">
        <v>5181.3464768557997</v>
      </c>
      <c r="E8" s="149">
        <v>40168339.712393798</v>
      </c>
      <c r="F8" s="149">
        <v>0</v>
      </c>
      <c r="G8" s="149">
        <v>0</v>
      </c>
      <c r="H8" s="149">
        <v>0</v>
      </c>
    </row>
    <row r="9" spans="1:8" x14ac:dyDescent="0.25">
      <c r="A9" s="149" t="s">
        <v>86</v>
      </c>
      <c r="B9" s="149">
        <v>1</v>
      </c>
      <c r="C9" s="149">
        <v>1045.8595595239999</v>
      </c>
      <c r="D9" s="149">
        <v>4168.6614821628</v>
      </c>
      <c r="E9" s="149">
        <v>18555976.482038796</v>
      </c>
      <c r="F9" s="149">
        <v>0</v>
      </c>
      <c r="G9" s="149">
        <v>0</v>
      </c>
      <c r="H9" s="149">
        <v>0</v>
      </c>
    </row>
    <row r="10" spans="1:8" x14ac:dyDescent="0.25">
      <c r="A10" s="149" t="s">
        <v>87</v>
      </c>
      <c r="B10" s="149">
        <v>1</v>
      </c>
      <c r="C10" s="149">
        <v>706.36880357029997</v>
      </c>
      <c r="D10" s="149">
        <v>2056.6149574676001</v>
      </c>
      <c r="E10" s="149">
        <v>17074511.58596608</v>
      </c>
      <c r="F10" s="149">
        <v>0</v>
      </c>
      <c r="G10" s="149">
        <v>0</v>
      </c>
      <c r="H10" s="149">
        <v>0</v>
      </c>
    </row>
    <row r="11" spans="1:8" x14ac:dyDescent="0.25">
      <c r="A11" s="149" t="s">
        <v>213</v>
      </c>
      <c r="B11" s="149">
        <v>1</v>
      </c>
      <c r="C11" s="149">
        <v>828.36091269619999</v>
      </c>
      <c r="D11" s="149">
        <v>1938.8235238072</v>
      </c>
      <c r="E11" s="149">
        <v>13731973.543757282</v>
      </c>
      <c r="F11" s="149">
        <v>0</v>
      </c>
      <c r="G11" s="149">
        <v>0</v>
      </c>
      <c r="H11" s="149">
        <v>0</v>
      </c>
    </row>
    <row r="12" spans="1:8" x14ac:dyDescent="0.25">
      <c r="A12" s="149" t="s">
        <v>212</v>
      </c>
      <c r="B12" s="149">
        <v>1</v>
      </c>
      <c r="C12" s="149">
        <v>1250.9283174566999</v>
      </c>
      <c r="D12" s="149">
        <v>5830.3243690393001</v>
      </c>
      <c r="E12" s="149">
        <v>20886472.894277841</v>
      </c>
      <c r="F12" s="149">
        <v>0</v>
      </c>
      <c r="G12" s="149">
        <v>0</v>
      </c>
      <c r="H12" s="149">
        <v>0</v>
      </c>
    </row>
    <row r="13" spans="1:8" x14ac:dyDescent="0.25">
      <c r="A13" s="149" t="s">
        <v>90</v>
      </c>
      <c r="B13" s="149">
        <v>1</v>
      </c>
      <c r="C13" s="149">
        <v>1893.3811349174</v>
      </c>
      <c r="D13" s="149">
        <v>4772.6485238120003</v>
      </c>
      <c r="E13" s="149">
        <v>30143246.92972973</v>
      </c>
      <c r="F13" s="149">
        <v>0</v>
      </c>
      <c r="G13" s="149">
        <v>0</v>
      </c>
      <c r="H13" s="149">
        <v>0</v>
      </c>
    </row>
    <row r="14" spans="1:8" x14ac:dyDescent="0.25">
      <c r="A14" s="149" t="s">
        <v>91</v>
      </c>
      <c r="B14" s="149">
        <v>1</v>
      </c>
      <c r="C14" s="149">
        <v>5257.4446428581996</v>
      </c>
      <c r="D14" s="149">
        <v>41599.180416668198</v>
      </c>
      <c r="E14" s="149">
        <v>85098624.953750134</v>
      </c>
      <c r="F14" s="149">
        <v>0</v>
      </c>
      <c r="G14" s="149">
        <v>0</v>
      </c>
      <c r="H14" s="149">
        <v>0</v>
      </c>
    </row>
    <row r="15" spans="1:8" x14ac:dyDescent="0.25">
      <c r="A15" s="149" t="s">
        <v>92</v>
      </c>
      <c r="B15" s="149">
        <v>1</v>
      </c>
      <c r="C15" s="149">
        <v>1382.7948412681001</v>
      </c>
      <c r="D15" s="149">
        <v>4860.6803333261996</v>
      </c>
      <c r="E15" s="149">
        <v>24281428.240391422</v>
      </c>
      <c r="F15" s="149">
        <v>0</v>
      </c>
      <c r="G15" s="149">
        <v>0</v>
      </c>
      <c r="H15" s="149">
        <v>0</v>
      </c>
    </row>
    <row r="16" spans="1:8" x14ac:dyDescent="0.25">
      <c r="A16" s="149" t="s">
        <v>93</v>
      </c>
      <c r="B16" s="149">
        <v>1</v>
      </c>
      <c r="C16" s="149">
        <v>720.37662698149995</v>
      </c>
      <c r="D16" s="149">
        <v>3392.6430282935999</v>
      </c>
      <c r="E16" s="149">
        <v>18176113.741843328</v>
      </c>
      <c r="F16" s="149">
        <v>0</v>
      </c>
      <c r="G16" s="149">
        <v>0</v>
      </c>
      <c r="H16" s="149">
        <v>0</v>
      </c>
    </row>
    <row r="17" spans="1:8" x14ac:dyDescent="0.25">
      <c r="A17" s="149" t="s">
        <v>94</v>
      </c>
      <c r="B17" s="149">
        <v>1</v>
      </c>
      <c r="C17" s="149">
        <v>1692.0518492029</v>
      </c>
      <c r="D17" s="149">
        <v>6202.1945297672</v>
      </c>
      <c r="E17" s="149">
        <v>33070724.134102892</v>
      </c>
      <c r="F17" s="149">
        <v>0</v>
      </c>
      <c r="G17" s="149">
        <v>0</v>
      </c>
      <c r="H17" s="149">
        <v>0</v>
      </c>
    </row>
    <row r="18" spans="1:8" x14ac:dyDescent="0.25">
      <c r="A18" s="149" t="s">
        <v>95</v>
      </c>
      <c r="B18" s="149">
        <v>1</v>
      </c>
      <c r="C18" s="149">
        <v>2429.0906428530998</v>
      </c>
      <c r="D18" s="149">
        <v>9379.4769523734994</v>
      </c>
      <c r="E18" s="149">
        <v>40780025.312303543</v>
      </c>
      <c r="F18" s="149">
        <v>0</v>
      </c>
      <c r="G18" s="149">
        <v>0</v>
      </c>
      <c r="H18" s="149">
        <v>0</v>
      </c>
    </row>
    <row r="19" spans="1:8" x14ac:dyDescent="0.25">
      <c r="A19" s="149" t="s">
        <v>96</v>
      </c>
      <c r="B19" s="149">
        <v>1</v>
      </c>
      <c r="C19" s="149">
        <v>1983.8431534337001</v>
      </c>
      <c r="D19" s="149">
        <v>6556.7061250176002</v>
      </c>
      <c r="E19" s="149">
        <v>37620435.662175797</v>
      </c>
      <c r="F19" s="149">
        <v>0</v>
      </c>
      <c r="G19" s="149">
        <v>0</v>
      </c>
      <c r="H19" s="149">
        <v>0</v>
      </c>
    </row>
    <row r="20" spans="1:8" x14ac:dyDescent="0.25">
      <c r="A20" s="149" t="s">
        <v>97</v>
      </c>
      <c r="B20" s="149">
        <v>1</v>
      </c>
      <c r="C20" s="149">
        <v>5347.3942023807003</v>
      </c>
      <c r="D20" s="149">
        <v>26087.199779752798</v>
      </c>
      <c r="E20" s="149">
        <v>84121605.891938433</v>
      </c>
      <c r="F20" s="149">
        <v>0</v>
      </c>
      <c r="G20" s="149">
        <v>0</v>
      </c>
      <c r="H20" s="149">
        <v>0</v>
      </c>
    </row>
    <row r="21" spans="1:8" x14ac:dyDescent="0.25">
      <c r="A21" s="149" t="s">
        <v>98</v>
      </c>
      <c r="B21" s="149">
        <v>1</v>
      </c>
      <c r="C21" s="149">
        <v>906.33511904349996</v>
      </c>
      <c r="D21" s="149">
        <v>3664.7108214516002</v>
      </c>
      <c r="E21" s="149">
        <v>20480766.871362634</v>
      </c>
      <c r="F21" s="149">
        <v>0</v>
      </c>
      <c r="G21" s="149">
        <v>0</v>
      </c>
      <c r="H21" s="149">
        <v>0</v>
      </c>
    </row>
    <row r="22" spans="1:8" x14ac:dyDescent="0.25">
      <c r="A22" s="149" t="s">
        <v>207</v>
      </c>
      <c r="B22" s="149">
        <v>1</v>
      </c>
      <c r="C22" s="149">
        <v>802.99657936389997</v>
      </c>
      <c r="D22" s="149">
        <v>2217.6693809527001</v>
      </c>
      <c r="E22" s="149">
        <v>11681654.665937681</v>
      </c>
      <c r="F22" s="149">
        <v>0</v>
      </c>
      <c r="G22" s="149">
        <v>0</v>
      </c>
      <c r="H22" s="149">
        <v>0</v>
      </c>
    </row>
    <row r="23" spans="1:8" x14ac:dyDescent="0.25">
      <c r="A23" s="149" t="s">
        <v>155</v>
      </c>
      <c r="B23" s="149">
        <v>1</v>
      </c>
      <c r="C23" s="149">
        <v>3145.4129920607002</v>
      </c>
      <c r="D23" s="149">
        <v>20165.276738087599</v>
      </c>
      <c r="E23" s="149">
        <v>61917244.297122724</v>
      </c>
      <c r="F23" s="149">
        <v>0</v>
      </c>
      <c r="G23" s="149">
        <v>0</v>
      </c>
      <c r="H23" s="149">
        <v>0</v>
      </c>
    </row>
    <row r="24" spans="1:8" x14ac:dyDescent="0.25">
      <c r="A24" s="149" t="s">
        <v>220</v>
      </c>
      <c r="B24" s="149">
        <v>1</v>
      </c>
      <c r="C24" s="149">
        <v>4167.0604166664998</v>
      </c>
      <c r="D24" s="149">
        <v>31679.110827379998</v>
      </c>
      <c r="E24" s="149">
        <v>71395677.265248328</v>
      </c>
      <c r="F24" s="149">
        <v>0</v>
      </c>
      <c r="G24" s="149">
        <v>0</v>
      </c>
      <c r="H24" s="149">
        <v>0</v>
      </c>
    </row>
    <row r="25" spans="1:8" x14ac:dyDescent="0.25">
      <c r="A25" s="149" t="s">
        <v>99</v>
      </c>
      <c r="B25" s="149">
        <v>1</v>
      </c>
      <c r="C25" s="149">
        <v>1171.8647301545</v>
      </c>
      <c r="D25" s="149">
        <v>4901.1308333487996</v>
      </c>
      <c r="E25" s="149">
        <v>21577165.004610274</v>
      </c>
      <c r="F25" s="149">
        <v>0</v>
      </c>
      <c r="G25" s="149">
        <v>0</v>
      </c>
      <c r="H25" s="149">
        <v>0</v>
      </c>
    </row>
    <row r="26" spans="1:8" x14ac:dyDescent="0.25">
      <c r="A26" s="149" t="s">
        <v>100</v>
      </c>
      <c r="B26" s="149">
        <v>1</v>
      </c>
      <c r="C26" s="149">
        <v>1423.3322063467999</v>
      </c>
      <c r="D26" s="149">
        <v>2235.0314404796</v>
      </c>
      <c r="E26" s="149">
        <v>17506741.378829028</v>
      </c>
      <c r="F26" s="149">
        <v>0</v>
      </c>
      <c r="G26" s="149">
        <v>0</v>
      </c>
      <c r="H26" s="149">
        <v>0</v>
      </c>
    </row>
    <row r="27" spans="1:8" x14ac:dyDescent="0.25">
      <c r="A27" s="149" t="s">
        <v>221</v>
      </c>
      <c r="B27" s="149">
        <v>1</v>
      </c>
      <c r="C27" s="149">
        <v>9075.4190476190997</v>
      </c>
      <c r="D27" s="149">
        <v>19079.449999999801</v>
      </c>
      <c r="E27" s="149">
        <v>92737394.572166532</v>
      </c>
      <c r="F27" s="149">
        <v>0</v>
      </c>
      <c r="G27" s="149">
        <v>0</v>
      </c>
      <c r="H27" s="149">
        <v>0</v>
      </c>
    </row>
    <row r="28" spans="1:8" x14ac:dyDescent="0.25">
      <c r="A28" s="149" t="s">
        <v>233</v>
      </c>
      <c r="B28" s="149">
        <v>1</v>
      </c>
      <c r="C28" s="149">
        <v>1341.4775165302001</v>
      </c>
      <c r="D28" s="149">
        <v>4967.8946354331001</v>
      </c>
      <c r="E28" s="149">
        <v>24822206.215904217</v>
      </c>
      <c r="F28" s="149">
        <v>0</v>
      </c>
      <c r="G28" s="149">
        <v>0</v>
      </c>
      <c r="H28" s="149">
        <v>0</v>
      </c>
    </row>
    <row r="29" spans="1:8" x14ac:dyDescent="0.25">
      <c r="A29" s="149" t="s">
        <v>214</v>
      </c>
      <c r="B29" s="149">
        <v>1</v>
      </c>
      <c r="C29" s="149">
        <v>4588.8827777776996</v>
      </c>
      <c r="D29" s="149">
        <v>12822.9568452436</v>
      </c>
      <c r="E29" s="149">
        <v>60311428.755171485</v>
      </c>
      <c r="F29" s="149">
        <v>0</v>
      </c>
      <c r="G29" s="149">
        <v>0</v>
      </c>
      <c r="H29" s="149">
        <v>0</v>
      </c>
    </row>
    <row r="30" spans="1:8" x14ac:dyDescent="0.25">
      <c r="A30" s="149" t="s">
        <v>139</v>
      </c>
      <c r="B30" s="149">
        <v>1</v>
      </c>
      <c r="C30" s="149">
        <v>576.26037698360005</v>
      </c>
      <c r="D30" s="149">
        <v>2398.4479166717001</v>
      </c>
      <c r="E30" s="149">
        <v>11250282.72207953</v>
      </c>
      <c r="F30" s="149">
        <v>0</v>
      </c>
      <c r="G30" s="149">
        <v>0</v>
      </c>
      <c r="H30" s="149">
        <v>0</v>
      </c>
    </row>
    <row r="31" spans="1:8" x14ac:dyDescent="0.25">
      <c r="A31" s="149" t="s">
        <v>216</v>
      </c>
      <c r="B31" s="149">
        <v>1</v>
      </c>
      <c r="C31" s="149">
        <v>654.99774999670001</v>
      </c>
      <c r="D31" s="149">
        <v>1849.7249999967</v>
      </c>
      <c r="E31" s="149">
        <v>11172011.307092821</v>
      </c>
      <c r="F31" s="149">
        <v>0</v>
      </c>
      <c r="G31" s="149">
        <v>0</v>
      </c>
      <c r="H31" s="149">
        <v>0</v>
      </c>
    </row>
    <row r="32" spans="1:8" x14ac:dyDescent="0.25">
      <c r="A32" s="149" t="s">
        <v>104</v>
      </c>
      <c r="B32" s="149">
        <v>1</v>
      </c>
      <c r="C32" s="149">
        <v>369.65902777740001</v>
      </c>
      <c r="D32" s="149">
        <v>992.09624999749997</v>
      </c>
      <c r="E32" s="149">
        <v>6346329.1110065132</v>
      </c>
      <c r="F32" s="149">
        <v>0</v>
      </c>
      <c r="G32" s="149">
        <v>0</v>
      </c>
      <c r="H32" s="149">
        <v>0</v>
      </c>
    </row>
    <row r="33" spans="1:8" x14ac:dyDescent="0.25">
      <c r="A33" s="149" t="s">
        <v>215</v>
      </c>
      <c r="B33" s="149">
        <v>1</v>
      </c>
      <c r="C33" s="149">
        <v>966.32624999860002</v>
      </c>
      <c r="D33" s="149">
        <v>3585.7190119183001</v>
      </c>
      <c r="E33" s="149">
        <v>16695904.189139783</v>
      </c>
      <c r="F33" s="149">
        <v>0</v>
      </c>
      <c r="G33" s="149">
        <v>0</v>
      </c>
      <c r="H33" s="149">
        <v>0</v>
      </c>
    </row>
    <row r="34" spans="1:8" x14ac:dyDescent="0.25">
      <c r="A34" s="149" t="s">
        <v>231</v>
      </c>
      <c r="B34" s="149">
        <v>1</v>
      </c>
      <c r="C34" s="149">
        <v>111.6588760504</v>
      </c>
      <c r="D34" s="149">
        <v>1406.4741666653999</v>
      </c>
      <c r="E34" s="149">
        <v>3232111.9214435378</v>
      </c>
      <c r="F34" s="149">
        <v>0</v>
      </c>
      <c r="G34" s="149">
        <v>0</v>
      </c>
      <c r="H34" s="149">
        <v>0</v>
      </c>
    </row>
    <row r="35" spans="1:8" x14ac:dyDescent="0.25">
      <c r="A35" s="149" t="s">
        <v>206</v>
      </c>
      <c r="B35" s="149">
        <v>1</v>
      </c>
      <c r="C35" s="149">
        <v>1689.1194444444</v>
      </c>
      <c r="D35" s="149">
        <v>10581.395333333199</v>
      </c>
      <c r="E35" s="149">
        <v>21379822.506904159</v>
      </c>
      <c r="F35" s="149">
        <v>0</v>
      </c>
      <c r="G35" s="149">
        <v>0</v>
      </c>
      <c r="H35" s="149">
        <v>0</v>
      </c>
    </row>
    <row r="36" spans="1:8" x14ac:dyDescent="0.25">
      <c r="A36" s="149" t="s">
        <v>162</v>
      </c>
      <c r="B36" s="149">
        <v>1</v>
      </c>
      <c r="C36" s="149">
        <v>1155.2690436487001</v>
      </c>
      <c r="D36" s="149">
        <v>4011.6729762223999</v>
      </c>
      <c r="E36" s="149">
        <v>21887079.961145665</v>
      </c>
      <c r="F36" s="149">
        <v>0</v>
      </c>
      <c r="G36" s="149">
        <v>0</v>
      </c>
      <c r="H36" s="149">
        <v>0</v>
      </c>
    </row>
    <row r="37" spans="1:8" x14ac:dyDescent="0.25">
      <c r="A37" s="149" t="s">
        <v>107</v>
      </c>
      <c r="B37" s="149">
        <v>1</v>
      </c>
      <c r="C37" s="149">
        <v>1860.8072817458999</v>
      </c>
      <c r="D37" s="149">
        <v>7608.3120714283004</v>
      </c>
      <c r="E37" s="149">
        <v>29444806.499426268</v>
      </c>
      <c r="F37" s="149">
        <v>0</v>
      </c>
      <c r="G37" s="149">
        <v>0</v>
      </c>
      <c r="H37" s="149">
        <v>0</v>
      </c>
    </row>
    <row r="38" spans="1:8" x14ac:dyDescent="0.25">
      <c r="A38" s="149" t="s">
        <v>112</v>
      </c>
      <c r="B38" s="149">
        <v>1</v>
      </c>
      <c r="C38" s="149">
        <v>1391.2005050502</v>
      </c>
      <c r="D38" s="149">
        <v>16371.8999999968</v>
      </c>
      <c r="E38" s="149">
        <v>32541398.519335572</v>
      </c>
      <c r="F38" s="149">
        <v>0</v>
      </c>
      <c r="G38" s="149">
        <v>0</v>
      </c>
      <c r="H38" s="149">
        <v>0</v>
      </c>
    </row>
    <row r="39" spans="1:8" x14ac:dyDescent="0.25">
      <c r="A39" s="149" t="s">
        <v>108</v>
      </c>
      <c r="B39" s="149">
        <v>1</v>
      </c>
      <c r="C39" s="149">
        <v>1739.9444444441999</v>
      </c>
      <c r="D39" s="149">
        <v>21010.089999995798</v>
      </c>
      <c r="E39" s="149">
        <v>39235044.125286259</v>
      </c>
      <c r="F39" s="149">
        <v>0</v>
      </c>
      <c r="G39" s="149">
        <v>0</v>
      </c>
      <c r="H39" s="149">
        <v>0</v>
      </c>
    </row>
    <row r="40" spans="1:8" x14ac:dyDescent="0.25">
      <c r="A40" s="149" t="s">
        <v>234</v>
      </c>
      <c r="B40" s="149">
        <v>1</v>
      </c>
      <c r="C40" s="149">
        <v>2033.6227843909001</v>
      </c>
      <c r="D40" s="149">
        <v>11282.9112487249</v>
      </c>
      <c r="E40" s="149">
        <v>29857762.19078305</v>
      </c>
      <c r="F40" s="149">
        <v>0</v>
      </c>
      <c r="G40" s="149">
        <v>0</v>
      </c>
      <c r="H40" s="149">
        <v>0</v>
      </c>
    </row>
    <row r="41" spans="1:8" x14ac:dyDescent="0.25">
      <c r="A41" s="149" t="s">
        <v>140</v>
      </c>
      <c r="B41" s="149">
        <v>1</v>
      </c>
      <c r="C41" s="149">
        <v>4281.6229365080999</v>
      </c>
      <c r="D41" s="149">
        <v>20632.977952383299</v>
      </c>
      <c r="E41" s="149">
        <v>48558364.440969415</v>
      </c>
      <c r="F41" s="149">
        <v>0</v>
      </c>
      <c r="G41" s="149">
        <v>0</v>
      </c>
      <c r="H41" s="149">
        <v>0</v>
      </c>
    </row>
    <row r="42" spans="1:8" x14ac:dyDescent="0.25">
      <c r="A42" s="149" t="s">
        <v>217</v>
      </c>
      <c r="B42" s="149">
        <v>1</v>
      </c>
      <c r="C42" s="149">
        <v>475.35277777789997</v>
      </c>
      <c r="D42" s="149">
        <v>5665.7350000017004</v>
      </c>
      <c r="E42" s="149">
        <v>10008558.73525851</v>
      </c>
      <c r="F42" s="149">
        <v>0</v>
      </c>
      <c r="G42" s="149">
        <v>0</v>
      </c>
      <c r="H42" s="149">
        <v>0</v>
      </c>
    </row>
    <row r="43" spans="1:8" x14ac:dyDescent="0.25">
      <c r="A43" s="149" t="s">
        <v>145</v>
      </c>
      <c r="B43" s="149">
        <v>1</v>
      </c>
      <c r="C43" s="149">
        <v>898.27981150719995</v>
      </c>
      <c r="D43" s="149">
        <v>6775.8078419561998</v>
      </c>
      <c r="E43" s="149">
        <v>26223021.650199708</v>
      </c>
      <c r="F43" s="149">
        <v>0</v>
      </c>
      <c r="G43" s="149">
        <v>0</v>
      </c>
      <c r="H43" s="149">
        <v>0</v>
      </c>
    </row>
    <row r="44" spans="1:8" x14ac:dyDescent="0.25">
      <c r="A44" s="149" t="s">
        <v>146</v>
      </c>
      <c r="B44" s="149">
        <v>1</v>
      </c>
      <c r="C44" s="149">
        <v>1410.0798611115999</v>
      </c>
      <c r="D44" s="149">
        <v>13747.847773805201</v>
      </c>
      <c r="E44" s="149">
        <v>21190073.138939679</v>
      </c>
      <c r="F44" s="149">
        <v>0</v>
      </c>
      <c r="G44" s="149">
        <v>0</v>
      </c>
      <c r="H44" s="149">
        <v>0</v>
      </c>
    </row>
    <row r="45" spans="1:8" x14ac:dyDescent="0.25">
      <c r="A45" s="149" t="s">
        <v>156</v>
      </c>
      <c r="B45" s="149">
        <v>1</v>
      </c>
      <c r="C45" s="149">
        <v>698.14922619209995</v>
      </c>
      <c r="D45" s="149">
        <v>6814.9181154793996</v>
      </c>
      <c r="E45" s="149">
        <v>15489500.179042285</v>
      </c>
      <c r="F45" s="149">
        <v>0</v>
      </c>
      <c r="G45" s="149">
        <v>0</v>
      </c>
      <c r="H45" s="149">
        <v>0</v>
      </c>
    </row>
    <row r="46" spans="1:8" x14ac:dyDescent="0.25">
      <c r="A46" s="149" t="s">
        <v>232</v>
      </c>
      <c r="B46" s="149">
        <v>1</v>
      </c>
      <c r="C46" s="149">
        <v>2969.0345555556</v>
      </c>
      <c r="D46" s="149">
        <v>1731.8200000003999</v>
      </c>
      <c r="E46" s="149">
        <v>78322015.119625643</v>
      </c>
      <c r="F46" s="149">
        <v>0</v>
      </c>
      <c r="G46" s="149">
        <v>0</v>
      </c>
      <c r="H46" s="14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0" t="s">
        <v>209</v>
      </c>
      <c r="B2" s="57" t="s">
        <v>95</v>
      </c>
      <c r="C2" s="58">
        <v>32279076.638250753</v>
      </c>
      <c r="D2" s="59">
        <f>IFERROR(+VLOOKUP(B2,COMISIONES!A:E,5,FALSE),"0")*1</f>
        <v>40780025.312303543</v>
      </c>
      <c r="E2" s="59">
        <v>39442457.412246145</v>
      </c>
      <c r="F2" s="59">
        <f t="shared" ref="F2:F9" si="0">+D2-E2</f>
        <v>1337567.9000573978</v>
      </c>
      <c r="G2" s="60">
        <f t="shared" ref="G2:G41" si="1">+D2/C2</f>
        <v>1.26335786396006</v>
      </c>
      <c r="H2" s="59">
        <f>+D2/$N$3*$N$4</f>
        <v>51511610.920804471</v>
      </c>
      <c r="I2" s="60">
        <f t="shared" ref="I2:I41" si="2">+H2/C2</f>
        <v>1.5958204597390229</v>
      </c>
      <c r="J2" s="59">
        <f>+D2/$N$3</f>
        <v>2146317.1217001863</v>
      </c>
      <c r="K2" s="59">
        <f t="shared" ref="K2:K41" si="3">+(C2-D2)/$N$2</f>
        <v>-1700189.7348105579</v>
      </c>
      <c r="L2" s="61" cm="1">
        <f t="array" ref="L2">+_xlfn.IFS(I2&gt;114%,H2*0.02,I2&gt;109%,H2*0.015,I2&gt;104%,H2*0.0125,I2&gt;99%,H2*0.01,I2&lt;99%,H2*0)</f>
        <v>1030232.2184160894</v>
      </c>
      <c r="M2" s="53" t="s">
        <v>36</v>
      </c>
      <c r="N2">
        <v>5</v>
      </c>
    </row>
    <row r="3" spans="1:14" ht="16.5" thickBot="1" x14ac:dyDescent="0.3">
      <c r="A3" s="141"/>
      <c r="B3" s="36" t="s">
        <v>94</v>
      </c>
      <c r="C3" s="62">
        <v>30982728.178883255</v>
      </c>
      <c r="D3" s="4">
        <f>IFERROR(+VLOOKUP(B3,COMISIONES!A:E,5,FALSE),"0")*1</f>
        <v>33070724.134102892</v>
      </c>
      <c r="E3" s="4">
        <v>30853610.205797408</v>
      </c>
      <c r="F3" s="4">
        <f t="shared" si="0"/>
        <v>2217113.9283054844</v>
      </c>
      <c r="G3" s="5">
        <f t="shared" si="1"/>
        <v>1.0673922562004319</v>
      </c>
      <c r="H3" s="4">
        <f t="shared" ref="H3:H41" si="4">+D3/$N$3*$N$4</f>
        <v>41773546.274656281</v>
      </c>
      <c r="I3" s="5">
        <f t="shared" si="2"/>
        <v>1.3482849552005454</v>
      </c>
      <c r="J3" s="4">
        <f t="shared" ref="J3:J41" si="5">+D3/$N$3</f>
        <v>1740564.4281106784</v>
      </c>
      <c r="K3" s="4">
        <f t="shared" si="3"/>
        <v>-417599.19104392751</v>
      </c>
      <c r="L3" s="63" cm="1">
        <f t="array" ref="L3">+_xlfn.IFS(I3&gt;114%,H3*0.02,I3&gt;109%,H3*0.015,I3&gt;104%,H3*0.0125,I3&gt;99%,H3*0.01,I3&lt;99%,H3*0)</f>
        <v>835470.92549312569</v>
      </c>
      <c r="M3" s="53" t="s">
        <v>40</v>
      </c>
      <c r="N3">
        <f>N4-N2</f>
        <v>19</v>
      </c>
    </row>
    <row r="4" spans="1:14" ht="16.5" thickBot="1" x14ac:dyDescent="0.3">
      <c r="A4" s="141"/>
      <c r="B4" s="36" t="s">
        <v>92</v>
      </c>
      <c r="C4" s="62">
        <v>28390031.260148253</v>
      </c>
      <c r="D4" s="4">
        <f>IFERROR(+VLOOKUP(B4,COMISIONES!A:E,5,FALSE),"0")*1</f>
        <v>24281428.240391422</v>
      </c>
      <c r="E4" s="4">
        <v>23147368.813229561</v>
      </c>
      <c r="F4" s="4">
        <f t="shared" si="0"/>
        <v>1134059.4271618612</v>
      </c>
      <c r="G4" s="5">
        <f t="shared" si="1"/>
        <v>0.85528008116270826</v>
      </c>
      <c r="H4" s="4">
        <f t="shared" si="4"/>
        <v>30671277.77733653</v>
      </c>
      <c r="I4" s="5">
        <f t="shared" si="2"/>
        <v>1.0803537867318418</v>
      </c>
      <c r="J4" s="4">
        <f t="shared" si="5"/>
        <v>1277969.9073890222</v>
      </c>
      <c r="K4" s="4">
        <f t="shared" si="3"/>
        <v>821720.60395136627</v>
      </c>
      <c r="L4" s="63" cm="1">
        <f t="array" ref="L4">+_xlfn.IFS(I4&gt;114%,H4*0.02,I4&gt;109%,H4*0.015,I4&gt;104%,H4*0.0125,I4&gt;99%,H4*0.01,I4&lt;99%,H4*0)</f>
        <v>383390.97221670666</v>
      </c>
      <c r="M4" s="53" t="s">
        <v>47</v>
      </c>
      <c r="N4">
        <v>24</v>
      </c>
    </row>
    <row r="5" spans="1:14" ht="15.75" x14ac:dyDescent="0.25">
      <c r="A5" s="141"/>
      <c r="B5" s="36" t="s">
        <v>90</v>
      </c>
      <c r="C5" s="62">
        <v>28390031.260148253</v>
      </c>
      <c r="D5" s="4">
        <f>IFERROR(+VLOOKUP(B5,COMISIONES!A:E,5,FALSE),"0")*1</f>
        <v>30143246.92972973</v>
      </c>
      <c r="E5" s="4">
        <v>27781934.747848343</v>
      </c>
      <c r="F5" s="4">
        <f t="shared" si="0"/>
        <v>2361312.1818813868</v>
      </c>
      <c r="G5" s="5">
        <f t="shared" si="1"/>
        <v>1.0617546227235934</v>
      </c>
      <c r="H5" s="4">
        <f t="shared" si="4"/>
        <v>38075680.332290187</v>
      </c>
      <c r="I5" s="5">
        <f t="shared" si="2"/>
        <v>1.3411637339666442</v>
      </c>
      <c r="J5" s="4">
        <f t="shared" si="5"/>
        <v>1586486.6805120911</v>
      </c>
      <c r="K5" s="4">
        <f t="shared" si="3"/>
        <v>-350643.13391629531</v>
      </c>
      <c r="L5" s="63" cm="1">
        <f t="array" ref="L5">+_xlfn.IFS(I5&gt;114%,H5*0.02,I5&gt;109%,H5*0.015,I5&gt;104%,H5*0.0125,I5&gt;99%,H5*0.01,I5&lt;99%,H5*0)</f>
        <v>761513.60664580378</v>
      </c>
    </row>
    <row r="6" spans="1:14" ht="15.75" x14ac:dyDescent="0.25">
      <c r="A6" s="141"/>
      <c r="B6" s="36" t="s">
        <v>212</v>
      </c>
      <c r="C6" s="62">
        <v>23528724.537520126</v>
      </c>
      <c r="D6" s="4">
        <f>IFERROR(+VLOOKUP(B6,COMISIONES!A:E,5,FALSE),"0")*1</f>
        <v>20886472.894277841</v>
      </c>
      <c r="E6" s="4">
        <v>19549881.458716974</v>
      </c>
      <c r="F6" s="4">
        <f t="shared" si="0"/>
        <v>1336591.4355608672</v>
      </c>
      <c r="G6" s="5">
        <f t="shared" si="1"/>
        <v>0.88770102522859606</v>
      </c>
      <c r="H6" s="4">
        <f t="shared" si="4"/>
        <v>26382913.129614115</v>
      </c>
      <c r="I6" s="5">
        <f t="shared" si="2"/>
        <v>1.1213065581834898</v>
      </c>
      <c r="J6" s="4">
        <f t="shared" si="5"/>
        <v>1099288.0470672548</v>
      </c>
      <c r="K6" s="4">
        <f t="shared" si="3"/>
        <v>528450.32864845695</v>
      </c>
      <c r="L6" s="63" cm="1">
        <f t="array" ref="L6">+_xlfn.IFS(I6&gt;114%,H6*0.02,I6&gt;109%,H6*0.015,I6&gt;104%,H6*0.0125,I6&gt;99%,H6*0.01,I6&lt;99%,H6*0)</f>
        <v>395743.69694421173</v>
      </c>
    </row>
    <row r="7" spans="1:14" ht="15.75" x14ac:dyDescent="0.25">
      <c r="A7" s="141"/>
      <c r="B7" s="36" t="s">
        <v>86</v>
      </c>
      <c r="C7" s="62">
        <v>27741857.030464504</v>
      </c>
      <c r="D7" s="4">
        <f>IFERROR(+VLOOKUP(B7,COMISIONES!A:E,5,FALSE),"0")*1</f>
        <v>18555976.482038796</v>
      </c>
      <c r="E7" s="4">
        <v>17216779.28078286</v>
      </c>
      <c r="F7" s="4">
        <f t="shared" ref="F7:F8" si="6">+D7-E7</f>
        <v>1339197.2012559362</v>
      </c>
      <c r="G7" s="5">
        <f t="shared" si="1"/>
        <v>0.66888011360096389</v>
      </c>
      <c r="H7" s="4">
        <f t="shared" si="4"/>
        <v>23439128.18783848</v>
      </c>
      <c r="I7" s="5">
        <f t="shared" si="2"/>
        <v>0.84490119612753334</v>
      </c>
      <c r="J7" s="4">
        <f t="shared" si="5"/>
        <v>976630.34115993662</v>
      </c>
      <c r="K7" s="4">
        <f t="shared" si="3"/>
        <v>1837176.1096851416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141"/>
      <c r="B8" s="36" t="s">
        <v>85</v>
      </c>
      <c r="C8" s="62">
        <v>35831071.416917704</v>
      </c>
      <c r="D8" s="4">
        <f>IFERROR(+VLOOKUP(B8,COMISIONES!A:E,5,FALSE),"0")*1</f>
        <v>31484562.573658042</v>
      </c>
      <c r="E8" s="4">
        <v>29458094.533872921</v>
      </c>
      <c r="F8" s="4">
        <f t="shared" si="6"/>
        <v>2026468.0397851206</v>
      </c>
      <c r="G8" s="5">
        <f t="shared" si="1"/>
        <v>0.87869442159054589</v>
      </c>
      <c r="H8" s="4">
        <f t="shared" si="4"/>
        <v>39769973.777252264</v>
      </c>
      <c r="I8" s="5">
        <f t="shared" si="2"/>
        <v>1.1099297956933212</v>
      </c>
      <c r="J8" s="4">
        <f t="shared" si="5"/>
        <v>1657082.2407188443</v>
      </c>
      <c r="K8" s="4">
        <f t="shared" si="3"/>
        <v>869301.76865193248</v>
      </c>
      <c r="L8" s="63" cm="1">
        <f t="array" ref="L8">+_xlfn.IFS(I8&gt;114%,H8*0.02,I8&gt;109%,H8*0.015,I8&gt;104%,H8*0.0125,I8&gt;99%,H8*0.01,I8&lt;99%,H8*0)</f>
        <v>596549.60665878397</v>
      </c>
    </row>
    <row r="9" spans="1:14" ht="15.75" x14ac:dyDescent="0.25">
      <c r="A9" s="141"/>
      <c r="B9" s="36" t="s">
        <v>84</v>
      </c>
      <c r="C9" s="62">
        <v>35831071.416917704</v>
      </c>
      <c r="D9" s="4">
        <f>IFERROR(+VLOOKUP(B9,COMISIONES!A:E,5,FALSE),"0")*1</f>
        <v>30862015.410904195</v>
      </c>
      <c r="E9" s="4">
        <v>29702923.717855066</v>
      </c>
      <c r="F9" s="4">
        <f t="shared" si="0"/>
        <v>1159091.6930491291</v>
      </c>
      <c r="G9" s="5">
        <f t="shared" si="1"/>
        <v>0.8613199156621546</v>
      </c>
      <c r="H9" s="4">
        <f t="shared" si="4"/>
        <v>38983598.413773723</v>
      </c>
      <c r="I9" s="5">
        <f t="shared" si="2"/>
        <v>1.0879830513627218</v>
      </c>
      <c r="J9" s="4">
        <f t="shared" si="5"/>
        <v>1624316.600573905</v>
      </c>
      <c r="K9" s="4">
        <f t="shared" si="3"/>
        <v>993811.20120270178</v>
      </c>
      <c r="L9" s="63" cm="1">
        <f t="array" ref="L9">+_xlfn.IFS(I9&gt;114%,H9*0.02,I9&gt;109%,H9*0.015,I9&gt;104%,H9*0.0125,I9&gt;99%,H9*0.01,I9&lt;99%,H9*0)</f>
        <v>487294.98017217155</v>
      </c>
    </row>
    <row r="10" spans="1:14" ht="16.5" thickBot="1" x14ac:dyDescent="0.3">
      <c r="A10" s="142"/>
      <c r="B10" s="3"/>
      <c r="C10" s="64">
        <v>242974591.73925051</v>
      </c>
      <c r="D10" s="64">
        <f>+SUM(D2:D9)</f>
        <v>230064451.97740647</v>
      </c>
      <c r="E10" s="65">
        <v>217153050.17034927</v>
      </c>
      <c r="F10" s="64">
        <f>+SUM(F2:F9)</f>
        <v>12911401.807057183</v>
      </c>
      <c r="G10" s="66">
        <f t="shared" si="1"/>
        <v>0.94686629713242354</v>
      </c>
      <c r="H10" s="64">
        <f t="shared" si="4"/>
        <v>290607728.81356609</v>
      </c>
      <c r="I10" s="66">
        <f t="shared" si="2"/>
        <v>1.1960416384830614</v>
      </c>
      <c r="J10" s="64">
        <f t="shared" si="5"/>
        <v>12108655.36723192</v>
      </c>
      <c r="K10" s="67">
        <f t="shared" si="3"/>
        <v>2582027.952368808</v>
      </c>
      <c r="L10" s="68"/>
    </row>
    <row r="11" spans="1:14" ht="15.75" x14ac:dyDescent="0.25">
      <c r="A11" s="140" t="s">
        <v>210</v>
      </c>
      <c r="B11" s="57" t="s">
        <v>97</v>
      </c>
      <c r="C11" s="58">
        <v>96971948.480137512</v>
      </c>
      <c r="D11" s="59">
        <f>IFERROR(+VLOOKUP(B11,COMISIONES!A:E,5,FALSE),"0")*1</f>
        <v>84121605.891938433</v>
      </c>
      <c r="E11" s="59">
        <v>79945640.923369437</v>
      </c>
      <c r="F11" s="59">
        <f t="shared" ref="F11:F16" si="7">+D11-E11</f>
        <v>4175964.9685689956</v>
      </c>
      <c r="G11" s="60">
        <f t="shared" si="1"/>
        <v>0.8674839189105169</v>
      </c>
      <c r="H11" s="59">
        <f t="shared" si="4"/>
        <v>106258870.60034329</v>
      </c>
      <c r="I11" s="60">
        <f t="shared" si="2"/>
        <v>1.095769160729074</v>
      </c>
      <c r="J11" s="59">
        <f t="shared" si="5"/>
        <v>4427452.9416809706</v>
      </c>
      <c r="K11" s="59">
        <f t="shared" si="3"/>
        <v>2570068.5176398158</v>
      </c>
      <c r="L11" s="61" cm="1">
        <f t="array" ref="L11">+_xlfn.IFS(I11&gt;114%,H11*0.0125,I11&gt;109%,H11*0.01,I11&gt;104%,H11*0.0075,I11&gt;99%,H11*0.005,I11&lt;99%,H11*0)</f>
        <v>1062588.7060034329</v>
      </c>
    </row>
    <row r="12" spans="1:14" ht="16.5" thickBot="1" x14ac:dyDescent="0.3">
      <c r="A12" s="141"/>
      <c r="B12" s="36" t="s">
        <v>107</v>
      </c>
      <c r="C12" s="62">
        <v>31630902.408567004</v>
      </c>
      <c r="D12" s="4">
        <f>IFERROR(+VLOOKUP(B12,COMISIONES!A:E,5,FALSE),"0")*1</f>
        <v>29444806.499426268</v>
      </c>
      <c r="E12" s="4">
        <v>30024266.652704835</v>
      </c>
      <c r="F12" s="4">
        <f t="shared" si="7"/>
        <v>-579460.1532785669</v>
      </c>
      <c r="G12" s="5">
        <f t="shared" si="1"/>
        <v>0.93088733666515167</v>
      </c>
      <c r="H12" s="4">
        <f t="shared" si="4"/>
        <v>37193439.788748965</v>
      </c>
      <c r="I12" s="5">
        <f t="shared" si="2"/>
        <v>1.1758576884191387</v>
      </c>
      <c r="J12" s="4">
        <f t="shared" si="5"/>
        <v>1549726.6578645403</v>
      </c>
      <c r="K12" s="4">
        <f t="shared" si="3"/>
        <v>437219.18182814715</v>
      </c>
      <c r="L12" s="63" cm="1">
        <f t="array" ref="L12">+_xlfn.IFS(I12&gt;114%,H12*0.02,I12&gt;109%,H12*0.015,I12&gt;104%,H12*0.0125,I12&gt;99%,H12*0.01,I12&lt;99%,H12*0)</f>
        <v>743868.79577497928</v>
      </c>
      <c r="M12" s="27"/>
    </row>
    <row r="13" spans="1:14" ht="16.5" thickBot="1" x14ac:dyDescent="0.3">
      <c r="A13" s="141"/>
      <c r="B13" s="36" t="s">
        <v>91</v>
      </c>
      <c r="C13" s="62">
        <v>128363916.07462499</v>
      </c>
      <c r="D13" s="4">
        <f>IFERROR(+VLOOKUP(B13,COMISIONES!A:E,5,FALSE),"0")*1</f>
        <v>85098624.953750134</v>
      </c>
      <c r="E13" s="4">
        <v>78071251.827299207</v>
      </c>
      <c r="F13" s="4">
        <f t="shared" si="7"/>
        <v>7027373.1264509261</v>
      </c>
      <c r="G13" s="5">
        <f t="shared" si="1"/>
        <v>0.66294818322835858</v>
      </c>
      <c r="H13" s="4">
        <f t="shared" si="4"/>
        <v>107492999.94157912</v>
      </c>
      <c r="I13" s="5">
        <f t="shared" si="2"/>
        <v>0.83740823144634779</v>
      </c>
      <c r="J13" s="4">
        <f t="shared" si="5"/>
        <v>4478874.9975657966</v>
      </c>
      <c r="K13" s="4">
        <f t="shared" si="3"/>
        <v>8653058.2241749708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141"/>
      <c r="B14" s="36" t="s">
        <v>112</v>
      </c>
      <c r="C14" s="62">
        <v>42449057.394974999</v>
      </c>
      <c r="D14" s="4">
        <f>IFERROR(+VLOOKUP(B14,COMISIONES!A:E,5,FALSE),"0")*1</f>
        <v>32541398.519335572</v>
      </c>
      <c r="E14" s="4">
        <v>31888291.839335572</v>
      </c>
      <c r="F14" s="4">
        <f t="shared" si="7"/>
        <v>653106.6799999997</v>
      </c>
      <c r="G14" s="5">
        <f t="shared" si="1"/>
        <v>0.76659884851030247</v>
      </c>
      <c r="H14" s="4">
        <f t="shared" si="4"/>
        <v>41104924.445476517</v>
      </c>
      <c r="I14" s="5">
        <f t="shared" si="2"/>
        <v>0.96833538759196103</v>
      </c>
      <c r="J14" s="4">
        <f t="shared" si="5"/>
        <v>1712705.1852281881</v>
      </c>
      <c r="K14" s="4">
        <f t="shared" si="3"/>
        <v>1981531.7751278854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141"/>
      <c r="B15" s="36" t="s">
        <v>108</v>
      </c>
      <c r="C15" s="62">
        <v>42449057.394974999</v>
      </c>
      <c r="D15" s="4">
        <f>IFERROR(+VLOOKUP(B15,COMISIONES!A:E,5,FALSE),"0")*1</f>
        <v>39235044.125286259</v>
      </c>
      <c r="E15" s="4">
        <v>38730140.606586255</v>
      </c>
      <c r="F15" s="4">
        <f t="shared" si="7"/>
        <v>504903.51870000362</v>
      </c>
      <c r="G15" s="5">
        <f t="shared" si="1"/>
        <v>0.92428540309426976</v>
      </c>
      <c r="H15" s="4">
        <f t="shared" si="4"/>
        <v>49560055.737203695</v>
      </c>
      <c r="I15" s="5">
        <f t="shared" si="2"/>
        <v>1.1675184039085513</v>
      </c>
      <c r="J15" s="4">
        <f t="shared" si="5"/>
        <v>2065002.3223834874</v>
      </c>
      <c r="K15" s="4">
        <f t="shared" si="3"/>
        <v>642802.65393774805</v>
      </c>
      <c r="L15" s="63" cm="1">
        <f t="array" ref="L15">+_xlfn.IFS(I15&gt;109%,H15*0.015,I15&gt;104%,H15*0.0125,I15&gt;99%,H15*0.01,I15&lt;99%,H15*0)</f>
        <v>743400.8360580554</v>
      </c>
    </row>
    <row r="16" spans="1:14" ht="16.5" thickBot="1" x14ac:dyDescent="0.3">
      <c r="A16" s="142"/>
      <c r="B16" s="3"/>
      <c r="C16" s="64">
        <v>341864881.75327951</v>
      </c>
      <c r="D16" s="64">
        <f>+SUM(D11:D15)</f>
        <v>270441479.98973668</v>
      </c>
      <c r="E16" s="65">
        <v>258659591.84929529</v>
      </c>
      <c r="F16" s="64">
        <f t="shared" si="7"/>
        <v>11781888.140441388</v>
      </c>
      <c r="G16" s="66">
        <f t="shared" si="1"/>
        <v>0.79107710216608795</v>
      </c>
      <c r="H16" s="64">
        <f t="shared" si="4"/>
        <v>341610290.51335156</v>
      </c>
      <c r="I16" s="66">
        <f t="shared" si="2"/>
        <v>0.99925528694663734</v>
      </c>
      <c r="J16" s="64">
        <f t="shared" si="5"/>
        <v>14233762.104722982</v>
      </c>
      <c r="K16" s="67">
        <f t="shared" si="3"/>
        <v>14284680.352708567</v>
      </c>
      <c r="L16" s="68"/>
    </row>
    <row r="17" spans="1:13" ht="15.75" x14ac:dyDescent="0.25">
      <c r="A17" s="143" t="s">
        <v>211</v>
      </c>
      <c r="B17" s="69" t="s">
        <v>82</v>
      </c>
      <c r="C17" s="70">
        <v>29338018.132500004</v>
      </c>
      <c r="D17" s="59">
        <f>IFERROR(+VLOOKUP(B17,COMISIONES!A:E,5,FALSE),"0")*1</f>
        <v>17992639.174896277</v>
      </c>
      <c r="E17" s="59">
        <v>16305247.991793433</v>
      </c>
      <c r="F17" s="59">
        <f t="shared" ref="F17:F40" si="8">+D17-E17</f>
        <v>1687391.1831028443</v>
      </c>
      <c r="G17" s="60">
        <f t="shared" si="1"/>
        <v>0.61328747884862855</v>
      </c>
      <c r="H17" s="59">
        <f t="shared" si="4"/>
        <v>22727544.220921613</v>
      </c>
      <c r="I17" s="60">
        <f t="shared" si="2"/>
        <v>0.77467892065089927</v>
      </c>
      <c r="J17" s="59">
        <f t="shared" si="5"/>
        <v>946981.00920506718</v>
      </c>
      <c r="K17" s="59">
        <f t="shared" si="3"/>
        <v>2269075.7915207455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144"/>
      <c r="B18" s="19" t="s">
        <v>83</v>
      </c>
      <c r="C18" s="71">
        <v>24959505.900000002</v>
      </c>
      <c r="D18" s="4">
        <f>IFERROR(+VLOOKUP(B18,COMISIONES!A:E,5,FALSE),"0")*1</f>
        <v>17744324.789419636</v>
      </c>
      <c r="E18" s="4">
        <v>15370574.019045111</v>
      </c>
      <c r="F18" s="4">
        <f t="shared" si="8"/>
        <v>2373750.7703745253</v>
      </c>
      <c r="G18" s="5">
        <f t="shared" si="1"/>
        <v>0.7109245215234663</v>
      </c>
      <c r="H18" s="4">
        <f t="shared" si="4"/>
        <v>22413883.944530066</v>
      </c>
      <c r="I18" s="5">
        <f t="shared" si="2"/>
        <v>0.89800992192437845</v>
      </c>
      <c r="J18" s="4">
        <f t="shared" si="5"/>
        <v>933911.83102208609</v>
      </c>
      <c r="K18" s="4">
        <f t="shared" si="3"/>
        <v>1443036.2221160731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144"/>
      <c r="B19" s="19" t="s">
        <v>93</v>
      </c>
      <c r="C19" s="71">
        <v>25856650.1655</v>
      </c>
      <c r="D19" s="4">
        <f>IFERROR(+VLOOKUP(B19,COMISIONES!A:E,5,FALSE),"0")*1</f>
        <v>18176113.741843328</v>
      </c>
      <c r="E19" s="4">
        <v>17177821.502667878</v>
      </c>
      <c r="F19" s="4">
        <f t="shared" si="8"/>
        <v>998292.23917545006</v>
      </c>
      <c r="G19" s="5">
        <f t="shared" si="1"/>
        <v>0.70295701978036373</v>
      </c>
      <c r="H19" s="4">
        <f t="shared" si="4"/>
        <v>22959301.568644203</v>
      </c>
      <c r="I19" s="5">
        <f t="shared" si="2"/>
        <v>0.88794570919624882</v>
      </c>
      <c r="J19" s="4">
        <f t="shared" si="5"/>
        <v>956637.5653601751</v>
      </c>
      <c r="K19" s="4">
        <f t="shared" si="3"/>
        <v>1536107.2847313345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144"/>
      <c r="B20" s="19" t="s">
        <v>96</v>
      </c>
      <c r="C20" s="71">
        <v>33548130</v>
      </c>
      <c r="D20" s="4">
        <f>IFERROR(+VLOOKUP(B20,COMISIONES!A:E,5,FALSE),"0")*1</f>
        <v>37620435.662175797</v>
      </c>
      <c r="E20" s="4">
        <v>34811589.303403422</v>
      </c>
      <c r="F20" s="4">
        <f t="shared" si="8"/>
        <v>2808846.3587723747</v>
      </c>
      <c r="G20" s="5">
        <f t="shared" si="1"/>
        <v>1.1213869644053422</v>
      </c>
      <c r="H20" s="4">
        <f t="shared" si="4"/>
        <v>47520550.310116798</v>
      </c>
      <c r="I20" s="5">
        <f t="shared" si="2"/>
        <v>1.4164887971435904</v>
      </c>
      <c r="J20" s="4">
        <f t="shared" si="5"/>
        <v>1980022.9295881998</v>
      </c>
      <c r="K20" s="4">
        <f t="shared" si="3"/>
        <v>-814461.13243515941</v>
      </c>
      <c r="L20" s="63" cm="1">
        <f t="array" ref="L20">+_xlfn.IFS(I20&gt;114%,H20*0.02,I20&gt;109%,H20*0.015,I20&gt;104%,H20*0.0125,I20&gt;99%,H20*0.01,I20&lt;99%,H20*0)</f>
        <v>950411.00620233594</v>
      </c>
    </row>
    <row r="21" spans="1:13" ht="15.75" x14ac:dyDescent="0.25">
      <c r="A21" s="144"/>
      <c r="B21" s="19" t="s">
        <v>98</v>
      </c>
      <c r="C21" s="71">
        <v>25458510</v>
      </c>
      <c r="D21" s="4">
        <f>IFERROR(+VLOOKUP(B21,COMISIONES!A:E,5,FALSE),"0")*1</f>
        <v>20480766.871362634</v>
      </c>
      <c r="E21" s="4">
        <v>19536256.278035127</v>
      </c>
      <c r="F21" s="4">
        <f t="shared" ref="F21:F23" si="9">+D21-E21</f>
        <v>944510.59332750738</v>
      </c>
      <c r="G21" s="5">
        <f t="shared" si="1"/>
        <v>0.80447625848341608</v>
      </c>
      <c r="H21" s="4">
        <f t="shared" si="4"/>
        <v>25870442.363826483</v>
      </c>
      <c r="I21" s="5">
        <f t="shared" si="2"/>
        <v>1.0161805370316834</v>
      </c>
      <c r="J21" s="4">
        <f t="shared" si="5"/>
        <v>1077935.0984927702</v>
      </c>
      <c r="K21" s="4">
        <f t="shared" si="3"/>
        <v>995548.62572747318</v>
      </c>
      <c r="L21" s="63" cm="1">
        <f t="array" ref="L21">+_xlfn.IFS(I21&gt;114%,H21*0.02,I21&gt;109%,H21*0.015,I21&gt;104%,H21*0.0125,I21&gt;99%,H21*0.01,I21&lt;99%,H21*0)</f>
        <v>258704.42363826485</v>
      </c>
    </row>
    <row r="22" spans="1:13" ht="15.75" x14ac:dyDescent="0.25">
      <c r="A22" s="144"/>
      <c r="B22" s="19" t="s">
        <v>233</v>
      </c>
      <c r="C22" s="71">
        <v>31742890.200000003</v>
      </c>
      <c r="D22" s="4">
        <f>IFERROR(+VLOOKUP(B22,COMISIONES!A:E,5,FALSE),"0")*1</f>
        <v>24822206.215904217</v>
      </c>
      <c r="E22" s="4">
        <v>23709322.376347769</v>
      </c>
      <c r="F22" s="4">
        <f t="shared" si="9"/>
        <v>1112883.8395564482</v>
      </c>
      <c r="G22" s="5">
        <f t="shared" si="1"/>
        <v>0.78197687921638004</v>
      </c>
      <c r="H22" s="4">
        <f t="shared" si="4"/>
        <v>31354365.746405326</v>
      </c>
      <c r="I22" s="5">
        <f t="shared" si="2"/>
        <v>0.98776026848384846</v>
      </c>
      <c r="J22" s="4">
        <f t="shared" si="5"/>
        <v>1306431.9061002219</v>
      </c>
      <c r="K22" s="4">
        <f t="shared" si="3"/>
        <v>1384136.7968191572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4"/>
      <c r="B23" s="19" t="s">
        <v>162</v>
      </c>
      <c r="C23" s="71">
        <v>27435946.230000004</v>
      </c>
      <c r="D23" s="4">
        <f>IFERROR(+VLOOKUP(B23,COMISIONES!A:E,5,FALSE),"0")*1</f>
        <v>21887079.961145665</v>
      </c>
      <c r="E23" s="4">
        <v>20611302.587251738</v>
      </c>
      <c r="F23" s="4">
        <f t="shared" si="9"/>
        <v>1275777.3738939278</v>
      </c>
      <c r="G23" s="5">
        <f t="shared" si="1"/>
        <v>0.79775196297815687</v>
      </c>
      <c r="H23" s="4">
        <f t="shared" si="4"/>
        <v>27646837.845657684</v>
      </c>
      <c r="I23" s="5">
        <f t="shared" si="2"/>
        <v>1.0076866900776718</v>
      </c>
      <c r="J23" s="4">
        <f t="shared" si="5"/>
        <v>1151951.5769024035</v>
      </c>
      <c r="K23" s="4">
        <f t="shared" si="3"/>
        <v>1109773.2537708678</v>
      </c>
      <c r="L23" s="63" cm="1">
        <f t="array" ref="L23">+_xlfn.IFS(I23&gt;114%,H23*0.02,I23&gt;109%,H23*0.015,I23&gt;104%,H23*0.0125,I23&gt;99%,H23*0.01,I23&lt;99%,H23*0)</f>
        <v>276468.37845657684</v>
      </c>
    </row>
    <row r="24" spans="1:13" ht="15.75" x14ac:dyDescent="0.25">
      <c r="A24" s="144"/>
      <c r="B24" s="19" t="s">
        <v>234</v>
      </c>
      <c r="C24" s="71">
        <v>33494055</v>
      </c>
      <c r="D24" s="4">
        <f>IFERROR(+VLOOKUP(B24,COMISIONES!A:E,5,FALSE),"0")*1</f>
        <v>29857762.19078305</v>
      </c>
      <c r="E24" s="4">
        <v>29127959.990246467</v>
      </c>
      <c r="F24" s="4">
        <f t="shared" si="8"/>
        <v>729802.20053658262</v>
      </c>
      <c r="G24" s="5">
        <f t="shared" si="1"/>
        <v>0.89143467970011547</v>
      </c>
      <c r="H24" s="4">
        <f t="shared" si="4"/>
        <v>37715068.030462801</v>
      </c>
      <c r="I24" s="5">
        <f t="shared" si="2"/>
        <v>1.126022753305409</v>
      </c>
      <c r="J24" s="4">
        <f t="shared" si="5"/>
        <v>1571461.16793595</v>
      </c>
      <c r="K24" s="4">
        <f t="shared" si="3"/>
        <v>727258.56184338999</v>
      </c>
      <c r="L24" s="63" cm="1">
        <f t="array" ref="L24">+_xlfn.IFS(I24&gt;114%,H24*0.02,I24&gt;109%,H24*0.015,I24&gt;104%,H24*0.0125,I24&gt;99%,H24*0.01,I24&lt;99%,H24*0)</f>
        <v>565726.02045694203</v>
      </c>
    </row>
    <row r="25" spans="1:13" ht="15.75" x14ac:dyDescent="0.25">
      <c r="A25" s="144"/>
      <c r="B25" s="19" t="s">
        <v>140</v>
      </c>
      <c r="C25" s="71">
        <v>54064952.86500001</v>
      </c>
      <c r="D25" s="4">
        <f>IFERROR(+VLOOKUP(B25,COMISIONES!A:E,5,FALSE),"0")*1</f>
        <v>48558364.440969415</v>
      </c>
      <c r="E25" s="4">
        <v>39327902.03385032</v>
      </c>
      <c r="F25" s="4">
        <f t="shared" si="8"/>
        <v>9230462.4071190953</v>
      </c>
      <c r="G25" s="5">
        <f t="shared" si="1"/>
        <v>0.89814865023963808</v>
      </c>
      <c r="H25" s="4">
        <f t="shared" si="4"/>
        <v>61336881.399119258</v>
      </c>
      <c r="I25" s="5">
        <f t="shared" si="2"/>
        <v>1.1345035581974376</v>
      </c>
      <c r="J25" s="4">
        <f t="shared" si="5"/>
        <v>2555703.3916299692</v>
      </c>
      <c r="K25" s="4">
        <f t="shared" si="3"/>
        <v>1101317.684806119</v>
      </c>
      <c r="L25" s="63" cm="1">
        <f t="array" ref="L25">+_xlfn.IFS(I25&gt;109%,H25*0.015,I25&gt;104%,H25*0.0125,I25&gt;99%,H25*0.01,I25&lt;99%,H25*0)</f>
        <v>920053.22098678886</v>
      </c>
    </row>
    <row r="26" spans="1:13" ht="16.5" thickBot="1" x14ac:dyDescent="0.3">
      <c r="A26" s="145"/>
      <c r="B26" s="72"/>
      <c r="C26" s="67">
        <v>285898658.49300003</v>
      </c>
      <c r="D26" s="67">
        <f>+SUM(D17:D25)</f>
        <v>237139693.0485</v>
      </c>
      <c r="E26" s="65">
        <v>215977976.08264127</v>
      </c>
      <c r="F26" s="67">
        <f>+D26-E26</f>
        <v>21161716.965858728</v>
      </c>
      <c r="G26" s="66">
        <f t="shared" si="1"/>
        <v>0.82945367529349967</v>
      </c>
      <c r="H26" s="64">
        <f t="shared" si="4"/>
        <v>299544875.42968422</v>
      </c>
      <c r="I26" s="66">
        <f t="shared" si="2"/>
        <v>1.0477309582654732</v>
      </c>
      <c r="J26" s="64">
        <f t="shared" si="5"/>
        <v>12481036.476236843</v>
      </c>
      <c r="K26" s="67">
        <f t="shared" si="3"/>
        <v>9751793.0889000054</v>
      </c>
      <c r="L26" s="68"/>
    </row>
    <row r="27" spans="1:13" ht="15.75" x14ac:dyDescent="0.25">
      <c r="A27" s="140" t="s">
        <v>219</v>
      </c>
      <c r="B27" s="57" t="s">
        <v>214</v>
      </c>
      <c r="C27" s="73">
        <v>81977700</v>
      </c>
      <c r="D27" s="59">
        <f>IFERROR(+VLOOKUP(B27,COMISIONES!A:E,5,FALSE),"0")*1</f>
        <v>60311428.755171485</v>
      </c>
      <c r="E27" s="59">
        <v>54928077.646119483</v>
      </c>
      <c r="F27" s="59">
        <f t="shared" si="8"/>
        <v>5383351.1090520024</v>
      </c>
      <c r="G27" s="60">
        <f t="shared" si="1"/>
        <v>0.73570530467641182</v>
      </c>
      <c r="H27" s="59">
        <f t="shared" si="4"/>
        <v>76182857.374953449</v>
      </c>
      <c r="I27" s="60">
        <f t="shared" si="2"/>
        <v>0.92931196380178327</v>
      </c>
      <c r="J27" s="59">
        <f t="shared" si="5"/>
        <v>3174285.723956394</v>
      </c>
      <c r="K27" s="59">
        <f t="shared" si="3"/>
        <v>4333254.248965703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141"/>
      <c r="B28" s="36" t="s">
        <v>216</v>
      </c>
      <c r="C28" s="74">
        <v>21000000</v>
      </c>
      <c r="D28" s="4">
        <f>IFERROR(+VLOOKUP(B28,COMISIONES!A:E,5,FALSE),"0")*1</f>
        <v>11172011.307092821</v>
      </c>
      <c r="E28" s="4">
        <v>10793754.353707753</v>
      </c>
      <c r="F28" s="4">
        <f t="shared" si="8"/>
        <v>378256.9533850681</v>
      </c>
      <c r="G28" s="5">
        <f t="shared" si="1"/>
        <v>0.53200053843299144</v>
      </c>
      <c r="H28" s="4">
        <f t="shared" si="4"/>
        <v>14112014.282643564</v>
      </c>
      <c r="I28" s="5">
        <f t="shared" si="2"/>
        <v>0.67200068012588399</v>
      </c>
      <c r="J28" s="4">
        <f t="shared" si="5"/>
        <v>588000.59511014854</v>
      </c>
      <c r="K28" s="4">
        <f t="shared" si="3"/>
        <v>1965597.7385814358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141"/>
      <c r="B29" s="36" t="s">
        <v>87</v>
      </c>
      <c r="C29" s="74">
        <v>25739700</v>
      </c>
      <c r="D29" s="4">
        <f>IFERROR(+VLOOKUP(B29,COMISIONES!A:E,5,FALSE),"0")*1</f>
        <v>17074511.58596608</v>
      </c>
      <c r="E29" s="4">
        <v>16100590.373047655</v>
      </c>
      <c r="F29" s="4">
        <f t="shared" si="8"/>
        <v>973921.21291842498</v>
      </c>
      <c r="G29" s="5">
        <f t="shared" si="1"/>
        <v>0.66335316984914672</v>
      </c>
      <c r="H29" s="4">
        <f t="shared" si="4"/>
        <v>21567804.108588733</v>
      </c>
      <c r="I29" s="5">
        <f t="shared" si="2"/>
        <v>0.83791979349365897</v>
      </c>
      <c r="J29" s="4">
        <f t="shared" si="5"/>
        <v>898658.50452453049</v>
      </c>
      <c r="K29" s="4">
        <f t="shared" si="3"/>
        <v>1733037.6828067838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141"/>
      <c r="B30" s="36" t="s">
        <v>215</v>
      </c>
      <c r="C30" s="74">
        <v>38233205.112125672</v>
      </c>
      <c r="D30" s="4">
        <f>IFERROR(+VLOOKUP(B30,COMISIONES!A:E,5,FALSE),"0")*1</f>
        <v>16695904.189139783</v>
      </c>
      <c r="E30" s="4">
        <v>15804120.212155512</v>
      </c>
      <c r="F30" s="4">
        <f t="shared" si="8"/>
        <v>891783.97698427178</v>
      </c>
      <c r="G30" s="5">
        <f t="shared" si="1"/>
        <v>0.43668596813100224</v>
      </c>
      <c r="H30" s="4">
        <f t="shared" si="4"/>
        <v>21089563.18628183</v>
      </c>
      <c r="I30" s="5">
        <f t="shared" si="2"/>
        <v>0.55160332816547653</v>
      </c>
      <c r="J30" s="4">
        <f t="shared" si="5"/>
        <v>878731.79942840966</v>
      </c>
      <c r="K30" s="4">
        <f t="shared" si="3"/>
        <v>4307460.1845971774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141"/>
      <c r="B31" s="36" t="s">
        <v>99</v>
      </c>
      <c r="C31" s="74">
        <v>25415250</v>
      </c>
      <c r="D31" s="4">
        <f>IFERROR(+VLOOKUP(B31,COMISIONES!A:E,5,FALSE),"0")*1</f>
        <v>21577165.004610274</v>
      </c>
      <c r="E31" s="4">
        <v>19986206.379396059</v>
      </c>
      <c r="F31" s="4">
        <f t="shared" si="8"/>
        <v>1590958.6252142154</v>
      </c>
      <c r="G31" s="5">
        <f t="shared" si="1"/>
        <v>0.84898495999883039</v>
      </c>
      <c r="H31" s="4">
        <f t="shared" si="4"/>
        <v>27255366.321612976</v>
      </c>
      <c r="I31" s="5">
        <f t="shared" si="2"/>
        <v>1.0724020547353648</v>
      </c>
      <c r="J31" s="4">
        <f t="shared" si="5"/>
        <v>1135640.2634005407</v>
      </c>
      <c r="K31" s="4">
        <f t="shared" si="3"/>
        <v>767616.99907794525</v>
      </c>
      <c r="L31" s="63" cm="1">
        <f t="array" ref="L31">+_xlfn.IFS(I31&gt;114%,H31*0.02,I31&gt;109%,H31*0.015,I31&gt;104%,H31*0.0125,I31&gt;99%,H31*0.01,I31&lt;99%,H31*0)</f>
        <v>340692.07902016223</v>
      </c>
      <c r="M31" s="27"/>
    </row>
    <row r="32" spans="1:13" ht="15.75" x14ac:dyDescent="0.25">
      <c r="A32" s="141"/>
      <c r="B32" s="36" t="s">
        <v>213</v>
      </c>
      <c r="C32" s="74">
        <v>25200000</v>
      </c>
      <c r="D32" s="4">
        <f>IFERROR(+VLOOKUP(B32,COMISIONES!A:E,5,FALSE),"0")*1</f>
        <v>13731973.543757282</v>
      </c>
      <c r="E32" s="4">
        <v>12636423.188325718</v>
      </c>
      <c r="F32" s="4">
        <f t="shared" si="8"/>
        <v>1095550.3554315642</v>
      </c>
      <c r="G32" s="5">
        <f t="shared" si="1"/>
        <v>0.54491958506973337</v>
      </c>
      <c r="H32" s="4">
        <f t="shared" si="4"/>
        <v>17345650.792114459</v>
      </c>
      <c r="I32" s="5">
        <f t="shared" si="2"/>
        <v>0.68831947587755793</v>
      </c>
      <c r="J32" s="4">
        <f t="shared" si="5"/>
        <v>722735.44967143587</v>
      </c>
      <c r="K32" s="4">
        <f t="shared" si="3"/>
        <v>2293605.2912485437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141"/>
      <c r="B33" s="36" t="s">
        <v>100</v>
      </c>
      <c r="C33" s="74">
        <v>26496750</v>
      </c>
      <c r="D33" s="4">
        <f>IFERROR(+VLOOKUP(B33,COMISIONES!A:E,5,FALSE),"0")*1</f>
        <v>17506741.378829028</v>
      </c>
      <c r="E33" s="4">
        <v>16473987.177289817</v>
      </c>
      <c r="F33" s="4">
        <f t="shared" si="8"/>
        <v>1032754.201539211</v>
      </c>
      <c r="G33" s="5">
        <f t="shared" si="1"/>
        <v>0.6607127809572505</v>
      </c>
      <c r="H33" s="4">
        <f t="shared" si="4"/>
        <v>22113778.583784036</v>
      </c>
      <c r="I33" s="5">
        <f t="shared" si="2"/>
        <v>0.83458456541968495</v>
      </c>
      <c r="J33" s="4">
        <f t="shared" si="5"/>
        <v>921407.44099100155</v>
      </c>
      <c r="K33" s="4">
        <f t="shared" si="3"/>
        <v>1798001.7242341943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141"/>
      <c r="B34" s="36" t="s">
        <v>139</v>
      </c>
      <c r="C34" s="74">
        <v>21000000</v>
      </c>
      <c r="D34" s="4">
        <f>IFERROR(+VLOOKUP(B34,COMISIONES!A:E,5,FALSE),"0")*1</f>
        <v>11250282.72207953</v>
      </c>
      <c r="E34" s="4">
        <v>10450667.040721137</v>
      </c>
      <c r="F34" s="4">
        <f t="shared" si="8"/>
        <v>799615.68135839328</v>
      </c>
      <c r="G34" s="5">
        <f t="shared" si="1"/>
        <v>0.53572774867045381</v>
      </c>
      <c r="H34" s="4">
        <f t="shared" si="4"/>
        <v>14210883.43841625</v>
      </c>
      <c r="I34" s="5">
        <f t="shared" si="2"/>
        <v>0.6767087351626786</v>
      </c>
      <c r="J34" s="4">
        <f t="shared" si="5"/>
        <v>592120.14326734375</v>
      </c>
      <c r="K34" s="4">
        <f t="shared" si="3"/>
        <v>1949943.4555840939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141"/>
      <c r="B35" s="19" t="s">
        <v>104</v>
      </c>
      <c r="C35" s="74">
        <v>24658200</v>
      </c>
      <c r="D35" s="4">
        <f>IFERROR(+VLOOKUP(B35,COMISIONES!A:E,5,FALSE),"0")*1</f>
        <v>6346329.1110065132</v>
      </c>
      <c r="E35" s="4">
        <v>5900128.3583673304</v>
      </c>
      <c r="F35" s="4">
        <f t="shared" si="8"/>
        <v>446200.75263918284</v>
      </c>
      <c r="G35" s="5">
        <f t="shared" si="1"/>
        <v>0.25737195379251177</v>
      </c>
      <c r="H35" s="4">
        <f t="shared" si="4"/>
        <v>8016415.7191661224</v>
      </c>
      <c r="I35" s="5">
        <f t="shared" si="2"/>
        <v>0.32510141531685699</v>
      </c>
      <c r="J35" s="4">
        <f t="shared" si="5"/>
        <v>334017.32163192175</v>
      </c>
      <c r="K35" s="4">
        <f t="shared" si="3"/>
        <v>3662374.1777986973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141"/>
      <c r="B36" s="36" t="s">
        <v>207</v>
      </c>
      <c r="C36" s="74">
        <v>25235000</v>
      </c>
      <c r="D36" s="4">
        <f>IFERROR(+VLOOKUP(B36,COMISIONES!A:E,5,FALSE),"0")*1</f>
        <v>11681654.665937681</v>
      </c>
      <c r="E36" s="4">
        <v>11138355.416896759</v>
      </c>
      <c r="F36" s="4">
        <f t="shared" si="8"/>
        <v>543299.24904092215</v>
      </c>
      <c r="G36" s="5">
        <f t="shared" si="1"/>
        <v>0.46291478763374999</v>
      </c>
      <c r="H36" s="4">
        <f t="shared" si="4"/>
        <v>14755774.314868651</v>
      </c>
      <c r="I36" s="5">
        <f t="shared" si="2"/>
        <v>0.58473446859</v>
      </c>
      <c r="J36" s="4">
        <f t="shared" si="5"/>
        <v>614823.92978619377</v>
      </c>
      <c r="K36" s="4">
        <f t="shared" si="3"/>
        <v>2710669.066812464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141"/>
      <c r="B37" s="36" t="s">
        <v>111</v>
      </c>
      <c r="C37" s="74">
        <v>122011750</v>
      </c>
      <c r="D37" s="4">
        <f>IFERROR(+VLOOKUP(B37,COMISIONES!A:E,5,FALSE),"0")*1</f>
        <v>40168339.712393798</v>
      </c>
      <c r="E37" s="4">
        <v>40168339.712393798</v>
      </c>
      <c r="F37" s="4">
        <f t="shared" si="8"/>
        <v>0</v>
      </c>
      <c r="G37" s="5">
        <f t="shared" si="1"/>
        <v>0.32921697879420464</v>
      </c>
      <c r="H37" s="4">
        <f t="shared" si="4"/>
        <v>50738955.426181644</v>
      </c>
      <c r="I37" s="5">
        <f t="shared" si="2"/>
        <v>0.41585302584531114</v>
      </c>
      <c r="J37" s="4">
        <f t="shared" si="5"/>
        <v>2114123.1427575685</v>
      </c>
      <c r="K37" s="4">
        <f t="shared" si="3"/>
        <v>16368682.057521243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141"/>
      <c r="B38" s="36" t="s">
        <v>217</v>
      </c>
      <c r="C38" s="74">
        <v>35700000</v>
      </c>
      <c r="D38" s="4">
        <f>IFERROR(+VLOOKUP(B38,COMISIONES!A:E,5,FALSE),"0")*1</f>
        <v>10008558.73525851</v>
      </c>
      <c r="E38" s="4">
        <v>9510418.9883585088</v>
      </c>
      <c r="F38" s="4">
        <f t="shared" ref="F38" si="10">+D38-E38</f>
        <v>498139.74690000154</v>
      </c>
      <c r="G38" s="5">
        <f t="shared" si="1"/>
        <v>0.28035178530135885</v>
      </c>
      <c r="H38" s="4">
        <f t="shared" si="4"/>
        <v>12642389.981379172</v>
      </c>
      <c r="I38" s="5">
        <f t="shared" si="2"/>
        <v>0.35412857090697958</v>
      </c>
      <c r="J38" s="4">
        <f t="shared" si="5"/>
        <v>526766.24922413216</v>
      </c>
      <c r="K38" s="4">
        <f t="shared" si="3"/>
        <v>5138288.2529482972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141"/>
      <c r="B39" s="36" t="s">
        <v>81</v>
      </c>
      <c r="C39" s="74">
        <v>36361427.739</v>
      </c>
      <c r="D39" s="4">
        <f>IFERROR(+VLOOKUP(B39,COMISIONES!A:E,5,FALSE),"0")*1</f>
        <v>21936376.962624658</v>
      </c>
      <c r="E39" s="4">
        <v>20353107.527345363</v>
      </c>
      <c r="F39" s="4">
        <f t="shared" si="8"/>
        <v>1583269.4352792948</v>
      </c>
      <c r="G39" s="5">
        <f t="shared" si="1"/>
        <v>0.6032870084222921</v>
      </c>
      <c r="H39" s="4">
        <f t="shared" si="4"/>
        <v>27709107.742262729</v>
      </c>
      <c r="I39" s="5">
        <f t="shared" si="2"/>
        <v>0.76204674748079004</v>
      </c>
      <c r="J39" s="4">
        <f t="shared" si="5"/>
        <v>1154546.1559276136</v>
      </c>
      <c r="K39" s="4">
        <f t="shared" si="3"/>
        <v>2885010.1552750682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2"/>
      <c r="B40" s="3"/>
      <c r="C40" s="75">
        <v>509028982.85112572</v>
      </c>
      <c r="D40" s="67">
        <f>+SUM(D27:D39)</f>
        <v>259461277.67386746</v>
      </c>
      <c r="E40" s="65">
        <v>244244176.37412488</v>
      </c>
      <c r="F40" s="67">
        <f t="shared" si="8"/>
        <v>15217101.299742579</v>
      </c>
      <c r="G40" s="66">
        <f t="shared" si="1"/>
        <v>0.509718083674916</v>
      </c>
      <c r="H40" s="64">
        <f t="shared" si="4"/>
        <v>327740561.27225363</v>
      </c>
      <c r="I40" s="66">
        <f t="shared" si="2"/>
        <v>0.64385442148410432</v>
      </c>
      <c r="J40" s="64">
        <f t="shared" si="5"/>
        <v>13655856.719677234</v>
      </c>
      <c r="K40" s="67">
        <f t="shared" si="3"/>
        <v>49913541.035451651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997106902.68951058</v>
      </c>
      <c r="E41" s="82">
        <v>936034794.47641063</v>
      </c>
      <c r="F41" s="81">
        <f>+D41-E41</f>
        <v>61072108.213099957</v>
      </c>
      <c r="G41" s="83">
        <f t="shared" si="1"/>
        <v>0.72266317167370897</v>
      </c>
      <c r="H41" s="81">
        <f t="shared" si="4"/>
        <v>1259503456.0288556</v>
      </c>
      <c r="I41" s="139">
        <f t="shared" si="2"/>
        <v>0.91283769053521135</v>
      </c>
      <c r="J41" s="81">
        <f t="shared" si="5"/>
        <v>52479310.667868979</v>
      </c>
      <c r="K41" s="81">
        <f t="shared" si="3"/>
        <v>76532048.880725101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26223021.650199708</v>
      </c>
      <c r="E43" s="4">
        <v>26234005.111392636</v>
      </c>
      <c r="F43" s="4">
        <f t="shared" ref="F43" si="11">+D43-E43</f>
        <v>-10983.461192928255</v>
      </c>
      <c r="G43" s="5">
        <f>+D43/C43</f>
        <v>0.65557554125499273</v>
      </c>
      <c r="H43" s="4">
        <f t="shared" ref="H43" si="12">+D43/$N$3*$N$4</f>
        <v>33123816.821304895</v>
      </c>
      <c r="I43" s="5">
        <f>+H43/C43</f>
        <v>0.82809542053262242</v>
      </c>
      <c r="J43" s="4">
        <f t="shared" ref="J43" si="13">+D43/$N$3</f>
        <v>1380159.0342210373</v>
      </c>
      <c r="K43" s="4">
        <f>+(C43-D43)/$N$2</f>
        <v>2755395.6699600583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21190073.138939679</v>
      </c>
      <c r="E44" s="4">
        <v>21229662.770730246</v>
      </c>
      <c r="F44" s="4">
        <f t="shared" ref="F44" si="14">+D44-E44</f>
        <v>-39589.631790567189</v>
      </c>
      <c r="G44" s="5">
        <f>+D44/C44</f>
        <v>0.7063357712979893</v>
      </c>
      <c r="H44" s="4">
        <f t="shared" ref="H44" si="15">+D44/$N$3*$N$4</f>
        <v>26766408.175502755</v>
      </c>
      <c r="I44" s="5">
        <f>+H44/C44</f>
        <v>0.8922136058500918</v>
      </c>
      <c r="J44" s="4">
        <f t="shared" ref="J44" si="16">+D44/$N$3</f>
        <v>1115267.0073126147</v>
      </c>
      <c r="K44" s="4">
        <f>+(C44-D44)/$N$2</f>
        <v>1761985.3722120642</v>
      </c>
      <c r="L44" s="4" cm="1">
        <f t="array" ref="L44">+_xlfn.IFS(I44&gt;114%,H44*0.02,I44&gt;109%,H44*0.015,I44&gt;104%,H44*0.0125,I44&gt;99%,H44*0.01,I44&lt;99%,H44*0)</f>
        <v>0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146" t="s">
        <v>37</v>
      </c>
      <c r="B2">
        <v>22</v>
      </c>
      <c r="C2" s="12" t="str">
        <f>+AVANCE!B11</f>
        <v>22 - ALMIRON NICOLAS</v>
      </c>
      <c r="D2" s="22">
        <f>H2/G2</f>
        <v>0.83783783783783783</v>
      </c>
      <c r="E2" s="13">
        <v>33</v>
      </c>
      <c r="F2" s="12">
        <f>+H2-E2</f>
        <v>29</v>
      </c>
      <c r="G2" s="13">
        <f>VLOOKUP(B2,'Base Cobertura'!$A:$C,3,FALSE)</f>
        <v>74</v>
      </c>
      <c r="H2" s="13">
        <f>VLOOKUP(B2,'Base Cobertura'!$A:$C,2,FALSE)</f>
        <v>62</v>
      </c>
      <c r="I2" s="17">
        <f>(+G2*$M$2)-H2</f>
        <v>0.89999999999999858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146"/>
      <c r="B3">
        <v>49</v>
      </c>
      <c r="C3" s="13" t="str">
        <f>+AVANCE!B12</f>
        <v>49 - ESCOBAR RAÚL</v>
      </c>
      <c r="D3" s="22">
        <f t="shared" ref="D3:D38" si="0">H3/G3</f>
        <v>0.45867768595041325</v>
      </c>
      <c r="E3" s="13">
        <v>1</v>
      </c>
      <c r="F3" s="12">
        <f t="shared" ref="F3:F38" si="1">+H3-E3</f>
        <v>110</v>
      </c>
      <c r="G3" s="13">
        <f>VLOOKUP(B3,'Base Cobertura'!$A:$C,3,FALSE)</f>
        <v>242</v>
      </c>
      <c r="H3" s="13">
        <f>VLOOKUP(B3,'Base Cobertura'!$A:$C,2,FALSE)</f>
        <v>111</v>
      </c>
      <c r="I3" s="17">
        <f t="shared" ref="I3:I38" si="2">(+G3*$M$2)-H3</f>
        <v>94.699999999999989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72</v>
      </c>
      <c r="T3" s="12">
        <v>214</v>
      </c>
      <c r="U3" s="41">
        <f>+S3/T3</f>
        <v>0.3364485981308411</v>
      </c>
    </row>
    <row r="4" spans="1:21" x14ac:dyDescent="0.25">
      <c r="A4" s="146"/>
      <c r="B4">
        <v>20</v>
      </c>
      <c r="C4" s="13" t="str">
        <f>+AVANCE!B2</f>
        <v>20 - FLORES JAVIER</v>
      </c>
      <c r="D4" s="22">
        <f t="shared" si="0"/>
        <v>0.8722466960352423</v>
      </c>
      <c r="E4" s="13">
        <v>126</v>
      </c>
      <c r="F4" s="12">
        <f t="shared" si="1"/>
        <v>72</v>
      </c>
      <c r="G4" s="13">
        <f>VLOOKUP(B4,'Base Cobertura'!$A:$C,3,FALSE)</f>
        <v>227</v>
      </c>
      <c r="H4" s="13">
        <f>VLOOKUP(B4,'Base Cobertura'!$A:$C,2,FALSE)</f>
        <v>198</v>
      </c>
      <c r="I4" s="17">
        <f t="shared" si="2"/>
        <v>-5.0500000000000114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53</v>
      </c>
      <c r="T4" s="13">
        <v>214</v>
      </c>
      <c r="U4" s="5">
        <f t="shared" ref="U4:U11" si="3">+S4/T4</f>
        <v>0.24766355140186916</v>
      </c>
    </row>
    <row r="5" spans="1:21" x14ac:dyDescent="0.25">
      <c r="A5" s="146"/>
      <c r="B5">
        <v>15</v>
      </c>
      <c r="C5" s="13" t="str">
        <f>+AVANCE!B13</f>
        <v>15 - GALARZA GERARDO</v>
      </c>
      <c r="D5" s="22">
        <f t="shared" si="0"/>
        <v>0.75384615384615383</v>
      </c>
      <c r="E5" s="13">
        <v>21</v>
      </c>
      <c r="F5" s="12">
        <f t="shared" si="1"/>
        <v>28</v>
      </c>
      <c r="G5" s="13">
        <f>VLOOKUP(B5,'Base Cobertura'!$A:$C,3,FALSE)</f>
        <v>65</v>
      </c>
      <c r="H5" s="13">
        <f>VLOOKUP(B5,'Base Cobertura'!$A:$C,2,FALSE)</f>
        <v>49</v>
      </c>
      <c r="I5" s="17">
        <f t="shared" si="2"/>
        <v>6.25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89</v>
      </c>
      <c r="T5" s="13">
        <v>214</v>
      </c>
      <c r="U5" s="5">
        <f t="shared" si="3"/>
        <v>0.41588785046728971</v>
      </c>
    </row>
    <row r="6" spans="1:21" x14ac:dyDescent="0.25">
      <c r="A6" s="146"/>
      <c r="B6">
        <v>19</v>
      </c>
      <c r="C6" s="13" t="str">
        <f>+AVANCE!B3</f>
        <v>19 - GONZALEZ MARCELO</v>
      </c>
      <c r="D6" s="22">
        <f t="shared" si="0"/>
        <v>0.88405797101449279</v>
      </c>
      <c r="E6" s="13">
        <v>100</v>
      </c>
      <c r="F6" s="12">
        <f t="shared" si="1"/>
        <v>83</v>
      </c>
      <c r="G6" s="13">
        <f>VLOOKUP(B6,'Base Cobertura'!$A:$C,3,FALSE)</f>
        <v>207</v>
      </c>
      <c r="H6" s="13">
        <f>VLOOKUP(B6,'Base Cobertura'!$A:$C,2,FALSE)</f>
        <v>183</v>
      </c>
      <c r="I6" s="17">
        <f t="shared" si="2"/>
        <v>-7.0500000000000114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48</v>
      </c>
      <c r="T6" s="13">
        <v>214</v>
      </c>
      <c r="U6" s="5">
        <f t="shared" si="3"/>
        <v>0.22429906542056074</v>
      </c>
    </row>
    <row r="7" spans="1:21" x14ac:dyDescent="0.25">
      <c r="A7" s="146"/>
      <c r="B7">
        <v>16</v>
      </c>
      <c r="C7" s="13" t="str">
        <f>+AVANCE!B4</f>
        <v>16 - GOMEZ MATÍAS</v>
      </c>
      <c r="D7" s="22">
        <f t="shared" si="0"/>
        <v>0.81313131313131315</v>
      </c>
      <c r="E7" s="13">
        <v>81</v>
      </c>
      <c r="F7" s="12">
        <f t="shared" si="1"/>
        <v>80</v>
      </c>
      <c r="G7" s="13">
        <f>VLOOKUP(B7,'Base Cobertura'!$A:$C,3,FALSE)</f>
        <v>198</v>
      </c>
      <c r="H7" s="13">
        <f>VLOOKUP(B7,'Base Cobertura'!$A:$C,2,FALSE)</f>
        <v>161</v>
      </c>
      <c r="I7" s="17">
        <f t="shared" si="2"/>
        <v>7.2999999999999829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91</v>
      </c>
      <c r="T7" s="13">
        <v>214</v>
      </c>
      <c r="U7" s="5">
        <f t="shared" si="3"/>
        <v>0.42523364485981308</v>
      </c>
    </row>
    <row r="8" spans="1:21" x14ac:dyDescent="0.25">
      <c r="A8" s="146"/>
      <c r="B8">
        <v>12</v>
      </c>
      <c r="C8" s="13" t="str">
        <f>+AVANCE!B5</f>
        <v>12 - GUTIERREZ MARCOS DAVID</v>
      </c>
      <c r="D8" s="22">
        <f t="shared" si="0"/>
        <v>0.86915887850467288</v>
      </c>
      <c r="E8" s="13">
        <v>89</v>
      </c>
      <c r="F8" s="12">
        <f t="shared" si="1"/>
        <v>97</v>
      </c>
      <c r="G8" s="13">
        <f>VLOOKUP(B8,'Base Cobertura'!$A:$C,3,FALSE)</f>
        <v>214</v>
      </c>
      <c r="H8" s="13">
        <f>VLOOKUP(B8,'Base Cobertura'!$A:$C,2,FALSE)</f>
        <v>186</v>
      </c>
      <c r="I8" s="17">
        <f t="shared" si="2"/>
        <v>-4.0999999999999943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84</v>
      </c>
      <c r="T8" s="13">
        <v>214</v>
      </c>
      <c r="U8" s="5">
        <f t="shared" si="3"/>
        <v>0.3925233644859813</v>
      </c>
    </row>
    <row r="9" spans="1:21" x14ac:dyDescent="0.25">
      <c r="A9" s="146"/>
      <c r="B9">
        <v>11</v>
      </c>
      <c r="C9" s="30" t="str">
        <f>+AVANCE!B6</f>
        <v>11 - SANCHEZ RICARDO</v>
      </c>
      <c r="D9" s="22">
        <f>H9/G9</f>
        <v>0.78106508875739644</v>
      </c>
      <c r="E9" s="13">
        <v>92</v>
      </c>
      <c r="F9" s="12">
        <f t="shared" si="1"/>
        <v>40</v>
      </c>
      <c r="G9" s="13">
        <f>VLOOKUP(B9,'Base Cobertura'!$A:$C,3,FALSE)</f>
        <v>169</v>
      </c>
      <c r="H9" s="13">
        <f>VLOOKUP(B9,'Base Cobertura'!$A:$C,2,FALSE)</f>
        <v>132</v>
      </c>
      <c r="I9" s="17">
        <f t="shared" si="2"/>
        <v>11.650000000000006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24</v>
      </c>
      <c r="T9" s="13">
        <v>214</v>
      </c>
      <c r="U9" s="5">
        <f t="shared" si="3"/>
        <v>0.11214953271028037</v>
      </c>
    </row>
    <row r="10" spans="1:21" x14ac:dyDescent="0.25">
      <c r="A10" s="146"/>
      <c r="B10">
        <v>8</v>
      </c>
      <c r="C10" s="13" t="str">
        <f>+AVANCE!B7</f>
        <v>8 - RAVAROTTO EMANUEL</v>
      </c>
      <c r="D10" s="22">
        <f t="shared" si="0"/>
        <v>0.75384615384615383</v>
      </c>
      <c r="E10" s="13">
        <v>64</v>
      </c>
      <c r="F10" s="12">
        <f t="shared" si="1"/>
        <v>83</v>
      </c>
      <c r="G10" s="13">
        <f>VLOOKUP(B10,'Base Cobertura'!$A:$C,3,FALSE)</f>
        <v>195</v>
      </c>
      <c r="H10" s="13">
        <f>VLOOKUP(B10,'Base Cobertura'!$A:$C,2,FALSE)</f>
        <v>147</v>
      </c>
      <c r="I10" s="17">
        <f t="shared" si="2"/>
        <v>18.75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23</v>
      </c>
      <c r="T10" s="13">
        <v>214</v>
      </c>
      <c r="U10" s="5">
        <f t="shared" si="3"/>
        <v>0.10747663551401869</v>
      </c>
    </row>
    <row r="11" spans="1:21" x14ac:dyDescent="0.25">
      <c r="A11" s="146"/>
      <c r="B11">
        <v>52</v>
      </c>
      <c r="C11" s="31" t="str">
        <f>+AVANCE!B14</f>
        <v>52 - MARSALL NICOLAS</v>
      </c>
      <c r="D11" s="32">
        <f t="shared" si="0"/>
        <v>0.49019607843137253</v>
      </c>
      <c r="E11" s="31">
        <v>19</v>
      </c>
      <c r="F11" s="33">
        <f t="shared" si="1"/>
        <v>31</v>
      </c>
      <c r="G11" s="13">
        <f>VLOOKUP(B11,'Base Cobertura'!$A:$C,3,FALSE)</f>
        <v>102</v>
      </c>
      <c r="H11" s="13">
        <f>VLOOKUP(B11,'Base Cobertura'!$A:$C,2,FALSE)</f>
        <v>50</v>
      </c>
      <c r="I11" s="34">
        <f t="shared" si="2"/>
        <v>36.700000000000003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42</v>
      </c>
      <c r="T11" s="13">
        <v>214</v>
      </c>
      <c r="U11" s="5">
        <f t="shared" si="3"/>
        <v>0.19626168224299065</v>
      </c>
    </row>
    <row r="12" spans="1:21" x14ac:dyDescent="0.25">
      <c r="A12" s="146"/>
      <c r="B12">
        <v>53</v>
      </c>
      <c r="C12" s="31" t="str">
        <f>+AVANCE!B15</f>
        <v>53 - SANDOVAL RODRIGO</v>
      </c>
      <c r="D12" s="32">
        <f t="shared" si="0"/>
        <v>0.56190476190476191</v>
      </c>
      <c r="E12" s="31">
        <v>24</v>
      </c>
      <c r="F12" s="33">
        <f t="shared" si="1"/>
        <v>35</v>
      </c>
      <c r="G12" s="13">
        <f>VLOOKUP(B12,'Base Cobertura'!$A:$C,3,FALSE)</f>
        <v>105</v>
      </c>
      <c r="H12" s="13">
        <f>VLOOKUP(B12,'Base Cobertura'!$A:$C,2,FALSE)</f>
        <v>59</v>
      </c>
      <c r="I12" s="34">
        <f t="shared" si="2"/>
        <v>30.25</v>
      </c>
      <c r="J12" t="s">
        <v>59</v>
      </c>
    </row>
    <row r="13" spans="1:21" x14ac:dyDescent="0.25">
      <c r="A13" s="146"/>
      <c r="B13">
        <v>5</v>
      </c>
      <c r="C13" s="13" t="str">
        <f>+AVANCE!B8</f>
        <v>5 - SCHELOVER RAUL</v>
      </c>
      <c r="D13" s="22">
        <f t="shared" si="0"/>
        <v>0.84674329501915713</v>
      </c>
      <c r="E13" s="13">
        <v>144</v>
      </c>
      <c r="F13" s="12">
        <f t="shared" si="1"/>
        <v>77</v>
      </c>
      <c r="G13" s="13">
        <f>VLOOKUP(B13,'Base Cobertura'!$A:$C,3,FALSE)</f>
        <v>261</v>
      </c>
      <c r="H13" s="13">
        <f>VLOOKUP(B13,'Base Cobertura'!$A:$C,2,FALSE)</f>
        <v>221</v>
      </c>
      <c r="I13" s="17">
        <f t="shared" si="2"/>
        <v>0.84999999999999432</v>
      </c>
      <c r="J13" t="s">
        <v>57</v>
      </c>
      <c r="K13" t="s">
        <v>64</v>
      </c>
    </row>
    <row r="14" spans="1:21" ht="15.75" thickBot="1" x14ac:dyDescent="0.3">
      <c r="A14" s="146"/>
      <c r="B14">
        <v>4</v>
      </c>
      <c r="C14" s="10" t="str">
        <f>+AVANCE!B9</f>
        <v>4 - TUR SPRINGER FERNANDO</v>
      </c>
      <c r="D14" s="22">
        <f t="shared" si="0"/>
        <v>0.75824175824175821</v>
      </c>
      <c r="E14" s="13">
        <v>85</v>
      </c>
      <c r="F14" s="12">
        <f t="shared" si="1"/>
        <v>53</v>
      </c>
      <c r="G14" s="13">
        <f>VLOOKUP(B14,'Base Cobertura'!$A:$C,3,FALSE)</f>
        <v>182</v>
      </c>
      <c r="H14" s="13">
        <f>VLOOKUP(B14,'Base Cobertura'!$A:$C,2,FALSE)</f>
        <v>138</v>
      </c>
      <c r="I14" s="17">
        <f t="shared" si="2"/>
        <v>16.699999999999989</v>
      </c>
      <c r="J14" t="s">
        <v>55</v>
      </c>
      <c r="K14" t="s">
        <v>64</v>
      </c>
    </row>
    <row r="15" spans="1:21" ht="15.75" thickBot="1" x14ac:dyDescent="0.3">
      <c r="A15" s="147"/>
      <c r="C15" s="9"/>
      <c r="D15" s="23"/>
      <c r="E15" s="14"/>
      <c r="F15" s="16">
        <f>+SUM(F2:F14)</f>
        <v>818</v>
      </c>
      <c r="G15" s="8">
        <f>+SUM(G2:G14)</f>
        <v>2241</v>
      </c>
      <c r="H15" s="8">
        <f>+SUM(H2:H14)</f>
        <v>1697</v>
      </c>
      <c r="I15" s="8"/>
    </row>
    <row r="16" spans="1:21" x14ac:dyDescent="0.25">
      <c r="A16" s="148" t="s">
        <v>38</v>
      </c>
      <c r="B16">
        <v>31</v>
      </c>
      <c r="C16" s="12" t="str">
        <f>+AVANCE!B22</f>
        <v>31 - RENZO RAMOS</v>
      </c>
      <c r="D16" s="22">
        <f t="shared" si="0"/>
        <v>0.78881987577639756</v>
      </c>
      <c r="E16" s="13">
        <v>90</v>
      </c>
      <c r="F16" s="12">
        <f t="shared" si="1"/>
        <v>37</v>
      </c>
      <c r="G16" s="13">
        <f>VLOOKUP(B16,'Base Cobertura'!$A:$C,3,FALSE)</f>
        <v>161</v>
      </c>
      <c r="H16" s="13">
        <f>VLOOKUP(B16,'Base Cobertura'!$A:$C,2,FALSE)</f>
        <v>127</v>
      </c>
      <c r="I16" s="17">
        <f t="shared" si="2"/>
        <v>9.8499999999999943</v>
      </c>
      <c r="J16" t="s">
        <v>55</v>
      </c>
      <c r="K16" t="s">
        <v>55</v>
      </c>
    </row>
    <row r="17" spans="1:11" x14ac:dyDescent="0.25">
      <c r="A17" s="146"/>
      <c r="B17">
        <v>54</v>
      </c>
      <c r="C17" s="13" t="str">
        <f>+AVANCE!B24</f>
        <v>54 - BARTSCHAT EMILIANO NAHUEL</v>
      </c>
      <c r="D17" s="22">
        <f t="shared" si="0"/>
        <v>0.63861386138613863</v>
      </c>
      <c r="E17" s="13">
        <v>92</v>
      </c>
      <c r="F17" s="12">
        <f t="shared" si="1"/>
        <v>37</v>
      </c>
      <c r="G17" s="13">
        <f>VLOOKUP(B17,'Base Cobertura'!$A:$C,3,FALSE)</f>
        <v>202</v>
      </c>
      <c r="H17" s="13">
        <f>VLOOKUP(B17,'Base Cobertura'!$A:$C,2,FALSE)</f>
        <v>129</v>
      </c>
      <c r="I17" s="17">
        <f t="shared" si="2"/>
        <v>42.699999999999989</v>
      </c>
      <c r="J17" t="s">
        <v>55</v>
      </c>
      <c r="K17" t="s">
        <v>63</v>
      </c>
    </row>
    <row r="18" spans="1:11" x14ac:dyDescent="0.25">
      <c r="A18" s="146"/>
      <c r="B18">
        <v>21</v>
      </c>
      <c r="C18" s="13" t="str">
        <f>+AVANCE!B20</f>
        <v>21 - CATAN MATIAS</v>
      </c>
      <c r="D18" s="22">
        <f t="shared" si="0"/>
        <v>0.85380116959064323</v>
      </c>
      <c r="E18" s="13">
        <v>88</v>
      </c>
      <c r="F18" s="12">
        <f t="shared" si="1"/>
        <v>58</v>
      </c>
      <c r="G18" s="13">
        <f>VLOOKUP(B18,'Base Cobertura'!$A:$C,3,FALSE)</f>
        <v>171</v>
      </c>
      <c r="H18" s="13">
        <f>VLOOKUP(B18,'Base Cobertura'!$A:$C,2,FALSE)</f>
        <v>146</v>
      </c>
      <c r="I18" s="17">
        <f t="shared" si="2"/>
        <v>-0.65000000000000568</v>
      </c>
      <c r="J18" t="s">
        <v>58</v>
      </c>
      <c r="K18" t="s">
        <v>55</v>
      </c>
    </row>
    <row r="19" spans="1:11" x14ac:dyDescent="0.25">
      <c r="A19" s="146"/>
      <c r="B19">
        <v>23</v>
      </c>
      <c r="C19" s="13" t="str">
        <f>+AVANCE!B21</f>
        <v>23 - DELGADO JOSÉ</v>
      </c>
      <c r="D19" s="22">
        <f t="shared" si="0"/>
        <v>0.87662337662337664</v>
      </c>
      <c r="E19" s="13">
        <v>95</v>
      </c>
      <c r="F19" s="12">
        <f t="shared" si="1"/>
        <v>40</v>
      </c>
      <c r="G19" s="13">
        <f>VLOOKUP(B19,'Base Cobertura'!$A:$C,3,FALSE)</f>
        <v>154</v>
      </c>
      <c r="H19" s="13">
        <f>VLOOKUP(B19,'Base Cobertura'!$A:$C,2,FALSE)</f>
        <v>135</v>
      </c>
      <c r="I19" s="17">
        <f t="shared" si="2"/>
        <v>-4.0999999999999943</v>
      </c>
      <c r="J19" t="s">
        <v>58</v>
      </c>
      <c r="K19" t="s">
        <v>64</v>
      </c>
    </row>
    <row r="20" spans="1:11" x14ac:dyDescent="0.25">
      <c r="A20" s="146"/>
      <c r="B20">
        <v>18</v>
      </c>
      <c r="C20" s="13" t="str">
        <f>+AVANCE!B19</f>
        <v>18 - HERRERA PABLO</v>
      </c>
      <c r="D20" s="22">
        <f t="shared" si="0"/>
        <v>0.86440677966101698</v>
      </c>
      <c r="E20" s="13">
        <v>83</v>
      </c>
      <c r="F20" s="12">
        <f t="shared" si="1"/>
        <v>70</v>
      </c>
      <c r="G20" s="13">
        <f>VLOOKUP(B20,'Base Cobertura'!$A:$C,3,FALSE)</f>
        <v>177</v>
      </c>
      <c r="H20" s="13">
        <f>VLOOKUP(B20,'Base Cobertura'!$A:$C,2,FALSE)</f>
        <v>153</v>
      </c>
      <c r="I20" s="17">
        <f t="shared" si="2"/>
        <v>-2.5500000000000114</v>
      </c>
      <c r="J20" t="s">
        <v>55</v>
      </c>
      <c r="K20" t="s">
        <v>55</v>
      </c>
    </row>
    <row r="21" spans="1:11" x14ac:dyDescent="0.25">
      <c r="A21" s="146"/>
      <c r="B21">
        <v>44</v>
      </c>
      <c r="C21" s="13" t="str">
        <f>+AVANCE!B23</f>
        <v>44 - MONGES CESAR LUIS</v>
      </c>
      <c r="D21" s="22">
        <f t="shared" si="0"/>
        <v>0.81065088757396453</v>
      </c>
      <c r="E21" s="13">
        <v>64</v>
      </c>
      <c r="F21" s="12">
        <f t="shared" si="1"/>
        <v>73</v>
      </c>
      <c r="G21" s="13">
        <f>VLOOKUP(B21,'Base Cobertura'!$A:$C,3,FALSE)</f>
        <v>169</v>
      </c>
      <c r="H21" s="13">
        <f>VLOOKUP(B21,'Base Cobertura'!$A:$C,2,FALSE)</f>
        <v>137</v>
      </c>
      <c r="I21" s="17">
        <f t="shared" si="2"/>
        <v>6.6500000000000057</v>
      </c>
      <c r="J21" t="s">
        <v>58</v>
      </c>
      <c r="K21" t="s">
        <v>64</v>
      </c>
    </row>
    <row r="22" spans="1:11" x14ac:dyDescent="0.25">
      <c r="A22" s="146"/>
      <c r="B22">
        <v>56</v>
      </c>
      <c r="C22" s="13" t="str">
        <f>+AVANCE!B25</f>
        <v>56 - JUAN ANDRES SANCHEZ</v>
      </c>
      <c r="D22" s="22">
        <f t="shared" si="0"/>
        <v>0.40909090909090912</v>
      </c>
      <c r="E22" s="13">
        <v>66</v>
      </c>
      <c r="F22" s="12">
        <f t="shared" si="1"/>
        <v>15</v>
      </c>
      <c r="G22" s="13">
        <f>VLOOKUP(B22,'Base Cobertura'!$A:$C,3,FALSE)</f>
        <v>198</v>
      </c>
      <c r="H22" s="13">
        <f>VLOOKUP(B22,'Base Cobertura'!$A:$C,2,FALSE)</f>
        <v>81</v>
      </c>
      <c r="I22" s="17">
        <f t="shared" si="2"/>
        <v>87.299999999999983</v>
      </c>
      <c r="J22" t="s">
        <v>58</v>
      </c>
      <c r="K22" t="s">
        <v>66</v>
      </c>
    </row>
    <row r="23" spans="1:11" x14ac:dyDescent="0.25">
      <c r="A23" s="146"/>
      <c r="B23">
        <v>2</v>
      </c>
      <c r="C23" s="13" t="str">
        <f>+AVANCE!B17</f>
        <v>2 - OJEDA NORBERTO</v>
      </c>
      <c r="D23" s="22">
        <f t="shared" si="0"/>
        <v>0.81159420289855078</v>
      </c>
      <c r="E23" s="13">
        <v>70</v>
      </c>
      <c r="F23" s="12">
        <f t="shared" si="1"/>
        <v>42</v>
      </c>
      <c r="G23" s="13">
        <f>VLOOKUP(B23,'Base Cobertura'!$A:$C,3,FALSE)</f>
        <v>138</v>
      </c>
      <c r="H23" s="13">
        <f>VLOOKUP(B23,'Base Cobertura'!$A:$C,2,FALSE)</f>
        <v>112</v>
      </c>
      <c r="I23" s="17">
        <f t="shared" si="2"/>
        <v>5.2999999999999972</v>
      </c>
      <c r="J23" t="s">
        <v>58</v>
      </c>
      <c r="K23" t="s">
        <v>67</v>
      </c>
    </row>
    <row r="24" spans="1:11" ht="15.75" thickBot="1" x14ac:dyDescent="0.3">
      <c r="A24" s="146"/>
      <c r="B24">
        <v>3</v>
      </c>
      <c r="C24" s="10" t="str">
        <f>+AVANCE!B18</f>
        <v>3 - VIDAL NAHUEL</v>
      </c>
      <c r="D24" s="22">
        <f t="shared" si="0"/>
        <v>0.87058823529411766</v>
      </c>
      <c r="E24" s="13">
        <v>79</v>
      </c>
      <c r="F24" s="12">
        <f t="shared" si="1"/>
        <v>69</v>
      </c>
      <c r="G24" s="13">
        <f>VLOOKUP(B24,'Base Cobertura'!$A:$C,3,FALSE)</f>
        <v>170</v>
      </c>
      <c r="H24" s="13">
        <f>VLOOKUP(B24,'Base Cobertura'!$A:$C,2,FALSE)</f>
        <v>148</v>
      </c>
      <c r="I24" s="17">
        <f t="shared" si="2"/>
        <v>-3.5</v>
      </c>
      <c r="J24" t="s">
        <v>60</v>
      </c>
      <c r="K24" t="s">
        <v>64</v>
      </c>
    </row>
    <row r="25" spans="1:11" ht="15.75" thickBot="1" x14ac:dyDescent="0.3">
      <c r="A25" s="147"/>
      <c r="C25" s="9"/>
      <c r="D25" s="23"/>
      <c r="E25" s="14"/>
      <c r="F25" s="16">
        <f>+SUM(F16:F24)</f>
        <v>441</v>
      </c>
      <c r="G25" s="8">
        <f>+SUM(G16:G24)</f>
        <v>1540</v>
      </c>
      <c r="H25" s="8">
        <f>+SUM(H16:H24)</f>
        <v>1168</v>
      </c>
      <c r="I25" s="8"/>
    </row>
    <row r="26" spans="1:11" x14ac:dyDescent="0.25">
      <c r="A26" s="148" t="s">
        <v>218</v>
      </c>
      <c r="B26">
        <v>32</v>
      </c>
      <c r="C26" s="12" t="str">
        <f>+AVANCE!B27</f>
        <v>32 - CABRAL GONZALO</v>
      </c>
      <c r="D26" s="22">
        <f t="shared" si="0"/>
        <v>0.7931034482758621</v>
      </c>
      <c r="E26" s="13">
        <v>20</v>
      </c>
      <c r="F26" s="12">
        <f>+H26-E26</f>
        <v>26</v>
      </c>
      <c r="G26" s="13">
        <f>VLOOKUP(B26,'Base Cobertura'!$A:$C,3,FALSE)</f>
        <v>58</v>
      </c>
      <c r="H26" s="13">
        <f>VLOOKUP(B26,'Base Cobertura'!$A:$C,2,FALSE)</f>
        <v>46</v>
      </c>
      <c r="I26" s="17">
        <f t="shared" si="2"/>
        <v>3.2999999999999972</v>
      </c>
      <c r="J26" t="s">
        <v>55</v>
      </c>
      <c r="K26" t="s">
        <v>67</v>
      </c>
    </row>
    <row r="27" spans="1:11" x14ac:dyDescent="0.25">
      <c r="A27" s="146"/>
      <c r="B27">
        <v>36</v>
      </c>
      <c r="C27" s="12" t="str">
        <f>+AVANCE!B28</f>
        <v>36 - COSARINSKI DIEGO</v>
      </c>
      <c r="D27" s="22">
        <f t="shared" si="0"/>
        <v>0.72499999999999998</v>
      </c>
      <c r="E27" s="13">
        <v>68</v>
      </c>
      <c r="F27" s="12">
        <f t="shared" si="1"/>
        <v>48</v>
      </c>
      <c r="G27" s="13">
        <f>VLOOKUP(B27,'Base Cobertura'!$A:$C,3,FALSE)</f>
        <v>160</v>
      </c>
      <c r="H27" s="13">
        <f>VLOOKUP(B27,'Base Cobertura'!$A:$C,2,FALSE)</f>
        <v>116</v>
      </c>
      <c r="I27" s="17">
        <f t="shared" si="2"/>
        <v>20</v>
      </c>
      <c r="J27" t="s">
        <v>58</v>
      </c>
      <c r="K27" t="s">
        <v>67</v>
      </c>
    </row>
    <row r="28" spans="1:11" x14ac:dyDescent="0.25">
      <c r="A28" s="146"/>
      <c r="B28">
        <v>9</v>
      </c>
      <c r="C28" s="12" t="str">
        <f>+AVANCE!B29</f>
        <v>9 - ESTIGARRIBIA DAVID</v>
      </c>
      <c r="D28" s="22">
        <f t="shared" si="0"/>
        <v>0.79503105590062106</v>
      </c>
      <c r="E28" s="13">
        <v>80</v>
      </c>
      <c r="F28" s="12">
        <f t="shared" si="1"/>
        <v>48</v>
      </c>
      <c r="G28" s="13">
        <f>VLOOKUP(B28,'Base Cobertura'!$A:$C,3,FALSE)</f>
        <v>161</v>
      </c>
      <c r="H28" s="13">
        <f>VLOOKUP(B28,'Base Cobertura'!$A:$C,2,FALSE)</f>
        <v>128</v>
      </c>
      <c r="I28" s="17">
        <f t="shared" si="2"/>
        <v>8.8499999999999943</v>
      </c>
      <c r="J28" t="s">
        <v>58</v>
      </c>
      <c r="K28" t="s">
        <v>55</v>
      </c>
    </row>
    <row r="29" spans="1:11" x14ac:dyDescent="0.25">
      <c r="A29" s="146"/>
      <c r="B29">
        <v>40</v>
      </c>
      <c r="C29" s="12" t="str">
        <f>+AVANCE!B30</f>
        <v>40 - IBARROLA JORGE</v>
      </c>
      <c r="D29" s="22">
        <f t="shared" si="0"/>
        <v>0.45600000000000002</v>
      </c>
      <c r="E29" s="13">
        <v>68</v>
      </c>
      <c r="F29" s="12">
        <f t="shared" si="1"/>
        <v>46</v>
      </c>
      <c r="G29" s="13">
        <f>VLOOKUP(B29,'Base Cobertura'!$A:$C,3,FALSE)</f>
        <v>250</v>
      </c>
      <c r="H29" s="13">
        <f>VLOOKUP(B29,'Base Cobertura'!$A:$C,2,FALSE)</f>
        <v>114</v>
      </c>
      <c r="I29" s="17">
        <f t="shared" si="2"/>
        <v>98.5</v>
      </c>
      <c r="J29" t="s">
        <v>58</v>
      </c>
      <c r="K29" t="s">
        <v>67</v>
      </c>
    </row>
    <row r="30" spans="1:11" x14ac:dyDescent="0.25">
      <c r="A30" s="146"/>
      <c r="B30">
        <v>27</v>
      </c>
      <c r="C30" s="12" t="str">
        <f>+AVANCE!B31</f>
        <v>27 - GOMEZ ADRIÁN</v>
      </c>
      <c r="D30" s="22">
        <f t="shared" si="0"/>
        <v>0.93525179856115104</v>
      </c>
      <c r="E30" s="13">
        <v>73</v>
      </c>
      <c r="F30" s="12">
        <f t="shared" si="1"/>
        <v>57</v>
      </c>
      <c r="G30" s="13">
        <f>VLOOKUP(B30,'Base Cobertura'!$A:$C,3,FALSE)</f>
        <v>139</v>
      </c>
      <c r="H30" s="13">
        <f>VLOOKUP(B30,'Base Cobertura'!$A:$C,2,FALSE)</f>
        <v>130</v>
      </c>
      <c r="I30" s="17">
        <f t="shared" si="2"/>
        <v>-11.850000000000009</v>
      </c>
      <c r="J30" t="s">
        <v>55</v>
      </c>
      <c r="K30" t="s">
        <v>67</v>
      </c>
    </row>
    <row r="31" spans="1:11" x14ac:dyDescent="0.25">
      <c r="A31" s="146"/>
      <c r="B31">
        <v>10</v>
      </c>
      <c r="C31" s="12" t="str">
        <f>+AVANCE!B32</f>
        <v>10 - BRITEZ EMMANUEL</v>
      </c>
      <c r="D31" s="22">
        <f t="shared" si="0"/>
        <v>0.68852459016393441</v>
      </c>
      <c r="E31" s="13">
        <v>40</v>
      </c>
      <c r="F31" s="12">
        <f t="shared" si="1"/>
        <v>86</v>
      </c>
      <c r="G31" s="13">
        <f>VLOOKUP(B31,'Base Cobertura'!$A:$C,3,FALSE)</f>
        <v>183</v>
      </c>
      <c r="H31" s="13">
        <f>VLOOKUP(B31,'Base Cobertura'!$A:$C,2,FALSE)</f>
        <v>126</v>
      </c>
      <c r="I31" s="17">
        <f t="shared" si="2"/>
        <v>29.549999999999983</v>
      </c>
      <c r="J31" t="s">
        <v>58</v>
      </c>
      <c r="K31" t="s">
        <v>67</v>
      </c>
    </row>
    <row r="32" spans="1:11" x14ac:dyDescent="0.25">
      <c r="A32" s="146"/>
      <c r="B32">
        <v>28</v>
      </c>
      <c r="C32" s="12" t="str">
        <f>+AVANCE!B33</f>
        <v>28 - GOMEZ PABLO</v>
      </c>
      <c r="D32" s="22">
        <f t="shared" si="0"/>
        <v>0.81547619047619047</v>
      </c>
      <c r="E32" s="13">
        <v>67</v>
      </c>
      <c r="F32" s="12">
        <f t="shared" si="1"/>
        <v>70</v>
      </c>
      <c r="G32" s="13">
        <f>VLOOKUP(B32,'Base Cobertura'!$A:$C,3,FALSE)</f>
        <v>168</v>
      </c>
      <c r="H32" s="13">
        <f>VLOOKUP(B32,'Base Cobertura'!$A:$C,2,FALSE)</f>
        <v>137</v>
      </c>
      <c r="I32" s="17">
        <f t="shared" si="2"/>
        <v>5.7999999999999829</v>
      </c>
      <c r="J32" t="s">
        <v>58</v>
      </c>
      <c r="K32" t="s">
        <v>67</v>
      </c>
    </row>
    <row r="33" spans="1:12" x14ac:dyDescent="0.25">
      <c r="A33" s="146"/>
      <c r="B33">
        <v>33</v>
      </c>
      <c r="C33" s="12" t="str">
        <f>+AVANCE!B34</f>
        <v>33 - NICOLAS AZULA</v>
      </c>
      <c r="D33" s="22">
        <f t="shared" si="0"/>
        <v>0.79881656804733725</v>
      </c>
      <c r="E33" s="13">
        <v>66</v>
      </c>
      <c r="F33" s="12">
        <f t="shared" si="1"/>
        <v>69</v>
      </c>
      <c r="G33" s="13">
        <f>VLOOKUP(B33,'Base Cobertura'!$A:$C,3,FALSE)</f>
        <v>169</v>
      </c>
      <c r="H33" s="13">
        <f>VLOOKUP(B33,'Base Cobertura'!$A:$C,2,FALSE)</f>
        <v>135</v>
      </c>
      <c r="I33" s="17">
        <f t="shared" si="2"/>
        <v>8.6500000000000057</v>
      </c>
      <c r="J33" t="s">
        <v>58</v>
      </c>
      <c r="K33" t="s">
        <v>67</v>
      </c>
    </row>
    <row r="34" spans="1:12" x14ac:dyDescent="0.25">
      <c r="A34" s="146"/>
      <c r="B34">
        <v>37</v>
      </c>
      <c r="C34" s="12" t="str">
        <f>+AVANCE!B35</f>
        <v>37 - PEREZ ESQUIVEL BRUNO NICOLAS</v>
      </c>
      <c r="D34" s="22">
        <f t="shared" si="0"/>
        <v>0.49295774647887325</v>
      </c>
      <c r="E34" s="13">
        <v>82</v>
      </c>
      <c r="F34" s="12">
        <f t="shared" si="1"/>
        <v>-12</v>
      </c>
      <c r="G34" s="13">
        <f>VLOOKUP(B34,'Base Cobertura'!$A:$C,3,FALSE)</f>
        <v>142</v>
      </c>
      <c r="H34" s="13">
        <f>VLOOKUP(B34,'Base Cobertura'!$A:$C,2,FALSE)</f>
        <v>70</v>
      </c>
      <c r="I34" s="17">
        <f t="shared" si="2"/>
        <v>50.7</v>
      </c>
      <c r="J34" t="s">
        <v>55</v>
      </c>
      <c r="K34" t="s">
        <v>67</v>
      </c>
    </row>
    <row r="35" spans="1:12" x14ac:dyDescent="0.25">
      <c r="A35" s="146"/>
      <c r="B35">
        <v>24</v>
      </c>
      <c r="C35" s="12" t="str">
        <f>+AVANCE!B36</f>
        <v>24 - MARTINEZ JORGE NICOLAS</v>
      </c>
      <c r="D35" s="22">
        <f t="shared" si="0"/>
        <v>0.65730337078651691</v>
      </c>
      <c r="E35" s="13">
        <v>81</v>
      </c>
      <c r="F35" s="12">
        <f t="shared" si="1"/>
        <v>36</v>
      </c>
      <c r="G35" s="13">
        <f>VLOOKUP(B35,'Base Cobertura'!$A:$C,3,FALSE)</f>
        <v>178</v>
      </c>
      <c r="H35" s="13">
        <f>VLOOKUP(B35,'Base Cobertura'!$A:$C,2,FALSE)</f>
        <v>117</v>
      </c>
      <c r="I35" s="17">
        <f t="shared" si="2"/>
        <v>34.299999999999983</v>
      </c>
      <c r="J35" t="s">
        <v>58</v>
      </c>
      <c r="K35" t="s">
        <v>67</v>
      </c>
    </row>
    <row r="36" spans="1:12" x14ac:dyDescent="0.25">
      <c r="A36" s="146"/>
      <c r="B36">
        <v>7</v>
      </c>
      <c r="C36" s="12" t="str">
        <f>+AVANCE!B37</f>
        <v>7 - VALLEJOS EDUARDO</v>
      </c>
      <c r="D36" s="22">
        <f t="shared" si="0"/>
        <v>0.12173913043478261</v>
      </c>
      <c r="E36" s="13">
        <v>0</v>
      </c>
      <c r="F36" s="12">
        <f t="shared" si="1"/>
        <v>14</v>
      </c>
      <c r="G36" s="13">
        <f>VLOOKUP(B36,'Base Cobertura'!$A:$C,3,FALSE)</f>
        <v>115</v>
      </c>
      <c r="H36" s="13">
        <f>VLOOKUP(B36,'Base Cobertura'!$A:$C,2,FALSE)</f>
        <v>14</v>
      </c>
      <c r="I36" s="17">
        <f t="shared" si="2"/>
        <v>83.75</v>
      </c>
      <c r="J36" t="s">
        <v>58</v>
      </c>
    </row>
    <row r="37" spans="1:12" x14ac:dyDescent="0.25">
      <c r="A37" s="146"/>
      <c r="B37">
        <v>57</v>
      </c>
      <c r="C37" s="12" t="str">
        <f>+AVANCE!B38</f>
        <v>57 - ROUBINEAU SEBASTIAN</v>
      </c>
      <c r="D37" s="22">
        <f t="shared" si="0"/>
        <v>0.37142857142857144</v>
      </c>
      <c r="E37" s="13">
        <v>17</v>
      </c>
      <c r="F37" s="12">
        <f t="shared" si="1"/>
        <v>22</v>
      </c>
      <c r="G37" s="13">
        <f>VLOOKUP(B37,'Base Cobertura'!$A:$C,3,FALSE)</f>
        <v>105</v>
      </c>
      <c r="H37" s="13">
        <f>VLOOKUP(B37,'Base Cobertura'!$A:$C,2,FALSE)</f>
        <v>39</v>
      </c>
      <c r="I37" s="17">
        <f t="shared" si="2"/>
        <v>50.25</v>
      </c>
      <c r="J37" t="s">
        <v>59</v>
      </c>
    </row>
    <row r="38" spans="1:12" ht="15.75" thickBot="1" x14ac:dyDescent="0.3">
      <c r="A38" s="146"/>
      <c r="B38">
        <v>1</v>
      </c>
      <c r="C38" s="12" t="str">
        <f>+AVANCE!B39</f>
        <v>1 - VERA ERNESTO</v>
      </c>
      <c r="D38" s="22">
        <f t="shared" si="0"/>
        <v>0.81889763779527558</v>
      </c>
      <c r="E38" s="13">
        <v>60</v>
      </c>
      <c r="F38" s="12">
        <f t="shared" si="1"/>
        <v>44</v>
      </c>
      <c r="G38" s="13">
        <f>VLOOKUP(B38,'Base Cobertura'!$A:$C,3,FALSE)</f>
        <v>127</v>
      </c>
      <c r="H38" s="13">
        <f>VLOOKUP(B38,'Base Cobertura'!$A:$C,2,FALSE)</f>
        <v>104</v>
      </c>
      <c r="I38" s="17">
        <f t="shared" si="2"/>
        <v>3.9500000000000028</v>
      </c>
      <c r="J38" t="s">
        <v>55</v>
      </c>
      <c r="K38" t="s">
        <v>55</v>
      </c>
    </row>
    <row r="39" spans="1:12" ht="15.75" thickBot="1" x14ac:dyDescent="0.3">
      <c r="A39" s="147"/>
      <c r="C39" s="9"/>
      <c r="D39" s="23"/>
      <c r="E39" s="14"/>
      <c r="F39" s="8">
        <f>+SUM(F26:F38)</f>
        <v>554</v>
      </c>
      <c r="G39" s="8">
        <f>+SUM(G26:G38)</f>
        <v>1955</v>
      </c>
      <c r="H39" s="8">
        <f>+SUM(H26:H38)</f>
        <v>1276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1813</v>
      </c>
      <c r="G40" s="8">
        <f>+G15+G25+G39</f>
        <v>5736</v>
      </c>
      <c r="H40" s="8">
        <f>+H15+H25+H39</f>
        <v>4141</v>
      </c>
      <c r="I40" s="8"/>
      <c r="L40" s="1">
        <f>+H40/G40</f>
        <v>0.72193165969316597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0.31967213114754101</v>
      </c>
      <c r="E41" s="13">
        <v>60</v>
      </c>
      <c r="F41" s="12">
        <f t="shared" ref="F41:F42" si="5">+H41-E41</f>
        <v>-21</v>
      </c>
      <c r="G41" s="13">
        <f>VLOOKUP(B41,'Base Cobertura'!$A:$C,3,FALSE)</f>
        <v>122</v>
      </c>
      <c r="H41" s="13">
        <f>VLOOKUP(B41,'Base Cobertura'!$A:$C,2,FALSE)</f>
        <v>39</v>
      </c>
      <c r="I41" s="17">
        <f t="shared" ref="I41:I42" si="6">(+G41*$M$2)-H41</f>
        <v>64.7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0.41463414634146339</v>
      </c>
      <c r="E42" s="13">
        <v>60</v>
      </c>
      <c r="F42" s="12">
        <f t="shared" si="5"/>
        <v>-9</v>
      </c>
      <c r="G42" s="13">
        <f>VLOOKUP(B42,'Base Cobertura'!$A:$C,3,FALSE)</f>
        <v>123</v>
      </c>
      <c r="H42" s="13">
        <f>VLOOKUP(B42,'Base Cobertura'!$A:$C,2,FALSE)</f>
        <v>51</v>
      </c>
      <c r="I42" s="17">
        <f t="shared" si="6"/>
        <v>53.55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5</v>
      </c>
      <c r="C3" s="51">
        <v>3432</v>
      </c>
      <c r="G3" t="s">
        <v>222</v>
      </c>
      <c r="H3" s="51">
        <v>1</v>
      </c>
      <c r="I3" s="51">
        <v>3432</v>
      </c>
    </row>
    <row r="4" spans="1:9" x14ac:dyDescent="0.25">
      <c r="A4">
        <v>1</v>
      </c>
      <c r="B4" s="51">
        <v>104</v>
      </c>
      <c r="C4" s="51">
        <v>127</v>
      </c>
      <c r="G4" t="s">
        <v>223</v>
      </c>
      <c r="H4">
        <v>2</v>
      </c>
      <c r="I4" s="51">
        <v>3432</v>
      </c>
    </row>
    <row r="5" spans="1:9" x14ac:dyDescent="0.25">
      <c r="A5">
        <v>10</v>
      </c>
      <c r="B5" s="51">
        <v>126</v>
      </c>
      <c r="C5" s="51">
        <v>183</v>
      </c>
      <c r="G5" t="s">
        <v>224</v>
      </c>
      <c r="H5" s="51">
        <v>1</v>
      </c>
      <c r="I5" s="51">
        <v>3432</v>
      </c>
    </row>
    <row r="6" spans="1:9" x14ac:dyDescent="0.25">
      <c r="A6">
        <v>100</v>
      </c>
      <c r="B6" s="51">
        <v>45</v>
      </c>
      <c r="C6" s="51">
        <v>2028</v>
      </c>
      <c r="G6" t="s">
        <v>225</v>
      </c>
      <c r="H6" s="51"/>
      <c r="I6" s="51">
        <v>3432</v>
      </c>
    </row>
    <row r="7" spans="1:9" x14ac:dyDescent="0.25">
      <c r="A7">
        <v>11</v>
      </c>
      <c r="B7" s="51">
        <v>132</v>
      </c>
      <c r="C7" s="51">
        <v>169</v>
      </c>
      <c r="G7" t="s">
        <v>226</v>
      </c>
      <c r="H7" s="51">
        <v>4</v>
      </c>
      <c r="I7" s="51">
        <v>3432</v>
      </c>
    </row>
    <row r="8" spans="1:9" x14ac:dyDescent="0.25">
      <c r="A8">
        <v>12</v>
      </c>
      <c r="B8" s="51">
        <v>186</v>
      </c>
      <c r="C8" s="51">
        <v>214</v>
      </c>
      <c r="G8" t="s">
        <v>227</v>
      </c>
      <c r="H8" s="51">
        <v>2</v>
      </c>
      <c r="I8" s="51">
        <v>3432</v>
      </c>
    </row>
    <row r="9" spans="1:9" x14ac:dyDescent="0.25">
      <c r="A9">
        <v>123</v>
      </c>
      <c r="B9" s="51">
        <v>37</v>
      </c>
      <c r="C9" s="51">
        <v>490</v>
      </c>
      <c r="G9" t="s">
        <v>228</v>
      </c>
      <c r="H9" s="51">
        <v>2</v>
      </c>
      <c r="I9" s="51">
        <v>3432</v>
      </c>
    </row>
    <row r="10" spans="1:9" x14ac:dyDescent="0.25">
      <c r="A10">
        <v>15</v>
      </c>
      <c r="B10" s="51">
        <v>49</v>
      </c>
      <c r="C10" s="51">
        <v>65</v>
      </c>
      <c r="G10" t="s">
        <v>229</v>
      </c>
      <c r="H10">
        <v>1</v>
      </c>
      <c r="I10" s="51">
        <v>3432</v>
      </c>
    </row>
    <row r="11" spans="1:9" x14ac:dyDescent="0.25">
      <c r="A11">
        <v>16</v>
      </c>
      <c r="B11" s="51">
        <v>161</v>
      </c>
      <c r="C11" s="51">
        <v>198</v>
      </c>
      <c r="G11" t="s">
        <v>230</v>
      </c>
      <c r="H11" s="51">
        <v>1</v>
      </c>
      <c r="I11" s="51">
        <v>3432</v>
      </c>
    </row>
    <row r="12" spans="1:9" x14ac:dyDescent="0.25">
      <c r="A12">
        <v>18</v>
      </c>
      <c r="B12" s="51">
        <v>153</v>
      </c>
      <c r="C12" s="51">
        <v>177</v>
      </c>
      <c r="E12">
        <f>+F12</f>
        <v>1</v>
      </c>
      <c r="F12">
        <v>1</v>
      </c>
      <c r="G12" t="s">
        <v>222</v>
      </c>
      <c r="H12">
        <v>47</v>
      </c>
      <c r="I12" s="51">
        <v>127</v>
      </c>
    </row>
    <row r="13" spans="1:9" x14ac:dyDescent="0.25">
      <c r="A13">
        <v>19</v>
      </c>
      <c r="B13" s="51">
        <v>183</v>
      </c>
      <c r="C13" s="51">
        <v>207</v>
      </c>
      <c r="E13">
        <f>+$E$12</f>
        <v>1</v>
      </c>
      <c r="G13" t="s">
        <v>223</v>
      </c>
      <c r="H13" s="51">
        <v>44</v>
      </c>
      <c r="I13" s="51">
        <v>127</v>
      </c>
    </row>
    <row r="14" spans="1:9" x14ac:dyDescent="0.25">
      <c r="A14">
        <v>2</v>
      </c>
      <c r="B14" s="51">
        <v>112</v>
      </c>
      <c r="C14" s="51">
        <v>138</v>
      </c>
      <c r="E14">
        <f t="shared" ref="E14:E20" si="0">+$E$12</f>
        <v>1</v>
      </c>
      <c r="G14" t="s">
        <v>224</v>
      </c>
      <c r="H14" s="51">
        <v>53</v>
      </c>
      <c r="I14" s="51">
        <v>127</v>
      </c>
    </row>
    <row r="15" spans="1:9" x14ac:dyDescent="0.25">
      <c r="A15">
        <v>20</v>
      </c>
      <c r="B15" s="51">
        <v>198</v>
      </c>
      <c r="C15" s="51">
        <v>227</v>
      </c>
      <c r="E15">
        <f t="shared" si="0"/>
        <v>1</v>
      </c>
      <c r="G15" t="s">
        <v>225</v>
      </c>
      <c r="H15" s="51">
        <v>43</v>
      </c>
      <c r="I15" s="51">
        <v>127</v>
      </c>
    </row>
    <row r="16" spans="1:9" x14ac:dyDescent="0.25">
      <c r="A16">
        <v>21</v>
      </c>
      <c r="B16" s="51">
        <v>146</v>
      </c>
      <c r="C16" s="51">
        <v>171</v>
      </c>
      <c r="E16">
        <f t="shared" si="0"/>
        <v>1</v>
      </c>
      <c r="G16" t="s">
        <v>226</v>
      </c>
      <c r="H16" s="51">
        <v>65</v>
      </c>
      <c r="I16" s="51">
        <v>127</v>
      </c>
    </row>
    <row r="17" spans="1:9" x14ac:dyDescent="0.25">
      <c r="A17">
        <v>22</v>
      </c>
      <c r="B17" s="51">
        <v>62</v>
      </c>
      <c r="C17" s="51">
        <v>74</v>
      </c>
      <c r="E17">
        <f t="shared" si="0"/>
        <v>1</v>
      </c>
      <c r="G17" t="s">
        <v>227</v>
      </c>
      <c r="H17" s="51">
        <v>61</v>
      </c>
      <c r="I17" s="51">
        <v>127</v>
      </c>
    </row>
    <row r="18" spans="1:9" x14ac:dyDescent="0.25">
      <c r="A18">
        <v>23</v>
      </c>
      <c r="B18" s="51">
        <v>135</v>
      </c>
      <c r="C18" s="51">
        <v>154</v>
      </c>
      <c r="E18">
        <f t="shared" si="0"/>
        <v>1</v>
      </c>
      <c r="G18" t="s">
        <v>228</v>
      </c>
      <c r="H18" s="51">
        <v>26</v>
      </c>
      <c r="I18" s="51">
        <v>127</v>
      </c>
    </row>
    <row r="19" spans="1:9" x14ac:dyDescent="0.25">
      <c r="A19">
        <v>24</v>
      </c>
      <c r="B19" s="51">
        <v>117</v>
      </c>
      <c r="C19" s="51">
        <v>178</v>
      </c>
      <c r="E19">
        <f t="shared" si="0"/>
        <v>1</v>
      </c>
      <c r="G19" t="s">
        <v>229</v>
      </c>
      <c r="H19" s="51">
        <v>34</v>
      </c>
      <c r="I19" s="51">
        <v>127</v>
      </c>
    </row>
    <row r="20" spans="1:9" x14ac:dyDescent="0.25">
      <c r="A20">
        <v>25</v>
      </c>
      <c r="B20" s="51">
        <v>78</v>
      </c>
      <c r="C20" s="51">
        <v>172</v>
      </c>
      <c r="E20">
        <f t="shared" si="0"/>
        <v>1</v>
      </c>
      <c r="G20" t="s">
        <v>230</v>
      </c>
      <c r="H20">
        <v>44</v>
      </c>
      <c r="I20" s="51">
        <v>127</v>
      </c>
    </row>
    <row r="21" spans="1:9" x14ac:dyDescent="0.25">
      <c r="A21">
        <v>26</v>
      </c>
      <c r="B21" s="51">
        <v>75</v>
      </c>
      <c r="C21" s="51">
        <v>166</v>
      </c>
      <c r="E21">
        <f>+$F$21</f>
        <v>10</v>
      </c>
      <c r="F21">
        <v>10</v>
      </c>
      <c r="G21" t="s">
        <v>222</v>
      </c>
      <c r="H21" s="51">
        <v>28</v>
      </c>
      <c r="I21" s="51">
        <v>183</v>
      </c>
    </row>
    <row r="22" spans="1:9" x14ac:dyDescent="0.25">
      <c r="A22">
        <v>27</v>
      </c>
      <c r="B22" s="51">
        <v>130</v>
      </c>
      <c r="C22" s="51">
        <v>139</v>
      </c>
      <c r="E22">
        <f t="shared" ref="E22:E29" si="1">+$F$21</f>
        <v>10</v>
      </c>
      <c r="G22" t="s">
        <v>223</v>
      </c>
      <c r="H22" s="51">
        <v>22</v>
      </c>
      <c r="I22" s="51">
        <v>183</v>
      </c>
    </row>
    <row r="23" spans="1:9" x14ac:dyDescent="0.25">
      <c r="A23">
        <v>28</v>
      </c>
      <c r="B23" s="51">
        <v>137</v>
      </c>
      <c r="C23" s="51">
        <v>168</v>
      </c>
      <c r="E23">
        <f t="shared" si="1"/>
        <v>10</v>
      </c>
      <c r="G23" t="s">
        <v>224</v>
      </c>
      <c r="H23" s="51">
        <v>63</v>
      </c>
      <c r="I23" s="51">
        <v>183</v>
      </c>
    </row>
    <row r="24" spans="1:9" x14ac:dyDescent="0.25">
      <c r="A24">
        <v>3</v>
      </c>
      <c r="B24" s="51">
        <v>148</v>
      </c>
      <c r="C24" s="51">
        <v>170</v>
      </c>
      <c r="E24">
        <f t="shared" si="1"/>
        <v>10</v>
      </c>
      <c r="G24" t="s">
        <v>225</v>
      </c>
      <c r="H24" s="51">
        <v>44</v>
      </c>
      <c r="I24" s="51">
        <v>183</v>
      </c>
    </row>
    <row r="25" spans="1:9" x14ac:dyDescent="0.25">
      <c r="A25">
        <v>30</v>
      </c>
      <c r="B25" s="51">
        <v>24</v>
      </c>
      <c r="C25" s="51">
        <v>139</v>
      </c>
      <c r="E25">
        <f t="shared" si="1"/>
        <v>10</v>
      </c>
      <c r="G25" t="s">
        <v>226</v>
      </c>
      <c r="H25" s="51">
        <v>72</v>
      </c>
      <c r="I25" s="51">
        <v>183</v>
      </c>
    </row>
    <row r="26" spans="1:9" x14ac:dyDescent="0.25">
      <c r="A26">
        <v>31</v>
      </c>
      <c r="B26" s="51">
        <v>127</v>
      </c>
      <c r="C26" s="51">
        <v>161</v>
      </c>
      <c r="E26">
        <f t="shared" si="1"/>
        <v>10</v>
      </c>
      <c r="G26" t="s">
        <v>227</v>
      </c>
      <c r="H26" s="51">
        <v>53</v>
      </c>
      <c r="I26" s="51">
        <v>183</v>
      </c>
    </row>
    <row r="27" spans="1:9" x14ac:dyDescent="0.25">
      <c r="A27">
        <v>32</v>
      </c>
      <c r="B27" s="51">
        <v>46</v>
      </c>
      <c r="C27" s="51">
        <v>58</v>
      </c>
      <c r="E27">
        <f t="shared" si="1"/>
        <v>10</v>
      </c>
      <c r="G27" t="s">
        <v>228</v>
      </c>
      <c r="H27" s="51">
        <v>19</v>
      </c>
      <c r="I27" s="51">
        <v>183</v>
      </c>
    </row>
    <row r="28" spans="1:9" x14ac:dyDescent="0.25">
      <c r="A28">
        <v>33</v>
      </c>
      <c r="B28" s="51">
        <v>135</v>
      </c>
      <c r="C28" s="51">
        <v>169</v>
      </c>
      <c r="E28">
        <f t="shared" si="1"/>
        <v>10</v>
      </c>
      <c r="G28" t="s">
        <v>229</v>
      </c>
      <c r="H28" s="51">
        <v>13</v>
      </c>
      <c r="I28" s="51">
        <v>183</v>
      </c>
    </row>
    <row r="29" spans="1:9" x14ac:dyDescent="0.25">
      <c r="A29">
        <v>36</v>
      </c>
      <c r="B29" s="51">
        <v>116</v>
      </c>
      <c r="C29" s="51">
        <v>160</v>
      </c>
      <c r="E29">
        <f t="shared" si="1"/>
        <v>10</v>
      </c>
      <c r="G29" t="s">
        <v>230</v>
      </c>
      <c r="H29" s="51">
        <v>24</v>
      </c>
      <c r="I29" s="51">
        <v>183</v>
      </c>
    </row>
    <row r="30" spans="1:9" x14ac:dyDescent="0.25">
      <c r="A30">
        <v>37</v>
      </c>
      <c r="B30" s="51">
        <v>70</v>
      </c>
      <c r="C30" s="51">
        <v>142</v>
      </c>
      <c r="E30">
        <f>+$F$30</f>
        <v>100</v>
      </c>
      <c r="F30">
        <v>100</v>
      </c>
      <c r="G30" t="s">
        <v>222</v>
      </c>
      <c r="H30" s="51">
        <v>28</v>
      </c>
      <c r="I30" s="51">
        <v>2028</v>
      </c>
    </row>
    <row r="31" spans="1:9" x14ac:dyDescent="0.25">
      <c r="A31">
        <v>4</v>
      </c>
      <c r="B31" s="51">
        <v>138</v>
      </c>
      <c r="C31" s="51">
        <v>182</v>
      </c>
      <c r="E31">
        <f t="shared" ref="E31:E38" si="2">+$F$30</f>
        <v>100</v>
      </c>
      <c r="G31" t="s">
        <v>223</v>
      </c>
      <c r="H31" s="51">
        <v>25</v>
      </c>
      <c r="I31" s="51">
        <v>2028</v>
      </c>
    </row>
    <row r="32" spans="1:9" x14ac:dyDescent="0.25">
      <c r="A32">
        <v>40</v>
      </c>
      <c r="B32" s="51">
        <v>114</v>
      </c>
      <c r="C32" s="51">
        <v>250</v>
      </c>
      <c r="E32">
        <f t="shared" si="2"/>
        <v>100</v>
      </c>
      <c r="G32" t="s">
        <v>224</v>
      </c>
      <c r="H32" s="51">
        <v>26</v>
      </c>
      <c r="I32" s="51">
        <v>2028</v>
      </c>
    </row>
    <row r="33" spans="1:9" x14ac:dyDescent="0.25">
      <c r="A33">
        <v>42</v>
      </c>
      <c r="B33" s="51">
        <v>11</v>
      </c>
      <c r="C33" s="51">
        <v>52</v>
      </c>
      <c r="E33">
        <f t="shared" si="2"/>
        <v>100</v>
      </c>
      <c r="G33" t="s">
        <v>225</v>
      </c>
      <c r="H33" s="51">
        <v>11</v>
      </c>
      <c r="I33" s="51">
        <v>2028</v>
      </c>
    </row>
    <row r="34" spans="1:9" x14ac:dyDescent="0.25">
      <c r="A34">
        <v>43</v>
      </c>
      <c r="B34" s="51">
        <v>18</v>
      </c>
      <c r="C34" s="51">
        <v>93</v>
      </c>
      <c r="E34">
        <f t="shared" si="2"/>
        <v>100</v>
      </c>
      <c r="G34" t="s">
        <v>226</v>
      </c>
      <c r="H34" s="51">
        <v>30</v>
      </c>
      <c r="I34" s="51">
        <v>2028</v>
      </c>
    </row>
    <row r="35" spans="1:9" x14ac:dyDescent="0.25">
      <c r="A35">
        <v>44</v>
      </c>
      <c r="B35" s="51">
        <v>137</v>
      </c>
      <c r="C35" s="51">
        <v>169</v>
      </c>
      <c r="E35">
        <f t="shared" si="2"/>
        <v>100</v>
      </c>
      <c r="G35" t="s">
        <v>227</v>
      </c>
      <c r="H35" s="51">
        <v>17</v>
      </c>
      <c r="I35" s="51">
        <v>2028</v>
      </c>
    </row>
    <row r="36" spans="1:9" x14ac:dyDescent="0.25">
      <c r="A36">
        <v>49</v>
      </c>
      <c r="B36" s="51">
        <v>111</v>
      </c>
      <c r="C36" s="51">
        <v>242</v>
      </c>
      <c r="E36">
        <f t="shared" si="2"/>
        <v>100</v>
      </c>
      <c r="G36" t="s">
        <v>228</v>
      </c>
      <c r="H36" s="51">
        <v>22</v>
      </c>
      <c r="I36" s="51">
        <v>2028</v>
      </c>
    </row>
    <row r="37" spans="1:9" x14ac:dyDescent="0.25">
      <c r="A37">
        <v>5</v>
      </c>
      <c r="B37" s="51">
        <v>221</v>
      </c>
      <c r="C37" s="51">
        <v>261</v>
      </c>
      <c r="E37">
        <f t="shared" si="2"/>
        <v>100</v>
      </c>
      <c r="G37" t="s">
        <v>229</v>
      </c>
      <c r="H37" s="51">
        <v>7</v>
      </c>
      <c r="I37" s="51">
        <v>2028</v>
      </c>
    </row>
    <row r="38" spans="1:9" x14ac:dyDescent="0.25">
      <c r="A38">
        <v>52</v>
      </c>
      <c r="B38" s="51">
        <v>50</v>
      </c>
      <c r="C38" s="51">
        <v>102</v>
      </c>
      <c r="E38">
        <f t="shared" si="2"/>
        <v>100</v>
      </c>
      <c r="G38" t="s">
        <v>230</v>
      </c>
      <c r="H38" s="51">
        <v>3</v>
      </c>
      <c r="I38" s="51">
        <v>2028</v>
      </c>
    </row>
    <row r="39" spans="1:9" x14ac:dyDescent="0.25">
      <c r="A39">
        <v>53</v>
      </c>
      <c r="B39" s="51">
        <v>59</v>
      </c>
      <c r="C39" s="51">
        <v>105</v>
      </c>
      <c r="E39">
        <f>+$F$39</f>
        <v>11</v>
      </c>
      <c r="F39">
        <v>11</v>
      </c>
      <c r="G39" t="s">
        <v>222</v>
      </c>
      <c r="H39" s="51">
        <v>49</v>
      </c>
      <c r="I39" s="51">
        <v>169</v>
      </c>
    </row>
    <row r="40" spans="1:9" x14ac:dyDescent="0.25">
      <c r="A40">
        <v>54</v>
      </c>
      <c r="B40" s="51">
        <v>129</v>
      </c>
      <c r="C40" s="51">
        <v>202</v>
      </c>
      <c r="E40">
        <f t="shared" ref="E40:E47" si="3">+$F$39</f>
        <v>11</v>
      </c>
      <c r="G40" t="s">
        <v>223</v>
      </c>
      <c r="H40" s="51">
        <v>35</v>
      </c>
      <c r="I40" s="51">
        <v>169</v>
      </c>
    </row>
    <row r="41" spans="1:9" x14ac:dyDescent="0.25">
      <c r="A41">
        <v>56</v>
      </c>
      <c r="B41">
        <v>81</v>
      </c>
      <c r="C41" s="51">
        <v>198</v>
      </c>
      <c r="E41">
        <f t="shared" si="3"/>
        <v>11</v>
      </c>
      <c r="G41" t="s">
        <v>224</v>
      </c>
      <c r="H41" s="51">
        <v>86</v>
      </c>
      <c r="I41" s="51">
        <v>169</v>
      </c>
    </row>
    <row r="42" spans="1:9" x14ac:dyDescent="0.25">
      <c r="A42">
        <v>57</v>
      </c>
      <c r="B42" s="51">
        <v>39</v>
      </c>
      <c r="C42" s="51">
        <v>105</v>
      </c>
      <c r="E42">
        <f t="shared" si="3"/>
        <v>11</v>
      </c>
      <c r="G42" t="s">
        <v>225</v>
      </c>
      <c r="H42" s="51">
        <v>44</v>
      </c>
      <c r="I42" s="51">
        <v>169</v>
      </c>
    </row>
    <row r="43" spans="1:9" x14ac:dyDescent="0.25">
      <c r="A43">
        <v>58</v>
      </c>
      <c r="B43" s="51">
        <v>39</v>
      </c>
      <c r="C43" s="51">
        <v>122</v>
      </c>
      <c r="E43">
        <f t="shared" si="3"/>
        <v>11</v>
      </c>
      <c r="G43" t="s">
        <v>226</v>
      </c>
      <c r="H43" s="51">
        <v>90</v>
      </c>
      <c r="I43" s="51">
        <v>169</v>
      </c>
    </row>
    <row r="44" spans="1:9" x14ac:dyDescent="0.25">
      <c r="A44">
        <v>59</v>
      </c>
      <c r="B44" s="51">
        <v>51</v>
      </c>
      <c r="C44" s="51">
        <v>123</v>
      </c>
      <c r="E44">
        <f t="shared" si="3"/>
        <v>11</v>
      </c>
      <c r="G44" t="s">
        <v>227</v>
      </c>
      <c r="H44" s="51">
        <v>66</v>
      </c>
      <c r="I44" s="51">
        <v>169</v>
      </c>
    </row>
    <row r="45" spans="1:9" x14ac:dyDescent="0.25">
      <c r="A45">
        <v>7</v>
      </c>
      <c r="B45" s="51">
        <v>14</v>
      </c>
      <c r="C45" s="51">
        <v>115</v>
      </c>
      <c r="E45">
        <f t="shared" si="3"/>
        <v>11</v>
      </c>
      <c r="G45" t="s">
        <v>228</v>
      </c>
      <c r="H45" s="51">
        <v>14</v>
      </c>
      <c r="I45" s="51">
        <v>169</v>
      </c>
    </row>
    <row r="46" spans="1:9" x14ac:dyDescent="0.25">
      <c r="A46">
        <v>8</v>
      </c>
      <c r="B46" s="51">
        <v>147</v>
      </c>
      <c r="C46" s="51">
        <v>195</v>
      </c>
      <c r="E46">
        <f t="shared" si="3"/>
        <v>11</v>
      </c>
      <c r="G46" t="s">
        <v>229</v>
      </c>
      <c r="H46" s="51">
        <v>28</v>
      </c>
      <c r="I46" s="51">
        <v>169</v>
      </c>
    </row>
    <row r="47" spans="1:9" x14ac:dyDescent="0.25">
      <c r="A47">
        <v>9</v>
      </c>
      <c r="B47" s="51">
        <v>128</v>
      </c>
      <c r="C47" s="51">
        <v>161</v>
      </c>
      <c r="E47">
        <f t="shared" si="3"/>
        <v>11</v>
      </c>
      <c r="G47" t="s">
        <v>230</v>
      </c>
      <c r="H47" s="51">
        <v>21</v>
      </c>
      <c r="I47" s="51">
        <v>169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72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53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89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48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91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84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24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23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42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22</v>
      </c>
      <c r="I57" s="51">
        <v>490</v>
      </c>
    </row>
    <row r="58" spans="2:9" x14ac:dyDescent="0.25">
      <c r="E58">
        <f t="shared" ref="E58:E65" si="5">+$F$57</f>
        <v>123</v>
      </c>
      <c r="G58" t="s">
        <v>223</v>
      </c>
      <c r="H58" s="51">
        <v>19</v>
      </c>
      <c r="I58" s="51">
        <v>490</v>
      </c>
    </row>
    <row r="59" spans="2:9" x14ac:dyDescent="0.25">
      <c r="E59">
        <f t="shared" si="5"/>
        <v>123</v>
      </c>
      <c r="G59" t="s">
        <v>224</v>
      </c>
      <c r="H59" s="51">
        <v>21</v>
      </c>
      <c r="I59" s="51">
        <v>490</v>
      </c>
    </row>
    <row r="60" spans="2:9" x14ac:dyDescent="0.25">
      <c r="E60">
        <f t="shared" si="5"/>
        <v>123</v>
      </c>
      <c r="G60" t="s">
        <v>225</v>
      </c>
      <c r="H60" s="51">
        <v>3</v>
      </c>
      <c r="I60" s="51">
        <v>490</v>
      </c>
    </row>
    <row r="61" spans="2:9" x14ac:dyDescent="0.25">
      <c r="E61">
        <f t="shared" si="5"/>
        <v>123</v>
      </c>
      <c r="G61" t="s">
        <v>226</v>
      </c>
      <c r="H61" s="51">
        <v>22</v>
      </c>
      <c r="I61" s="51">
        <v>490</v>
      </c>
    </row>
    <row r="62" spans="2:9" x14ac:dyDescent="0.25">
      <c r="E62">
        <f t="shared" si="5"/>
        <v>123</v>
      </c>
      <c r="G62" t="s">
        <v>227</v>
      </c>
      <c r="H62" s="51">
        <v>11</v>
      </c>
      <c r="I62" s="51">
        <v>490</v>
      </c>
    </row>
    <row r="63" spans="2:9" x14ac:dyDescent="0.25">
      <c r="E63">
        <f t="shared" si="5"/>
        <v>123</v>
      </c>
      <c r="G63" t="s">
        <v>228</v>
      </c>
      <c r="H63" s="51">
        <v>15</v>
      </c>
      <c r="I63" s="51">
        <v>490</v>
      </c>
    </row>
    <row r="64" spans="2:9" x14ac:dyDescent="0.25">
      <c r="E64">
        <f t="shared" si="5"/>
        <v>123</v>
      </c>
      <c r="G64" t="s">
        <v>229</v>
      </c>
      <c r="H64" s="51">
        <v>5</v>
      </c>
      <c r="I64" s="51">
        <v>490</v>
      </c>
    </row>
    <row r="65" spans="5:9" x14ac:dyDescent="0.25">
      <c r="E65">
        <f t="shared" si="5"/>
        <v>123</v>
      </c>
      <c r="G65" t="s">
        <v>230</v>
      </c>
      <c r="H65" s="51">
        <v>3</v>
      </c>
      <c r="I65" s="51">
        <v>490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33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13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26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20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36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16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23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11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50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31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98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42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88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75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11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39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30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61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46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63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54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117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86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20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36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44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68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41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94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57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126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96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14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36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44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29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51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50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44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72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59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15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26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35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84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65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110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66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125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107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18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41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35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69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67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100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57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123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99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26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38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37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43</v>
      </c>
      <c r="I129" s="51">
        <v>74</v>
      </c>
    </row>
    <row r="130" spans="5:9" x14ac:dyDescent="0.25">
      <c r="E130">
        <f t="shared" ref="E130:E137" si="13">+$F$129</f>
        <v>22</v>
      </c>
      <c r="G130" t="s">
        <v>223</v>
      </c>
      <c r="H130" s="51">
        <v>31</v>
      </c>
      <c r="I130" s="51">
        <v>74</v>
      </c>
    </row>
    <row r="131" spans="5:9" x14ac:dyDescent="0.25">
      <c r="E131">
        <f t="shared" si="13"/>
        <v>22</v>
      </c>
      <c r="G131" t="s">
        <v>224</v>
      </c>
      <c r="H131" s="51">
        <v>34</v>
      </c>
      <c r="I131" s="51">
        <v>74</v>
      </c>
    </row>
    <row r="132" spans="5:9" x14ac:dyDescent="0.25">
      <c r="E132">
        <f t="shared" si="13"/>
        <v>22</v>
      </c>
      <c r="G132" t="s">
        <v>225</v>
      </c>
      <c r="H132" s="51">
        <v>33</v>
      </c>
      <c r="I132" s="51">
        <v>74</v>
      </c>
    </row>
    <row r="133" spans="5:9" x14ac:dyDescent="0.25">
      <c r="E133">
        <f t="shared" si="13"/>
        <v>22</v>
      </c>
      <c r="G133" t="s">
        <v>226</v>
      </c>
      <c r="H133" s="51">
        <v>51</v>
      </c>
      <c r="I133" s="51">
        <v>74</v>
      </c>
    </row>
    <row r="134" spans="5:9" x14ac:dyDescent="0.25">
      <c r="E134">
        <f t="shared" si="13"/>
        <v>22</v>
      </c>
      <c r="G134" t="s">
        <v>227</v>
      </c>
      <c r="H134" s="51">
        <v>37</v>
      </c>
      <c r="I134" s="51">
        <v>74</v>
      </c>
    </row>
    <row r="135" spans="5:9" x14ac:dyDescent="0.25">
      <c r="E135">
        <f t="shared" si="13"/>
        <v>22</v>
      </c>
      <c r="G135" t="s">
        <v>228</v>
      </c>
      <c r="H135" s="51">
        <v>45</v>
      </c>
      <c r="I135" s="51">
        <v>74</v>
      </c>
    </row>
    <row r="136" spans="5:9" x14ac:dyDescent="0.25">
      <c r="E136">
        <f t="shared" si="13"/>
        <v>22</v>
      </c>
      <c r="G136" t="s">
        <v>229</v>
      </c>
      <c r="H136" s="51">
        <v>31</v>
      </c>
      <c r="I136" s="51">
        <v>74</v>
      </c>
    </row>
    <row r="137" spans="5:9" x14ac:dyDescent="0.25">
      <c r="E137">
        <f t="shared" si="13"/>
        <v>22</v>
      </c>
      <c r="G137" t="s">
        <v>230</v>
      </c>
      <c r="H137" s="51">
        <v>31</v>
      </c>
      <c r="I137" s="51">
        <v>74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62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50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92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52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109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92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17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35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31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42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13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78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32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69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52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25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11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38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31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33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44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56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50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55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26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18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42</v>
      </c>
      <c r="I165" s="51">
        <v>166</v>
      </c>
    </row>
    <row r="166" spans="5:9" x14ac:dyDescent="0.25">
      <c r="E166">
        <f t="shared" ref="E166:E173" si="17">+$F$165</f>
        <v>26</v>
      </c>
      <c r="G166" t="s">
        <v>223</v>
      </c>
      <c r="H166" s="51">
        <v>9</v>
      </c>
      <c r="I166" s="51">
        <v>166</v>
      </c>
    </row>
    <row r="167" spans="5:9" x14ac:dyDescent="0.25">
      <c r="E167">
        <f t="shared" si="17"/>
        <v>26</v>
      </c>
      <c r="G167" t="s">
        <v>224</v>
      </c>
      <c r="H167" s="51">
        <v>15</v>
      </c>
      <c r="I167" s="51">
        <v>166</v>
      </c>
    </row>
    <row r="168" spans="5:9" x14ac:dyDescent="0.25">
      <c r="E168">
        <f t="shared" si="17"/>
        <v>26</v>
      </c>
      <c r="G168" t="s">
        <v>225</v>
      </c>
      <c r="H168" s="51">
        <v>29</v>
      </c>
      <c r="I168" s="51">
        <v>166</v>
      </c>
    </row>
    <row r="169" spans="5:9" x14ac:dyDescent="0.25">
      <c r="E169">
        <f t="shared" si="17"/>
        <v>26</v>
      </c>
      <c r="G169" t="s">
        <v>226</v>
      </c>
      <c r="H169" s="51">
        <v>35</v>
      </c>
      <c r="I169" s="51">
        <v>166</v>
      </c>
    </row>
    <row r="170" spans="5:9" x14ac:dyDescent="0.25">
      <c r="E170">
        <f t="shared" si="17"/>
        <v>26</v>
      </c>
      <c r="G170" t="s">
        <v>227</v>
      </c>
      <c r="H170" s="51">
        <v>35</v>
      </c>
      <c r="I170" s="51">
        <v>166</v>
      </c>
    </row>
    <row r="171" spans="5:9" x14ac:dyDescent="0.25">
      <c r="E171">
        <f t="shared" si="17"/>
        <v>26</v>
      </c>
      <c r="G171" t="s">
        <v>228</v>
      </c>
      <c r="H171" s="51">
        <v>41</v>
      </c>
      <c r="I171" s="51">
        <v>166</v>
      </c>
    </row>
    <row r="172" spans="5:9" x14ac:dyDescent="0.25">
      <c r="E172">
        <f t="shared" si="17"/>
        <v>26</v>
      </c>
      <c r="G172" t="s">
        <v>229</v>
      </c>
      <c r="H172" s="51">
        <v>24</v>
      </c>
      <c r="I172" s="51">
        <v>166</v>
      </c>
    </row>
    <row r="173" spans="5:9" x14ac:dyDescent="0.25">
      <c r="E173">
        <f t="shared" si="17"/>
        <v>26</v>
      </c>
      <c r="G173" t="s">
        <v>230</v>
      </c>
      <c r="H173" s="51">
        <v>29</v>
      </c>
      <c r="I173" s="51">
        <v>166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58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31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62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48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96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83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27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31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22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36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25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51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43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88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80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16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25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17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53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37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75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45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95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78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18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33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30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8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3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11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>
        <v>3</v>
      </c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7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>
        <v>2</v>
      </c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10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55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30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70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43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99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85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31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30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18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29</v>
      </c>
      <c r="I219" s="51">
        <v>58</v>
      </c>
    </row>
    <row r="220" spans="5:9" x14ac:dyDescent="0.25">
      <c r="E220">
        <f t="shared" ref="E220:E227" si="23">+$F$219</f>
        <v>32</v>
      </c>
      <c r="G220" t="s">
        <v>223</v>
      </c>
      <c r="H220" s="51">
        <v>13</v>
      </c>
      <c r="I220" s="51">
        <v>58</v>
      </c>
    </row>
    <row r="221" spans="5:9" x14ac:dyDescent="0.25">
      <c r="E221">
        <f t="shared" si="23"/>
        <v>32</v>
      </c>
      <c r="G221" t="s">
        <v>224</v>
      </c>
      <c r="H221" s="51">
        <v>19</v>
      </c>
      <c r="I221" s="51">
        <v>58</v>
      </c>
    </row>
    <row r="222" spans="5:9" x14ac:dyDescent="0.25">
      <c r="E222">
        <f t="shared" si="23"/>
        <v>32</v>
      </c>
      <c r="G222" t="s">
        <v>225</v>
      </c>
      <c r="H222" s="51">
        <v>19</v>
      </c>
      <c r="I222" s="51">
        <v>58</v>
      </c>
    </row>
    <row r="223" spans="5:9" x14ac:dyDescent="0.25">
      <c r="E223">
        <f t="shared" si="23"/>
        <v>32</v>
      </c>
      <c r="G223" t="s">
        <v>226</v>
      </c>
      <c r="H223" s="51">
        <v>36</v>
      </c>
      <c r="I223" s="51">
        <v>58</v>
      </c>
    </row>
    <row r="224" spans="5:9" x14ac:dyDescent="0.25">
      <c r="E224">
        <f t="shared" si="23"/>
        <v>32</v>
      </c>
      <c r="G224" t="s">
        <v>227</v>
      </c>
      <c r="H224" s="51">
        <v>23</v>
      </c>
      <c r="I224" s="51">
        <v>58</v>
      </c>
    </row>
    <row r="225" spans="5:9" x14ac:dyDescent="0.25">
      <c r="E225">
        <f t="shared" si="23"/>
        <v>32</v>
      </c>
      <c r="G225" t="s">
        <v>228</v>
      </c>
      <c r="H225" s="51">
        <v>26</v>
      </c>
      <c r="I225" s="51">
        <v>58</v>
      </c>
    </row>
    <row r="226" spans="5:9" x14ac:dyDescent="0.25">
      <c r="E226">
        <f t="shared" si="23"/>
        <v>32</v>
      </c>
      <c r="G226" t="s">
        <v>229</v>
      </c>
      <c r="H226" s="51">
        <v>15</v>
      </c>
      <c r="I226" s="51">
        <v>58</v>
      </c>
    </row>
    <row r="227" spans="5:9" x14ac:dyDescent="0.25">
      <c r="E227">
        <f t="shared" si="23"/>
        <v>32</v>
      </c>
      <c r="G227" t="s">
        <v>230</v>
      </c>
      <c r="H227" s="51">
        <v>19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49</v>
      </c>
      <c r="I228" s="51">
        <v>169</v>
      </c>
    </row>
    <row r="229" spans="5:9" x14ac:dyDescent="0.25">
      <c r="E229">
        <f t="shared" ref="E229:E236" si="24">+$F$228</f>
        <v>33</v>
      </c>
      <c r="G229" t="s">
        <v>223</v>
      </c>
      <c r="H229" s="51">
        <v>40</v>
      </c>
      <c r="I229" s="51">
        <v>169</v>
      </c>
    </row>
    <row r="230" spans="5:9" x14ac:dyDescent="0.25">
      <c r="E230">
        <f t="shared" si="24"/>
        <v>33</v>
      </c>
      <c r="G230" t="s">
        <v>224</v>
      </c>
      <c r="H230" s="51">
        <v>61</v>
      </c>
      <c r="I230" s="51">
        <v>169</v>
      </c>
    </row>
    <row r="231" spans="5:9" x14ac:dyDescent="0.25">
      <c r="E231">
        <f t="shared" si="24"/>
        <v>33</v>
      </c>
      <c r="G231" t="s">
        <v>225</v>
      </c>
      <c r="H231" s="51">
        <v>42</v>
      </c>
      <c r="I231" s="51">
        <v>169</v>
      </c>
    </row>
    <row r="232" spans="5:9" x14ac:dyDescent="0.25">
      <c r="E232">
        <f t="shared" si="24"/>
        <v>33</v>
      </c>
      <c r="G232" t="s">
        <v>226</v>
      </c>
      <c r="H232" s="51">
        <v>76</v>
      </c>
      <c r="I232" s="51">
        <v>169</v>
      </c>
    </row>
    <row r="233" spans="5:9" x14ac:dyDescent="0.25">
      <c r="E233">
        <f t="shared" si="24"/>
        <v>33</v>
      </c>
      <c r="G233" t="s">
        <v>227</v>
      </c>
      <c r="H233" s="51">
        <v>69</v>
      </c>
      <c r="I233" s="51">
        <v>169</v>
      </c>
    </row>
    <row r="234" spans="5:9" x14ac:dyDescent="0.25">
      <c r="E234">
        <f t="shared" si="24"/>
        <v>33</v>
      </c>
      <c r="G234" t="s">
        <v>228</v>
      </c>
      <c r="H234" s="51">
        <v>14</v>
      </c>
      <c r="I234" s="51">
        <v>169</v>
      </c>
    </row>
    <row r="235" spans="5:9" x14ac:dyDescent="0.25">
      <c r="E235">
        <f t="shared" si="24"/>
        <v>33</v>
      </c>
      <c r="G235" t="s">
        <v>229</v>
      </c>
      <c r="H235" s="51">
        <v>28</v>
      </c>
      <c r="I235" s="51">
        <v>169</v>
      </c>
    </row>
    <row r="236" spans="5:9" x14ac:dyDescent="0.25">
      <c r="E236">
        <f t="shared" si="24"/>
        <v>33</v>
      </c>
      <c r="G236" t="s">
        <v>230</v>
      </c>
      <c r="H236">
        <v>19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35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21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59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46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81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54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20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17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17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14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24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18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43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26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14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19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16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41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35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64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51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89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64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21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40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45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33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10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36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42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76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74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31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23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18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3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2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3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5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6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>
        <v>8</v>
      </c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H285">
        <v>3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3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9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>
        <v>1</v>
      </c>
      <c r="I289" s="51">
        <v>93</v>
      </c>
    </row>
    <row r="290" spans="5:9" x14ac:dyDescent="0.25">
      <c r="E290">
        <f t="shared" si="30"/>
        <v>43</v>
      </c>
      <c r="G290" t="s">
        <v>230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40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40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83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48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110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93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19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34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30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37</v>
      </c>
      <c r="I300" s="51">
        <v>242</v>
      </c>
    </row>
    <row r="301" spans="5:9" x14ac:dyDescent="0.25">
      <c r="E301">
        <f t="shared" ref="E301:E308" si="32">+$F$300</f>
        <v>49</v>
      </c>
      <c r="G301" t="s">
        <v>223</v>
      </c>
      <c r="H301" s="51">
        <v>15</v>
      </c>
      <c r="I301" s="51">
        <v>242</v>
      </c>
    </row>
    <row r="302" spans="5:9" x14ac:dyDescent="0.25">
      <c r="E302">
        <f t="shared" si="32"/>
        <v>49</v>
      </c>
      <c r="G302" t="s">
        <v>224</v>
      </c>
      <c r="H302" s="51">
        <v>59</v>
      </c>
      <c r="I302" s="51">
        <v>242</v>
      </c>
    </row>
    <row r="303" spans="5:9" x14ac:dyDescent="0.25">
      <c r="E303">
        <f t="shared" si="32"/>
        <v>49</v>
      </c>
      <c r="G303" t="s">
        <v>225</v>
      </c>
      <c r="H303" s="51">
        <v>16</v>
      </c>
      <c r="I303" s="51">
        <v>242</v>
      </c>
    </row>
    <row r="304" spans="5:9" x14ac:dyDescent="0.25">
      <c r="E304">
        <f t="shared" si="32"/>
        <v>49</v>
      </c>
      <c r="G304" t="s">
        <v>226</v>
      </c>
      <c r="H304" s="51">
        <v>52</v>
      </c>
      <c r="I304" s="51">
        <v>242</v>
      </c>
    </row>
    <row r="305" spans="5:9" x14ac:dyDescent="0.25">
      <c r="E305">
        <f t="shared" si="32"/>
        <v>49</v>
      </c>
      <c r="G305" t="s">
        <v>227</v>
      </c>
      <c r="H305" s="51">
        <v>34</v>
      </c>
      <c r="I305" s="51">
        <v>242</v>
      </c>
    </row>
    <row r="306" spans="5:9" x14ac:dyDescent="0.25">
      <c r="E306">
        <f t="shared" si="32"/>
        <v>49</v>
      </c>
      <c r="G306" t="s">
        <v>228</v>
      </c>
      <c r="H306" s="51">
        <v>45</v>
      </c>
      <c r="I306" s="51">
        <v>242</v>
      </c>
    </row>
    <row r="307" spans="5:9" x14ac:dyDescent="0.25">
      <c r="E307">
        <f t="shared" si="32"/>
        <v>49</v>
      </c>
      <c r="G307" t="s">
        <v>229</v>
      </c>
      <c r="H307">
        <v>25</v>
      </c>
      <c r="I307" s="51">
        <v>242</v>
      </c>
    </row>
    <row r="308" spans="5:9" x14ac:dyDescent="0.25">
      <c r="E308">
        <f t="shared" si="32"/>
        <v>49</v>
      </c>
      <c r="G308" t="s">
        <v>230</v>
      </c>
      <c r="H308">
        <v>27</v>
      </c>
      <c r="I308" s="51">
        <v>242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95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72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114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59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153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111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46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51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39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102</v>
      </c>
    </row>
    <row r="319" spans="5:9" x14ac:dyDescent="0.25">
      <c r="E319">
        <f t="shared" ref="E319:E326" si="34">+$F$318</f>
        <v>52</v>
      </c>
      <c r="G319" t="s">
        <v>223</v>
      </c>
      <c r="H319" s="51">
        <v>10</v>
      </c>
      <c r="I319" s="51">
        <v>102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102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102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102</v>
      </c>
    </row>
    <row r="323" spans="5:9" x14ac:dyDescent="0.25">
      <c r="E323">
        <f t="shared" si="34"/>
        <v>52</v>
      </c>
      <c r="G323" t="s">
        <v>227</v>
      </c>
      <c r="I323" s="51">
        <v>102</v>
      </c>
    </row>
    <row r="324" spans="5:9" x14ac:dyDescent="0.25">
      <c r="E324">
        <f t="shared" si="34"/>
        <v>52</v>
      </c>
      <c r="G324" t="s">
        <v>228</v>
      </c>
      <c r="H324" s="51">
        <v>50</v>
      </c>
      <c r="I324" s="51">
        <v>102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102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102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12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58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52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26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81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59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85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75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23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31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38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24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15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51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24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36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30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33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10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8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223</v>
      </c>
      <c r="H355" s="51">
        <v>2</v>
      </c>
      <c r="I355" s="51">
        <v>105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228</v>
      </c>
      <c r="H360" s="51">
        <v>39</v>
      </c>
      <c r="I360" s="51">
        <v>105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105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5</v>
      </c>
      <c r="I363" s="51">
        <v>122</v>
      </c>
    </row>
    <row r="364" spans="5:9" x14ac:dyDescent="0.25">
      <c r="E364">
        <f t="shared" ref="E364:E371" si="39">+$F$363</f>
        <v>58</v>
      </c>
      <c r="G364" t="s">
        <v>223</v>
      </c>
      <c r="H364" s="51">
        <v>16</v>
      </c>
      <c r="I364" s="51">
        <v>122</v>
      </c>
    </row>
    <row r="365" spans="5:9" x14ac:dyDescent="0.25">
      <c r="E365">
        <f t="shared" si="39"/>
        <v>58</v>
      </c>
      <c r="G365" t="s">
        <v>224</v>
      </c>
      <c r="H365" s="51">
        <v>12</v>
      </c>
      <c r="I365" s="51">
        <v>122</v>
      </c>
    </row>
    <row r="366" spans="5:9" x14ac:dyDescent="0.25">
      <c r="E366">
        <f t="shared" si="39"/>
        <v>58</v>
      </c>
      <c r="G366" t="s">
        <v>225</v>
      </c>
      <c r="H366" s="51">
        <v>25</v>
      </c>
      <c r="I366" s="51">
        <v>122</v>
      </c>
    </row>
    <row r="367" spans="5:9" x14ac:dyDescent="0.25">
      <c r="E367">
        <f t="shared" si="39"/>
        <v>58</v>
      </c>
      <c r="G367" t="s">
        <v>226</v>
      </c>
      <c r="H367" s="51">
        <v>28</v>
      </c>
      <c r="I367" s="51">
        <v>122</v>
      </c>
    </row>
    <row r="368" spans="5:9" x14ac:dyDescent="0.25">
      <c r="E368">
        <f t="shared" si="39"/>
        <v>58</v>
      </c>
      <c r="G368" t="s">
        <v>227</v>
      </c>
      <c r="H368" s="51">
        <v>27</v>
      </c>
      <c r="I368" s="51">
        <v>122</v>
      </c>
    </row>
    <row r="369" spans="5:9" x14ac:dyDescent="0.25">
      <c r="E369">
        <f t="shared" si="39"/>
        <v>58</v>
      </c>
      <c r="G369" t="s">
        <v>228</v>
      </c>
      <c r="H369" s="51">
        <v>8</v>
      </c>
      <c r="I369" s="51">
        <v>122</v>
      </c>
    </row>
    <row r="370" spans="5:9" x14ac:dyDescent="0.25">
      <c r="E370">
        <f t="shared" si="39"/>
        <v>58</v>
      </c>
      <c r="G370" t="s">
        <v>229</v>
      </c>
      <c r="H370" s="51">
        <v>9</v>
      </c>
      <c r="I370" s="51">
        <v>122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20</v>
      </c>
      <c r="I372">
        <v>123</v>
      </c>
    </row>
    <row r="373" spans="5:9" x14ac:dyDescent="0.25">
      <c r="E373">
        <f t="shared" ref="E373:E380" si="40">+$F$372</f>
        <v>59</v>
      </c>
      <c r="G373" t="s">
        <v>223</v>
      </c>
      <c r="H373">
        <v>18</v>
      </c>
      <c r="I373">
        <v>123</v>
      </c>
    </row>
    <row r="374" spans="5:9" x14ac:dyDescent="0.25">
      <c r="E374">
        <f t="shared" si="40"/>
        <v>59</v>
      </c>
      <c r="G374" t="s">
        <v>224</v>
      </c>
      <c r="H374">
        <v>18</v>
      </c>
      <c r="I374">
        <v>123</v>
      </c>
    </row>
    <row r="375" spans="5:9" x14ac:dyDescent="0.25">
      <c r="E375">
        <f t="shared" si="40"/>
        <v>59</v>
      </c>
      <c r="G375" t="s">
        <v>225</v>
      </c>
      <c r="H375">
        <v>23</v>
      </c>
      <c r="I375">
        <v>123</v>
      </c>
    </row>
    <row r="376" spans="5:9" x14ac:dyDescent="0.25">
      <c r="E376">
        <f t="shared" si="40"/>
        <v>59</v>
      </c>
      <c r="G376" t="s">
        <v>226</v>
      </c>
      <c r="H376">
        <v>33</v>
      </c>
      <c r="I376">
        <v>123</v>
      </c>
    </row>
    <row r="377" spans="5:9" x14ac:dyDescent="0.25">
      <c r="E377">
        <f t="shared" si="40"/>
        <v>59</v>
      </c>
      <c r="G377" t="s">
        <v>227</v>
      </c>
      <c r="H377">
        <v>24</v>
      </c>
      <c r="I377">
        <v>123</v>
      </c>
    </row>
    <row r="378" spans="5:9" x14ac:dyDescent="0.25">
      <c r="E378">
        <f t="shared" si="40"/>
        <v>59</v>
      </c>
      <c r="G378" t="s">
        <v>228</v>
      </c>
      <c r="H378">
        <v>10</v>
      </c>
      <c r="I378">
        <v>123</v>
      </c>
    </row>
    <row r="379" spans="5:9" x14ac:dyDescent="0.25">
      <c r="E379">
        <f t="shared" si="40"/>
        <v>59</v>
      </c>
      <c r="G379" t="s">
        <v>229</v>
      </c>
      <c r="H379">
        <v>8</v>
      </c>
      <c r="I379">
        <v>123</v>
      </c>
    </row>
    <row r="380" spans="5:9" x14ac:dyDescent="0.25">
      <c r="E380">
        <f t="shared" si="40"/>
        <v>59</v>
      </c>
      <c r="G380" t="s">
        <v>230</v>
      </c>
      <c r="H380">
        <v>5</v>
      </c>
      <c r="I380">
        <v>123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4</v>
      </c>
      <c r="I381">
        <v>115</v>
      </c>
    </row>
    <row r="382" spans="5:9" x14ac:dyDescent="0.25">
      <c r="E382">
        <f t="shared" ref="E382:E389" si="41">+$F$381</f>
        <v>7</v>
      </c>
      <c r="G382" t="s">
        <v>223</v>
      </c>
      <c r="H382">
        <v>2</v>
      </c>
      <c r="I382">
        <v>115</v>
      </c>
    </row>
    <row r="383" spans="5:9" x14ac:dyDescent="0.25">
      <c r="E383">
        <f t="shared" si="41"/>
        <v>7</v>
      </c>
      <c r="G383" t="s">
        <v>224</v>
      </c>
      <c r="H383">
        <v>6</v>
      </c>
      <c r="I383">
        <v>115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115</v>
      </c>
    </row>
    <row r="385" spans="5:9" x14ac:dyDescent="0.25">
      <c r="E385">
        <f t="shared" si="41"/>
        <v>7</v>
      </c>
      <c r="G385" t="s">
        <v>226</v>
      </c>
      <c r="H385">
        <v>5</v>
      </c>
      <c r="I385">
        <v>115</v>
      </c>
    </row>
    <row r="386" spans="5:9" x14ac:dyDescent="0.25">
      <c r="E386">
        <f t="shared" si="41"/>
        <v>7</v>
      </c>
      <c r="G386" t="s">
        <v>227</v>
      </c>
      <c r="H386">
        <v>5</v>
      </c>
      <c r="I386">
        <v>115</v>
      </c>
    </row>
    <row r="387" spans="5:9" x14ac:dyDescent="0.25">
      <c r="E387">
        <f t="shared" si="41"/>
        <v>7</v>
      </c>
      <c r="G387" t="s">
        <v>228</v>
      </c>
      <c r="H387">
        <v>7</v>
      </c>
      <c r="I387">
        <v>115</v>
      </c>
    </row>
    <row r="388" spans="5:9" x14ac:dyDescent="0.25">
      <c r="E388">
        <f t="shared" si="41"/>
        <v>7</v>
      </c>
      <c r="G388" t="s">
        <v>229</v>
      </c>
      <c r="H388">
        <v>2</v>
      </c>
      <c r="I388">
        <v>115</v>
      </c>
    </row>
    <row r="389" spans="5:9" x14ac:dyDescent="0.25">
      <c r="E389">
        <f t="shared" si="41"/>
        <v>7</v>
      </c>
      <c r="G389" t="s">
        <v>230</v>
      </c>
      <c r="H389">
        <v>3</v>
      </c>
      <c r="I389">
        <v>115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61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38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81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34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96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84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18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28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42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42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52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50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40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71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76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18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27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27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241</v>
      </c>
      <c r="B1" s="135" t="s">
        <v>242</v>
      </c>
      <c r="C1" s="136"/>
      <c r="D1" s="137" t="s">
        <v>243</v>
      </c>
    </row>
    <row r="2" spans="1:4" x14ac:dyDescent="0.25">
      <c r="A2" s="138" t="s">
        <v>244</v>
      </c>
      <c r="B2" s="138" t="s">
        <v>7</v>
      </c>
      <c r="C2" s="136"/>
      <c r="D2" s="136">
        <v>0.19329861111111107</v>
      </c>
    </row>
    <row r="3" spans="1:4" x14ac:dyDescent="0.25">
      <c r="A3" s="138" t="s">
        <v>245</v>
      </c>
      <c r="B3" s="138" t="s">
        <v>4</v>
      </c>
      <c r="C3" s="136"/>
      <c r="D3" s="136">
        <v>0.22066811342592593</v>
      </c>
    </row>
    <row r="4" spans="1:4" x14ac:dyDescent="0.25">
      <c r="A4" s="138" t="s">
        <v>246</v>
      </c>
      <c r="B4" s="138" t="s">
        <v>11</v>
      </c>
      <c r="C4" s="136"/>
      <c r="D4" s="136">
        <v>0.23518822337962964</v>
      </c>
    </row>
    <row r="5" spans="1:4" x14ac:dyDescent="0.25">
      <c r="A5" s="138" t="s">
        <v>247</v>
      </c>
      <c r="B5" s="138" t="s">
        <v>17</v>
      </c>
      <c r="C5" s="136"/>
      <c r="D5" s="136">
        <v>0.21877879050925927</v>
      </c>
    </row>
    <row r="6" spans="1:4" x14ac:dyDescent="0.25">
      <c r="A6" s="138" t="s">
        <v>248</v>
      </c>
      <c r="B6" s="138" t="s">
        <v>22</v>
      </c>
      <c r="C6" s="136"/>
      <c r="D6" s="136">
        <v>0.22495818865740741</v>
      </c>
    </row>
    <row r="7" spans="1:4" x14ac:dyDescent="0.25">
      <c r="A7" s="138" t="s">
        <v>249</v>
      </c>
      <c r="B7" s="138" t="s">
        <v>279</v>
      </c>
      <c r="C7" s="136"/>
      <c r="D7" s="136">
        <v>0.25605806327160502</v>
      </c>
    </row>
    <row r="8" spans="1:4" x14ac:dyDescent="0.25">
      <c r="A8" s="138" t="s">
        <v>250</v>
      </c>
      <c r="B8" s="138" t="s">
        <v>72</v>
      </c>
      <c r="C8" s="136"/>
      <c r="D8" s="136">
        <v>0.20563208912037037</v>
      </c>
    </row>
    <row r="9" spans="1:4" x14ac:dyDescent="0.25">
      <c r="A9" s="138" t="s">
        <v>251</v>
      </c>
      <c r="B9" s="138" t="s">
        <v>3</v>
      </c>
      <c r="C9" s="136"/>
      <c r="D9" s="136">
        <v>0.2378624131944444</v>
      </c>
    </row>
    <row r="10" spans="1:4" x14ac:dyDescent="0.25">
      <c r="A10" s="138" t="s">
        <v>252</v>
      </c>
      <c r="B10" s="138" t="s">
        <v>187</v>
      </c>
      <c r="C10" s="136"/>
      <c r="D10" s="136">
        <v>0.1516517168209876</v>
      </c>
    </row>
    <row r="11" spans="1:4" x14ac:dyDescent="0.25">
      <c r="A11" s="138" t="s">
        <v>253</v>
      </c>
      <c r="B11" s="138" t="s">
        <v>19</v>
      </c>
      <c r="C11" s="136"/>
      <c r="D11" s="136">
        <v>0.2196498842592593</v>
      </c>
    </row>
    <row r="12" spans="1:4" x14ac:dyDescent="0.25">
      <c r="A12" s="138" t="s">
        <v>254</v>
      </c>
      <c r="B12" s="138" t="s">
        <v>71</v>
      </c>
      <c r="C12" s="136"/>
      <c r="D12" s="136">
        <v>0.27167013888888891</v>
      </c>
    </row>
    <row r="13" spans="1:4" x14ac:dyDescent="0.25">
      <c r="A13" s="138" t="s">
        <v>255</v>
      </c>
      <c r="B13" s="138" t="s">
        <v>6</v>
      </c>
      <c r="C13" s="136"/>
      <c r="D13" s="136">
        <v>0.23201244212962963</v>
      </c>
    </row>
    <row r="14" spans="1:4" x14ac:dyDescent="0.25">
      <c r="A14" s="138" t="s">
        <v>256</v>
      </c>
      <c r="B14" s="138" t="s">
        <v>280</v>
      </c>
      <c r="C14" s="136"/>
      <c r="D14" s="136">
        <v>0.25393648726851853</v>
      </c>
    </row>
    <row r="15" spans="1:4" x14ac:dyDescent="0.25">
      <c r="A15" s="138" t="s">
        <v>257</v>
      </c>
      <c r="B15" s="138" t="s">
        <v>12</v>
      </c>
      <c r="C15" s="136"/>
      <c r="D15" s="136">
        <v>0.21757986111111111</v>
      </c>
    </row>
    <row r="16" spans="1:4" x14ac:dyDescent="0.25">
      <c r="A16" s="138" t="s">
        <v>258</v>
      </c>
      <c r="B16" s="138" t="s">
        <v>21</v>
      </c>
      <c r="C16" s="136"/>
      <c r="D16" s="136">
        <v>0.20479513888888889</v>
      </c>
    </row>
    <row r="17" spans="1:4" x14ac:dyDescent="0.25">
      <c r="A17" s="138" t="s">
        <v>259</v>
      </c>
      <c r="B17" s="138" t="s">
        <v>73</v>
      </c>
      <c r="C17" s="136"/>
      <c r="D17" s="136">
        <v>0.22951895254629628</v>
      </c>
    </row>
    <row r="18" spans="1:4" x14ac:dyDescent="0.25">
      <c r="A18" s="138" t="s">
        <v>260</v>
      </c>
      <c r="B18" s="138" t="s">
        <v>20</v>
      </c>
      <c r="C18" s="136"/>
      <c r="D18" s="136">
        <v>0.24957031249999997</v>
      </c>
    </row>
    <row r="19" spans="1:4" x14ac:dyDescent="0.25">
      <c r="A19" s="138" t="s">
        <v>261</v>
      </c>
      <c r="B19" s="138" t="s">
        <v>15</v>
      </c>
      <c r="C19" s="136"/>
      <c r="D19" s="136">
        <v>0.24840118634259259</v>
      </c>
    </row>
    <row r="20" spans="1:4" x14ac:dyDescent="0.25">
      <c r="A20" s="138" t="s">
        <v>262</v>
      </c>
      <c r="B20" s="138" t="s">
        <v>14</v>
      </c>
      <c r="C20" s="136"/>
      <c r="D20" s="136">
        <v>0.23460489004629625</v>
      </c>
    </row>
    <row r="21" spans="1:4" x14ac:dyDescent="0.25">
      <c r="A21" s="138" t="s">
        <v>263</v>
      </c>
      <c r="B21" s="138" t="s">
        <v>8</v>
      </c>
      <c r="C21" s="136"/>
      <c r="D21" s="136">
        <v>0.20954383680555555</v>
      </c>
    </row>
    <row r="22" spans="1:4" x14ac:dyDescent="0.25">
      <c r="A22" s="138" t="s">
        <v>264</v>
      </c>
      <c r="B22" s="138" t="s">
        <v>1</v>
      </c>
      <c r="C22" s="136"/>
      <c r="D22" s="136">
        <v>0.23412167245370369</v>
      </c>
    </row>
    <row r="23" spans="1:4" x14ac:dyDescent="0.25">
      <c r="A23" s="138" t="s">
        <v>265</v>
      </c>
      <c r="B23" s="138" t="s">
        <v>281</v>
      </c>
      <c r="C23" s="136"/>
      <c r="D23" s="136">
        <v>0.18501128472222222</v>
      </c>
    </row>
    <row r="24" spans="1:4" x14ac:dyDescent="0.25">
      <c r="A24" s="138" t="s">
        <v>266</v>
      </c>
      <c r="B24" s="138" t="s">
        <v>26</v>
      </c>
      <c r="C24" s="136"/>
      <c r="D24" s="136">
        <v>0.2323800636574074</v>
      </c>
    </row>
    <row r="25" spans="1:4" x14ac:dyDescent="0.25">
      <c r="A25" s="138" t="s">
        <v>267</v>
      </c>
      <c r="B25" s="138" t="s">
        <v>282</v>
      </c>
      <c r="C25" s="136"/>
      <c r="D25" s="136">
        <v>0.1950837673611111</v>
      </c>
    </row>
    <row r="26" spans="1:4" x14ac:dyDescent="0.25">
      <c r="A26" s="138" t="s">
        <v>268</v>
      </c>
      <c r="B26" s="138" t="s">
        <v>176</v>
      </c>
      <c r="C26" s="136"/>
      <c r="D26" s="136">
        <v>0.22295240162037039</v>
      </c>
    </row>
    <row r="27" spans="1:4" x14ac:dyDescent="0.25">
      <c r="A27" s="138" t="s">
        <v>269</v>
      </c>
      <c r="B27" s="138" t="s">
        <v>283</v>
      </c>
      <c r="C27" s="136"/>
      <c r="D27" s="136">
        <v>0.22429701967592594</v>
      </c>
    </row>
    <row r="28" spans="1:4" x14ac:dyDescent="0.25">
      <c r="A28" s="138" t="s">
        <v>270</v>
      </c>
      <c r="B28" s="138" t="s">
        <v>25</v>
      </c>
      <c r="C28" s="136"/>
      <c r="D28" s="136">
        <v>0.15371831597222221</v>
      </c>
    </row>
    <row r="29" spans="1:4" x14ac:dyDescent="0.25">
      <c r="A29" s="138" t="s">
        <v>271</v>
      </c>
      <c r="B29" s="138" t="s">
        <v>284</v>
      </c>
      <c r="C29" s="136"/>
      <c r="D29" s="136">
        <v>0.19508593750000003</v>
      </c>
    </row>
    <row r="30" spans="1:4" x14ac:dyDescent="0.25">
      <c r="A30" s="138" t="s">
        <v>272</v>
      </c>
      <c r="B30" s="138" t="s">
        <v>192</v>
      </c>
      <c r="C30" s="136"/>
      <c r="D30" s="136">
        <v>0.15206452546296298</v>
      </c>
    </row>
    <row r="31" spans="1:4" x14ac:dyDescent="0.25">
      <c r="A31" s="138" t="s">
        <v>273</v>
      </c>
      <c r="B31" s="138" t="s">
        <v>9</v>
      </c>
      <c r="C31" s="136"/>
      <c r="D31" s="136">
        <v>0.14206032986111111</v>
      </c>
    </row>
    <row r="32" spans="1:4" x14ac:dyDescent="0.25">
      <c r="A32" s="138" t="s">
        <v>274</v>
      </c>
      <c r="B32" s="138" t="s">
        <v>13</v>
      </c>
      <c r="C32" s="136"/>
      <c r="D32" s="136">
        <v>0.16506467013888892</v>
      </c>
    </row>
    <row r="33" spans="1:4" x14ac:dyDescent="0.25">
      <c r="A33" s="138" t="s">
        <v>275</v>
      </c>
      <c r="B33" s="138" t="s">
        <v>23</v>
      </c>
      <c r="C33" s="136"/>
      <c r="D33" s="136">
        <v>0.18291319444444443</v>
      </c>
    </row>
    <row r="34" spans="1:4" x14ac:dyDescent="0.25">
      <c r="A34" s="138" t="s">
        <v>276</v>
      </c>
      <c r="B34" s="138" t="s">
        <v>10</v>
      </c>
      <c r="C34" s="136"/>
      <c r="D34" s="136">
        <v>0.12447135416666665</v>
      </c>
    </row>
    <row r="35" spans="1:4" x14ac:dyDescent="0.25">
      <c r="A35" s="138" t="s">
        <v>277</v>
      </c>
      <c r="B35" s="138" t="s">
        <v>285</v>
      </c>
      <c r="C35" s="136"/>
      <c r="D35" s="136">
        <v>0.16643402777777777</v>
      </c>
    </row>
    <row r="36" spans="1:4" x14ac:dyDescent="0.25">
      <c r="A36" s="138" t="s">
        <v>278</v>
      </c>
      <c r="B36" s="138" t="s">
        <v>286</v>
      </c>
      <c r="C36" s="136"/>
      <c r="D36" s="136">
        <v>0.13463411458333333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28001295</v>
      </c>
      <c r="C2" s="90">
        <v>32969064.085886825</v>
      </c>
      <c r="D2" s="90">
        <v>0</v>
      </c>
      <c r="E2" s="90">
        <v>32969064.085886825</v>
      </c>
      <c r="F2" s="91">
        <v>1.1774121191854456</v>
      </c>
      <c r="G2" s="90">
        <v>32969064.085886825</v>
      </c>
      <c r="H2" s="91">
        <v>1.1774121191854456</v>
      </c>
      <c r="I2" s="90">
        <v>1268040.9263802625</v>
      </c>
      <c r="J2" s="90" t="e">
        <v>#DIV/0!</v>
      </c>
      <c r="K2" s="90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89">
        <v>26876745</v>
      </c>
      <c r="C3" s="90">
        <v>29130364.756566606</v>
      </c>
      <c r="D3" s="90">
        <v>0</v>
      </c>
      <c r="E3" s="90">
        <v>29130364.756566606</v>
      </c>
      <c r="F3" s="91">
        <v>1.0838501744376636</v>
      </c>
      <c r="G3" s="90">
        <v>29130364.75656661</v>
      </c>
      <c r="H3" s="91">
        <v>1.0838501744376638</v>
      </c>
      <c r="I3" s="90">
        <v>1120398.6444833311</v>
      </c>
      <c r="J3" s="90" t="e">
        <v>#DIV/0!</v>
      </c>
      <c r="K3" s="90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89">
        <v>24627645</v>
      </c>
      <c r="C4" s="90">
        <v>20258833.614688918</v>
      </c>
      <c r="D4" s="90">
        <v>0</v>
      </c>
      <c r="E4" s="90">
        <v>20258833.614688918</v>
      </c>
      <c r="F4" s="91">
        <v>0.82260539384455633</v>
      </c>
      <c r="G4" s="90">
        <v>20258833.614688918</v>
      </c>
      <c r="H4" s="91">
        <v>0.82260539384455633</v>
      </c>
      <c r="I4" s="90">
        <v>779185.90825726604</v>
      </c>
      <c r="J4" s="90" t="e">
        <v>#DIV/0!</v>
      </c>
      <c r="K4" s="90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89">
        <v>24627645</v>
      </c>
      <c r="C5" s="90">
        <v>26537938.241926376</v>
      </c>
      <c r="D5" s="90">
        <v>0</v>
      </c>
      <c r="E5" s="90">
        <v>26537938.241926376</v>
      </c>
      <c r="F5" s="91">
        <v>1.0775670285131353</v>
      </c>
      <c r="G5" s="90">
        <v>26537938.241926376</v>
      </c>
      <c r="H5" s="91">
        <v>1.0775670285131353</v>
      </c>
      <c r="I5" s="90">
        <v>1020689.9323817837</v>
      </c>
      <c r="J5" s="90" t="e">
        <v>#DIV/0!</v>
      </c>
      <c r="K5" s="90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20410582.5</v>
      </c>
      <c r="C6" s="90">
        <v>17576102.641826726</v>
      </c>
      <c r="D6" s="90">
        <v>0</v>
      </c>
      <c r="E6" s="90">
        <v>17576102.641826726</v>
      </c>
      <c r="F6" s="91">
        <v>0.86112694930812128</v>
      </c>
      <c r="G6" s="90">
        <v>17576102.641826726</v>
      </c>
      <c r="H6" s="91">
        <v>0.86112694930812128</v>
      </c>
      <c r="I6" s="90">
        <v>676003.94776256639</v>
      </c>
      <c r="J6" s="90" t="e">
        <v>#DIV/0!</v>
      </c>
      <c r="K6" s="90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24065370</v>
      </c>
      <c r="C7" s="90">
        <v>24383408.810882814</v>
      </c>
      <c r="D7" s="90">
        <v>0</v>
      </c>
      <c r="E7" s="90">
        <v>24383408.810882814</v>
      </c>
      <c r="F7" s="91">
        <v>1.0132156210722219</v>
      </c>
      <c r="G7" s="90">
        <v>24383408.810882814</v>
      </c>
      <c r="H7" s="91">
        <v>1.0132156210722219</v>
      </c>
      <c r="I7" s="90">
        <v>937823.4158031852</v>
      </c>
      <c r="J7" s="90" t="e">
        <v>#DIV/0!</v>
      </c>
      <c r="K7" s="90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89">
        <v>31082562</v>
      </c>
      <c r="C8" s="90">
        <v>32899444.909960415</v>
      </c>
      <c r="D8" s="90">
        <v>0</v>
      </c>
      <c r="E8" s="90">
        <v>32899444.909960415</v>
      </c>
      <c r="F8" s="91">
        <v>1.0584534476263705</v>
      </c>
      <c r="G8" s="90">
        <v>32899444.909960411</v>
      </c>
      <c r="H8" s="91">
        <v>1.0584534476263705</v>
      </c>
      <c r="I8" s="90">
        <v>1265363.2657677082</v>
      </c>
      <c r="J8" s="90" t="e">
        <v>#DIV/0!</v>
      </c>
      <c r="K8" s="90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89">
        <v>31082562</v>
      </c>
      <c r="C9" s="90">
        <v>30879201.629310861</v>
      </c>
      <c r="D9" s="90">
        <v>0</v>
      </c>
      <c r="E9" s="90">
        <v>30879201.629310861</v>
      </c>
      <c r="F9" s="91">
        <v>0.99345741285132361</v>
      </c>
      <c r="G9" s="90">
        <v>30879201.629310865</v>
      </c>
      <c r="H9" s="91">
        <v>0.99345741285132372</v>
      </c>
      <c r="I9" s="90">
        <v>1187661.6011273409</v>
      </c>
      <c r="J9" s="90" t="e">
        <v>#DIV/0!</v>
      </c>
      <c r="K9" s="90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92">
        <v>210774406.5</v>
      </c>
      <c r="C10" s="92">
        <v>214634358.69104952</v>
      </c>
      <c r="D10" s="92">
        <v>0</v>
      </c>
      <c r="E10" s="92">
        <v>214634358.69104952</v>
      </c>
      <c r="F10" s="93">
        <v>1.0183131920765225</v>
      </c>
      <c r="G10" s="92">
        <v>214634358.69104952</v>
      </c>
      <c r="H10" s="93">
        <v>1.0183131920765225</v>
      </c>
      <c r="I10" s="92">
        <v>8255167.6419634428</v>
      </c>
      <c r="J10" s="94" t="e">
        <v>#DIV/0!</v>
      </c>
      <c r="K10" s="94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89">
        <v>84120750</v>
      </c>
      <c r="C11" s="90">
        <v>64387271.98183801</v>
      </c>
      <c r="D11" s="90">
        <v>0</v>
      </c>
      <c r="E11" s="90">
        <v>64387271.98183801</v>
      </c>
      <c r="F11" s="91">
        <v>0.76541485878143034</v>
      </c>
      <c r="G11" s="90">
        <v>64387271.98183801</v>
      </c>
      <c r="H11" s="91">
        <v>0.76541485878143034</v>
      </c>
      <c r="I11" s="90">
        <v>2476433.5377630005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89">
        <v>27439020</v>
      </c>
      <c r="C12" s="90">
        <v>21503763.720070578</v>
      </c>
      <c r="D12" s="90">
        <v>0</v>
      </c>
      <c r="E12" s="90">
        <v>21503763.720070578</v>
      </c>
      <c r="F12" s="91">
        <v>0.78369284763342784</v>
      </c>
      <c r="G12" s="90">
        <v>21503763.720070578</v>
      </c>
      <c r="H12" s="91">
        <v>0.78369284763342784</v>
      </c>
      <c r="I12" s="90">
        <v>827067.83538732992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89">
        <v>111352500</v>
      </c>
      <c r="C13" s="90">
        <v>81948670.721768543</v>
      </c>
      <c r="D13" s="90">
        <v>0</v>
      </c>
      <c r="E13" s="90">
        <v>81948670.721768543</v>
      </c>
      <c r="F13" s="91">
        <v>0.7359392085653087</v>
      </c>
      <c r="G13" s="90">
        <v>81948670.721768543</v>
      </c>
      <c r="H13" s="91">
        <v>0.7359392085653087</v>
      </c>
      <c r="I13" s="90">
        <v>3151871.9508372517</v>
      </c>
      <c r="J13" s="90" t="e">
        <v>#DIV/0!</v>
      </c>
      <c r="K13" s="90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89">
        <v>36823500</v>
      </c>
      <c r="C14" s="90">
        <v>27773181.596537951</v>
      </c>
      <c r="D14" s="90">
        <v>0</v>
      </c>
      <c r="E14" s="90">
        <v>27773181.596537951</v>
      </c>
      <c r="F14" s="91">
        <v>0.75422438379127332</v>
      </c>
      <c r="G14" s="90">
        <v>27773181.596537948</v>
      </c>
      <c r="H14" s="91">
        <v>0.75422438379127321</v>
      </c>
      <c r="I14" s="90">
        <v>1068199.2921745365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89">
        <v>36823500</v>
      </c>
      <c r="C15" s="90">
        <v>40412110.7009774</v>
      </c>
      <c r="D15" s="90">
        <v>0</v>
      </c>
      <c r="E15" s="90">
        <v>40412110.7009774</v>
      </c>
      <c r="F15" s="91">
        <v>1.0974543620507937</v>
      </c>
      <c r="G15" s="90">
        <v>40412110.7009774</v>
      </c>
      <c r="H15" s="91">
        <v>1.0974543620507937</v>
      </c>
      <c r="I15" s="90">
        <v>1554311.9500375923</v>
      </c>
      <c r="J15" s="90" t="e">
        <v>#DIV/0!</v>
      </c>
      <c r="K15" s="90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92">
        <v>296559270</v>
      </c>
      <c r="C16" s="92">
        <v>236024998.72119248</v>
      </c>
      <c r="D16" s="92">
        <v>0</v>
      </c>
      <c r="E16" s="92">
        <v>236024998.72119248</v>
      </c>
      <c r="F16" s="93">
        <v>0.79587800010835097</v>
      </c>
      <c r="G16" s="92">
        <v>236024998.72119248</v>
      </c>
      <c r="H16" s="93">
        <v>0.79587800010835097</v>
      </c>
      <c r="I16" s="92">
        <v>9077884.5661997106</v>
      </c>
      <c r="J16" s="94" t="e">
        <v>#DIV/0!</v>
      </c>
      <c r="K16" s="94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71">
        <v>25450000</v>
      </c>
      <c r="C17" s="90">
        <v>16519194.256903937</v>
      </c>
      <c r="D17" s="90">
        <v>0</v>
      </c>
      <c r="E17" s="90">
        <v>16519194.256903937</v>
      </c>
      <c r="F17" s="91">
        <v>0.64908425370938849</v>
      </c>
      <c r="G17" s="90">
        <v>16519194.256903937</v>
      </c>
      <c r="H17" s="91">
        <v>0.64908425370938849</v>
      </c>
      <c r="I17" s="90">
        <v>635353.62526553601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71">
        <v>22430000</v>
      </c>
      <c r="C18" s="90">
        <v>14871118.704486541</v>
      </c>
      <c r="D18" s="90">
        <v>0</v>
      </c>
      <c r="E18" s="90">
        <v>14871118.704486541</v>
      </c>
      <c r="F18" s="91">
        <v>0.66300127973635936</v>
      </c>
      <c r="G18" s="90">
        <v>14871118.704486541</v>
      </c>
      <c r="H18" s="91">
        <v>0.66300127973635936</v>
      </c>
      <c r="I18" s="90">
        <v>571966.10401871311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71">
        <v>22430000</v>
      </c>
      <c r="C19" s="90">
        <v>17383067.799878713</v>
      </c>
      <c r="D19" s="90">
        <v>0</v>
      </c>
      <c r="E19" s="90">
        <v>17383067.799878713</v>
      </c>
      <c r="F19" s="91">
        <v>0.7749918769451053</v>
      </c>
      <c r="G19" s="90">
        <v>17383067.799878713</v>
      </c>
      <c r="H19" s="91">
        <v>0.7749918769451053</v>
      </c>
      <c r="I19" s="90">
        <v>668579.53076456592</v>
      </c>
      <c r="J19" s="90" t="e">
        <v>#DIV/0!</v>
      </c>
      <c r="K19" s="90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71">
        <v>29000000</v>
      </c>
      <c r="C20" s="90">
        <v>24462624.729524348</v>
      </c>
      <c r="D20" s="90">
        <v>0</v>
      </c>
      <c r="E20" s="90">
        <v>24462624.729524348</v>
      </c>
      <c r="F20" s="91">
        <v>0.84353878377670166</v>
      </c>
      <c r="G20" s="90">
        <v>24462624.729524348</v>
      </c>
      <c r="H20" s="91">
        <v>0.84353878377670166</v>
      </c>
      <c r="I20" s="90">
        <v>940870.18190478266</v>
      </c>
      <c r="J20" s="90" t="e">
        <v>#DIV/0!</v>
      </c>
      <c r="K20" s="90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71">
        <v>22000000</v>
      </c>
      <c r="C21" s="90">
        <v>19224920.576570924</v>
      </c>
      <c r="D21" s="90">
        <v>0</v>
      </c>
      <c r="E21" s="90">
        <v>19224920.576570924</v>
      </c>
      <c r="F21" s="91">
        <v>0.87386002620776926</v>
      </c>
      <c r="G21" s="90">
        <v>19224920.576570924</v>
      </c>
      <c r="H21" s="91">
        <v>0.87386002620776926</v>
      </c>
      <c r="I21" s="90">
        <v>739420.02217580483</v>
      </c>
      <c r="J21" s="90" t="e">
        <v>#DIV/0!</v>
      </c>
      <c r="K21" s="90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71">
        <v>27500000</v>
      </c>
      <c r="C22" s="90">
        <v>22580286.482825678</v>
      </c>
      <c r="D22" s="90">
        <v>0</v>
      </c>
      <c r="E22" s="90">
        <v>22580286.482825678</v>
      </c>
      <c r="F22" s="91">
        <v>0.82110132664820645</v>
      </c>
      <c r="G22" s="90">
        <v>22580286.482825678</v>
      </c>
      <c r="H22" s="91">
        <v>0.82110132664820645</v>
      </c>
      <c r="I22" s="90">
        <v>868472.55703175685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71">
        <v>23800000</v>
      </c>
      <c r="C23" s="90">
        <v>18758064.323494539</v>
      </c>
      <c r="D23" s="90">
        <v>0</v>
      </c>
      <c r="E23" s="90">
        <v>18758064.323494539</v>
      </c>
      <c r="F23" s="91">
        <v>0.78815396317203945</v>
      </c>
      <c r="G23" s="90">
        <v>18758064.323494539</v>
      </c>
      <c r="H23" s="91">
        <v>0.78815396317203945</v>
      </c>
      <c r="I23" s="90">
        <v>721464.01244209765</v>
      </c>
      <c r="J23" s="90" t="e">
        <v>#DIV/0!</v>
      </c>
      <c r="K23" s="90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71">
        <v>28500000</v>
      </c>
      <c r="C24" s="90">
        <v>25700325.30407371</v>
      </c>
      <c r="D24" s="90">
        <v>0</v>
      </c>
      <c r="E24" s="90">
        <v>25700325.30407371</v>
      </c>
      <c r="F24" s="91">
        <v>0.90176580014293717</v>
      </c>
      <c r="G24" s="90">
        <v>25700325.30407371</v>
      </c>
      <c r="H24" s="91">
        <v>0.90176580014293717</v>
      </c>
      <c r="I24" s="90">
        <v>988474.0501566811</v>
      </c>
      <c r="J24" s="90" t="e">
        <v>#DIV/0!</v>
      </c>
      <c r="K24" s="90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71">
        <v>46900000</v>
      </c>
      <c r="C25" s="90">
        <v>26132280.684891887</v>
      </c>
      <c r="D25" s="90">
        <v>0</v>
      </c>
      <c r="E25" s="90">
        <v>26132280.684891887</v>
      </c>
      <c r="F25" s="91">
        <v>0.55719148581859035</v>
      </c>
      <c r="G25" s="90">
        <v>26132280.684891887</v>
      </c>
      <c r="H25" s="91">
        <v>0.55719148581859035</v>
      </c>
      <c r="I25" s="90">
        <v>1005087.7186496879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4">
        <v>248010000</v>
      </c>
      <c r="C26" s="94">
        <v>185631882.86265028</v>
      </c>
      <c r="D26" s="94">
        <v>0</v>
      </c>
      <c r="E26" s="94">
        <v>185631882.86265028</v>
      </c>
      <c r="F26" s="93">
        <v>0.74848547583827374</v>
      </c>
      <c r="G26" s="92">
        <v>185631882.86265028</v>
      </c>
      <c r="H26" s="93">
        <v>0.74848547583827374</v>
      </c>
      <c r="I26" s="92">
        <v>7139687.8024096256</v>
      </c>
      <c r="J26" s="94" t="e">
        <v>#DIV/0!</v>
      </c>
      <c r="K26" s="94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5" t="s">
        <v>102</v>
      </c>
      <c r="B27" s="134">
        <v>72908793.5625</v>
      </c>
      <c r="C27" s="90">
        <v>59705699.342645526</v>
      </c>
      <c r="D27" s="90">
        <v>0</v>
      </c>
      <c r="E27" s="90">
        <v>59705699.342645526</v>
      </c>
      <c r="F27" s="91">
        <v>0.81890944048420833</v>
      </c>
      <c r="G27" s="90">
        <v>59705699.342645526</v>
      </c>
      <c r="H27" s="91">
        <v>0.81890944048420833</v>
      </c>
      <c r="I27" s="90">
        <v>2296373.0516402125</v>
      </c>
      <c r="J27" s="90" t="e">
        <v>#DIV/0!</v>
      </c>
      <c r="K27" s="90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34">
        <v>20300095.462500002</v>
      </c>
      <c r="C28" s="90">
        <v>7088486.5581214279</v>
      </c>
      <c r="D28" s="90">
        <v>0</v>
      </c>
      <c r="E28" s="90">
        <v>7088486.5581214279</v>
      </c>
      <c r="F28" s="91">
        <v>0.3491848878846831</v>
      </c>
      <c r="G28" s="90">
        <v>7088486.5581214279</v>
      </c>
      <c r="H28" s="91">
        <v>0.3491848878846831</v>
      </c>
      <c r="I28" s="90">
        <v>272634.09838928567</v>
      </c>
      <c r="J28" s="90" t="e">
        <v>#DIV/0!</v>
      </c>
      <c r="K28" s="90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34">
        <v>21701087.966249999</v>
      </c>
      <c r="C29" s="90">
        <v>11524508.445087066</v>
      </c>
      <c r="D29" s="90">
        <v>0</v>
      </c>
      <c r="E29" s="90">
        <v>11524508.445087066</v>
      </c>
      <c r="F29" s="91">
        <v>0.53105671305559565</v>
      </c>
      <c r="G29" s="90">
        <v>11524508.445087066</v>
      </c>
      <c r="H29" s="91">
        <v>0.53105671305559565</v>
      </c>
      <c r="I29" s="90">
        <v>443250.32481104101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34">
        <v>33166353.149999999</v>
      </c>
      <c r="C30" s="90">
        <v>32454209.159729112</v>
      </c>
      <c r="D30" s="90">
        <v>0</v>
      </c>
      <c r="E30" s="90">
        <v>32454209.159729112</v>
      </c>
      <c r="F30" s="91">
        <v>0.97852811893275982</v>
      </c>
      <c r="G30" s="90">
        <v>32454209.159729108</v>
      </c>
      <c r="H30" s="91">
        <v>0.97852811893275971</v>
      </c>
      <c r="I30" s="90">
        <v>1248238.813835735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34">
        <v>21701087.966249999</v>
      </c>
      <c r="C31" s="90">
        <v>18178588.533045053</v>
      </c>
      <c r="D31" s="90">
        <v>0</v>
      </c>
      <c r="E31" s="90">
        <v>18178588.533045053</v>
      </c>
      <c r="F31" s="91">
        <v>0.83768097531869312</v>
      </c>
      <c r="G31" s="90">
        <v>18178588.533045053</v>
      </c>
      <c r="H31" s="91">
        <v>0.83768097531869312</v>
      </c>
      <c r="I31" s="90">
        <v>699176.48204019433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34">
        <v>21701087.966249999</v>
      </c>
      <c r="C32" s="90">
        <v>22255930.735474538</v>
      </c>
      <c r="D32" s="90">
        <v>0</v>
      </c>
      <c r="E32" s="90">
        <v>22255930.735474538</v>
      </c>
      <c r="F32" s="91">
        <v>1.0255675093381236</v>
      </c>
      <c r="G32" s="90">
        <v>22255930.735474538</v>
      </c>
      <c r="H32" s="91">
        <v>1.0255675093381236</v>
      </c>
      <c r="I32" s="90">
        <v>855997.33597978996</v>
      </c>
      <c r="J32" s="90" t="e">
        <v>#DIV/0!</v>
      </c>
      <c r="K32" s="90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34">
        <v>20586012.300000001</v>
      </c>
      <c r="C33" s="90">
        <v>21491454.209792644</v>
      </c>
      <c r="D33" s="90">
        <v>0</v>
      </c>
      <c r="E33" s="90">
        <v>21491454.209792644</v>
      </c>
      <c r="F33" s="91">
        <v>1.0439833561059635</v>
      </c>
      <c r="G33" s="90">
        <v>21491454.209792644</v>
      </c>
      <c r="H33" s="91">
        <v>1.0439833561059635</v>
      </c>
      <c r="I33" s="90">
        <v>826594.39268433244</v>
      </c>
      <c r="J33" s="90" t="e">
        <v>#DIV/0!</v>
      </c>
      <c r="K33" s="90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34">
        <v>21701087.966249999</v>
      </c>
      <c r="C34" s="90">
        <v>6604694.92388489</v>
      </c>
      <c r="D34" s="90">
        <v>0</v>
      </c>
      <c r="E34" s="90">
        <v>6604694.92388489</v>
      </c>
      <c r="F34" s="91">
        <v>0.30434856234658164</v>
      </c>
      <c r="G34" s="90">
        <v>6604694.92388489</v>
      </c>
      <c r="H34" s="91">
        <v>0.30434856234658164</v>
      </c>
      <c r="I34" s="90">
        <v>254026.72784172653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34">
        <v>20586012.300000001</v>
      </c>
      <c r="C35" s="90">
        <v>10300686.076064574</v>
      </c>
      <c r="D35" s="90">
        <v>0</v>
      </c>
      <c r="E35" s="90">
        <v>10300686.076064574</v>
      </c>
      <c r="F35" s="91">
        <v>0.50037306526162784</v>
      </c>
      <c r="G35" s="90">
        <v>10300686.076064574</v>
      </c>
      <c r="H35" s="91">
        <v>0.50037306526162784</v>
      </c>
      <c r="I35" s="90">
        <v>396180.23369479127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34">
        <v>21729679.650000002</v>
      </c>
      <c r="C36" s="90">
        <v>17015924.868190646</v>
      </c>
      <c r="D36" s="90">
        <v>0</v>
      </c>
      <c r="E36" s="90">
        <v>17015924.868190646</v>
      </c>
      <c r="F36" s="91">
        <v>0.78307297402751375</v>
      </c>
      <c r="G36" s="90">
        <v>17015924.868190646</v>
      </c>
      <c r="H36" s="91">
        <v>0.78307297402751375</v>
      </c>
      <c r="I36" s="90">
        <v>654458.64877656335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34">
        <v>102930061.49999999</v>
      </c>
      <c r="C37" s="90">
        <v>71043541.40915364</v>
      </c>
      <c r="D37" s="90">
        <v>0</v>
      </c>
      <c r="E37" s="90">
        <v>71043541.40915364</v>
      </c>
      <c r="F37" s="91">
        <v>0.6902117843304082</v>
      </c>
      <c r="G37" s="90">
        <v>71043541.40915364</v>
      </c>
      <c r="H37" s="91">
        <v>0.6902117843304082</v>
      </c>
      <c r="I37" s="90">
        <v>2732443.9003520631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34">
        <v>29964084.57</v>
      </c>
      <c r="C38" s="90">
        <v>34108717.03855706</v>
      </c>
      <c r="D38" s="90">
        <v>0</v>
      </c>
      <c r="E38" s="90">
        <v>34108717.03855706</v>
      </c>
      <c r="F38" s="91">
        <v>1.1383200097061086</v>
      </c>
      <c r="G38" s="90">
        <v>34108717.03855706</v>
      </c>
      <c r="H38" s="91">
        <v>1.1383200097061086</v>
      </c>
      <c r="I38" s="90">
        <v>1311873.7322521945</v>
      </c>
      <c r="J38" s="90" t="e">
        <v>#DIV/0!</v>
      </c>
      <c r="K38" s="90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34">
        <v>32594519.474999998</v>
      </c>
      <c r="C39" s="90">
        <v>24484653.207060494</v>
      </c>
      <c r="D39" s="90">
        <v>0</v>
      </c>
      <c r="E39" s="90">
        <v>24484653.207060494</v>
      </c>
      <c r="F39" s="91">
        <v>0.75118926744234493</v>
      </c>
      <c r="G39" s="90">
        <v>24484653.207060494</v>
      </c>
      <c r="H39" s="91">
        <v>0.75118926744234493</v>
      </c>
      <c r="I39" s="90">
        <v>941717.43104078819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236</v>
      </c>
      <c r="B40" s="94">
        <v>441569963.83499998</v>
      </c>
      <c r="C40" s="94">
        <v>336257094.50680667</v>
      </c>
      <c r="D40" s="94">
        <v>0</v>
      </c>
      <c r="E40" s="94">
        <v>336257094.50680667</v>
      </c>
      <c r="F40" s="93">
        <v>0.76150354880671811</v>
      </c>
      <c r="G40" s="92">
        <v>336257094.50680667</v>
      </c>
      <c r="H40" s="93">
        <v>0.76150354880671811</v>
      </c>
      <c r="I40" s="92">
        <v>12932965.173338719</v>
      </c>
      <c r="J40" s="94" t="e">
        <v>#DIV/0!</v>
      </c>
      <c r="K40" s="94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8" t="s">
        <v>42</v>
      </c>
      <c r="B41" s="99">
        <v>1196913633.8701973</v>
      </c>
      <c r="C41" s="99">
        <v>972548334.78169894</v>
      </c>
      <c r="D41" s="99">
        <v>0</v>
      </c>
      <c r="E41" s="99">
        <v>972548334.78169894</v>
      </c>
      <c r="F41" s="100">
        <v>0.81254679306892219</v>
      </c>
      <c r="G41" s="99">
        <v>972548334.78169882</v>
      </c>
      <c r="H41" s="100">
        <v>0.81254679306892208</v>
      </c>
      <c r="I41" s="99">
        <v>37405705.183911495</v>
      </c>
      <c r="J41" s="99" t="e">
        <v>#DIV/0!</v>
      </c>
      <c r="K41" s="99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28561320.900000002</v>
      </c>
      <c r="C2" s="90">
        <v>39721295.804930009</v>
      </c>
      <c r="D2" s="90">
        <v>39088385.959280692</v>
      </c>
      <c r="E2" s="90">
        <v>632909.84564931691</v>
      </c>
      <c r="F2" s="91">
        <v>1.3907373522395459</v>
      </c>
      <c r="G2" s="90">
        <v>39721295.804930009</v>
      </c>
      <c r="H2" s="91">
        <v>1.3907373522395459</v>
      </c>
      <c r="I2" s="90">
        <v>1727012.8610839134</v>
      </c>
      <c r="J2" s="90" t="e">
        <v>#DIV/0!</v>
      </c>
      <c r="K2" s="90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89">
        <v>27414279.900000002</v>
      </c>
      <c r="C3" s="90">
        <v>29249180.313359585</v>
      </c>
      <c r="D3" s="90">
        <v>28088897.73557714</v>
      </c>
      <c r="E3" s="90">
        <v>1160282.5777824447</v>
      </c>
      <c r="F3" s="91">
        <v>1.0669322856574315</v>
      </c>
      <c r="G3" s="90">
        <v>29249180.313359588</v>
      </c>
      <c r="H3" s="91">
        <v>1.0669322856574317</v>
      </c>
      <c r="I3" s="90">
        <v>1271703.4918851994</v>
      </c>
      <c r="J3" s="90" t="e">
        <v>#DIV/0!</v>
      </c>
      <c r="K3" s="90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89">
        <v>25120197.900000002</v>
      </c>
      <c r="C4" s="90">
        <v>23167100.132401947</v>
      </c>
      <c r="D4" s="90">
        <v>21799243.674501382</v>
      </c>
      <c r="E4" s="90">
        <v>1367856.4579005651</v>
      </c>
      <c r="F4" s="91">
        <v>0.92224990522076833</v>
      </c>
      <c r="G4" s="90">
        <v>23167100.132401947</v>
      </c>
      <c r="H4" s="91">
        <v>0.92224990522076833</v>
      </c>
      <c r="I4" s="90">
        <v>1007265.2231479108</v>
      </c>
      <c r="J4" s="90" t="e">
        <v>#DIV/0!</v>
      </c>
      <c r="K4" s="90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89">
        <v>25120197.900000002</v>
      </c>
      <c r="C5" s="90">
        <v>31630958.851832926</v>
      </c>
      <c r="D5" s="90">
        <v>30307629.482775476</v>
      </c>
      <c r="E5" s="90">
        <v>1323329.3690574504</v>
      </c>
      <c r="F5" s="91">
        <v>1.2591843017221183</v>
      </c>
      <c r="G5" s="90">
        <v>31630958.851832926</v>
      </c>
      <c r="H5" s="91">
        <v>1.2591843017221183</v>
      </c>
      <c r="I5" s="90">
        <v>1375259.080514475</v>
      </c>
      <c r="J5" s="90" t="e">
        <v>#DIV/0!</v>
      </c>
      <c r="K5" s="90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89">
        <v>20818794.149999999</v>
      </c>
      <c r="C6" s="90">
        <v>15488445.984929243</v>
      </c>
      <c r="D6" s="90">
        <v>15012989.485614467</v>
      </c>
      <c r="E6" s="90">
        <v>475456.49931477569</v>
      </c>
      <c r="F6" s="91">
        <v>0.7439646058909346</v>
      </c>
      <c r="G6" s="90">
        <v>15488445.984929241</v>
      </c>
      <c r="H6" s="91">
        <v>0.74396460589093449</v>
      </c>
      <c r="I6" s="90">
        <v>673410.69499692356</v>
      </c>
      <c r="J6" s="90" t="e">
        <v>#DIV/0!</v>
      </c>
      <c r="K6" s="90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89">
        <v>24546677.400000002</v>
      </c>
      <c r="C7" s="90">
        <v>18088953.14564018</v>
      </c>
      <c r="D7" s="90">
        <v>17362470.332684334</v>
      </c>
      <c r="E7" s="90">
        <v>726482.81295584515</v>
      </c>
      <c r="F7" s="91">
        <v>0.73692063699179822</v>
      </c>
      <c r="G7" s="90">
        <v>18088953.14564018</v>
      </c>
      <c r="H7" s="91">
        <v>0.73692063699179822</v>
      </c>
      <c r="I7" s="90">
        <v>786476.22372348607</v>
      </c>
      <c r="J7" s="90" t="e">
        <v>#DIV/0!</v>
      </c>
      <c r="K7" s="90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89">
        <v>31704213.240000002</v>
      </c>
      <c r="C8" s="90">
        <v>25692634.698936395</v>
      </c>
      <c r="D8" s="90">
        <v>25203128.493070193</v>
      </c>
      <c r="E8" s="90">
        <v>489506.20586620271</v>
      </c>
      <c r="F8" s="91">
        <v>0.81038550001048359</v>
      </c>
      <c r="G8" s="90">
        <v>25692634.698936392</v>
      </c>
      <c r="H8" s="91">
        <v>0.81038550001048348</v>
      </c>
      <c r="I8" s="90">
        <v>1117071.0738667997</v>
      </c>
      <c r="J8" s="90" t="e">
        <v>#DIV/0!</v>
      </c>
      <c r="K8" s="90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89">
        <v>31704213.240000002</v>
      </c>
      <c r="C9" s="90">
        <v>32620850.48761525</v>
      </c>
      <c r="D9" s="90">
        <v>30865958.704523828</v>
      </c>
      <c r="E9" s="90">
        <v>1754891.7830914222</v>
      </c>
      <c r="F9" s="91">
        <v>1.0289121587934174</v>
      </c>
      <c r="G9" s="90">
        <v>32620850.48761525</v>
      </c>
      <c r="H9" s="91">
        <v>1.0289121587934174</v>
      </c>
      <c r="I9" s="90">
        <v>1418297.8472876195</v>
      </c>
      <c r="J9" s="90" t="e">
        <v>#DIV/0!</v>
      </c>
      <c r="K9" s="90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92">
        <v>214989894.63</v>
      </c>
      <c r="C10" s="92">
        <v>215659419.41964552</v>
      </c>
      <c r="D10" s="90">
        <v>207728703.86802754</v>
      </c>
      <c r="E10" s="92">
        <v>7930715.5516180228</v>
      </c>
      <c r="F10" s="93">
        <v>1.003114215162521</v>
      </c>
      <c r="G10" s="92">
        <v>215659419.41964555</v>
      </c>
      <c r="H10" s="93">
        <v>1.003114215162521</v>
      </c>
      <c r="I10" s="92">
        <v>9376496.4965063278</v>
      </c>
      <c r="J10" s="94" t="e">
        <v>#DIV/0!</v>
      </c>
      <c r="K10" s="94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89">
        <v>85803165</v>
      </c>
      <c r="C11" s="90">
        <v>74801914.352921605</v>
      </c>
      <c r="D11" s="90">
        <v>72706629.068820506</v>
      </c>
      <c r="E11" s="90">
        <v>2095285.2841010988</v>
      </c>
      <c r="F11" s="91">
        <v>0.87178502509693678</v>
      </c>
      <c r="G11" s="90">
        <v>74801914.352921605</v>
      </c>
      <c r="H11" s="91">
        <v>0.87178502509693678</v>
      </c>
      <c r="I11" s="90">
        <v>3252257.1457792004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89">
        <v>27987800.400000002</v>
      </c>
      <c r="C12" s="90">
        <v>21624275.946476139</v>
      </c>
      <c r="D12" s="90">
        <v>21624275.946476139</v>
      </c>
      <c r="E12" s="90">
        <v>0</v>
      </c>
      <c r="F12" s="91">
        <v>0.77263220536888411</v>
      </c>
      <c r="G12" s="90">
        <v>21624275.946476139</v>
      </c>
      <c r="H12" s="91">
        <v>0.77263220536888411</v>
      </c>
      <c r="I12" s="90">
        <v>940185.91071635392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89">
        <v>113579550</v>
      </c>
      <c r="C13" s="90">
        <v>110562899.82800557</v>
      </c>
      <c r="D13" s="90">
        <v>101026142.33835626</v>
      </c>
      <c r="E13" s="90">
        <v>9536757.4896493107</v>
      </c>
      <c r="F13" s="91">
        <v>0.97344019964866535</v>
      </c>
      <c r="G13" s="90">
        <v>110562899.82800557</v>
      </c>
      <c r="H13" s="91">
        <v>0.97344019964866535</v>
      </c>
      <c r="I13" s="90">
        <v>4807082.6012176331</v>
      </c>
      <c r="J13" s="90" t="e">
        <v>#DIV/0!</v>
      </c>
      <c r="K13" s="90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89">
        <v>37559970</v>
      </c>
      <c r="C14" s="90">
        <v>25974209.55841786</v>
      </c>
      <c r="D14" s="90">
        <v>25893547.49941786</v>
      </c>
      <c r="E14" s="90">
        <v>80662.059000000358</v>
      </c>
      <c r="F14" s="91">
        <v>0.69153967797146432</v>
      </c>
      <c r="G14" s="90">
        <v>25974209.55841786</v>
      </c>
      <c r="H14" s="91">
        <v>0.69153967797146432</v>
      </c>
      <c r="I14" s="90">
        <v>1129313.4590616461</v>
      </c>
      <c r="J14" s="90" t="e">
        <v>#DIV/0!</v>
      </c>
      <c r="K14" s="90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89">
        <v>37559970</v>
      </c>
      <c r="C15" s="90">
        <v>32322953.369331002</v>
      </c>
      <c r="D15" s="90">
        <v>32261497.488231003</v>
      </c>
      <c r="E15" s="90">
        <v>61455.881099998951</v>
      </c>
      <c r="F15" s="91">
        <v>0.86056920091605515</v>
      </c>
      <c r="G15" s="90">
        <v>32322953.369330999</v>
      </c>
      <c r="H15" s="91">
        <v>0.86056920091605504</v>
      </c>
      <c r="I15" s="90">
        <v>1405345.7986665652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92">
        <v>302490455.39999998</v>
      </c>
      <c r="C16" s="92">
        <v>265286253.05515218</v>
      </c>
      <c r="D16" s="90">
        <v>253512092.34130177</v>
      </c>
      <c r="E16" s="92">
        <v>11774160.713850409</v>
      </c>
      <c r="F16" s="93">
        <v>0.87700702061606994</v>
      </c>
      <c r="G16" s="92">
        <v>265286253.05515218</v>
      </c>
      <c r="H16" s="93">
        <v>0.87700702061606994</v>
      </c>
      <c r="I16" s="92">
        <v>11534184.915441399</v>
      </c>
      <c r="J16" s="94" t="e">
        <v>#DIV/0!</v>
      </c>
      <c r="K16" s="94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71">
        <v>25959000</v>
      </c>
      <c r="C17" s="90">
        <v>15605041.260327421</v>
      </c>
      <c r="D17" s="90">
        <v>15500623.615824336</v>
      </c>
      <c r="E17" s="90">
        <v>104417.64450308494</v>
      </c>
      <c r="F17" s="91">
        <v>0.60114184908229984</v>
      </c>
      <c r="G17" s="90">
        <v>15605041.260327421</v>
      </c>
      <c r="H17" s="91">
        <v>0.60114184908229984</v>
      </c>
      <c r="I17" s="90">
        <v>678480.05479684437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71">
        <v>22878600</v>
      </c>
      <c r="C18" s="90">
        <v>17851342.96152376</v>
      </c>
      <c r="D18" s="90">
        <v>17014009.254922275</v>
      </c>
      <c r="E18" s="90">
        <v>837333.70660148561</v>
      </c>
      <c r="F18" s="91">
        <v>0.78026378194136703</v>
      </c>
      <c r="G18" s="90">
        <v>17851342.96152376</v>
      </c>
      <c r="H18" s="91">
        <v>0.78026378194136703</v>
      </c>
      <c r="I18" s="90">
        <v>776145.34615320701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71">
        <v>22878600</v>
      </c>
      <c r="C19" s="90">
        <v>10599982.803041937</v>
      </c>
      <c r="D19" s="90">
        <v>10521737.597443596</v>
      </c>
      <c r="E19" s="90">
        <v>78245.205598341301</v>
      </c>
      <c r="F19" s="91">
        <v>0.46331431132332995</v>
      </c>
      <c r="G19" s="90">
        <v>10599982.803041937</v>
      </c>
      <c r="H19" s="91">
        <v>0.46331431132332995</v>
      </c>
      <c r="I19" s="90">
        <v>460868.81752356247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71">
        <v>29580000</v>
      </c>
      <c r="C20" s="90">
        <v>34177594.392626554</v>
      </c>
      <c r="D20" s="90">
        <v>33008585.287439648</v>
      </c>
      <c r="E20" s="90">
        <v>1169009.1051869057</v>
      </c>
      <c r="F20" s="91">
        <v>1.1554291545850761</v>
      </c>
      <c r="G20" s="90">
        <v>34177594.392626554</v>
      </c>
      <c r="H20" s="91">
        <v>1.1554291545850761</v>
      </c>
      <c r="I20" s="90">
        <v>1485982.3648968067</v>
      </c>
      <c r="J20" s="90" t="e">
        <v>#DIV/0!</v>
      </c>
      <c r="K20" s="90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71">
        <v>22440000</v>
      </c>
      <c r="C21" s="90">
        <v>12127167.111694176</v>
      </c>
      <c r="D21" s="90">
        <v>11481793.993264897</v>
      </c>
      <c r="E21" s="90">
        <v>645373.11842927895</v>
      </c>
      <c r="F21" s="91">
        <v>0.54042634187585459</v>
      </c>
      <c r="G21" s="90">
        <v>12127167.111694176</v>
      </c>
      <c r="H21" s="91">
        <v>0.54042634187585459</v>
      </c>
      <c r="I21" s="90">
        <v>527268.13529105112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71">
        <v>28050000</v>
      </c>
      <c r="C22" s="90">
        <v>33728904.59836892</v>
      </c>
      <c r="D22" s="90">
        <v>33154329.616430718</v>
      </c>
      <c r="E22" s="90">
        <v>574574.98193820193</v>
      </c>
      <c r="F22" s="91">
        <v>1.2024564919204606</v>
      </c>
      <c r="G22" s="90">
        <v>33728904.59836892</v>
      </c>
      <c r="H22" s="91">
        <v>1.2024564919204606</v>
      </c>
      <c r="I22" s="90">
        <v>1466474.1129725617</v>
      </c>
      <c r="J22" s="90" t="e">
        <v>#DIV/0!</v>
      </c>
      <c r="K22" s="90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162</v>
      </c>
      <c r="B23" s="71">
        <v>24276000</v>
      </c>
      <c r="C23" s="90">
        <v>12651685.240351029</v>
      </c>
      <c r="D23" s="90">
        <v>12317875.193543613</v>
      </c>
      <c r="E23" s="90">
        <v>333810.04680741578</v>
      </c>
      <c r="F23" s="91">
        <v>0.52116020927463458</v>
      </c>
      <c r="G23" s="90">
        <v>12651685.240351029</v>
      </c>
      <c r="H23" s="91">
        <v>0.52116020927463458</v>
      </c>
      <c r="I23" s="90">
        <v>550073.27131960995</v>
      </c>
      <c r="J23" s="90" t="e">
        <v>#DIV/0!</v>
      </c>
      <c r="K23" s="90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71">
        <v>29070000</v>
      </c>
      <c r="C24" s="90">
        <v>38353470.654762641</v>
      </c>
      <c r="D24" s="90">
        <v>37139380.786093235</v>
      </c>
      <c r="E24" s="90">
        <v>1214089.8686694056</v>
      </c>
      <c r="F24" s="91">
        <v>1.3193488357331489</v>
      </c>
      <c r="G24" s="90">
        <v>38353470.654762641</v>
      </c>
      <c r="H24" s="91">
        <v>1.3193488357331489</v>
      </c>
      <c r="I24" s="90">
        <v>1667542.2023809843</v>
      </c>
      <c r="J24" s="90" t="e">
        <v>#DIV/0!</v>
      </c>
      <c r="K24" s="90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71">
        <v>47838000</v>
      </c>
      <c r="C25" s="90">
        <v>31318621.314489596</v>
      </c>
      <c r="D25" s="90">
        <v>31103523.355648097</v>
      </c>
      <c r="E25" s="90">
        <v>215097.95884149894</v>
      </c>
      <c r="F25" s="91">
        <v>0.65468082517014914</v>
      </c>
      <c r="G25" s="90">
        <v>31318621.314489599</v>
      </c>
      <c r="H25" s="91">
        <v>0.65468082517014925</v>
      </c>
      <c r="I25" s="90">
        <v>1361679.1875865043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4">
        <v>252970200</v>
      </c>
      <c r="C26" s="94">
        <v>206413810.33718604</v>
      </c>
      <c r="D26" s="90">
        <v>201241858.7006104</v>
      </c>
      <c r="E26" s="94">
        <v>5171951.6365756392</v>
      </c>
      <c r="F26" s="93">
        <v>0.8159609722298754</v>
      </c>
      <c r="G26" s="92">
        <v>206413810.33718604</v>
      </c>
      <c r="H26" s="93">
        <v>0.8159609722298754</v>
      </c>
      <c r="I26" s="92">
        <v>8974513.4929211326</v>
      </c>
      <c r="J26" s="94" t="e">
        <v>#DIV/0!</v>
      </c>
      <c r="K26" s="94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5" t="s">
        <v>102</v>
      </c>
      <c r="B27" s="96">
        <v>74366969.433750004</v>
      </c>
      <c r="C27" s="90">
        <v>43313537.14189031</v>
      </c>
      <c r="D27" s="90">
        <v>41559348.464299306</v>
      </c>
      <c r="E27" s="90">
        <v>1754188.6775910035</v>
      </c>
      <c r="F27" s="91">
        <v>0.58242977321371525</v>
      </c>
      <c r="G27" s="90">
        <v>43313537.14189031</v>
      </c>
      <c r="H27" s="91">
        <v>0.58242977321371525</v>
      </c>
      <c r="I27" s="90">
        <v>1883197.267038709</v>
      </c>
      <c r="J27" s="90" t="e">
        <v>#DIV/0!</v>
      </c>
      <c r="K27" s="90">
        <v>0</v>
      </c>
      <c r="M27">
        <v>36</v>
      </c>
      <c r="N27" s="12" t="s">
        <v>235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235</v>
      </c>
      <c r="B28" s="96">
        <v>20706097.371750001</v>
      </c>
      <c r="C28" s="90">
        <v>6453883.7615043065</v>
      </c>
      <c r="D28" s="90">
        <v>6050926.821155739</v>
      </c>
      <c r="E28" s="90">
        <v>402956.94034856744</v>
      </c>
      <c r="F28" s="91">
        <v>0.31169001312191014</v>
      </c>
      <c r="G28" s="90">
        <v>6453883.7615043065</v>
      </c>
      <c r="H28" s="91">
        <v>0.31169001312191014</v>
      </c>
      <c r="I28" s="90">
        <v>280603.64180453506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96">
        <v>22135109.725575</v>
      </c>
      <c r="C29" s="90">
        <v>19608593.591750432</v>
      </c>
      <c r="D29" s="90">
        <v>19175936.90643641</v>
      </c>
      <c r="E29" s="90">
        <v>432656.685314022</v>
      </c>
      <c r="F29" s="91">
        <v>0.88585933545631257</v>
      </c>
      <c r="G29" s="90">
        <v>19608593.591750432</v>
      </c>
      <c r="H29" s="91">
        <v>0.88585933545631257</v>
      </c>
      <c r="I29" s="90">
        <v>852547.5474674101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96">
        <v>33829680.213</v>
      </c>
      <c r="C30" s="90">
        <v>33118968.899577077</v>
      </c>
      <c r="D30" s="90">
        <v>32872546.812199574</v>
      </c>
      <c r="E30" s="90">
        <v>246422.08737750351</v>
      </c>
      <c r="F30" s="91">
        <v>0.97899148590976592</v>
      </c>
      <c r="G30" s="90">
        <v>33118968.899577081</v>
      </c>
      <c r="H30" s="91">
        <v>0.97899148590976603</v>
      </c>
      <c r="I30" s="90">
        <v>1439955.1695468295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96">
        <v>22135109.725575</v>
      </c>
      <c r="C31" s="90">
        <v>19202946.352352865</v>
      </c>
      <c r="D31" s="90">
        <v>18440800.189399764</v>
      </c>
      <c r="E31" s="90">
        <v>762146.1629531011</v>
      </c>
      <c r="F31" s="91">
        <v>0.86753337075920156</v>
      </c>
      <c r="G31" s="90">
        <v>19202946.352352865</v>
      </c>
      <c r="H31" s="91">
        <v>0.86753337075920156</v>
      </c>
      <c r="I31" s="90">
        <v>834910.71097186371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96">
        <v>22135109.725575</v>
      </c>
      <c r="C32" s="90">
        <v>20751171.897853132</v>
      </c>
      <c r="D32" s="90">
        <v>20370056.977541555</v>
      </c>
      <c r="E32" s="90">
        <v>381114.92031157762</v>
      </c>
      <c r="F32" s="91">
        <v>0.93747770646364315</v>
      </c>
      <c r="G32" s="90">
        <v>20751171.897853132</v>
      </c>
      <c r="H32" s="91">
        <v>0.93747770646364315</v>
      </c>
      <c r="I32" s="90">
        <v>902224.86512404925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96">
        <v>21997732.546</v>
      </c>
      <c r="C33" s="90">
        <v>11626466.4509042</v>
      </c>
      <c r="D33" s="90">
        <v>11510549.837186433</v>
      </c>
      <c r="E33" s="90">
        <v>115916.61371776648</v>
      </c>
      <c r="F33" s="91">
        <v>0.52853022131221072</v>
      </c>
      <c r="G33" s="90">
        <v>11626466.4509042</v>
      </c>
      <c r="H33" s="91">
        <v>0.52853022131221072</v>
      </c>
      <c r="I33" s="90">
        <v>505498.54134366085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96">
        <v>21135109.725575</v>
      </c>
      <c r="C34" s="90">
        <v>8982720.9587669112</v>
      </c>
      <c r="D34" s="90">
        <v>8776556.043086078</v>
      </c>
      <c r="E34" s="90">
        <v>206164.91568083316</v>
      </c>
      <c r="F34" s="91">
        <v>0.42501416247189738</v>
      </c>
      <c r="G34" s="90">
        <v>8982720.9587669112</v>
      </c>
      <c r="H34" s="91">
        <v>0.42501416247189738</v>
      </c>
      <c r="I34" s="90">
        <v>390553.08516377874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96">
        <v>21343732.546</v>
      </c>
      <c r="C35" s="90">
        <v>12183134.330827992</v>
      </c>
      <c r="D35" s="90">
        <v>11763869.810356865</v>
      </c>
      <c r="E35" s="90">
        <v>419264.5204711277</v>
      </c>
      <c r="F35" s="91">
        <v>0.57080617481365592</v>
      </c>
      <c r="G35" s="90">
        <v>12183134.330827992</v>
      </c>
      <c r="H35" s="91">
        <v>0.57080617481365592</v>
      </c>
      <c r="I35" s="90">
        <v>529701.49264469533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96">
        <v>22164273.243000004</v>
      </c>
      <c r="C36" s="90">
        <v>19501354.447575051</v>
      </c>
      <c r="D36" s="90">
        <v>19287420.138053946</v>
      </c>
      <c r="E36" s="90">
        <v>213934.30952110514</v>
      </c>
      <c r="F36" s="91">
        <v>0.87985535252025626</v>
      </c>
      <c r="G36" s="90">
        <v>19501354.447575051</v>
      </c>
      <c r="H36" s="91">
        <v>0.87985535252025626</v>
      </c>
      <c r="I36" s="90">
        <v>847884.97598152398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96">
        <v>104988662.72999999</v>
      </c>
      <c r="C37" s="90">
        <v>66545844.062023886</v>
      </c>
      <c r="D37" s="90">
        <v>60977569.303423889</v>
      </c>
      <c r="E37" s="90">
        <v>5568274.7585999966</v>
      </c>
      <c r="F37" s="91">
        <v>0.63383838151325211</v>
      </c>
      <c r="G37" s="90">
        <v>66545844.062023893</v>
      </c>
      <c r="H37" s="91">
        <v>0.63383838151325222</v>
      </c>
      <c r="I37" s="90">
        <v>2893297.5679140822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96">
        <v>30563366.261399999</v>
      </c>
      <c r="C38" s="90">
        <v>24829923.867717449</v>
      </c>
      <c r="D38" s="90">
        <v>22201832.933717448</v>
      </c>
      <c r="E38" s="90">
        <v>2628090.9340000004</v>
      </c>
      <c r="F38" s="91">
        <v>0.81240801995938516</v>
      </c>
      <c r="G38" s="90">
        <v>24829923.867717445</v>
      </c>
      <c r="H38" s="91">
        <v>0.81240801995938505</v>
      </c>
      <c r="I38" s="90">
        <v>1079561.9072920629</v>
      </c>
      <c r="J38" s="90" t="e">
        <v>#DIV/0!</v>
      </c>
      <c r="K38" s="90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96">
        <v>32900000.864500001</v>
      </c>
      <c r="C39" s="90">
        <v>18657991.416046772</v>
      </c>
      <c r="D39" s="90">
        <v>18414643.724608365</v>
      </c>
      <c r="E39" s="90">
        <v>243347.69143840671</v>
      </c>
      <c r="F39" s="91">
        <v>0.56711218619386894</v>
      </c>
      <c r="G39" s="90">
        <v>18657991.416046772</v>
      </c>
      <c r="H39" s="91">
        <v>0.56711218619386894</v>
      </c>
      <c r="I39" s="90">
        <v>811217.01808899012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236</v>
      </c>
      <c r="B40" s="97">
        <v>450401363.1117</v>
      </c>
      <c r="C40" s="94">
        <v>304776537.17879039</v>
      </c>
      <c r="D40" s="90">
        <v>291402057.96146536</v>
      </c>
      <c r="E40" s="94">
        <v>13374479.217325032</v>
      </c>
      <c r="F40" s="93">
        <v>0.67667765273438019</v>
      </c>
      <c r="G40" s="92">
        <v>304776537.17879039</v>
      </c>
      <c r="H40" s="93">
        <v>0.67667765273438019</v>
      </c>
      <c r="I40" s="92">
        <v>13251153.790382192</v>
      </c>
      <c r="J40" s="94" t="e">
        <v>#DIV/0!</v>
      </c>
      <c r="K40" s="94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8" t="s">
        <v>42</v>
      </c>
      <c r="B41" s="99">
        <v>1220851906.5476012</v>
      </c>
      <c r="C41" s="99">
        <v>992136019.99077415</v>
      </c>
      <c r="D41" s="90">
        <v>953884712.87140512</v>
      </c>
      <c r="E41" s="99">
        <v>38251307.11936903</v>
      </c>
      <c r="F41" s="100">
        <v>0.81265877922605401</v>
      </c>
      <c r="G41" s="99">
        <v>992136019.99077415</v>
      </c>
      <c r="H41" s="100">
        <v>0.81265877922605401</v>
      </c>
      <c r="I41" s="99">
        <v>43136348.695251048</v>
      </c>
      <c r="J41" s="99" t="e">
        <v>#DIV/0!</v>
      </c>
      <c r="K41" s="99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101">
        <v>40000000</v>
      </c>
      <c r="C43" s="90">
        <v>10630405.111527519</v>
      </c>
      <c r="D43" s="90">
        <v>10303829.39647151</v>
      </c>
      <c r="E43" s="90">
        <v>326575.71505600959</v>
      </c>
      <c r="F43" s="91">
        <v>0.26576012778818797</v>
      </c>
      <c r="G43" s="90">
        <v>10630405.111527519</v>
      </c>
      <c r="H43" s="91">
        <v>0.26576012778818797</v>
      </c>
      <c r="I43" s="90">
        <v>462191.52658815304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3919003.8076639166</v>
      </c>
      <c r="D44" s="90">
        <v>3713552.9338194197</v>
      </c>
      <c r="E44" s="90">
        <v>205450.87384449691</v>
      </c>
      <c r="F44" s="91">
        <v>0.13063346025546388</v>
      </c>
      <c r="G44" s="90">
        <v>3919003.8076639166</v>
      </c>
      <c r="H44" s="91">
        <v>0.13063346025546388</v>
      </c>
      <c r="I44" s="90">
        <v>170391.46989843115</v>
      </c>
      <c r="J44" s="90" t="e">
        <v>#DIV/0!</v>
      </c>
      <c r="K44" s="90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29846580.340500001</v>
      </c>
      <c r="C2" s="90">
        <v>44992728.148662589</v>
      </c>
      <c r="D2" s="90">
        <v>43196156.75717549</v>
      </c>
      <c r="E2" s="90">
        <v>1796571.3914870992</v>
      </c>
      <c r="F2" s="91">
        <v>1.5074667729223969</v>
      </c>
      <c r="G2" s="90">
        <v>44992728.148662589</v>
      </c>
      <c r="H2" s="91">
        <v>1.5074667729223969</v>
      </c>
      <c r="I2" s="90">
        <v>1799709.1259465036</v>
      </c>
      <c r="J2" s="90" t="e">
        <v>#DIV/0!</v>
      </c>
      <c r="K2" s="90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89">
        <v>28647922.495500002</v>
      </c>
      <c r="C3" s="90">
        <v>31728460.186828334</v>
      </c>
      <c r="D3" s="90">
        <v>29580587.160731103</v>
      </c>
      <c r="E3" s="90">
        <v>2147873.0260972306</v>
      </c>
      <c r="F3" s="91">
        <v>1.1075309280040191</v>
      </c>
      <c r="G3" s="90">
        <v>31728460.186828334</v>
      </c>
      <c r="H3" s="91">
        <v>1.1075309280040191</v>
      </c>
      <c r="I3" s="90">
        <v>1269138.4074731334</v>
      </c>
      <c r="J3" s="90" t="e">
        <v>#DIV/0!</v>
      </c>
      <c r="K3" s="90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89">
        <v>26250606.805500001</v>
      </c>
      <c r="C4" s="90">
        <v>34522641.233895414</v>
      </c>
      <c r="D4" s="90">
        <v>33182283.28369379</v>
      </c>
      <c r="E4" s="90">
        <v>1340357.9502016231</v>
      </c>
      <c r="F4" s="91">
        <v>1.31511783669177</v>
      </c>
      <c r="G4" s="90">
        <v>34522641.233895414</v>
      </c>
      <c r="H4" s="91">
        <v>1.31511783669177</v>
      </c>
      <c r="I4" s="90">
        <v>1380905.6493558167</v>
      </c>
      <c r="J4" s="90" t="e">
        <v>#DIV/0!</v>
      </c>
      <c r="K4" s="90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89">
        <v>26250606.805500001</v>
      </c>
      <c r="C5" s="90">
        <v>32158041.89763388</v>
      </c>
      <c r="D5" s="90">
        <v>31359846.504306898</v>
      </c>
      <c r="E5" s="90">
        <v>798195.39332698286</v>
      </c>
      <c r="F5" s="91">
        <v>1.2250399442536375</v>
      </c>
      <c r="G5" s="90">
        <v>32158041.89763388</v>
      </c>
      <c r="H5" s="91">
        <v>1.2250399442536375</v>
      </c>
      <c r="I5" s="90">
        <v>1286321.6759053553</v>
      </c>
      <c r="J5" s="90" t="e">
        <v>#DIV/0!</v>
      </c>
      <c r="K5" s="90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21755639.886749998</v>
      </c>
      <c r="C6" s="90">
        <v>21881067.67146546</v>
      </c>
      <c r="D6" s="90">
        <v>20297608.90327448</v>
      </c>
      <c r="E6" s="90">
        <v>1583458.76819098</v>
      </c>
      <c r="F6" s="91">
        <v>1.0057652997277204</v>
      </c>
      <c r="G6" s="90">
        <v>21881067.67146546</v>
      </c>
      <c r="H6" s="91">
        <v>1.0057652997277204</v>
      </c>
      <c r="I6" s="90">
        <v>875242.70685861842</v>
      </c>
      <c r="J6" s="90" t="e">
        <v>#DIV/0!</v>
      </c>
      <c r="K6" s="90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25651277.883000001</v>
      </c>
      <c r="C7" s="90">
        <v>26031710.328191068</v>
      </c>
      <c r="D7" s="90">
        <v>25004169.617499664</v>
      </c>
      <c r="E7" s="90">
        <v>1027540.7106914036</v>
      </c>
      <c r="F7" s="91">
        <v>1.0148309353992533</v>
      </c>
      <c r="G7" s="90">
        <v>26031710.328191068</v>
      </c>
      <c r="H7" s="91">
        <v>1.0148309353992533</v>
      </c>
      <c r="I7" s="90">
        <v>1041268.4131276427</v>
      </c>
      <c r="J7" s="90" t="e">
        <v>#DIV/0!</v>
      </c>
      <c r="K7" s="90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89">
        <v>33130902.8358</v>
      </c>
      <c r="C8" s="90">
        <v>38828238.330632553</v>
      </c>
      <c r="D8" s="90">
        <v>36984925.46887406</v>
      </c>
      <c r="E8" s="90">
        <v>1843312.8617584929</v>
      </c>
      <c r="F8" s="91">
        <v>1.1719643899554777</v>
      </c>
      <c r="G8" s="90">
        <v>38828238.330632553</v>
      </c>
      <c r="H8" s="91">
        <v>1.1719643899554777</v>
      </c>
      <c r="I8" s="90">
        <v>1553129.5332253021</v>
      </c>
      <c r="J8" s="90" t="e">
        <v>#DIV/0!</v>
      </c>
      <c r="K8" s="90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89">
        <v>33130902.8358</v>
      </c>
      <c r="C9" s="90">
        <v>38657150.922049813</v>
      </c>
      <c r="D9" s="90">
        <v>37691401.765709355</v>
      </c>
      <c r="E9" s="90">
        <v>965749.1563404575</v>
      </c>
      <c r="F9" s="91">
        <v>1.1668004072704701</v>
      </c>
      <c r="G9" s="90">
        <v>38657150.922049813</v>
      </c>
      <c r="H9" s="91">
        <v>1.1668004072704701</v>
      </c>
      <c r="I9" s="90">
        <v>1546286.0368819926</v>
      </c>
      <c r="J9" s="90" t="e">
        <v>#DIV/0!</v>
      </c>
      <c r="K9" s="90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92">
        <v>224664439.88834998</v>
      </c>
      <c r="C10" s="92">
        <v>268800038.7193591</v>
      </c>
      <c r="D10" s="90">
        <v>257296979.46126485</v>
      </c>
      <c r="E10" s="92">
        <v>11503059.25809427</v>
      </c>
      <c r="F10" s="93">
        <v>1.1964512000784053</v>
      </c>
      <c r="G10" s="92">
        <v>268800038.7193591</v>
      </c>
      <c r="H10" s="93">
        <v>1.1964512000784053</v>
      </c>
      <c r="I10" s="92">
        <v>10752001.548774363</v>
      </c>
      <c r="J10" s="94" t="e">
        <v>#DIV/0!</v>
      </c>
      <c r="K10" s="94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89">
        <v>89664307.424999997</v>
      </c>
      <c r="C11" s="90">
        <v>91610853.242948338</v>
      </c>
      <c r="D11" s="90">
        <v>87112277.601407588</v>
      </c>
      <c r="E11" s="90">
        <v>4498575.6415407509</v>
      </c>
      <c r="F11" s="91">
        <v>1.0217092606171807</v>
      </c>
      <c r="G11" s="90">
        <v>91610853.242948338</v>
      </c>
      <c r="H11" s="91">
        <v>1.0217092606171807</v>
      </c>
      <c r="I11" s="90">
        <v>3664434.1297179335</v>
      </c>
      <c r="J11" s="90" t="e">
        <v>#DIV/0!</v>
      </c>
      <c r="K11" s="90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89">
        <v>29247251.418000001</v>
      </c>
      <c r="C12" s="90">
        <v>31373237.738229495</v>
      </c>
      <c r="D12" s="90">
        <v>31383571.426629495</v>
      </c>
      <c r="E12" s="90">
        <v>-10333.688400000334</v>
      </c>
      <c r="F12" s="91">
        <v>1.0726901235895647</v>
      </c>
      <c r="G12" s="90">
        <v>31373237.738229498</v>
      </c>
      <c r="H12" s="91">
        <v>1.0726901235895649</v>
      </c>
      <c r="I12" s="90">
        <v>1254929.5095291799</v>
      </c>
      <c r="J12" s="90" t="e">
        <v>#DIV/0!</v>
      </c>
      <c r="K12" s="90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89">
        <v>118690629.74999999</v>
      </c>
      <c r="C13" s="90">
        <v>109777168.95247295</v>
      </c>
      <c r="D13" s="90">
        <v>93454146.738462254</v>
      </c>
      <c r="E13" s="90">
        <v>16323022.214010701</v>
      </c>
      <c r="F13" s="91">
        <v>0.92490173136412202</v>
      </c>
      <c r="G13" s="90">
        <v>109777168.95247295</v>
      </c>
      <c r="H13" s="91">
        <v>0.92490173136412202</v>
      </c>
      <c r="I13" s="90">
        <v>4391086.758098918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89">
        <v>39250168.649999999</v>
      </c>
      <c r="C14" s="90">
        <v>27654392.255925596</v>
      </c>
      <c r="D14" s="90">
        <v>26877028.917045593</v>
      </c>
      <c r="E14" s="90">
        <v>777363.3388800025</v>
      </c>
      <c r="F14" s="91">
        <v>0.70456747593938296</v>
      </c>
      <c r="G14" s="90">
        <v>27654392.255925596</v>
      </c>
      <c r="H14" s="91">
        <v>0.70456747593938296</v>
      </c>
      <c r="I14" s="90">
        <v>1106175.6902370239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89">
        <v>39250168.649999999</v>
      </c>
      <c r="C15" s="90">
        <v>38224313.330693163</v>
      </c>
      <c r="D15" s="90">
        <v>34543335.888878584</v>
      </c>
      <c r="E15" s="90">
        <v>3680977.4418145791</v>
      </c>
      <c r="F15" s="91">
        <v>0.97386367104675264</v>
      </c>
      <c r="G15" s="90">
        <v>38224313.330693163</v>
      </c>
      <c r="H15" s="91">
        <v>0.97386367104675264</v>
      </c>
      <c r="I15" s="90">
        <v>1528972.5332277266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92">
        <v>316102525.89299995</v>
      </c>
      <c r="C16" s="92">
        <v>298639965.52026957</v>
      </c>
      <c r="D16" s="90">
        <v>273370360.57242352</v>
      </c>
      <c r="E16" s="92">
        <v>25269604.947846055</v>
      </c>
      <c r="F16" s="93">
        <v>0.94475665664676967</v>
      </c>
      <c r="G16" s="92">
        <v>298639965.52026957</v>
      </c>
      <c r="H16" s="93">
        <v>0.94475665664676967</v>
      </c>
      <c r="I16" s="92">
        <v>11945598.620810783</v>
      </c>
      <c r="J16" s="94" t="e">
        <v>#DIV/0!</v>
      </c>
      <c r="K16" s="94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71">
        <v>27127155</v>
      </c>
      <c r="C17" s="90">
        <v>28722737.224970914</v>
      </c>
      <c r="D17" s="90">
        <v>27827593.972716652</v>
      </c>
      <c r="E17" s="90">
        <v>895143.25225426257</v>
      </c>
      <c r="F17" s="91">
        <v>1.0588186348686737</v>
      </c>
      <c r="G17" s="90">
        <v>28722737.224970914</v>
      </c>
      <c r="H17" s="91">
        <v>1.0588186348686737</v>
      </c>
      <c r="I17" s="90">
        <v>1148909.4889988366</v>
      </c>
      <c r="J17" s="90" t="e">
        <v>#DIV/0!</v>
      </c>
      <c r="K17" s="90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71">
        <v>23078600</v>
      </c>
      <c r="C18" s="90">
        <v>23018518.361370903</v>
      </c>
      <c r="D18" s="90">
        <v>21612527.454155579</v>
      </c>
      <c r="E18" s="90">
        <v>1405990.9072153233</v>
      </c>
      <c r="F18" s="91">
        <v>0.99739665150272994</v>
      </c>
      <c r="G18" s="90">
        <v>23018518.361370903</v>
      </c>
      <c r="H18" s="91">
        <v>0.99739665150272994</v>
      </c>
      <c r="I18" s="90">
        <v>920740.73445483611</v>
      </c>
      <c r="J18" s="90" t="e">
        <v>#DIV/0!</v>
      </c>
      <c r="K18" s="90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71">
        <v>23908137</v>
      </c>
      <c r="C19" s="90">
        <v>24067202.723870337</v>
      </c>
      <c r="D19" s="90">
        <v>22895917.42486066</v>
      </c>
      <c r="E19" s="90">
        <v>1171285.299009677</v>
      </c>
      <c r="F19" s="91">
        <v>1.0066532044663428</v>
      </c>
      <c r="G19" s="90">
        <v>24067202.723870337</v>
      </c>
      <c r="H19" s="91">
        <v>1.0066532044663428</v>
      </c>
      <c r="I19" s="90">
        <v>962688.10895481345</v>
      </c>
      <c r="J19" s="90" t="e">
        <v>#DIV/0!</v>
      </c>
      <c r="K19" s="90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71">
        <v>31020000</v>
      </c>
      <c r="C20" s="90">
        <v>37294138.673980869</v>
      </c>
      <c r="D20" s="90">
        <v>33765356.894991159</v>
      </c>
      <c r="E20" s="90">
        <v>3528781.7789897099</v>
      </c>
      <c r="F20" s="91">
        <v>1.2022610791096346</v>
      </c>
      <c r="G20" s="90">
        <v>37294138.673980869</v>
      </c>
      <c r="H20" s="91">
        <v>1.2022610791096346</v>
      </c>
      <c r="I20" s="90">
        <v>1491765.5469592349</v>
      </c>
      <c r="J20" s="90" t="e">
        <v>#DIV/0!</v>
      </c>
      <c r="K20" s="90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71">
        <v>23540000</v>
      </c>
      <c r="C21" s="90">
        <v>21299626.308028236</v>
      </c>
      <c r="D21" s="90">
        <v>20077314.829677377</v>
      </c>
      <c r="E21" s="90">
        <v>1222311.4783508591</v>
      </c>
      <c r="F21" s="91">
        <v>0.90482694596551549</v>
      </c>
      <c r="G21" s="90">
        <v>21299626.308028236</v>
      </c>
      <c r="H21" s="91">
        <v>0.90482694596551549</v>
      </c>
      <c r="I21" s="90">
        <v>851985.05232112948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71">
        <v>29350800</v>
      </c>
      <c r="C22" s="90">
        <v>35308921.719403759</v>
      </c>
      <c r="D22" s="90">
        <v>34647670.184300654</v>
      </c>
      <c r="E22" s="90">
        <v>661251.53510310501</v>
      </c>
      <c r="F22" s="91">
        <v>1.2029969104557203</v>
      </c>
      <c r="G22" s="90">
        <v>35308921.719403759</v>
      </c>
      <c r="H22" s="91">
        <v>1.2029969104557203</v>
      </c>
      <c r="I22" s="90">
        <v>1412356.8687761503</v>
      </c>
      <c r="J22" s="90" t="e">
        <v>#DIV/0!</v>
      </c>
      <c r="K22" s="90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162</v>
      </c>
      <c r="B23" s="71">
        <v>25368420</v>
      </c>
      <c r="C23" s="90">
        <v>26777939.430022314</v>
      </c>
      <c r="D23" s="90">
        <v>25902239.606673926</v>
      </c>
      <c r="E23" s="90">
        <v>875699.82334838808</v>
      </c>
      <c r="F23" s="91">
        <v>1.0555619715387208</v>
      </c>
      <c r="G23" s="90">
        <v>26777939.430022314</v>
      </c>
      <c r="H23" s="91">
        <v>1.0555619715387208</v>
      </c>
      <c r="I23" s="90">
        <v>1071117.5772008926</v>
      </c>
      <c r="J23" s="90" t="e">
        <v>#DIV/0!</v>
      </c>
      <c r="K23" s="90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71">
        <v>30970000</v>
      </c>
      <c r="C24" s="90">
        <v>45619297.437876552</v>
      </c>
      <c r="D24" s="90">
        <v>42627280.626458116</v>
      </c>
      <c r="E24" s="90">
        <v>2992016.8114184365</v>
      </c>
      <c r="F24" s="91">
        <v>1.4730157390337923</v>
      </c>
      <c r="G24" s="90">
        <v>45619297.437876552</v>
      </c>
      <c r="H24" s="91">
        <v>1.4730157390337923</v>
      </c>
      <c r="I24" s="90">
        <v>1824771.897515062</v>
      </c>
      <c r="J24" s="90" t="e">
        <v>#DIV/0!</v>
      </c>
      <c r="K24" s="90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71">
        <v>49990710</v>
      </c>
      <c r="C25" s="90">
        <v>53077079.197368316</v>
      </c>
      <c r="D25" s="90">
        <v>53077079.197368316</v>
      </c>
      <c r="E25" s="90">
        <v>0</v>
      </c>
      <c r="F25" s="91">
        <v>1.0617388550266302</v>
      </c>
      <c r="G25" s="90">
        <v>53077079.197368316</v>
      </c>
      <c r="H25" s="91">
        <v>1.0617388550266302</v>
      </c>
      <c r="I25" s="90">
        <v>2123083.1678947327</v>
      </c>
      <c r="J25" s="90" t="e">
        <v>#DIV/0!</v>
      </c>
      <c r="K25" s="90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4">
        <v>264353822</v>
      </c>
      <c r="C26" s="94">
        <v>295185461.07689214</v>
      </c>
      <c r="D26" s="90">
        <v>282432980.1912024</v>
      </c>
      <c r="E26" s="94">
        <v>12752480.885689735</v>
      </c>
      <c r="F26" s="93">
        <v>1.1166301997967412</v>
      </c>
      <c r="G26" s="92">
        <v>295185461.07689214</v>
      </c>
      <c r="H26" s="93">
        <v>1.1166301997967412</v>
      </c>
      <c r="I26" s="92">
        <v>11807418.443075685</v>
      </c>
      <c r="J26" s="94" t="e">
        <v>#DIV/0!</v>
      </c>
      <c r="K26" s="94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5" t="s">
        <v>102</v>
      </c>
      <c r="B27" s="101">
        <v>75800000</v>
      </c>
      <c r="C27" s="90">
        <v>82043239.698842674</v>
      </c>
      <c r="D27" s="90">
        <v>78542689.750818998</v>
      </c>
      <c r="E27" s="90">
        <v>3500549.9480236769</v>
      </c>
      <c r="F27" s="91">
        <v>1.0823646398264206</v>
      </c>
      <c r="G27" s="90">
        <v>82043239.698842674</v>
      </c>
      <c r="H27" s="91">
        <v>1.0823646398264206</v>
      </c>
      <c r="I27" s="90">
        <v>3281729.5879537072</v>
      </c>
      <c r="J27" s="90" t="e">
        <v>#DIV/0!</v>
      </c>
      <c r="K27" s="90">
        <v>615324.29774131998</v>
      </c>
      <c r="M27">
        <v>36</v>
      </c>
      <c r="N27" s="12" t="s">
        <v>235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235</v>
      </c>
      <c r="B28" s="101">
        <v>20000000</v>
      </c>
      <c r="C28" s="90">
        <v>12939850.199293612</v>
      </c>
      <c r="D28" s="90">
        <v>12423643.784844864</v>
      </c>
      <c r="E28" s="90">
        <v>516206.41444874741</v>
      </c>
      <c r="F28" s="91">
        <v>0.64699250996468061</v>
      </c>
      <c r="G28" s="90">
        <v>12939850.199293612</v>
      </c>
      <c r="H28" s="91">
        <v>0.64699250996468061</v>
      </c>
      <c r="I28" s="90">
        <v>517594.00797174446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101">
        <v>23800000</v>
      </c>
      <c r="C29" s="90">
        <v>19809268.744348615</v>
      </c>
      <c r="D29" s="90">
        <v>18819845.241651498</v>
      </c>
      <c r="E29" s="90">
        <v>989423.50269711763</v>
      </c>
      <c r="F29" s="91">
        <v>0.83232221614910151</v>
      </c>
      <c r="G29" s="90">
        <v>19809268.744348615</v>
      </c>
      <c r="H29" s="91">
        <v>0.83232221614910151</v>
      </c>
      <c r="I29" s="90">
        <v>792370.74977394461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101">
        <v>35352015.822584994</v>
      </c>
      <c r="C30" s="90">
        <v>35366560.552370474</v>
      </c>
      <c r="D30" s="90">
        <v>33774258.58379899</v>
      </c>
      <c r="E30" s="90">
        <v>1592301.9685714841</v>
      </c>
      <c r="F30" s="91">
        <v>1.0004114257545729</v>
      </c>
      <c r="G30" s="90">
        <v>35366560.552370474</v>
      </c>
      <c r="H30" s="91">
        <v>1.0004114257545729</v>
      </c>
      <c r="I30" s="90">
        <v>1414662.4220948189</v>
      </c>
      <c r="J30" s="90" t="e">
        <v>#DIV/0!</v>
      </c>
      <c r="K30" s="90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101">
        <v>23500000</v>
      </c>
      <c r="C31" s="90">
        <v>17421399.532723755</v>
      </c>
      <c r="D31" s="90">
        <v>16694855.93618655</v>
      </c>
      <c r="E31" s="90">
        <v>726543.59653720446</v>
      </c>
      <c r="F31" s="91">
        <v>0.7413361503286704</v>
      </c>
      <c r="G31" s="90">
        <v>17421399.532723755</v>
      </c>
      <c r="H31" s="91">
        <v>0.7413361503286704</v>
      </c>
      <c r="I31" s="90">
        <v>696855.98130895023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101">
        <v>23800000</v>
      </c>
      <c r="C32" s="90">
        <v>30410217.836748093</v>
      </c>
      <c r="D32" s="90">
        <v>29155171.621185325</v>
      </c>
      <c r="E32" s="90">
        <v>1255046.2155627683</v>
      </c>
      <c r="F32" s="91">
        <v>1.2777402452415165</v>
      </c>
      <c r="G32" s="90">
        <v>30410217.836748093</v>
      </c>
      <c r="H32" s="91">
        <v>1.2777402452415165</v>
      </c>
      <c r="I32" s="90">
        <v>1216408.7134699237</v>
      </c>
      <c r="J32" s="90" t="e">
        <v>#DIV/0!</v>
      </c>
      <c r="K32" s="90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101">
        <v>24500000</v>
      </c>
      <c r="C33" s="90">
        <v>22241465.148322437</v>
      </c>
      <c r="D33" s="90">
        <v>21301181.85215893</v>
      </c>
      <c r="E33" s="90">
        <v>940283.29616350681</v>
      </c>
      <c r="F33" s="91">
        <v>0.90781490401316067</v>
      </c>
      <c r="G33" s="90">
        <v>22241465.148322437</v>
      </c>
      <c r="H33" s="91">
        <v>0.90781490401316067</v>
      </c>
      <c r="I33" s="90">
        <v>889658.60593289742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101">
        <v>20000000</v>
      </c>
      <c r="C34" s="90">
        <v>11996898.850355042</v>
      </c>
      <c r="D34" s="90">
        <v>11340625.339748388</v>
      </c>
      <c r="E34" s="90">
        <v>656273.51060665399</v>
      </c>
      <c r="F34" s="91">
        <v>0.59984494251775211</v>
      </c>
      <c r="G34" s="90">
        <v>11996898.850355042</v>
      </c>
      <c r="H34" s="91">
        <v>0.59984494251775211</v>
      </c>
      <c r="I34" s="90">
        <v>479875.95401420171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101">
        <v>22800000</v>
      </c>
      <c r="C35" s="90">
        <v>16045483.464407872</v>
      </c>
      <c r="D35" s="90">
        <v>15458927.638532573</v>
      </c>
      <c r="E35" s="90">
        <v>586555.82587529905</v>
      </c>
      <c r="F35" s="91">
        <v>0.70374927475473126</v>
      </c>
      <c r="G35" s="90">
        <v>16045483.464407871</v>
      </c>
      <c r="H35" s="91">
        <v>0.70374927475473115</v>
      </c>
      <c r="I35" s="90">
        <v>641819.33857631485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101">
        <v>24500000</v>
      </c>
      <c r="C36" s="90">
        <v>24813222.464656744</v>
      </c>
      <c r="D36" s="90">
        <v>24039548.18529366</v>
      </c>
      <c r="E36" s="90">
        <v>773674.27936308458</v>
      </c>
      <c r="F36" s="91">
        <v>1.0127845903941528</v>
      </c>
      <c r="G36" s="90">
        <v>24813222.464656744</v>
      </c>
      <c r="H36" s="91">
        <v>1.0127845903941528</v>
      </c>
      <c r="I36" s="90">
        <v>992528.89858626982</v>
      </c>
      <c r="J36" s="90" t="e">
        <v>#DIV/0!</v>
      </c>
      <c r="K36" s="90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101">
        <v>109713152.55284998</v>
      </c>
      <c r="C37" s="90">
        <v>121409568.83007464</v>
      </c>
      <c r="D37" s="90">
        <v>121409568.83007464</v>
      </c>
      <c r="E37" s="90">
        <v>0</v>
      </c>
      <c r="F37" s="91">
        <v>1.1066090619498914</v>
      </c>
      <c r="G37" s="90">
        <v>121409568.83007465</v>
      </c>
      <c r="H37" s="91">
        <v>1.1066090619498914</v>
      </c>
      <c r="I37" s="90">
        <v>4856382.753202986</v>
      </c>
      <c r="J37" s="90" t="e">
        <v>#DIV/0!</v>
      </c>
      <c r="K37" s="90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101">
        <v>32904256.07</v>
      </c>
      <c r="C38" s="90">
        <v>22457150.025485538</v>
      </c>
      <c r="D38" s="90">
        <v>19451113.784705538</v>
      </c>
      <c r="E38" s="90">
        <v>3006036.2407799996</v>
      </c>
      <c r="F38" s="91">
        <v>0.68249985587610762</v>
      </c>
      <c r="G38" s="90">
        <v>22457150.025485538</v>
      </c>
      <c r="H38" s="91">
        <v>0.68249985587610762</v>
      </c>
      <c r="I38" s="90">
        <v>898286.0010194215</v>
      </c>
      <c r="J38" s="90" t="e">
        <v>#DIV/0!</v>
      </c>
      <c r="K38" s="90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101">
        <v>34000000</v>
      </c>
      <c r="C39" s="90">
        <v>37284573.35936065</v>
      </c>
      <c r="D39" s="90">
        <v>36534725.979826093</v>
      </c>
      <c r="E39" s="90">
        <v>749847.37953455746</v>
      </c>
      <c r="F39" s="91">
        <v>1.0966050988047249</v>
      </c>
      <c r="G39" s="90">
        <v>37284573.35936065</v>
      </c>
      <c r="H39" s="91">
        <v>1.0966050988047249</v>
      </c>
      <c r="I39" s="90">
        <v>1491382.934374426</v>
      </c>
      <c r="J39" s="90" t="e">
        <v>#DIV/0!</v>
      </c>
      <c r="K39" s="90">
        <v>559268.6003904097</v>
      </c>
      <c r="N39" s="3" t="s">
        <v>236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236</v>
      </c>
      <c r="B40" s="97">
        <v>470669424.45172644</v>
      </c>
      <c r="C40" s="94">
        <v>454238898.70699006</v>
      </c>
      <c r="D40" s="90">
        <v>438946156.528826</v>
      </c>
      <c r="E40" s="94">
        <v>15292742.178164065</v>
      </c>
      <c r="F40" s="93">
        <v>0.96509115550924951</v>
      </c>
      <c r="G40" s="92">
        <v>454238898.70699012</v>
      </c>
      <c r="H40" s="93">
        <v>0.96509115550924962</v>
      </c>
      <c r="I40" s="92">
        <v>18169555.948279604</v>
      </c>
      <c r="J40" s="94" t="e">
        <v>#DIV/0!</v>
      </c>
      <c r="K40" s="94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8" t="s">
        <v>42</v>
      </c>
      <c r="B41" s="99">
        <v>1275790242.3422432</v>
      </c>
      <c r="C41" s="99">
        <v>1316864364.0235109</v>
      </c>
      <c r="D41" s="90">
        <v>1252046476.7537167</v>
      </c>
      <c r="E41" s="99">
        <v>64817887.269794226</v>
      </c>
      <c r="F41" s="100">
        <v>1.032195042976547</v>
      </c>
      <c r="G41" s="99">
        <v>1316864364.0235109</v>
      </c>
      <c r="H41" s="100">
        <v>1.032195042976547</v>
      </c>
      <c r="I41" s="99">
        <v>52674574.560940437</v>
      </c>
      <c r="J41" s="99" t="e">
        <v>#DIV/0!</v>
      </c>
      <c r="K41" s="99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101">
        <v>40000000</v>
      </c>
      <c r="C43" s="90">
        <v>16160703.587675566</v>
      </c>
      <c r="D43" s="90">
        <v>16160703.587675566</v>
      </c>
      <c r="E43" s="90">
        <v>0</v>
      </c>
      <c r="F43" s="91">
        <v>0.40401758969188917</v>
      </c>
      <c r="G43" s="90">
        <v>16160703.587675566</v>
      </c>
      <c r="H43" s="91">
        <v>0.40401758969188917</v>
      </c>
      <c r="I43" s="90">
        <v>646428.14350702264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7660108.9048522357</v>
      </c>
      <c r="D44" s="90">
        <v>7691698.2686022352</v>
      </c>
      <c r="E44" s="90">
        <v>-31589.363749999553</v>
      </c>
      <c r="F44" s="91">
        <v>0.25533696349507451</v>
      </c>
      <c r="G44" s="90">
        <v>7660108.9048522348</v>
      </c>
      <c r="H44" s="91">
        <v>0.25533696349507451</v>
      </c>
      <c r="I44" s="90">
        <v>306404.3561940894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30741977.750715002</v>
      </c>
      <c r="C2" s="90">
        <v>39818671.535286605</v>
      </c>
      <c r="D2" s="90">
        <v>38382152.426511236</v>
      </c>
      <c r="E2" s="90">
        <v>1436519.1087753698</v>
      </c>
      <c r="F2" s="91">
        <v>1.2952540613415966</v>
      </c>
      <c r="G2" s="90">
        <v>39818671.535286605</v>
      </c>
      <c r="H2" s="91">
        <v>1.2952540613415966</v>
      </c>
      <c r="I2" s="90">
        <v>1659111.3139702752</v>
      </c>
      <c r="J2" s="90" t="e">
        <v>#DIV/0!</v>
      </c>
      <c r="K2" s="90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89">
        <v>29507360.170365002</v>
      </c>
      <c r="C3" s="90">
        <v>34425294.911571734</v>
      </c>
      <c r="D3" s="90">
        <v>32492713.315706059</v>
      </c>
      <c r="E3" s="90">
        <v>1932581.5958656743</v>
      </c>
      <c r="F3" s="91">
        <v>1.1666680690109967</v>
      </c>
      <c r="G3" s="90">
        <v>34425294.911571734</v>
      </c>
      <c r="H3" s="91">
        <v>1.1666680690109967</v>
      </c>
      <c r="I3" s="90">
        <v>1434387.2879821556</v>
      </c>
      <c r="J3" s="90" t="e">
        <v>#DIV/0!</v>
      </c>
      <c r="K3" s="90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89">
        <v>27038125.009665001</v>
      </c>
      <c r="C4" s="90">
        <v>30983085.948290985</v>
      </c>
      <c r="D4" s="90">
        <v>29980996.852587178</v>
      </c>
      <c r="E4" s="90">
        <v>1002089.0957038067</v>
      </c>
      <c r="F4" s="91">
        <v>1.1459036429935814</v>
      </c>
      <c r="G4" s="90">
        <v>30983085.948290985</v>
      </c>
      <c r="H4" s="91">
        <v>1.1459036429935814</v>
      </c>
      <c r="I4" s="90">
        <v>1290961.9145121244</v>
      </c>
      <c r="J4" s="90" t="e">
        <v>#DIV/0!</v>
      </c>
      <c r="K4" s="90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89">
        <v>27038125.009665001</v>
      </c>
      <c r="C5" s="90">
        <v>31442511.170989752</v>
      </c>
      <c r="D5" s="90">
        <v>30971581.519086085</v>
      </c>
      <c r="E5" s="90">
        <v>470929.65190366656</v>
      </c>
      <c r="F5" s="91">
        <v>1.1628953989875543</v>
      </c>
      <c r="G5" s="90">
        <v>31442511.170989752</v>
      </c>
      <c r="H5" s="91">
        <v>1.1628953989875543</v>
      </c>
      <c r="I5" s="90">
        <v>1310104.632124573</v>
      </c>
      <c r="J5" s="90" t="e">
        <v>#DIV/0!</v>
      </c>
      <c r="K5" s="90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89">
        <v>22408309.083352499</v>
      </c>
      <c r="C6" s="90">
        <v>15712937.795380671</v>
      </c>
      <c r="D6" s="90">
        <v>15370350.500321532</v>
      </c>
      <c r="E6" s="90">
        <v>342587.29505913891</v>
      </c>
      <c r="F6" s="91">
        <v>0.70121032947791984</v>
      </c>
      <c r="G6" s="90">
        <v>15712937.795380671</v>
      </c>
      <c r="H6" s="91">
        <v>0.70121032947791984</v>
      </c>
      <c r="I6" s="90">
        <v>654705.74147419457</v>
      </c>
      <c r="J6" s="90" t="e">
        <v>#DIV/0!</v>
      </c>
      <c r="K6" s="90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89">
        <v>26420816.219490003</v>
      </c>
      <c r="C7" s="90">
        <v>21037673.697775695</v>
      </c>
      <c r="D7" s="90">
        <v>20409246.732949637</v>
      </c>
      <c r="E7" s="90">
        <v>628426.9648260586</v>
      </c>
      <c r="F7" s="91">
        <v>0.79625373883251604</v>
      </c>
      <c r="G7" s="90">
        <v>21037673.697775695</v>
      </c>
      <c r="H7" s="91">
        <v>0.79625373883251604</v>
      </c>
      <c r="I7" s="90">
        <v>876569.73740732064</v>
      </c>
      <c r="J7" s="90" t="e">
        <v>#DIV/0!</v>
      </c>
      <c r="K7" s="90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89">
        <v>34124829.920874</v>
      </c>
      <c r="C8" s="90">
        <v>36321844.916340284</v>
      </c>
      <c r="D8" s="90">
        <v>34680470.683944441</v>
      </c>
      <c r="E8" s="90">
        <v>1641374.2323958427</v>
      </c>
      <c r="F8" s="91">
        <v>1.0643817126872295</v>
      </c>
      <c r="G8" s="90">
        <v>36321844.916340284</v>
      </c>
      <c r="H8" s="91">
        <v>1.0643817126872295</v>
      </c>
      <c r="I8" s="90">
        <v>1513410.2048475118</v>
      </c>
      <c r="J8" s="90" t="e">
        <v>#DIV/0!</v>
      </c>
      <c r="K8" s="90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89">
        <v>34124829.920874</v>
      </c>
      <c r="C9" s="90">
        <v>39634220.308995903</v>
      </c>
      <c r="D9" s="90">
        <v>38178336.801874101</v>
      </c>
      <c r="E9" s="90">
        <v>1455883.5071218014</v>
      </c>
      <c r="F9" s="91">
        <v>1.1614481420389977</v>
      </c>
      <c r="G9" s="90">
        <v>39634220.308995903</v>
      </c>
      <c r="H9" s="91">
        <v>1.1614481420389977</v>
      </c>
      <c r="I9" s="90">
        <v>1651425.8462081626</v>
      </c>
      <c r="J9" s="90" t="e">
        <v>#DIV/0!</v>
      </c>
      <c r="K9" s="90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92">
        <v>231404373.08500049</v>
      </c>
      <c r="C10" s="92">
        <v>249376240.28463167</v>
      </c>
      <c r="D10" s="90">
        <v>240465848.83298028</v>
      </c>
      <c r="E10" s="92">
        <v>8910391.451651359</v>
      </c>
      <c r="F10" s="93">
        <v>1.0776643369355412</v>
      </c>
      <c r="G10" s="92">
        <v>249376240.28463167</v>
      </c>
      <c r="H10" s="93">
        <v>1.0776643369355412</v>
      </c>
      <c r="I10" s="92">
        <v>10390676.67852632</v>
      </c>
      <c r="J10" s="94" t="e">
        <v>#DIV/0!</v>
      </c>
      <c r="K10" s="94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89">
        <v>92354236.647750005</v>
      </c>
      <c r="C11" s="90">
        <v>91382684.446631193</v>
      </c>
      <c r="D11" s="90">
        <v>78998182.076838285</v>
      </c>
      <c r="E11" s="90">
        <v>12384502.369792908</v>
      </c>
      <c r="F11" s="91">
        <v>0.98948015557938696</v>
      </c>
      <c r="G11" s="90">
        <v>91382684.446631193</v>
      </c>
      <c r="H11" s="91">
        <v>0.98948015557938696</v>
      </c>
      <c r="I11" s="90">
        <v>3807611.8519429662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89">
        <v>30124668.960540004</v>
      </c>
      <c r="C12" s="90">
        <v>20951634.077469252</v>
      </c>
      <c r="D12" s="90">
        <v>20951634.077469252</v>
      </c>
      <c r="E12" s="90">
        <v>0</v>
      </c>
      <c r="F12" s="91">
        <v>0.69549757060944251</v>
      </c>
      <c r="G12" s="90">
        <v>20951634.077469252</v>
      </c>
      <c r="H12" s="91">
        <v>0.69549757060944251</v>
      </c>
      <c r="I12" s="90">
        <v>872984.75322788546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89">
        <v>122251348.64249998</v>
      </c>
      <c r="C13" s="90">
        <v>81078998.773096651</v>
      </c>
      <c r="D13" s="90">
        <v>78531862.457030341</v>
      </c>
      <c r="E13" s="90">
        <v>2547136.3160663098</v>
      </c>
      <c r="F13" s="91">
        <v>0.66321557736100101</v>
      </c>
      <c r="G13" s="90">
        <v>81078998.773096651</v>
      </c>
      <c r="H13" s="91">
        <v>0.66321557736100101</v>
      </c>
      <c r="I13" s="90">
        <v>3378291.6155456938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89">
        <v>40427673.7095</v>
      </c>
      <c r="C14" s="90">
        <v>39036663.42616079</v>
      </c>
      <c r="D14" s="90">
        <v>37851538.414763339</v>
      </c>
      <c r="E14" s="90">
        <v>1185125.0113974512</v>
      </c>
      <c r="F14" s="91">
        <v>0.9655926211996626</v>
      </c>
      <c r="G14" s="90">
        <v>39036663.42616079</v>
      </c>
      <c r="H14" s="91">
        <v>0.9655926211996626</v>
      </c>
      <c r="I14" s="90">
        <v>1626527.6427566996</v>
      </c>
      <c r="J14" s="90" t="e">
        <v>#DIV/0!</v>
      </c>
      <c r="K14" s="90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89">
        <v>40427673.7095</v>
      </c>
      <c r="C15" s="90">
        <v>46508428.539753534</v>
      </c>
      <c r="D15" s="90">
        <v>45915996.103353538</v>
      </c>
      <c r="E15" s="90">
        <v>592432.43639999628</v>
      </c>
      <c r="F15" s="91">
        <v>1.1504107031719866</v>
      </c>
      <c r="G15" s="90">
        <v>46508428.539753534</v>
      </c>
      <c r="H15" s="91">
        <v>1.1504107031719866</v>
      </c>
      <c r="I15" s="90">
        <v>1937851.1891563972</v>
      </c>
      <c r="J15" s="90" t="e">
        <v>#DIV/0!</v>
      </c>
      <c r="K15" s="90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92">
        <v>325585601.66978997</v>
      </c>
      <c r="C16" s="92">
        <v>278958409.26311141</v>
      </c>
      <c r="D16" s="90">
        <v>262249213.12945476</v>
      </c>
      <c r="E16" s="92">
        <v>16709196.133656651</v>
      </c>
      <c r="F16" s="93">
        <v>0.85678975922907052</v>
      </c>
      <c r="G16" s="92">
        <v>278958409.26311141</v>
      </c>
      <c r="H16" s="93">
        <v>0.85678975922907052</v>
      </c>
      <c r="I16" s="92">
        <v>11623267.052629642</v>
      </c>
      <c r="J16" s="94" t="e">
        <v>#DIV/0!</v>
      </c>
      <c r="K16" s="94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71">
        <v>27940969.650000002</v>
      </c>
      <c r="C17" s="90">
        <v>19539554.67881345</v>
      </c>
      <c r="D17" s="90">
        <v>18511481.821642894</v>
      </c>
      <c r="E17" s="90">
        <v>1028072.8571705557</v>
      </c>
      <c r="F17" s="91">
        <v>0.69931555431231962</v>
      </c>
      <c r="G17" s="90">
        <v>19539554.67881345</v>
      </c>
      <c r="H17" s="91">
        <v>0.69931555431231962</v>
      </c>
      <c r="I17" s="90">
        <v>814148.11161722708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71">
        <v>23770958</v>
      </c>
      <c r="C18" s="90">
        <v>18010273.76547106</v>
      </c>
      <c r="D18" s="90">
        <v>17637911.696073696</v>
      </c>
      <c r="E18" s="90">
        <v>372362.06939736381</v>
      </c>
      <c r="F18" s="91">
        <v>0.75765872647922139</v>
      </c>
      <c r="G18" s="90">
        <v>18010273.76547106</v>
      </c>
      <c r="H18" s="91">
        <v>0.75765872647922139</v>
      </c>
      <c r="I18" s="90">
        <v>750428.07356129412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71">
        <v>24625381.109999999</v>
      </c>
      <c r="C19" s="90">
        <v>20256320.790835518</v>
      </c>
      <c r="D19" s="90">
        <v>19942352.806676645</v>
      </c>
      <c r="E19" s="90">
        <v>313967.98415887356</v>
      </c>
      <c r="F19" s="91">
        <v>0.82257897655885326</v>
      </c>
      <c r="G19" s="90">
        <v>20256320.790835518</v>
      </c>
      <c r="H19" s="91">
        <v>0.82257897655885326</v>
      </c>
      <c r="I19" s="90">
        <v>844013.36628481327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71">
        <v>31950600</v>
      </c>
      <c r="C20" s="90">
        <v>32603870.30427184</v>
      </c>
      <c r="D20" s="90">
        <v>30464977.149072044</v>
      </c>
      <c r="E20" s="90">
        <v>2138893.155199796</v>
      </c>
      <c r="F20" s="91">
        <v>1.0204462609237961</v>
      </c>
      <c r="G20" s="90">
        <v>32603870.30427184</v>
      </c>
      <c r="H20" s="91">
        <v>1.0204462609237961</v>
      </c>
      <c r="I20" s="90">
        <v>1358494.5960113266</v>
      </c>
      <c r="J20" s="90" t="e">
        <v>#DIV/0!</v>
      </c>
      <c r="K20" s="90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71">
        <v>24246200</v>
      </c>
      <c r="C21" s="90">
        <v>21254078.570695039</v>
      </c>
      <c r="D21" s="90">
        <v>20863297.783106934</v>
      </c>
      <c r="E21" s="90">
        <v>390780.78758810461</v>
      </c>
      <c r="F21" s="91">
        <v>0.87659421149273031</v>
      </c>
      <c r="G21" s="90">
        <v>21254078.570695039</v>
      </c>
      <c r="H21" s="91">
        <v>0.87659421149273031</v>
      </c>
      <c r="I21" s="90">
        <v>885586.60711229325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71">
        <v>30231324</v>
      </c>
      <c r="C22" s="90">
        <v>28200822.57017931</v>
      </c>
      <c r="D22" s="90">
        <v>27252487.000636328</v>
      </c>
      <c r="E22" s="90">
        <v>948335.56954298168</v>
      </c>
      <c r="F22" s="91">
        <v>0.93283451859995647</v>
      </c>
      <c r="G22" s="90">
        <v>28200822.57017931</v>
      </c>
      <c r="H22" s="91">
        <v>0.93283451859995647</v>
      </c>
      <c r="I22" s="90">
        <v>1175034.2737574712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162</v>
      </c>
      <c r="B23" s="71">
        <v>26129472.600000001</v>
      </c>
      <c r="C23" s="90">
        <v>20127157.755923368</v>
      </c>
      <c r="D23" s="90">
        <v>19392227.644457728</v>
      </c>
      <c r="E23" s="90">
        <v>734930.11146564037</v>
      </c>
      <c r="F23" s="91">
        <v>0.77028564885474826</v>
      </c>
      <c r="G23" s="90">
        <v>20127157.755923368</v>
      </c>
      <c r="H23" s="91">
        <v>0.77028564885474826</v>
      </c>
      <c r="I23" s="90">
        <v>838631.57316347363</v>
      </c>
      <c r="J23" s="90" t="e">
        <v>#DIV/0!</v>
      </c>
      <c r="K23" s="90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71">
        <v>31899100</v>
      </c>
      <c r="C24" s="90">
        <v>37191738.050137773</v>
      </c>
      <c r="D24" s="90">
        <v>37037499.180309229</v>
      </c>
      <c r="E24" s="90">
        <v>154238.86982854456</v>
      </c>
      <c r="F24" s="91">
        <v>1.1659180995745264</v>
      </c>
      <c r="G24" s="90">
        <v>37191738.050137773</v>
      </c>
      <c r="H24" s="91">
        <v>1.1659180995745264</v>
      </c>
      <c r="I24" s="90">
        <v>1549655.7520890739</v>
      </c>
      <c r="J24" s="90" t="e">
        <v>#DIV/0!</v>
      </c>
      <c r="K24" s="90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71">
        <v>51490431.300000004</v>
      </c>
      <c r="C25" s="90">
        <v>61158235.968446337</v>
      </c>
      <c r="D25" s="90">
        <v>62845721.087741278</v>
      </c>
      <c r="E25" s="90">
        <v>-1687485.1192949414</v>
      </c>
      <c r="F25" s="91">
        <v>1.1877592481624122</v>
      </c>
      <c r="G25" s="90">
        <v>61158235.968446344</v>
      </c>
      <c r="H25" s="91">
        <v>1.1877592481624122</v>
      </c>
      <c r="I25" s="90">
        <v>2548259.8320185975</v>
      </c>
      <c r="J25" s="90" t="e">
        <v>#DIV/0!</v>
      </c>
      <c r="K25" s="90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4">
        <v>272284436.66000003</v>
      </c>
      <c r="C26" s="94">
        <v>258342052.45477369</v>
      </c>
      <c r="D26" s="90">
        <v>253947956.16971678</v>
      </c>
      <c r="E26" s="94">
        <v>4394096.2850569189</v>
      </c>
      <c r="F26" s="93">
        <v>0.94879478101557413</v>
      </c>
      <c r="G26" s="92">
        <v>258342052.45477372</v>
      </c>
      <c r="H26" s="93">
        <v>0.94879478101557424</v>
      </c>
      <c r="I26" s="92">
        <v>10764252.185615571</v>
      </c>
      <c r="J26" s="94" t="e">
        <v>#DIV/0!</v>
      </c>
      <c r="K26" s="94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5" t="s">
        <v>102</v>
      </c>
      <c r="B27" s="101">
        <v>78074000</v>
      </c>
      <c r="C27" s="90">
        <v>77072215.391178802</v>
      </c>
      <c r="D27" s="90">
        <v>75226365.361191273</v>
      </c>
      <c r="E27" s="90">
        <v>1845850.0299875289</v>
      </c>
      <c r="F27" s="91">
        <v>0.98716878078718651</v>
      </c>
      <c r="G27" s="90">
        <v>77072215.391178802</v>
      </c>
      <c r="H27" s="91">
        <v>0.98716878078718651</v>
      </c>
      <c r="I27" s="90">
        <v>3211342.3079657834</v>
      </c>
      <c r="J27" s="90" t="e">
        <v>#DIV/0!</v>
      </c>
      <c r="K27" s="90">
        <v>0</v>
      </c>
      <c r="M27">
        <v>36</v>
      </c>
      <c r="N27" s="12" t="s">
        <v>237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237</v>
      </c>
      <c r="B28" s="101">
        <v>21000000</v>
      </c>
      <c r="C28" s="90">
        <v>9485511.4323376957</v>
      </c>
      <c r="D28" s="90">
        <v>9320573.7666386589</v>
      </c>
      <c r="E28" s="90">
        <v>164937.66569903679</v>
      </c>
      <c r="F28" s="91">
        <v>0.45169102058750932</v>
      </c>
      <c r="G28" s="90">
        <v>9485511.4323376957</v>
      </c>
      <c r="H28" s="91">
        <v>0.45169102058750932</v>
      </c>
      <c r="I28" s="90">
        <v>395229.64301407064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101">
        <v>24514000</v>
      </c>
      <c r="C29" s="90">
        <v>18129971.027611572</v>
      </c>
      <c r="D29" s="90">
        <v>17592967.566130582</v>
      </c>
      <c r="E29" s="90">
        <v>537003.46148099005</v>
      </c>
      <c r="F29" s="91">
        <v>0.73957620248068745</v>
      </c>
      <c r="G29" s="90">
        <v>18129971.027611572</v>
      </c>
      <c r="H29" s="91">
        <v>0.73957620248068745</v>
      </c>
      <c r="I29" s="90">
        <v>755415.45948381547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101">
        <v>36412576.297262542</v>
      </c>
      <c r="C30" s="90">
        <v>17544543.519893952</v>
      </c>
      <c r="D30" s="90">
        <v>17464454.603893951</v>
      </c>
      <c r="E30" s="90">
        <v>80088.916000001132</v>
      </c>
      <c r="F30" s="91">
        <v>0.48182648150641655</v>
      </c>
      <c r="G30" s="90">
        <v>17544543.519893952</v>
      </c>
      <c r="H30" s="91">
        <v>0.48182648150641655</v>
      </c>
      <c r="I30" s="90">
        <v>731022.64666224795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101">
        <v>24205000</v>
      </c>
      <c r="C31" s="90">
        <v>21583379.530833326</v>
      </c>
      <c r="D31" s="90">
        <v>20925002.007663183</v>
      </c>
      <c r="E31" s="90">
        <v>658377.52317014337</v>
      </c>
      <c r="F31" s="91">
        <v>0.89169095355642747</v>
      </c>
      <c r="G31" s="90">
        <v>21583379.530833326</v>
      </c>
      <c r="H31" s="91">
        <v>0.89169095355642747</v>
      </c>
      <c r="I31" s="90">
        <v>899307.48045138863</v>
      </c>
      <c r="J31" s="90" t="e">
        <v>#DIV/0!</v>
      </c>
      <c r="K31" s="90">
        <v>0</v>
      </c>
      <c r="M31">
        <v>10</v>
      </c>
      <c r="N31" s="12" t="s">
        <v>238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238</v>
      </c>
      <c r="B32" s="101">
        <v>24000000</v>
      </c>
      <c r="C32" s="90">
        <v>16088796.362979436</v>
      </c>
      <c r="D32" s="90">
        <v>15428148.704640051</v>
      </c>
      <c r="E32" s="90">
        <v>660647.65833938494</v>
      </c>
      <c r="F32" s="91">
        <v>0.67036651512414314</v>
      </c>
      <c r="G32" s="90">
        <v>16088796.362979438</v>
      </c>
      <c r="H32" s="91">
        <v>0.67036651512414325</v>
      </c>
      <c r="I32" s="90">
        <v>670366.51512414322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101">
        <v>25235000</v>
      </c>
      <c r="C33" s="90">
        <v>16147931.300912788</v>
      </c>
      <c r="D33" s="90">
        <v>15774950.664548337</v>
      </c>
      <c r="E33" s="90">
        <v>372980.63636445068</v>
      </c>
      <c r="F33" s="91">
        <v>0.63990217162325291</v>
      </c>
      <c r="G33" s="90">
        <v>16147931.30091279</v>
      </c>
      <c r="H33" s="91">
        <v>0.63990217162325302</v>
      </c>
      <c r="I33" s="90">
        <v>672830.47087136621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101">
        <v>21000000</v>
      </c>
      <c r="C34" s="90">
        <v>10182739.196154164</v>
      </c>
      <c r="D34" s="90">
        <v>9826903.0216558874</v>
      </c>
      <c r="E34" s="90">
        <v>355836.17449827679</v>
      </c>
      <c r="F34" s="91">
        <v>0.48489234267400783</v>
      </c>
      <c r="G34" s="90">
        <v>10182739.196154164</v>
      </c>
      <c r="H34" s="91">
        <v>0.48489234267400783</v>
      </c>
      <c r="I34" s="90">
        <v>424280.79983975686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101">
        <v>23484000</v>
      </c>
      <c r="C35" s="90">
        <v>12199626.288747994</v>
      </c>
      <c r="D35" s="90">
        <v>11962084.295876404</v>
      </c>
      <c r="E35" s="90">
        <v>237541.99287158996</v>
      </c>
      <c r="F35" s="91">
        <v>0.51948672665423246</v>
      </c>
      <c r="G35" s="90">
        <v>12199626.288747994</v>
      </c>
      <c r="H35" s="91">
        <v>0.51948672665423246</v>
      </c>
      <c r="I35" s="90">
        <v>508317.76203116641</v>
      </c>
      <c r="J35" s="90" t="e">
        <v>#DIV/0!</v>
      </c>
      <c r="K35" s="90">
        <v>0</v>
      </c>
      <c r="M35">
        <v>24</v>
      </c>
      <c r="N35" s="12" t="s">
        <v>207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207</v>
      </c>
      <c r="B36" s="101">
        <v>25235000</v>
      </c>
      <c r="C36" s="90">
        <v>15341981.696633715</v>
      </c>
      <c r="D36" s="90">
        <v>14125312.527919717</v>
      </c>
      <c r="E36" s="90">
        <v>1216669.168713998</v>
      </c>
      <c r="F36" s="91">
        <v>0.60796440248201766</v>
      </c>
      <c r="G36" s="90">
        <v>15341981.696633715</v>
      </c>
      <c r="H36" s="91">
        <v>0.60796440248201766</v>
      </c>
      <c r="I36" s="90">
        <v>639249.23735973809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101">
        <v>114000000</v>
      </c>
      <c r="C37" s="90">
        <v>60310074.301579997</v>
      </c>
      <c r="D37" s="90">
        <v>63084633.19438</v>
      </c>
      <c r="E37" s="90">
        <v>-2774558.8928000033</v>
      </c>
      <c r="F37" s="91">
        <v>0.52903573948754379</v>
      </c>
      <c r="G37" s="90">
        <v>60310074.301579997</v>
      </c>
      <c r="H37" s="91">
        <v>0.52903573948754379</v>
      </c>
      <c r="I37" s="90">
        <v>2512919.7625658331</v>
      </c>
      <c r="J37" s="90" t="e">
        <v>#DIV/0!</v>
      </c>
      <c r="K37" s="90">
        <v>0</v>
      </c>
      <c r="M37">
        <v>57</v>
      </c>
      <c r="N37" s="12" t="s">
        <v>239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239</v>
      </c>
      <c r="B38" s="101">
        <v>33000000</v>
      </c>
      <c r="C38" s="90">
        <v>8530829.1755289156</v>
      </c>
      <c r="D38" s="90">
        <v>8075916.3275289154</v>
      </c>
      <c r="E38" s="90">
        <v>454912.84800000023</v>
      </c>
      <c r="F38" s="91">
        <v>0.25850997501602774</v>
      </c>
      <c r="G38" s="90">
        <v>8530829.1755289156</v>
      </c>
      <c r="H38" s="91">
        <v>0.25850997501602774</v>
      </c>
      <c r="I38" s="90">
        <v>355451.21564703813</v>
      </c>
      <c r="J38" s="90" t="e">
        <v>#DIV/0!</v>
      </c>
      <c r="K38" s="90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101">
        <v>34629931.18</v>
      </c>
      <c r="C39" s="90">
        <v>30911208.95904449</v>
      </c>
      <c r="D39" s="90">
        <v>29484602.898633268</v>
      </c>
      <c r="E39" s="90">
        <v>1426606.0604112223</v>
      </c>
      <c r="F39" s="91">
        <v>0.89261537363079713</v>
      </c>
      <c r="G39" s="90">
        <v>30911208.959044494</v>
      </c>
      <c r="H39" s="91">
        <v>0.89261537363079724</v>
      </c>
      <c r="I39" s="90">
        <v>1287967.0399601872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236</v>
      </c>
      <c r="B40" s="97">
        <v>484789507.47726256</v>
      </c>
      <c r="C40" s="94">
        <v>313528808.18343693</v>
      </c>
      <c r="D40" s="90">
        <v>308291914.94070017</v>
      </c>
      <c r="E40" s="94">
        <v>5236893.2427367568</v>
      </c>
      <c r="F40" s="93">
        <v>0.64673183587444283</v>
      </c>
      <c r="G40" s="92">
        <v>313528808.18343693</v>
      </c>
      <c r="H40" s="93">
        <v>0.64673183587444283</v>
      </c>
      <c r="I40" s="92">
        <v>13063700.340976538</v>
      </c>
      <c r="J40" s="94" t="e">
        <v>#DIV/0!</v>
      </c>
      <c r="K40" s="94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8" t="s">
        <v>42</v>
      </c>
      <c r="B41" s="99">
        <v>1314063949.6125104</v>
      </c>
      <c r="C41" s="99">
        <v>1100205510.1859536</v>
      </c>
      <c r="D41" s="90">
        <v>1064954933.0728519</v>
      </c>
      <c r="E41" s="99">
        <v>35250577.113101721</v>
      </c>
      <c r="F41" s="100">
        <v>0.83725416142066822</v>
      </c>
      <c r="G41" s="99">
        <v>1100205510.1859536</v>
      </c>
      <c r="H41" s="100">
        <v>0.83725416142066822</v>
      </c>
      <c r="I41" s="99">
        <v>45841896.257748067</v>
      </c>
      <c r="J41" s="99" t="e">
        <v>#DIV/0!</v>
      </c>
      <c r="K41" s="99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101">
        <v>40000000</v>
      </c>
      <c r="C43" s="90">
        <v>19702264.930524979</v>
      </c>
      <c r="D43" s="90">
        <v>19702264.930524979</v>
      </c>
      <c r="E43" s="90">
        <v>0</v>
      </c>
      <c r="F43" s="91">
        <v>0.49255662326312449</v>
      </c>
      <c r="G43" s="90">
        <v>19702264.930524979</v>
      </c>
      <c r="H43" s="91">
        <v>0.49255662326312449</v>
      </c>
      <c r="I43" s="90">
        <v>820927.70543854078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7943645.3323342865</v>
      </c>
      <c r="D44" s="90">
        <v>7943645.3323342865</v>
      </c>
      <c r="E44" s="90">
        <v>0</v>
      </c>
      <c r="F44" s="91">
        <v>0.26478817774447622</v>
      </c>
      <c r="G44" s="90">
        <v>7943645.3323342865</v>
      </c>
      <c r="H44" s="91">
        <v>0.26478817774447622</v>
      </c>
      <c r="I44" s="90">
        <v>330985.22218059527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topLeftCell="F1" workbookViewId="0">
      <selection activeCell="P1" sqref="P1:V42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102" t="s">
        <v>208</v>
      </c>
      <c r="B1" s="102" t="s">
        <v>76</v>
      </c>
      <c r="C1" s="102" t="s">
        <v>31</v>
      </c>
      <c r="D1" s="102" t="s">
        <v>32</v>
      </c>
      <c r="E1" s="102" t="s">
        <v>39</v>
      </c>
      <c r="F1" s="102" t="s">
        <v>33</v>
      </c>
      <c r="G1" s="103" t="s">
        <v>41</v>
      </c>
      <c r="H1" s="104" t="s">
        <v>45</v>
      </c>
      <c r="I1" s="103" t="s">
        <v>46</v>
      </c>
      <c r="J1" s="102" t="s">
        <v>35</v>
      </c>
      <c r="K1" s="102" t="s">
        <v>34</v>
      </c>
      <c r="L1" s="102" t="s">
        <v>53</v>
      </c>
      <c r="N1" s="85" t="s">
        <v>208</v>
      </c>
      <c r="P1" s="86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8" t="s">
        <v>209</v>
      </c>
      <c r="B2" s="69" t="s">
        <v>95</v>
      </c>
      <c r="C2" s="105">
        <v>30741977.750715002</v>
      </c>
      <c r="D2" s="106">
        <v>45393596.318009116</v>
      </c>
      <c r="E2" s="106">
        <v>44565213.776346438</v>
      </c>
      <c r="F2" s="106">
        <v>828382.54166267812</v>
      </c>
      <c r="G2" s="107">
        <v>1.4765997388360397</v>
      </c>
      <c r="H2" s="106">
        <v>45393596.318009116</v>
      </c>
      <c r="I2" s="107">
        <v>1.4765997388360397</v>
      </c>
      <c r="J2" s="106">
        <v>1891399.8465837131</v>
      </c>
      <c r="K2" s="106" t="e">
        <v>#DIV/0!</v>
      </c>
      <c r="L2" s="108">
        <v>907871.92636018235</v>
      </c>
      <c r="N2" s="146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9"/>
      <c r="B3" s="19" t="s">
        <v>94</v>
      </c>
      <c r="C3" s="109">
        <v>29507360.170365002</v>
      </c>
      <c r="D3" s="90">
        <v>35395968.509754337</v>
      </c>
      <c r="E3" s="90">
        <v>34367103.860738821</v>
      </c>
      <c r="F3" s="90">
        <v>1028864.649015516</v>
      </c>
      <c r="G3" s="91">
        <v>1.1995640513211145</v>
      </c>
      <c r="H3" s="90">
        <v>35395968.509754337</v>
      </c>
      <c r="I3" s="91">
        <v>1.1995640513211145</v>
      </c>
      <c r="J3" s="90">
        <v>1474832.0212397641</v>
      </c>
      <c r="K3" s="90" t="e">
        <v>#DIV/0!</v>
      </c>
      <c r="L3" s="110">
        <v>707919.37019508681</v>
      </c>
      <c r="N3" s="146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9"/>
      <c r="B4" s="19" t="s">
        <v>92</v>
      </c>
      <c r="C4" s="109">
        <v>27038125.009665001</v>
      </c>
      <c r="D4" s="90">
        <v>27694208.38973878</v>
      </c>
      <c r="E4" s="90">
        <v>27411105.047851767</v>
      </c>
      <c r="F4" s="90">
        <v>283103.34188701212</v>
      </c>
      <c r="G4" s="91">
        <v>1.0242651211886644</v>
      </c>
      <c r="H4" s="90">
        <v>27694208.389738783</v>
      </c>
      <c r="I4" s="91">
        <v>1.0242651211886644</v>
      </c>
      <c r="J4" s="90">
        <v>1153925.3495724492</v>
      </c>
      <c r="K4" s="90" t="e">
        <v>#DIV/0!</v>
      </c>
      <c r="L4" s="110">
        <v>276942.08389738784</v>
      </c>
      <c r="N4" s="146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9"/>
      <c r="B5" s="19" t="s">
        <v>90</v>
      </c>
      <c r="C5" s="109">
        <v>27038125.009665001</v>
      </c>
      <c r="D5" s="90">
        <v>34958252.60867209</v>
      </c>
      <c r="E5" s="90">
        <v>33251965.370231558</v>
      </c>
      <c r="F5" s="90">
        <v>1706287.2384405322</v>
      </c>
      <c r="G5" s="91">
        <v>1.2929244389607628</v>
      </c>
      <c r="H5" s="90">
        <v>34958252.60867209</v>
      </c>
      <c r="I5" s="91">
        <v>1.2929244389607628</v>
      </c>
      <c r="J5" s="90">
        <v>1456593.8586946705</v>
      </c>
      <c r="K5" s="90" t="e">
        <v>#DIV/0!</v>
      </c>
      <c r="L5" s="110">
        <v>699165.05217344186</v>
      </c>
      <c r="N5" s="146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9"/>
      <c r="B6" s="19" t="s">
        <v>212</v>
      </c>
      <c r="C6" s="109">
        <v>22408309.083352499</v>
      </c>
      <c r="D6" s="90">
        <v>17283627.579417564</v>
      </c>
      <c r="E6" s="90">
        <v>16972113.7561673</v>
      </c>
      <c r="F6" s="90">
        <v>311513.82325026393</v>
      </c>
      <c r="G6" s="91">
        <v>0.77130440833921976</v>
      </c>
      <c r="H6" s="90">
        <v>17283627.579417564</v>
      </c>
      <c r="I6" s="91">
        <v>0.77130440833921976</v>
      </c>
      <c r="J6" s="90">
        <v>720151.1491423985</v>
      </c>
      <c r="K6" s="90" t="e">
        <v>#DIV/0!</v>
      </c>
      <c r="L6" s="110">
        <v>0</v>
      </c>
      <c r="N6" s="146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9"/>
      <c r="B7" s="19" t="s">
        <v>86</v>
      </c>
      <c r="C7" s="109">
        <v>26420816.219490003</v>
      </c>
      <c r="D7" s="90">
        <v>26532043.464193381</v>
      </c>
      <c r="E7" s="90">
        <v>24547361.284495667</v>
      </c>
      <c r="F7" s="90">
        <v>1984682.1796977147</v>
      </c>
      <c r="G7" s="91">
        <v>1.0042098337833079</v>
      </c>
      <c r="H7" s="90">
        <v>26532043.464193381</v>
      </c>
      <c r="I7" s="91">
        <v>1.0042098337833079</v>
      </c>
      <c r="J7" s="90">
        <v>1105501.8110080576</v>
      </c>
      <c r="K7" s="90" t="e">
        <v>#DIV/0!</v>
      </c>
      <c r="L7" s="110">
        <v>265320.43464193383</v>
      </c>
      <c r="N7" s="146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9"/>
      <c r="B8" s="19" t="s">
        <v>85</v>
      </c>
      <c r="C8" s="109">
        <v>34124829.920874</v>
      </c>
      <c r="D8" s="90">
        <v>36334954.893270783</v>
      </c>
      <c r="E8" s="90">
        <v>35445411.591822572</v>
      </c>
      <c r="F8" s="90">
        <v>889543.30144821107</v>
      </c>
      <c r="G8" s="91">
        <v>1.064765889750116</v>
      </c>
      <c r="H8" s="90">
        <v>36334954.893270783</v>
      </c>
      <c r="I8" s="91">
        <v>1.064765889750116</v>
      </c>
      <c r="J8" s="90">
        <v>1513956.4538862826</v>
      </c>
      <c r="K8" s="90" t="e">
        <v>#DIV/0!</v>
      </c>
      <c r="L8" s="110">
        <v>454186.93616588484</v>
      </c>
      <c r="N8" s="146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9"/>
      <c r="B9" s="19" t="s">
        <v>84</v>
      </c>
      <c r="C9" s="109">
        <v>34124829.920874</v>
      </c>
      <c r="D9" s="90">
        <v>40070884.359823771</v>
      </c>
      <c r="E9" s="90">
        <v>39408089.840277895</v>
      </c>
      <c r="F9" s="90">
        <v>662794.51954587549</v>
      </c>
      <c r="G9" s="91">
        <v>1.1742442219561833</v>
      </c>
      <c r="H9" s="90">
        <v>40070884.359823771</v>
      </c>
      <c r="I9" s="91">
        <v>1.1742442219561833</v>
      </c>
      <c r="J9" s="90">
        <v>1669620.1816593239</v>
      </c>
      <c r="K9" s="90" t="e">
        <v>#DIV/0!</v>
      </c>
      <c r="L9" s="110">
        <v>801417.68719647545</v>
      </c>
      <c r="N9" s="146"/>
      <c r="O9">
        <v>11</v>
      </c>
      <c r="P9" s="30" t="s">
        <v>212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30"/>
      <c r="B10" s="3"/>
      <c r="C10" s="111">
        <v>231404373.08500049</v>
      </c>
      <c r="D10" s="111">
        <v>263663536.1228798</v>
      </c>
      <c r="E10" s="112">
        <v>255968364.52793205</v>
      </c>
      <c r="F10" s="111">
        <v>7695171.5949478038</v>
      </c>
      <c r="G10" s="113">
        <v>1.1394060216227191</v>
      </c>
      <c r="H10" s="111">
        <v>263663536.1228798</v>
      </c>
      <c r="I10" s="113">
        <v>1.1394060216227191</v>
      </c>
      <c r="J10" s="111">
        <v>10985980.671786658</v>
      </c>
      <c r="K10" s="114" t="e">
        <v>#DIV/0!</v>
      </c>
      <c r="L10" s="115"/>
      <c r="N10" s="146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8" t="s">
        <v>210</v>
      </c>
      <c r="B11" s="69" t="s">
        <v>97</v>
      </c>
      <c r="C11" s="105">
        <v>92354236.647750005</v>
      </c>
      <c r="D11" s="106">
        <v>94799866.546719819</v>
      </c>
      <c r="E11" s="106">
        <v>93863435.05905427</v>
      </c>
      <c r="F11" s="106">
        <v>936431.48766554892</v>
      </c>
      <c r="G11" s="107">
        <v>1.0264809713960144</v>
      </c>
      <c r="H11" s="106">
        <v>94799866.546719819</v>
      </c>
      <c r="I11" s="107">
        <v>1.0264809713960144</v>
      </c>
      <c r="J11" s="106">
        <v>3949994.4394466593</v>
      </c>
      <c r="K11" s="106" t="e">
        <v>#DIV/0!</v>
      </c>
      <c r="L11" s="108">
        <v>473999.33273359912</v>
      </c>
      <c r="N11" s="146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9"/>
      <c r="B12" s="19" t="s">
        <v>107</v>
      </c>
      <c r="C12" s="109">
        <v>30124668.960540004</v>
      </c>
      <c r="D12" s="90">
        <v>22603163.745717153</v>
      </c>
      <c r="E12" s="90">
        <v>22603163.745717153</v>
      </c>
      <c r="F12" s="90">
        <v>0</v>
      </c>
      <c r="G12" s="91">
        <v>0.75032073465520255</v>
      </c>
      <c r="H12" s="90">
        <v>22603163.745717153</v>
      </c>
      <c r="I12" s="91">
        <v>0.75032073465520255</v>
      </c>
      <c r="J12" s="90">
        <v>941798.48940488137</v>
      </c>
      <c r="K12" s="90" t="e">
        <v>#DIV/0!</v>
      </c>
      <c r="L12" s="110">
        <v>0</v>
      </c>
      <c r="N12" s="146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9"/>
      <c r="B13" s="19" t="s">
        <v>91</v>
      </c>
      <c r="C13" s="109">
        <v>122251348.64249998</v>
      </c>
      <c r="D13" s="90">
        <v>141940010.40242097</v>
      </c>
      <c r="E13" s="90">
        <v>127305877.76156662</v>
      </c>
      <c r="F13" s="90">
        <v>14634132.640854344</v>
      </c>
      <c r="G13" s="91">
        <v>1.161050671248598</v>
      </c>
      <c r="H13" s="90">
        <v>141940010.40242097</v>
      </c>
      <c r="I13" s="91">
        <v>1.161050671248598</v>
      </c>
      <c r="J13" s="90">
        <v>5914167.100100874</v>
      </c>
      <c r="K13" s="90" t="e">
        <v>#DIV/0!</v>
      </c>
      <c r="L13" s="110">
        <v>1774250.1300302623</v>
      </c>
      <c r="N13" s="146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9"/>
      <c r="B14" s="19" t="s">
        <v>112</v>
      </c>
      <c r="C14" s="109">
        <v>40427673.7095</v>
      </c>
      <c r="D14" s="90">
        <v>45912073.796316572</v>
      </c>
      <c r="E14" s="90">
        <v>45568237.209316574</v>
      </c>
      <c r="F14" s="90">
        <v>343836.5869999975</v>
      </c>
      <c r="G14" s="91">
        <v>1.1356595515790908</v>
      </c>
      <c r="H14" s="90">
        <v>45912073.796316572</v>
      </c>
      <c r="I14" s="91">
        <v>1.1356595515790908</v>
      </c>
      <c r="J14" s="90">
        <v>1913003.0748465238</v>
      </c>
      <c r="K14" s="90" t="e">
        <v>#DIV/0!</v>
      </c>
      <c r="L14" s="110">
        <v>688681.10694474855</v>
      </c>
      <c r="N14" s="146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9"/>
      <c r="B15" s="19" t="s">
        <v>108</v>
      </c>
      <c r="C15" s="109">
        <v>40427673.7095</v>
      </c>
      <c r="D15" s="90">
        <v>43411568.362539537</v>
      </c>
      <c r="E15" s="90">
        <v>38423938.748043507</v>
      </c>
      <c r="F15" s="90">
        <v>4987629.6144960299</v>
      </c>
      <c r="G15" s="91">
        <v>1.0738082204403059</v>
      </c>
      <c r="H15" s="90">
        <v>43411568.362539537</v>
      </c>
      <c r="I15" s="91">
        <v>1.0738082204403059</v>
      </c>
      <c r="J15" s="90">
        <v>1808815.3484391475</v>
      </c>
      <c r="K15" s="90" t="e">
        <v>#DIV/0!</v>
      </c>
      <c r="L15" s="110">
        <v>542644.60453174426</v>
      </c>
      <c r="N15" s="147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30"/>
      <c r="B16" s="3"/>
      <c r="C16" s="111">
        <v>325585601.66978997</v>
      </c>
      <c r="D16" s="111">
        <v>348666682.85371405</v>
      </c>
      <c r="E16" s="112">
        <v>327764652.52369809</v>
      </c>
      <c r="F16" s="111">
        <v>20902030.330015957</v>
      </c>
      <c r="G16" s="113">
        <v>1.0708909763378696</v>
      </c>
      <c r="H16" s="111">
        <v>348666682.85371405</v>
      </c>
      <c r="I16" s="113">
        <v>1.0708909763378696</v>
      </c>
      <c r="J16" s="111">
        <v>14527778.452238085</v>
      </c>
      <c r="K16" s="114" t="e">
        <v>#DIV/0!</v>
      </c>
      <c r="L16" s="115"/>
      <c r="N16" s="148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31" t="s">
        <v>211</v>
      </c>
      <c r="B17" s="69" t="s">
        <v>82</v>
      </c>
      <c r="C17" s="70">
        <v>27940969.650000002</v>
      </c>
      <c r="D17" s="106">
        <v>23008075.675733715</v>
      </c>
      <c r="E17" s="106">
        <v>21141017.51366502</v>
      </c>
      <c r="F17" s="106">
        <v>1867058.1620686948</v>
      </c>
      <c r="G17" s="107">
        <v>0.82345301412020655</v>
      </c>
      <c r="H17" s="106">
        <v>23008075.675733715</v>
      </c>
      <c r="I17" s="107">
        <v>0.82345301412020655</v>
      </c>
      <c r="J17" s="106">
        <v>958669.81982223818</v>
      </c>
      <c r="K17" s="106" t="e">
        <v>#DIV/0!</v>
      </c>
      <c r="L17" s="108">
        <v>0</v>
      </c>
      <c r="N17" s="146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32"/>
      <c r="B18" s="19" t="s">
        <v>83</v>
      </c>
      <c r="C18" s="71">
        <v>23770958</v>
      </c>
      <c r="D18" s="90">
        <v>21347280.195745856</v>
      </c>
      <c r="E18" s="90">
        <v>20795973.727495987</v>
      </c>
      <c r="F18" s="90">
        <v>551306.4682498686</v>
      </c>
      <c r="G18" s="91">
        <v>0.89804038170215339</v>
      </c>
      <c r="H18" s="90">
        <v>21347280.195745856</v>
      </c>
      <c r="I18" s="91">
        <v>0.89804038170215339</v>
      </c>
      <c r="J18" s="90">
        <v>889470.00815607735</v>
      </c>
      <c r="K18" s="90" t="e">
        <v>#DIV/0!</v>
      </c>
      <c r="L18" s="110">
        <v>0</v>
      </c>
      <c r="N18" s="146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32"/>
      <c r="B19" s="19" t="s">
        <v>93</v>
      </c>
      <c r="C19" s="71">
        <v>24625381.109999999</v>
      </c>
      <c r="D19" s="90">
        <v>20914182.851266399</v>
      </c>
      <c r="E19" s="90">
        <v>20409449.258921277</v>
      </c>
      <c r="F19" s="90">
        <v>504733.59234512225</v>
      </c>
      <c r="G19" s="91">
        <v>0.84929377368188064</v>
      </c>
      <c r="H19" s="90">
        <v>20914182.851266399</v>
      </c>
      <c r="I19" s="91">
        <v>0.84929377368188064</v>
      </c>
      <c r="J19" s="90">
        <v>871424.28546943329</v>
      </c>
      <c r="K19" s="90" t="e">
        <v>#DIV/0!</v>
      </c>
      <c r="L19" s="110">
        <v>0</v>
      </c>
      <c r="N19" s="146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32"/>
      <c r="B20" s="19" t="s">
        <v>96</v>
      </c>
      <c r="C20" s="71">
        <v>31950600</v>
      </c>
      <c r="D20" s="90">
        <v>35530749.500093952</v>
      </c>
      <c r="E20" s="90">
        <v>34626618.946611986</v>
      </c>
      <c r="F20" s="90">
        <v>904130.55348196626</v>
      </c>
      <c r="G20" s="91">
        <v>1.1120526531612538</v>
      </c>
      <c r="H20" s="90">
        <v>35530749.500093952</v>
      </c>
      <c r="I20" s="91">
        <v>1.1120526531612538</v>
      </c>
      <c r="J20" s="90">
        <v>1480447.8958372481</v>
      </c>
      <c r="K20" s="90" t="e">
        <v>#DIV/0!</v>
      </c>
      <c r="L20" s="110">
        <v>532961.24250140926</v>
      </c>
      <c r="N20" s="146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32"/>
      <c r="B21" s="19" t="s">
        <v>98</v>
      </c>
      <c r="C21" s="71">
        <v>24246200</v>
      </c>
      <c r="D21" s="90">
        <v>24311433.850570053</v>
      </c>
      <c r="E21" s="90">
        <v>23897306.933388211</v>
      </c>
      <c r="F21" s="90">
        <v>414126.91718184203</v>
      </c>
      <c r="G21" s="91">
        <v>1.002690477294176</v>
      </c>
      <c r="H21" s="90">
        <v>24311433.850570053</v>
      </c>
      <c r="I21" s="91">
        <v>1.002690477294176</v>
      </c>
      <c r="J21" s="90">
        <v>1012976.4104404189</v>
      </c>
      <c r="K21" s="90" t="e">
        <v>#DIV/0!</v>
      </c>
      <c r="L21" s="110">
        <v>243114.33850570052</v>
      </c>
      <c r="N21" s="146"/>
      <c r="O21">
        <v>44</v>
      </c>
      <c r="P21" s="13" t="s">
        <v>162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32"/>
      <c r="B22" s="19" t="s">
        <v>101</v>
      </c>
      <c r="C22" s="71">
        <v>30231324</v>
      </c>
      <c r="D22" s="90">
        <v>31990809.200218577</v>
      </c>
      <c r="E22" s="90">
        <v>31311977.261892878</v>
      </c>
      <c r="F22" s="90">
        <v>678831.93832569942</v>
      </c>
      <c r="G22" s="91">
        <v>1.0582007324660534</v>
      </c>
      <c r="H22" s="90">
        <v>31990809.200218577</v>
      </c>
      <c r="I22" s="91">
        <v>1.0582007324660534</v>
      </c>
      <c r="J22" s="90">
        <v>1332950.3833424407</v>
      </c>
      <c r="K22" s="90" t="e">
        <v>#DIV/0!</v>
      </c>
      <c r="L22" s="110">
        <v>399885.11500273226</v>
      </c>
      <c r="N22" s="146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32"/>
      <c r="B23" s="19" t="s">
        <v>162</v>
      </c>
      <c r="C23" s="71">
        <v>26129472.600000001</v>
      </c>
      <c r="D23" s="90">
        <v>23951255.389476955</v>
      </c>
      <c r="E23" s="90">
        <v>23685597.93476541</v>
      </c>
      <c r="F23" s="90">
        <v>265657.45471154526</v>
      </c>
      <c r="G23" s="91">
        <v>0.9166375363227558</v>
      </c>
      <c r="H23" s="90">
        <v>23951255.389476955</v>
      </c>
      <c r="I23" s="91">
        <v>0.9166375363227558</v>
      </c>
      <c r="J23" s="90">
        <v>997968.97456153983</v>
      </c>
      <c r="K23" s="90" t="e">
        <v>#DIV/0!</v>
      </c>
      <c r="L23" s="110">
        <v>0</v>
      </c>
      <c r="N23" s="146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32"/>
      <c r="B24" s="19" t="s">
        <v>109</v>
      </c>
      <c r="C24" s="71">
        <v>31899100</v>
      </c>
      <c r="D24" s="90">
        <v>35498698.652202927</v>
      </c>
      <c r="E24" s="90">
        <v>34270013.917461805</v>
      </c>
      <c r="F24" s="90">
        <v>1228684.7347411215</v>
      </c>
      <c r="G24" s="91">
        <v>1.1128432668069923</v>
      </c>
      <c r="H24" s="90">
        <v>35498698.652202927</v>
      </c>
      <c r="I24" s="91">
        <v>1.1128432668069923</v>
      </c>
      <c r="J24" s="90">
        <v>1479112.4438417887</v>
      </c>
      <c r="K24" s="90" t="e">
        <v>#DIV/0!</v>
      </c>
      <c r="L24" s="110">
        <v>532480.47978304385</v>
      </c>
      <c r="N24" s="146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32"/>
      <c r="B25" s="19" t="s">
        <v>140</v>
      </c>
      <c r="C25" s="71">
        <v>51490431.300000004</v>
      </c>
      <c r="D25" s="90">
        <v>57026560.142817684</v>
      </c>
      <c r="E25" s="90">
        <v>54103973.955256805</v>
      </c>
      <c r="F25" s="90">
        <v>2922586.1875608787</v>
      </c>
      <c r="G25" s="91">
        <v>1.1075176242079308</v>
      </c>
      <c r="H25" s="90">
        <v>57026560.142817676</v>
      </c>
      <c r="I25" s="91">
        <v>1.1075176242079308</v>
      </c>
      <c r="J25" s="90">
        <v>2376106.6726174033</v>
      </c>
      <c r="K25" s="90" t="e">
        <v>#DIV/0!</v>
      </c>
      <c r="L25" s="110">
        <v>855398.40214226511</v>
      </c>
      <c r="N25" s="147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3"/>
      <c r="B26" s="72"/>
      <c r="C26" s="114">
        <v>272284436.66000003</v>
      </c>
      <c r="D26" s="114">
        <v>273579045.45812613</v>
      </c>
      <c r="E26" s="112">
        <v>264241929.44945937</v>
      </c>
      <c r="F26" s="114">
        <v>9337116.0086667538</v>
      </c>
      <c r="G26" s="113">
        <v>1.0047546191549048</v>
      </c>
      <c r="H26" s="111">
        <v>273579045.45812613</v>
      </c>
      <c r="I26" s="113">
        <v>1.0047546191549048</v>
      </c>
      <c r="J26" s="111">
        <v>11399126.894088589</v>
      </c>
      <c r="K26" s="114" t="e">
        <v>#DIV/0!</v>
      </c>
      <c r="L26" s="115"/>
      <c r="N26" s="148" t="s">
        <v>236</v>
      </c>
      <c r="O26">
        <v>32</v>
      </c>
      <c r="P26" s="12" t="s">
        <v>214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8" t="s">
        <v>240</v>
      </c>
      <c r="B27" s="69" t="s">
        <v>214</v>
      </c>
      <c r="C27" s="116">
        <v>78074000</v>
      </c>
      <c r="D27" s="106">
        <v>63653251.999823965</v>
      </c>
      <c r="E27" s="106">
        <v>60993697.249844171</v>
      </c>
      <c r="F27" s="106">
        <v>2659554.749979794</v>
      </c>
      <c r="G27" s="107">
        <v>0.81529384942264982</v>
      </c>
      <c r="H27" s="106">
        <v>63653251.999823958</v>
      </c>
      <c r="I27" s="107">
        <v>0.81529384942264982</v>
      </c>
      <c r="J27" s="106">
        <v>2652218.8333259984</v>
      </c>
      <c r="K27" s="106" t="e">
        <v>#DIV/0!</v>
      </c>
      <c r="L27" s="108">
        <v>0</v>
      </c>
      <c r="N27" s="146"/>
      <c r="O27">
        <v>36</v>
      </c>
      <c r="P27" s="12" t="s">
        <v>216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9"/>
      <c r="B28" s="19" t="s">
        <v>216</v>
      </c>
      <c r="C28" s="117">
        <v>21000000</v>
      </c>
      <c r="D28" s="90">
        <v>6100258.9696078347</v>
      </c>
      <c r="E28" s="90">
        <v>5732153.5467419727</v>
      </c>
      <c r="F28" s="90">
        <v>368105.42286586203</v>
      </c>
      <c r="G28" s="91">
        <v>0.29048852236227785</v>
      </c>
      <c r="H28" s="90">
        <v>6100258.9696078347</v>
      </c>
      <c r="I28" s="91">
        <v>0.29048852236227785</v>
      </c>
      <c r="J28" s="90">
        <v>254177.45706699311</v>
      </c>
      <c r="K28" s="90" t="e">
        <v>#DIV/0!</v>
      </c>
      <c r="L28" s="110">
        <v>0</v>
      </c>
      <c r="N28" s="146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9"/>
      <c r="B29" s="19" t="s">
        <v>87</v>
      </c>
      <c r="C29" s="117">
        <v>24514000</v>
      </c>
      <c r="D29" s="90">
        <v>19492468.816566739</v>
      </c>
      <c r="E29" s="90">
        <v>19123999.889380991</v>
      </c>
      <c r="F29" s="90">
        <v>368468.92718574777</v>
      </c>
      <c r="G29" s="91">
        <v>0.79515659690653251</v>
      </c>
      <c r="H29" s="90">
        <v>19492468.816566739</v>
      </c>
      <c r="I29" s="91">
        <v>0.79515659690653251</v>
      </c>
      <c r="J29" s="90">
        <v>812186.20069028076</v>
      </c>
      <c r="K29" s="90" t="e">
        <v>#DIV/0!</v>
      </c>
      <c r="L29" s="110">
        <v>0</v>
      </c>
      <c r="N29" s="146"/>
      <c r="O29">
        <v>40</v>
      </c>
      <c r="P29" s="12" t="s">
        <v>215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9"/>
      <c r="B30" s="19" t="s">
        <v>215</v>
      </c>
      <c r="C30" s="117">
        <v>36412576.297262542</v>
      </c>
      <c r="D30" s="90">
        <v>16503922.715982895</v>
      </c>
      <c r="E30" s="90">
        <v>16440938.962380162</v>
      </c>
      <c r="F30" s="90">
        <v>62983.753602733836</v>
      </c>
      <c r="G30" s="91">
        <v>0.45324787186847976</v>
      </c>
      <c r="H30" s="90">
        <v>16503922.715982895</v>
      </c>
      <c r="I30" s="91">
        <v>0.45324787186847976</v>
      </c>
      <c r="J30" s="90">
        <v>687663.44649928727</v>
      </c>
      <c r="K30" s="90" t="e">
        <v>#DIV/0!</v>
      </c>
      <c r="L30" s="110">
        <v>0</v>
      </c>
      <c r="N30" s="146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9"/>
      <c r="B31" s="19" t="s">
        <v>99</v>
      </c>
      <c r="C31" s="117">
        <v>24205000</v>
      </c>
      <c r="D31" s="90">
        <v>24517374.682820804</v>
      </c>
      <c r="E31" s="90">
        <v>23357151.213069141</v>
      </c>
      <c r="F31" s="90">
        <v>1160223.4697516635</v>
      </c>
      <c r="G31" s="91">
        <v>1.012905378344177</v>
      </c>
      <c r="H31" s="90">
        <v>24517374.682820804</v>
      </c>
      <c r="I31" s="91">
        <v>1.012905378344177</v>
      </c>
      <c r="J31" s="90">
        <v>1021557.2784508668</v>
      </c>
      <c r="K31" s="90" t="e">
        <v>#DIV/0!</v>
      </c>
      <c r="L31" s="110">
        <v>245173.74682820804</v>
      </c>
      <c r="N31" s="146"/>
      <c r="O31">
        <v>10</v>
      </c>
      <c r="P31" s="12" t="s">
        <v>213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9"/>
      <c r="B32" s="19" t="s">
        <v>213</v>
      </c>
      <c r="C32" s="117">
        <v>24000000</v>
      </c>
      <c r="D32" s="90">
        <v>17154799.836579047</v>
      </c>
      <c r="E32" s="90">
        <v>16908593.902502269</v>
      </c>
      <c r="F32" s="90">
        <v>246205.93407677859</v>
      </c>
      <c r="G32" s="91">
        <v>0.71478332652412702</v>
      </c>
      <c r="H32" s="90">
        <v>17154799.836579047</v>
      </c>
      <c r="I32" s="91">
        <v>0.71478332652412702</v>
      </c>
      <c r="J32" s="90">
        <v>714783.32652412693</v>
      </c>
      <c r="K32" s="90" t="e">
        <v>#DIV/0!</v>
      </c>
      <c r="L32" s="110">
        <v>0</v>
      </c>
      <c r="N32" s="146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9"/>
      <c r="B33" s="19" t="s">
        <v>100</v>
      </c>
      <c r="C33" s="117">
        <v>25235000</v>
      </c>
      <c r="D33" s="90">
        <v>17519075.335839655</v>
      </c>
      <c r="E33" s="90">
        <v>17369561.614148464</v>
      </c>
      <c r="F33" s="90">
        <v>149513.7216911912</v>
      </c>
      <c r="G33" s="91">
        <v>0.69423718390488032</v>
      </c>
      <c r="H33" s="90">
        <v>17519075.335839655</v>
      </c>
      <c r="I33" s="91">
        <v>0.69423718390488032</v>
      </c>
      <c r="J33" s="90">
        <v>729961.47232665226</v>
      </c>
      <c r="K33" s="90" t="e">
        <v>#DIV/0!</v>
      </c>
      <c r="L33" s="110">
        <v>0</v>
      </c>
      <c r="N33" s="146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9"/>
      <c r="B34" s="19" t="s">
        <v>139</v>
      </c>
      <c r="C34" s="117">
        <v>21000000</v>
      </c>
      <c r="D34" s="90">
        <v>11197769.09014947</v>
      </c>
      <c r="E34" s="90">
        <v>10993267.219244162</v>
      </c>
      <c r="F34" s="90">
        <v>204501.87090530805</v>
      </c>
      <c r="G34" s="91">
        <v>0.53322709953092717</v>
      </c>
      <c r="H34" s="90">
        <v>11197769.09014947</v>
      </c>
      <c r="I34" s="91">
        <v>0.53322709953092717</v>
      </c>
      <c r="J34" s="90">
        <v>466573.71208956122</v>
      </c>
      <c r="K34" s="90" t="e">
        <v>#DIV/0!</v>
      </c>
      <c r="L34" s="110">
        <v>0</v>
      </c>
      <c r="N34" s="146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9"/>
      <c r="B35" s="19" t="s">
        <v>104</v>
      </c>
      <c r="C35" s="117">
        <v>23484000</v>
      </c>
      <c r="D35" s="90">
        <v>10613494.78936974</v>
      </c>
      <c r="E35" s="90">
        <v>10509964.217061797</v>
      </c>
      <c r="F35" s="90">
        <v>103530.57230794244</v>
      </c>
      <c r="G35" s="91">
        <v>0.45194578391116247</v>
      </c>
      <c r="H35" s="90">
        <v>10613494.78936974</v>
      </c>
      <c r="I35" s="91">
        <v>0.45194578391116247</v>
      </c>
      <c r="J35" s="90">
        <v>442228.94955707248</v>
      </c>
      <c r="K35" s="90" t="e">
        <v>#DIV/0!</v>
      </c>
      <c r="L35" s="110">
        <v>0</v>
      </c>
      <c r="N35" s="146"/>
      <c r="O35">
        <v>24</v>
      </c>
      <c r="P35" s="12" t="s">
        <v>207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9"/>
      <c r="B36" s="19" t="s">
        <v>207</v>
      </c>
      <c r="C36" s="117">
        <v>25235000</v>
      </c>
      <c r="D36" s="90">
        <v>13926527.261858521</v>
      </c>
      <c r="E36" s="90">
        <v>13690253.038083088</v>
      </c>
      <c r="F36" s="90">
        <v>236274.22377543338</v>
      </c>
      <c r="G36" s="91">
        <v>0.55187347976455403</v>
      </c>
      <c r="H36" s="90">
        <v>13926527.261858521</v>
      </c>
      <c r="I36" s="91">
        <v>0.55187347976455403</v>
      </c>
      <c r="J36" s="90">
        <v>580271.96924410504</v>
      </c>
      <c r="K36" s="90" t="e">
        <v>#DIV/0!</v>
      </c>
      <c r="L36" s="110">
        <v>0</v>
      </c>
      <c r="N36" s="146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9"/>
      <c r="B37" s="19" t="s">
        <v>111</v>
      </c>
      <c r="C37" s="117">
        <v>114000000</v>
      </c>
      <c r="D37" s="90">
        <v>101537604.46397878</v>
      </c>
      <c r="E37" s="90">
        <v>92863269.600187495</v>
      </c>
      <c r="F37" s="90">
        <v>8674334.8637912869</v>
      </c>
      <c r="G37" s="91">
        <v>0.89068074091209459</v>
      </c>
      <c r="H37" s="90">
        <v>101537604.46397877</v>
      </c>
      <c r="I37" s="91">
        <v>0.89068074091209448</v>
      </c>
      <c r="J37" s="90">
        <v>4230733.519332449</v>
      </c>
      <c r="K37" s="90" t="e">
        <v>#DIV/0!</v>
      </c>
      <c r="L37" s="110">
        <v>0</v>
      </c>
      <c r="N37" s="146"/>
      <c r="O37">
        <v>57</v>
      </c>
      <c r="P37" s="12" t="s">
        <v>217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9"/>
      <c r="B38" s="19" t="s">
        <v>217</v>
      </c>
      <c r="C38" s="117">
        <v>33000000</v>
      </c>
      <c r="D38" s="90">
        <v>9981301.8801112529</v>
      </c>
      <c r="E38" s="90">
        <v>9981301.8801112529</v>
      </c>
      <c r="F38" s="90">
        <v>0</v>
      </c>
      <c r="G38" s="91">
        <v>0.30246369333670464</v>
      </c>
      <c r="H38" s="90">
        <v>9981301.8801112529</v>
      </c>
      <c r="I38" s="91">
        <v>0.30246369333670464</v>
      </c>
      <c r="J38" s="90">
        <v>415887.57833796885</v>
      </c>
      <c r="K38" s="90" t="e">
        <v>#DIV/0!</v>
      </c>
      <c r="L38" s="110">
        <v>0</v>
      </c>
      <c r="N38" s="146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9"/>
      <c r="B39" s="19" t="s">
        <v>81</v>
      </c>
      <c r="C39" s="117">
        <v>34629931.18</v>
      </c>
      <c r="D39" s="90">
        <v>26579488.905197218</v>
      </c>
      <c r="E39" s="90">
        <v>25810750.454407562</v>
      </c>
      <c r="F39" s="90">
        <v>768738.45078965649</v>
      </c>
      <c r="G39" s="91">
        <v>0.76752935970452651</v>
      </c>
      <c r="H39" s="90">
        <v>26579488.905197218</v>
      </c>
      <c r="I39" s="91">
        <v>0.76752935970452651</v>
      </c>
      <c r="J39" s="90">
        <v>1107478.7043832175</v>
      </c>
      <c r="K39" s="90" t="e">
        <v>#DIV/0!</v>
      </c>
      <c r="L39" s="110">
        <v>0</v>
      </c>
      <c r="N39" s="147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30"/>
      <c r="B40" s="3"/>
      <c r="C40" s="118">
        <v>484789507.47726256</v>
      </c>
      <c r="D40" s="114">
        <v>338777338.74788594</v>
      </c>
      <c r="E40" s="112">
        <v>323774902.78716254</v>
      </c>
      <c r="F40" s="114">
        <v>15002435.9607234</v>
      </c>
      <c r="G40" s="113">
        <v>0.69881326539183641</v>
      </c>
      <c r="H40" s="111">
        <v>338777338.74788594</v>
      </c>
      <c r="I40" s="113">
        <v>0.69881326539183641</v>
      </c>
      <c r="J40" s="111">
        <v>14115722.447828582</v>
      </c>
      <c r="K40" s="114" t="e">
        <v>#DIV/0!</v>
      </c>
      <c r="L40" s="115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9" t="s">
        <v>42</v>
      </c>
      <c r="B41" s="120"/>
      <c r="C41" s="121">
        <v>1314063949.6125104</v>
      </c>
      <c r="D41" s="121">
        <v>1224686603.1826057</v>
      </c>
      <c r="E41" s="122">
        <v>1171749849.2882519</v>
      </c>
      <c r="F41" s="121">
        <v>52936753.894353867</v>
      </c>
      <c r="G41" s="123">
        <v>0.93198402067398611</v>
      </c>
      <c r="H41" s="121">
        <v>1224686603.1826057</v>
      </c>
      <c r="I41" s="123">
        <v>0.93198402067398611</v>
      </c>
      <c r="J41" s="121">
        <v>51028608.465941906</v>
      </c>
      <c r="K41" s="121" t="e">
        <v>#DIV/0!</v>
      </c>
      <c r="L41" s="124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5" t="s">
        <v>30</v>
      </c>
      <c r="C42" s="125" t="s">
        <v>31</v>
      </c>
      <c r="D42" s="125" t="s">
        <v>32</v>
      </c>
      <c r="E42" s="125" t="s">
        <v>32</v>
      </c>
      <c r="F42" s="125" t="s">
        <v>33</v>
      </c>
      <c r="G42" s="126" t="s">
        <v>41</v>
      </c>
      <c r="H42" s="127" t="s">
        <v>45</v>
      </c>
      <c r="I42" s="126" t="s">
        <v>46</v>
      </c>
      <c r="J42" s="125" t="s">
        <v>35</v>
      </c>
      <c r="K42" s="125" t="s">
        <v>34</v>
      </c>
      <c r="L42" s="125" t="s">
        <v>53</v>
      </c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101">
        <v>40000000</v>
      </c>
      <c r="D43" s="90">
        <v>25646776.862735603</v>
      </c>
      <c r="E43" s="90">
        <v>22657877.380181327</v>
      </c>
      <c r="F43" s="90">
        <v>2988899.4825542755</v>
      </c>
      <c r="G43" s="91">
        <v>0.64116942156839007</v>
      </c>
      <c r="H43" s="90">
        <v>25646776.862735607</v>
      </c>
      <c r="I43" s="91">
        <v>0.64116942156839019</v>
      </c>
      <c r="J43" s="90">
        <v>1068615.7026139835</v>
      </c>
      <c r="K43" s="90" t="e">
        <v>#DIV/0!</v>
      </c>
      <c r="L43" s="90">
        <v>0</v>
      </c>
    </row>
    <row r="44" spans="1:22" ht="15.75" x14ac:dyDescent="0.25">
      <c r="B44" s="19" t="s">
        <v>146</v>
      </c>
      <c r="C44" s="101">
        <v>30000000</v>
      </c>
      <c r="D44" s="90">
        <v>17009020.678149343</v>
      </c>
      <c r="E44" s="90">
        <v>16555407.699089281</v>
      </c>
      <c r="F44" s="90">
        <v>453612.97906006128</v>
      </c>
      <c r="G44" s="91">
        <v>0.56696735593831138</v>
      </c>
      <c r="H44" s="90">
        <v>17009020.678149343</v>
      </c>
      <c r="I44" s="91">
        <v>0.56696735593831138</v>
      </c>
      <c r="J44" s="90">
        <v>708709.19492288923</v>
      </c>
      <c r="K44" s="90" t="e">
        <v>#DIV/0!</v>
      </c>
      <c r="L44" s="90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2026-06-24T17:49:09Z</dcterms:modified>
</cp:coreProperties>
</file>