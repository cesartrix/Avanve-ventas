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E5A59F95-8AA7-4A64-BFA6-E56088FA454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Historico Enero" sheetId="17" r:id="rId7"/>
    <sheet name="Historico Febrero" sheetId="13" r:id="rId8"/>
    <sheet name="Historico Marzo" sheetId="14" r:id="rId9"/>
    <sheet name="Historico Abril" sheetId="15" r:id="rId10"/>
    <sheet name="Historico Mayo" sheetId="16" r:id="rId11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<sst xmlns="http://schemas.openxmlformats.org/spreadsheetml/2006/main" count="1447" uniqueCount="241">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</sst>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46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5" t="s">
        <v>76</v>
      </c>
      <c r="B1" s="145" t="s">
        <v>147</v>
      </c>
      <c r="C1" s="145" t="s">
        <v>148</v>
      </c>
      <c r="D1" s="145" t="s">
        <v>149</v>
      </c>
      <c r="E1" s="145" t="s">
        <v>150</v>
      </c>
      <c r="F1" s="145" t="s">
        <v>151</v>
      </c>
      <c r="G1" s="145" t="s">
        <v>152</v>
      </c>
      <c r="H1" s="145" t="s">
        <v>153</v>
      </c>
    </row>
    <row r="2" spans="1:8" x14ac:dyDescent="0.25">
      <c r="A2" s="144" t="s">
        <v>154</v>
      </c>
      <c r="B2" s="144">
        <v>0</v>
      </c>
      <c r="C2" s="144">
        <v>68276.738087784397</v>
      </c>
      <c r="D2" s="144">
        <v>321358.14593868691</v>
      </c>
      <c r="E2" s="144">
        <v>1121447997.1686094</v>
      </c>
      <c r="F2" s="144">
        <v>0</v>
      </c>
      <c r="G2" s="144">
        <v>509811.9832911811</v>
      </c>
      <c r="H2" s="144">
        <v>509812.32</v>
      </c>
    </row>
    <row r="3" spans="1:8" x14ac:dyDescent="0.25">
      <c r="A3" s="144" t="s">
        <v>81</v>
      </c>
      <c r="B3" s="144">
        <v>1</v>
      </c>
      <c r="C3" s="144">
        <v>737.93974575719994</v>
      </c>
      <c r="D3" s="144">
        <v>1307.6643543242001</v>
      </c>
      <c r="E3" s="144">
        <v>16993732.776372664</v>
      </c>
      <c r="F3" s="144">
        <v>0</v>
      </c>
      <c r="G3" s="144">
        <v>509811.9832911811</v>
      </c>
      <c r="H3" s="144">
        <v>509812.32</v>
      </c>
    </row>
    <row r="4" spans="1:8" x14ac:dyDescent="0.25">
      <c r="A4" s="144" t="s">
        <v>82</v>
      </c>
      <c r="B4" s="144">
        <v>1</v>
      </c>
      <c r="C4" s="144">
        <v>515.69931944159998</v>
      </c>
      <c r="D4" s="144">
        <v>1065.6102202427001</v>
      </c>
      <c r="E4" s="144">
        <v>14327327.187412227</v>
      </c>
      <c r="F4" s="144">
        <v>0</v>
      </c>
      <c r="G4" s="144">
        <v>0</v>
      </c>
      <c r="H4" s="144">
        <v>0</v>
      </c>
    </row>
    <row r="5" spans="1:8" x14ac:dyDescent="0.25">
      <c r="A5" s="144" t="s">
        <v>83</v>
      </c>
      <c r="B5" s="144">
        <v>1</v>
      </c>
      <c r="C5" s="144">
        <v>664.58365079179998</v>
      </c>
      <c r="D5" s="144">
        <v>2496.8470238034001</v>
      </c>
      <c r="E5" s="144">
        <v>14052477.154894143</v>
      </c>
      <c r="F5" s="144">
        <v>0</v>
      </c>
      <c r="G5" s="144">
        <v>0</v>
      </c>
      <c r="H5" s="144">
        <v>0</v>
      </c>
    </row>
    <row r="6" spans="1:8" x14ac:dyDescent="0.25">
      <c r="A6" s="144" t="s">
        <v>84</v>
      </c>
      <c r="B6" s="144">
        <v>1</v>
      </c>
      <c r="C6" s="144">
        <v>1238.2147619041</v>
      </c>
      <c r="D6" s="144">
        <v>3317.4619047870001</v>
      </c>
      <c r="E6" s="144">
        <v>25970288.468226545</v>
      </c>
      <c r="F6" s="144">
        <v>0</v>
      </c>
      <c r="G6" s="144">
        <v>0</v>
      </c>
      <c r="H6" s="144">
        <v>0</v>
      </c>
    </row>
    <row r="7" spans="1:8" x14ac:dyDescent="0.25">
      <c r="A7" s="144" t="s">
        <v>85</v>
      </c>
      <c r="B7" s="144">
        <v>1</v>
      </c>
      <c r="C7" s="144">
        <v>1342.8137380931</v>
      </c>
      <c r="D7" s="144">
        <v>5033.2092738187002</v>
      </c>
      <c r="E7" s="144">
        <v>26589590.121895447</v>
      </c>
      <c r="F7" s="144">
        <v>0</v>
      </c>
      <c r="G7" s="144">
        <v>0</v>
      </c>
      <c r="H7" s="144">
        <v>0</v>
      </c>
    </row>
    <row r="8" spans="1:8" x14ac:dyDescent="0.25">
      <c r="A8" s="144" t="s">
        <v>111</v>
      </c>
      <c r="B8" s="144">
        <v>1</v>
      </c>
      <c r="C8" s="144">
        <v>2500.4697407408999</v>
      </c>
      <c r="D8" s="144">
        <v>4082.9464768558</v>
      </c>
      <c r="E8" s="144">
        <v>34946802.602325797</v>
      </c>
      <c r="F8" s="144">
        <v>0</v>
      </c>
      <c r="G8" s="144">
        <v>0</v>
      </c>
      <c r="H8" s="144">
        <v>0</v>
      </c>
    </row>
    <row r="9" spans="1:8" x14ac:dyDescent="0.25">
      <c r="A9" s="144" t="s">
        <v>86</v>
      </c>
      <c r="B9" s="144">
        <v>1</v>
      </c>
      <c r="C9" s="144">
        <v>841.91531349230002</v>
      </c>
      <c r="D9" s="144">
        <v>3470.4375535843001</v>
      </c>
      <c r="E9" s="144">
        <v>15321159.902998319</v>
      </c>
      <c r="F9" s="144">
        <v>0</v>
      </c>
      <c r="G9" s="144">
        <v>0</v>
      </c>
      <c r="H9" s="144">
        <v>0</v>
      </c>
    </row>
    <row r="10" spans="1:8" x14ac:dyDescent="0.25">
      <c r="A10" s="144" t="s">
        <v>87</v>
      </c>
      <c r="B10" s="144">
        <v>1</v>
      </c>
      <c r="C10" s="144">
        <v>625.8904861103</v>
      </c>
      <c r="D10" s="144">
        <v>1709.4244217477001</v>
      </c>
      <c r="E10" s="144">
        <v>14513510.837046813</v>
      </c>
      <c r="F10" s="144">
        <v>0</v>
      </c>
      <c r="G10" s="144">
        <v>0</v>
      </c>
      <c r="H10" s="144">
        <v>0</v>
      </c>
    </row>
    <row r="11" spans="1:8" x14ac:dyDescent="0.25">
      <c r="A11" s="144" t="s">
        <v>213</v>
      </c>
      <c r="B11" s="144">
        <v>1</v>
      </c>
      <c r="C11" s="144">
        <v>635.81581349049998</v>
      </c>
      <c r="D11" s="144">
        <v>1646.5610238124</v>
      </c>
      <c r="E11" s="144">
        <v>11113936.881548401</v>
      </c>
      <c r="F11" s="144">
        <v>0</v>
      </c>
      <c r="G11" s="144">
        <v>0</v>
      </c>
      <c r="H11" s="144">
        <v>0</v>
      </c>
    </row>
    <row r="12" spans="1:8" x14ac:dyDescent="0.25">
      <c r="A12" s="144" t="s">
        <v>212</v>
      </c>
      <c r="B12" s="144">
        <v>1</v>
      </c>
      <c r="C12" s="144">
        <v>1099.9870277744999</v>
      </c>
      <c r="D12" s="144">
        <v>5286.6178690388997</v>
      </c>
      <c r="E12" s="144">
        <v>18007378.719897293</v>
      </c>
      <c r="F12" s="144">
        <v>0</v>
      </c>
      <c r="G12" s="144">
        <v>0</v>
      </c>
      <c r="H12" s="144">
        <v>0</v>
      </c>
    </row>
    <row r="13" spans="1:8" x14ac:dyDescent="0.25">
      <c r="A13" s="144" t="s">
        <v>90</v>
      </c>
      <c r="B13" s="144">
        <v>1</v>
      </c>
      <c r="C13" s="144">
        <v>1415.2695317437999</v>
      </c>
      <c r="D13" s="144">
        <v>3742.2081666718</v>
      </c>
      <c r="E13" s="144">
        <v>24187267.128650971</v>
      </c>
      <c r="F13" s="144">
        <v>0</v>
      </c>
      <c r="G13" s="144">
        <v>0</v>
      </c>
      <c r="H13" s="144">
        <v>0</v>
      </c>
    </row>
    <row r="14" spans="1:8" x14ac:dyDescent="0.25">
      <c r="A14" s="144" t="s">
        <v>91</v>
      </c>
      <c r="B14" s="144">
        <v>1</v>
      </c>
      <c r="C14" s="144">
        <v>4505.1795634929003</v>
      </c>
      <c r="D14" s="144">
        <v>38535.514999999701</v>
      </c>
      <c r="E14" s="144">
        <v>72751967.97314705</v>
      </c>
      <c r="F14" s="144">
        <v>0</v>
      </c>
      <c r="G14" s="144">
        <v>0</v>
      </c>
      <c r="H14" s="144">
        <v>0</v>
      </c>
    </row>
    <row r="15" spans="1:8" x14ac:dyDescent="0.25">
      <c r="A15" s="144" t="s">
        <v>92</v>
      </c>
      <c r="B15" s="144">
        <v>1</v>
      </c>
      <c r="C15" s="144">
        <v>1173.0946428551999</v>
      </c>
      <c r="D15" s="144">
        <v>4092.8816666578</v>
      </c>
      <c r="E15" s="144">
        <v>20134769.67059283</v>
      </c>
      <c r="F15" s="144">
        <v>0</v>
      </c>
      <c r="G15" s="144">
        <v>0</v>
      </c>
      <c r="H15" s="144">
        <v>0</v>
      </c>
    </row>
    <row r="16" spans="1:8" x14ac:dyDescent="0.25">
      <c r="A16" s="144" t="s">
        <v>93</v>
      </c>
      <c r="B16" s="144">
        <v>1</v>
      </c>
      <c r="C16" s="144">
        <v>611.37717261670002</v>
      </c>
      <c r="D16" s="144">
        <v>3024.1280357320002</v>
      </c>
      <c r="E16" s="144">
        <v>15370590.76602143</v>
      </c>
      <c r="F16" s="144">
        <v>0</v>
      </c>
      <c r="G16" s="144">
        <v>0</v>
      </c>
      <c r="H16" s="144">
        <v>0</v>
      </c>
    </row>
    <row r="17" spans="1:8" x14ac:dyDescent="0.25">
      <c r="A17" s="144" t="s">
        <v>94</v>
      </c>
      <c r="B17" s="144">
        <v>1</v>
      </c>
      <c r="C17" s="144">
        <v>1320.6726428540001</v>
      </c>
      <c r="D17" s="144">
        <v>3697.5608095317998</v>
      </c>
      <c r="E17" s="144">
        <v>26362326.256425001</v>
      </c>
      <c r="F17" s="144">
        <v>0</v>
      </c>
      <c r="G17" s="144">
        <v>0</v>
      </c>
      <c r="H17" s="144">
        <v>0</v>
      </c>
    </row>
    <row r="18" spans="1:8" x14ac:dyDescent="0.25">
      <c r="A18" s="144" t="s">
        <v>95</v>
      </c>
      <c r="B18" s="144">
        <v>1</v>
      </c>
      <c r="C18" s="144">
        <v>1778.7572103143</v>
      </c>
      <c r="D18" s="144">
        <v>7333.6836190399999</v>
      </c>
      <c r="E18" s="144">
        <v>32474587.103903145</v>
      </c>
      <c r="F18" s="144">
        <v>0</v>
      </c>
      <c r="G18" s="144">
        <v>0</v>
      </c>
      <c r="H18" s="144">
        <v>0</v>
      </c>
    </row>
    <row r="19" spans="1:8" x14ac:dyDescent="0.25">
      <c r="A19" s="144" t="s">
        <v>96</v>
      </c>
      <c r="B19" s="144">
        <v>1</v>
      </c>
      <c r="C19" s="144">
        <v>1580.6916653402</v>
      </c>
      <c r="D19" s="144">
        <v>5749.2001666932001</v>
      </c>
      <c r="E19" s="144">
        <v>31500554.620573465</v>
      </c>
      <c r="F19" s="144">
        <v>0</v>
      </c>
      <c r="G19" s="144">
        <v>0</v>
      </c>
      <c r="H19" s="144">
        <v>0</v>
      </c>
    </row>
    <row r="20" spans="1:8" x14ac:dyDescent="0.25">
      <c r="A20" s="144" t="s">
        <v>97</v>
      </c>
      <c r="B20" s="144">
        <v>1</v>
      </c>
      <c r="C20" s="144">
        <v>4447.4912738090998</v>
      </c>
      <c r="D20" s="144">
        <v>21140.335047609002</v>
      </c>
      <c r="E20" s="144">
        <v>70698656.268371478</v>
      </c>
      <c r="F20" s="144">
        <v>0</v>
      </c>
      <c r="G20" s="144">
        <v>0</v>
      </c>
      <c r="H20" s="144">
        <v>0</v>
      </c>
    </row>
    <row r="21" spans="1:8" x14ac:dyDescent="0.25">
      <c r="A21" s="144" t="s">
        <v>98</v>
      </c>
      <c r="B21" s="144">
        <v>1</v>
      </c>
      <c r="C21" s="144">
        <v>773.1450793619</v>
      </c>
      <c r="D21" s="144">
        <v>3156.6508214428</v>
      </c>
      <c r="E21" s="144">
        <v>17562945.746719211</v>
      </c>
      <c r="F21" s="144">
        <v>0</v>
      </c>
      <c r="G21" s="144">
        <v>0</v>
      </c>
      <c r="H21" s="144">
        <v>0</v>
      </c>
    </row>
    <row r="22" spans="1:8" x14ac:dyDescent="0.25">
      <c r="A22" s="144" t="s">
        <v>207</v>
      </c>
      <c r="B22" s="144">
        <v>1</v>
      </c>
      <c r="C22" s="144">
        <v>670.33030952210004</v>
      </c>
      <c r="D22" s="144">
        <v>1941.4454523789</v>
      </c>
      <c r="E22" s="144">
        <v>10097592.903339321</v>
      </c>
      <c r="F22" s="144">
        <v>0</v>
      </c>
      <c r="G22" s="144">
        <v>0</v>
      </c>
      <c r="H22" s="144">
        <v>0</v>
      </c>
    </row>
    <row r="23" spans="1:8" x14ac:dyDescent="0.25">
      <c r="A23" s="144" t="s">
        <v>155</v>
      </c>
      <c r="B23" s="144">
        <v>1</v>
      </c>
      <c r="C23" s="144">
        <v>2938.6993015848998</v>
      </c>
      <c r="D23" s="144">
        <v>19272.9245952333</v>
      </c>
      <c r="E23" s="144">
        <v>59204729.899622478</v>
      </c>
      <c r="F23" s="144">
        <v>0</v>
      </c>
      <c r="G23" s="144">
        <v>0</v>
      </c>
      <c r="H23" s="144">
        <v>0</v>
      </c>
    </row>
    <row r="24" spans="1:8" x14ac:dyDescent="0.25">
      <c r="A24" s="144" t="s">
        <v>220</v>
      </c>
      <c r="B24" s="144">
        <v>1</v>
      </c>
      <c r="C24" s="144">
        <v>3180.4264880953001</v>
      </c>
      <c r="D24" s="144">
        <v>23090.136053568302</v>
      </c>
      <c r="E24" s="144">
        <v>53735273.394417092</v>
      </c>
      <c r="F24" s="144">
        <v>0</v>
      </c>
      <c r="G24" s="144">
        <v>0</v>
      </c>
      <c r="H24" s="144">
        <v>0</v>
      </c>
    </row>
    <row r="25" spans="1:8" x14ac:dyDescent="0.25">
      <c r="A25" s="144" t="s">
        <v>99</v>
      </c>
      <c r="B25" s="144">
        <v>1</v>
      </c>
      <c r="C25" s="144">
        <v>964.44010317089999</v>
      </c>
      <c r="D25" s="144">
        <v>4353.0220833473004</v>
      </c>
      <c r="E25" s="144">
        <v>17811529.234015737</v>
      </c>
      <c r="F25" s="144">
        <v>0</v>
      </c>
      <c r="G25" s="144">
        <v>0</v>
      </c>
      <c r="H25" s="144">
        <v>0</v>
      </c>
    </row>
    <row r="26" spans="1:8" x14ac:dyDescent="0.25">
      <c r="A26" s="144" t="s">
        <v>100</v>
      </c>
      <c r="B26" s="144">
        <v>1</v>
      </c>
      <c r="C26" s="144">
        <v>897.69731745829995</v>
      </c>
      <c r="D26" s="144">
        <v>1887.0839404844</v>
      </c>
      <c r="E26" s="144">
        <v>12580118.437786307</v>
      </c>
      <c r="F26" s="144">
        <v>0</v>
      </c>
      <c r="G26" s="144">
        <v>0</v>
      </c>
      <c r="H26" s="144">
        <v>0</v>
      </c>
    </row>
    <row r="27" spans="1:8" x14ac:dyDescent="0.25">
      <c r="A27" s="144" t="s">
        <v>221</v>
      </c>
      <c r="B27" s="144">
        <v>1</v>
      </c>
      <c r="C27" s="144">
        <v>8561.4190476190997</v>
      </c>
      <c r="D27" s="144">
        <v>18523.5899999998</v>
      </c>
      <c r="E27" s="144">
        <v>84838549.724616528</v>
      </c>
      <c r="F27" s="144">
        <v>0</v>
      </c>
      <c r="G27" s="144">
        <v>0</v>
      </c>
      <c r="H27" s="144">
        <v>0</v>
      </c>
    </row>
    <row r="28" spans="1:8" x14ac:dyDescent="0.25">
      <c r="A28" s="144" t="s">
        <v>233</v>
      </c>
      <c r="B28" s="144">
        <v>1</v>
      </c>
      <c r="C28" s="144">
        <v>1155.0259093878999</v>
      </c>
      <c r="D28" s="144">
        <v>4107.9417782863002</v>
      </c>
      <c r="E28" s="144">
        <v>21235121.316008732</v>
      </c>
      <c r="F28" s="144">
        <v>0</v>
      </c>
      <c r="G28" s="144">
        <v>0</v>
      </c>
      <c r="H28" s="144">
        <v>0</v>
      </c>
    </row>
    <row r="29" spans="1:8" x14ac:dyDescent="0.25">
      <c r="A29" s="144" t="s">
        <v>214</v>
      </c>
      <c r="B29" s="144">
        <v>1</v>
      </c>
      <c r="C29" s="144">
        <v>3932.5176984127002</v>
      </c>
      <c r="D29" s="144">
        <v>8720.8483333382992</v>
      </c>
      <c r="E29" s="144">
        <v>48175945.040107362</v>
      </c>
      <c r="F29" s="144">
        <v>0</v>
      </c>
      <c r="G29" s="144">
        <v>0</v>
      </c>
      <c r="H29" s="144">
        <v>0</v>
      </c>
    </row>
    <row r="30" spans="1:8" x14ac:dyDescent="0.25">
      <c r="A30" s="144" t="s">
        <v>139</v>
      </c>
      <c r="B30" s="144">
        <v>1</v>
      </c>
      <c r="C30" s="144">
        <v>457.05591269770002</v>
      </c>
      <c r="D30" s="144">
        <v>1736.7458333356001</v>
      </c>
      <c r="E30" s="144">
        <v>8965967.9978734702</v>
      </c>
      <c r="F30" s="144">
        <v>0</v>
      </c>
      <c r="G30" s="144">
        <v>0</v>
      </c>
      <c r="H30" s="144">
        <v>0</v>
      </c>
    </row>
    <row r="31" spans="1:8" x14ac:dyDescent="0.25">
      <c r="A31" s="144" t="s">
        <v>216</v>
      </c>
      <c r="B31" s="144">
        <v>1</v>
      </c>
      <c r="C31" s="144">
        <v>571.32470237799998</v>
      </c>
      <c r="D31" s="144">
        <v>1530.1799999957</v>
      </c>
      <c r="E31" s="144">
        <v>9619009.6277426537</v>
      </c>
      <c r="F31" s="144">
        <v>0</v>
      </c>
      <c r="G31" s="144">
        <v>0</v>
      </c>
      <c r="H31" s="144">
        <v>0</v>
      </c>
    </row>
    <row r="32" spans="1:8" x14ac:dyDescent="0.25">
      <c r="A32" s="144" t="s">
        <v>104</v>
      </c>
      <c r="B32" s="144">
        <v>1</v>
      </c>
      <c r="C32" s="144">
        <v>331.37182539650001</v>
      </c>
      <c r="D32" s="144">
        <v>862.73249999760003</v>
      </c>
      <c r="E32" s="144">
        <v>5395818.7702505961</v>
      </c>
      <c r="F32" s="144">
        <v>0</v>
      </c>
      <c r="G32" s="144">
        <v>0</v>
      </c>
      <c r="H32" s="144">
        <v>0</v>
      </c>
    </row>
    <row r="33" spans="1:8" x14ac:dyDescent="0.25">
      <c r="A33" s="144" t="s">
        <v>215</v>
      </c>
      <c r="B33" s="144">
        <v>1</v>
      </c>
      <c r="C33" s="144">
        <v>836.23811507829998</v>
      </c>
      <c r="D33" s="144">
        <v>2849.8850000134998</v>
      </c>
      <c r="E33" s="144">
        <v>13744781.310032215</v>
      </c>
      <c r="F33" s="144">
        <v>0</v>
      </c>
      <c r="G33" s="144">
        <v>0</v>
      </c>
      <c r="H33" s="144">
        <v>0</v>
      </c>
    </row>
    <row r="34" spans="1:8" x14ac:dyDescent="0.25">
      <c r="A34" s="144" t="s">
        <v>231</v>
      </c>
      <c r="B34" s="144">
        <v>1</v>
      </c>
      <c r="C34" s="144">
        <v>111.9255427171</v>
      </c>
      <c r="D34" s="144">
        <v>1418.4741666653999</v>
      </c>
      <c r="E34" s="144">
        <v>3307921.7414471125</v>
      </c>
      <c r="F34" s="144">
        <v>0</v>
      </c>
      <c r="G34" s="144">
        <v>0</v>
      </c>
      <c r="H34" s="144">
        <v>0</v>
      </c>
    </row>
    <row r="35" spans="1:8" x14ac:dyDescent="0.25">
      <c r="A35" s="144" t="s">
        <v>206</v>
      </c>
      <c r="B35" s="144">
        <v>1</v>
      </c>
      <c r="C35" s="144">
        <v>1669.1194444444</v>
      </c>
      <c r="D35" s="144">
        <v>10381.395333333199</v>
      </c>
      <c r="E35" s="144">
        <v>21238720.640904162</v>
      </c>
      <c r="F35" s="144">
        <v>0</v>
      </c>
      <c r="G35" s="144">
        <v>0</v>
      </c>
      <c r="H35" s="144">
        <v>0</v>
      </c>
    </row>
    <row r="36" spans="1:8" x14ac:dyDescent="0.25">
      <c r="A36" s="144" t="s">
        <v>162</v>
      </c>
      <c r="B36" s="144">
        <v>1</v>
      </c>
      <c r="C36" s="144">
        <v>1027.0514841250999</v>
      </c>
      <c r="D36" s="144">
        <v>3559.7487857348001</v>
      </c>
      <c r="E36" s="144">
        <v>18444679.141901817</v>
      </c>
      <c r="F36" s="144">
        <v>0</v>
      </c>
      <c r="G36" s="144">
        <v>0</v>
      </c>
      <c r="H36" s="144">
        <v>0</v>
      </c>
    </row>
    <row r="37" spans="1:8" x14ac:dyDescent="0.25">
      <c r="A37" s="144" t="s">
        <v>107</v>
      </c>
      <c r="B37" s="144">
        <v>1</v>
      </c>
      <c r="C37" s="144">
        <v>1466.7564087303999</v>
      </c>
      <c r="D37" s="144">
        <v>6167.8120714330998</v>
      </c>
      <c r="E37" s="144">
        <v>23710427.563167904</v>
      </c>
      <c r="F37" s="144">
        <v>0</v>
      </c>
      <c r="G37" s="144">
        <v>0</v>
      </c>
      <c r="H37" s="144">
        <v>0</v>
      </c>
    </row>
    <row r="38" spans="1:8" x14ac:dyDescent="0.25">
      <c r="A38" s="144" t="s">
        <v>112</v>
      </c>
      <c r="B38" s="144">
        <v>1</v>
      </c>
      <c r="C38" s="144">
        <v>1175.3671717167999</v>
      </c>
      <c r="D38" s="144">
        <v>14217.5999999956</v>
      </c>
      <c r="E38" s="144">
        <v>27589529.499061346</v>
      </c>
      <c r="F38" s="144">
        <v>0</v>
      </c>
      <c r="G38" s="144">
        <v>0</v>
      </c>
      <c r="H38" s="144">
        <v>0</v>
      </c>
    </row>
    <row r="39" spans="1:8" x14ac:dyDescent="0.25">
      <c r="A39" s="144" t="s">
        <v>108</v>
      </c>
      <c r="B39" s="144">
        <v>1</v>
      </c>
      <c r="C39" s="144">
        <v>1512.6111111109001</v>
      </c>
      <c r="D39" s="144">
        <v>18587.869999996801</v>
      </c>
      <c r="E39" s="144">
        <v>34000537.548853599</v>
      </c>
      <c r="F39" s="144">
        <v>0</v>
      </c>
      <c r="G39" s="144">
        <v>0</v>
      </c>
      <c r="H39" s="144">
        <v>0</v>
      </c>
    </row>
    <row r="40" spans="1:8" x14ac:dyDescent="0.25">
      <c r="A40" s="144" t="s">
        <v>234</v>
      </c>
      <c r="B40" s="144">
        <v>1</v>
      </c>
      <c r="C40" s="144">
        <v>1886.4262566130999</v>
      </c>
      <c r="D40" s="144">
        <v>10768.1886177658</v>
      </c>
      <c r="E40" s="144">
        <v>26870463.672417026</v>
      </c>
      <c r="F40" s="144">
        <v>0</v>
      </c>
      <c r="G40" s="144">
        <v>0</v>
      </c>
      <c r="H40" s="144">
        <v>0</v>
      </c>
    </row>
    <row r="41" spans="1:8" x14ac:dyDescent="0.25">
      <c r="A41" s="144" t="s">
        <v>140</v>
      </c>
      <c r="B41" s="144">
        <v>1</v>
      </c>
      <c r="C41" s="144">
        <v>3290.8838492062</v>
      </c>
      <c r="D41" s="144">
        <v>15680.558607147699</v>
      </c>
      <c r="E41" s="144">
        <v>37438041.877962932</v>
      </c>
      <c r="F41" s="144">
        <v>0</v>
      </c>
      <c r="G41" s="144">
        <v>0</v>
      </c>
      <c r="H41" s="144">
        <v>0</v>
      </c>
    </row>
    <row r="42" spans="1:8" x14ac:dyDescent="0.25">
      <c r="A42" s="144" t="s">
        <v>217</v>
      </c>
      <c r="B42" s="144">
        <v>1</v>
      </c>
      <c r="C42" s="144">
        <v>428.85277777789997</v>
      </c>
      <c r="D42" s="144">
        <v>5792.7100000016999</v>
      </c>
      <c r="E42" s="144">
        <v>9617956.635158509</v>
      </c>
      <c r="F42" s="144">
        <v>0</v>
      </c>
      <c r="G42" s="144">
        <v>0</v>
      </c>
      <c r="H42" s="144">
        <v>0</v>
      </c>
    </row>
    <row r="43" spans="1:8" x14ac:dyDescent="0.25">
      <c r="A43" s="144" t="s">
        <v>145</v>
      </c>
      <c r="B43" s="144">
        <v>1</v>
      </c>
      <c r="C43" s="144">
        <v>896.36314484059994</v>
      </c>
      <c r="D43" s="144">
        <v>6775.8078419561998</v>
      </c>
      <c r="E43" s="144">
        <v>26219522.389394078</v>
      </c>
      <c r="F43" s="144">
        <v>0</v>
      </c>
      <c r="G43" s="144">
        <v>0</v>
      </c>
      <c r="H43" s="144">
        <v>0</v>
      </c>
    </row>
    <row r="44" spans="1:8" x14ac:dyDescent="0.25">
      <c r="A44" s="144" t="s">
        <v>146</v>
      </c>
      <c r="B44" s="144">
        <v>1</v>
      </c>
      <c r="C44" s="144">
        <v>1403.470337302</v>
      </c>
      <c r="D44" s="144">
        <v>13736.847773805201</v>
      </c>
      <c r="E44" s="144">
        <v>21062966.055391137</v>
      </c>
      <c r="F44" s="144">
        <v>0</v>
      </c>
      <c r="G44" s="144">
        <v>0</v>
      </c>
      <c r="H44" s="144">
        <v>0</v>
      </c>
    </row>
    <row r="45" spans="1:8" x14ac:dyDescent="0.25">
      <c r="A45" s="144" t="s">
        <v>156</v>
      </c>
      <c r="B45" s="144">
        <v>1</v>
      </c>
      <c r="C45" s="144">
        <v>577.37644841379995</v>
      </c>
      <c r="D45" s="144">
        <v>5419.5337154788003</v>
      </c>
      <c r="E45" s="144">
        <v>12836436.204139037</v>
      </c>
      <c r="F45" s="144">
        <v>0</v>
      </c>
      <c r="G45" s="144">
        <v>0</v>
      </c>
      <c r="H45" s="144">
        <v>0</v>
      </c>
    </row>
    <row r="46" spans="1:8" x14ac:dyDescent="0.25">
      <c r="A46" s="144" t="s">
        <v>232</v>
      </c>
      <c r="B46" s="144">
        <v>1</v>
      </c>
      <c r="C46" s="144">
        <v>524.97900000000004</v>
      </c>
      <c r="D46" s="144">
        <v>86.120000000399997</v>
      </c>
      <c r="E46" s="144">
        <v>10826486.355976092</v>
      </c>
      <c r="F46" s="144">
        <v>0</v>
      </c>
      <c r="G46" s="144">
        <v>0</v>
      </c>
      <c r="H46" s="14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F2" sqref="F2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35" t="s">
        <v>209</v>
      </c>
      <c r="B2" s="57" t="s">
        <v>95</v>
      </c>
      <c r="C2" s="58">
        <v>32279076.638250753</v>
      </c>
      <c r="D2" s="59">
        <f>IFERROR(+VLOOKUP(B2,COMISIONES!A:E,5,FALSE),"0")*1</f>
        <v>32474587.103903145</v>
      </c>
      <c r="E2" s="59">
        <v>29968653.16345267</v>
      </c>
      <c r="F2" s="59">
        <f t="shared" ref="F2:F9" si="0">+D2-E2</f>
        <v>2505933.9404504746</v>
      </c>
      <c r="G2" s="60">
        <f t="shared" ref="G2:G41" si="1">+D2/C2</f>
        <v>1.0060568791308209</v>
      </c>
      <c r="H2" s="59">
        <f>+D2/$N$3*$N$4</f>
        <v>48711880.655854717</v>
      </c>
      <c r="I2" s="60">
        <f t="shared" ref="I2:I41" si="2">+H2/C2</f>
        <v>1.5090853186962314</v>
      </c>
      <c r="J2" s="59">
        <f>+D2/$N$3</f>
        <v>2029661.6939939465</v>
      </c>
      <c r="K2" s="59">
        <f t="shared" ref="K2:K41" si="3">+(C2-D2)/$N$2</f>
        <v>-24438.808206548914</v>
      </c>
      <c r="L2" s="61" cm="1">
        <f t="array" ref="L2">+_xlfn.IFS(I2&gt;114%,H2*0.02,I2&gt;109%,H2*0.015,I2&gt;104%,H2*0.0125,I2&gt;99%,H2*0.01,I2&lt;99%,H2*0)</f>
        <v>974237.61311709438</v>
      </c>
      <c r="M2" s="53" t="s">
        <v>36</v>
      </c>
      <c r="N2">
        <v>8</v>
      </c>
    </row>
    <row r="3" spans="1:14" ht="16.5" thickBot="1" x14ac:dyDescent="0.3">
      <c r="A3" s="136"/>
      <c r="B3" s="36" t="s">
        <v>94</v>
      </c>
      <c r="C3" s="62">
        <v>30982728.178883255</v>
      </c>
      <c r="D3" s="4">
        <f>IFERROR(+VLOOKUP(B3,COMISIONES!A:E,5,FALSE),"0")*1</f>
        <v>26362326.256425001</v>
      </c>
      <c r="E3" s="4">
        <v>24493662.947542485</v>
      </c>
      <c r="F3" s="4">
        <f t="shared" si="0"/>
        <v>1868663.3088825159</v>
      </c>
      <c r="G3" s="5">
        <f t="shared" si="1"/>
        <v>0.85087168903326726</v>
      </c>
      <c r="H3" s="4">
        <f t="shared" ref="H3:H41" si="4">+D3/$N$3*$N$4</f>
        <v>39543489.384637505</v>
      </c>
      <c r="I3" s="5">
        <f t="shared" si="2"/>
        <v>1.276307533549901</v>
      </c>
      <c r="J3" s="4">
        <f t="shared" ref="J3:J41" si="5">+D3/$N$3</f>
        <v>1647645.3910265625</v>
      </c>
      <c r="K3" s="4">
        <f t="shared" si="3"/>
        <v>577550.24030728173</v>
      </c>
      <c r="L3" s="63" cm="1">
        <f t="array" ref="L3">+_xlfn.IFS(I3&gt;114%,H3*0.02,I3&gt;109%,H3*0.015,I3&gt;104%,H3*0.0125,I3&gt;99%,H3*0.01,I3&lt;99%,H3*0)</f>
        <v>790869.78769275011</v>
      </c>
      <c r="M3" s="53" t="s">
        <v>40</v>
      </c>
      <c r="N3">
        <f>N4-N2</f>
        <v>16</v>
      </c>
    </row>
    <row r="4" spans="1:14" ht="16.5" thickBot="1" x14ac:dyDescent="0.3">
      <c r="A4" s="136"/>
      <c r="B4" s="36" t="s">
        <v>92</v>
      </c>
      <c r="C4" s="62">
        <v>28390031.260148253</v>
      </c>
      <c r="D4" s="4">
        <f>IFERROR(+VLOOKUP(B4,COMISIONES!A:E,5,FALSE),"0")*1</f>
        <v>20134769.67059283</v>
      </c>
      <c r="E4" s="4">
        <v>18418509.231907103</v>
      </c>
      <c r="F4" s="4">
        <f t="shared" si="0"/>
        <v>1716260.4386857264</v>
      </c>
      <c r="G4" s="5">
        <f t="shared" si="1"/>
        <v>0.70921970765338582</v>
      </c>
      <c r="H4" s="4">
        <f t="shared" si="4"/>
        <v>30202154.505889244</v>
      </c>
      <c r="I4" s="5">
        <f t="shared" si="2"/>
        <v>1.0638295614800788</v>
      </c>
      <c r="J4" s="4">
        <f t="shared" si="5"/>
        <v>1258423.1044120518</v>
      </c>
      <c r="K4" s="4">
        <f t="shared" si="3"/>
        <v>1031907.698694428</v>
      </c>
      <c r="L4" s="63" cm="1">
        <f t="array" ref="L4">+_xlfn.IFS(I4&gt;114%,H4*0.02,I4&gt;109%,H4*0.015,I4&gt;104%,H4*0.0125,I4&gt;99%,H4*0.01,I4&lt;99%,H4*0)</f>
        <v>377526.9313236156</v>
      </c>
      <c r="M4" s="53" t="s">
        <v>47</v>
      </c>
      <c r="N4">
        <v>24</v>
      </c>
    </row>
    <row r="5" spans="1:14" ht="15.75" x14ac:dyDescent="0.25">
      <c r="A5" s="136"/>
      <c r="B5" s="36" t="s">
        <v>90</v>
      </c>
      <c r="C5" s="62">
        <v>28390031.260148253</v>
      </c>
      <c r="D5" s="4">
        <f>IFERROR(+VLOOKUP(B5,COMISIONES!A:E,5,FALSE),"0")*1</f>
        <v>24187267.128650971</v>
      </c>
      <c r="E5" s="4">
        <v>21845760.492676873</v>
      </c>
      <c r="F5" s="4">
        <f t="shared" si="0"/>
        <v>2341506.635974098</v>
      </c>
      <c r="G5" s="5">
        <f t="shared" si="1"/>
        <v>0.85196338485907908</v>
      </c>
      <c r="H5" s="4">
        <f t="shared" si="4"/>
        <v>36280900.69297646</v>
      </c>
      <c r="I5" s="5">
        <f t="shared" si="2"/>
        <v>1.2779450772886187</v>
      </c>
      <c r="J5" s="4">
        <f t="shared" si="5"/>
        <v>1511704.1955406857</v>
      </c>
      <c r="K5" s="4">
        <f t="shared" si="3"/>
        <v>525345.51643716032</v>
      </c>
      <c r="L5" s="63" cm="1">
        <f t="array" ref="L5">+_xlfn.IFS(I5&gt;114%,H5*0.02,I5&gt;109%,H5*0.015,I5&gt;104%,H5*0.0125,I5&gt;99%,H5*0.01,I5&lt;99%,H5*0)</f>
        <v>725618.01385952916</v>
      </c>
    </row>
    <row r="6" spans="1:14" ht="15.75" x14ac:dyDescent="0.25">
      <c r="A6" s="136"/>
      <c r="B6" s="36" t="s">
        <v>212</v>
      </c>
      <c r="C6" s="62">
        <v>23528724.537520126</v>
      </c>
      <c r="D6" s="4">
        <f>IFERROR(+VLOOKUP(B6,COMISIONES!A:E,5,FALSE),"0")*1</f>
        <v>18007378.719897293</v>
      </c>
      <c r="E6" s="4">
        <v>16251081.272036875</v>
      </c>
      <c r="F6" s="4">
        <f t="shared" si="0"/>
        <v>1756297.4478604179</v>
      </c>
      <c r="G6" s="5">
        <f t="shared" si="1"/>
        <v>0.76533594888162304</v>
      </c>
      <c r="H6" s="4">
        <f t="shared" si="4"/>
        <v>27011068.079845939</v>
      </c>
      <c r="I6" s="5">
        <f t="shared" si="2"/>
        <v>1.1480039233224346</v>
      </c>
      <c r="J6" s="4">
        <f t="shared" si="5"/>
        <v>1125461.1699935808</v>
      </c>
      <c r="K6" s="4">
        <f t="shared" si="3"/>
        <v>690168.22720285412</v>
      </c>
      <c r="L6" s="63" cm="1">
        <f t="array" ref="L6">+_xlfn.IFS(I6&gt;114%,H6*0.02,I6&gt;109%,H6*0.015,I6&gt;104%,H6*0.0125,I6&gt;99%,H6*0.01,I6&lt;99%,H6*0)</f>
        <v>540221.36159691878</v>
      </c>
    </row>
    <row r="7" spans="1:14" ht="15.75" x14ac:dyDescent="0.25">
      <c r="A7" s="136"/>
      <c r="B7" s="36" t="s">
        <v>86</v>
      </c>
      <c r="C7" s="62">
        <v>27741857.030464504</v>
      </c>
      <c r="D7" s="4">
        <f>IFERROR(+VLOOKUP(B7,COMISIONES!A:E,5,FALSE),"0")*1</f>
        <v>15321159.902998319</v>
      </c>
      <c r="E7" s="4">
        <v>13652388.720064744</v>
      </c>
      <c r="F7" s="4">
        <f t="shared" ref="F7:F8" si="6">+D7-E7</f>
        <v>1668771.1829335745</v>
      </c>
      <c r="G7" s="5">
        <f t="shared" si="1"/>
        <v>0.55227593041711331</v>
      </c>
      <c r="H7" s="4">
        <f t="shared" si="4"/>
        <v>22981739.854497477</v>
      </c>
      <c r="I7" s="5">
        <f t="shared" si="2"/>
        <v>0.82841389562566992</v>
      </c>
      <c r="J7" s="4">
        <f t="shared" si="5"/>
        <v>957572.49393739493</v>
      </c>
      <c r="K7" s="4">
        <f t="shared" si="3"/>
        <v>1552587.1409332731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36"/>
      <c r="B8" s="36" t="s">
        <v>85</v>
      </c>
      <c r="C8" s="62">
        <v>35831071.416917704</v>
      </c>
      <c r="D8" s="4">
        <f>IFERROR(+VLOOKUP(B8,COMISIONES!A:E,5,FALSE),"0")*1</f>
        <v>26589590.121895447</v>
      </c>
      <c r="E8" s="4">
        <v>24186299.85447064</v>
      </c>
      <c r="F8" s="4">
        <f t="shared" si="6"/>
        <v>2403290.267424807</v>
      </c>
      <c r="G8" s="5">
        <f t="shared" si="1"/>
        <v>0.7420819157905818</v>
      </c>
      <c r="H8" s="4">
        <f t="shared" si="4"/>
        <v>39884385.182843171</v>
      </c>
      <c r="I8" s="5">
        <f t="shared" si="2"/>
        <v>1.1131228736858727</v>
      </c>
      <c r="J8" s="4">
        <f t="shared" si="5"/>
        <v>1661849.3826184655</v>
      </c>
      <c r="K8" s="4">
        <f t="shared" si="3"/>
        <v>1155185.1618777821</v>
      </c>
      <c r="L8" s="63" cm="1">
        <f t="array" ref="L8">+_xlfn.IFS(I8&gt;114%,H8*0.02,I8&gt;109%,H8*0.015,I8&gt;104%,H8*0.0125,I8&gt;99%,H8*0.01,I8&lt;99%,H8*0)</f>
        <v>598265.77774264757</v>
      </c>
    </row>
    <row r="9" spans="1:14" ht="15.75" x14ac:dyDescent="0.25">
      <c r="A9" s="136"/>
      <c r="B9" s="36" t="s">
        <v>84</v>
      </c>
      <c r="C9" s="62">
        <v>35831071.416917704</v>
      </c>
      <c r="D9" s="4">
        <f>IFERROR(+VLOOKUP(B9,COMISIONES!A:E,5,FALSE),"0")*1</f>
        <v>25970288.468226545</v>
      </c>
      <c r="E9" s="4">
        <v>23764625.995299168</v>
      </c>
      <c r="F9" s="4">
        <f t="shared" si="0"/>
        <v>2205662.4729273766</v>
      </c>
      <c r="G9" s="5">
        <f t="shared" si="1"/>
        <v>0.72479798792632888</v>
      </c>
      <c r="H9" s="4">
        <f t="shared" si="4"/>
        <v>38955432.702339813</v>
      </c>
      <c r="I9" s="5">
        <f t="shared" si="2"/>
        <v>1.0871969818894931</v>
      </c>
      <c r="J9" s="4">
        <f t="shared" si="5"/>
        <v>1623143.029264159</v>
      </c>
      <c r="K9" s="4">
        <f t="shared" si="3"/>
        <v>1232597.8685863949</v>
      </c>
      <c r="L9" s="63" cm="1">
        <f t="array" ref="L9">+_xlfn.IFS(I9&gt;114%,H9*0.02,I9&gt;109%,H9*0.015,I9&gt;104%,H9*0.0125,I9&gt;99%,H9*0.01,I9&lt;99%,H9*0)</f>
        <v>486942.90877924766</v>
      </c>
    </row>
    <row r="10" spans="1:14" ht="16.5" thickBot="1" x14ac:dyDescent="0.3">
      <c r="A10" s="137"/>
      <c r="B10" s="3"/>
      <c r="C10" s="64">
        <v>242974591.73925051</v>
      </c>
      <c r="D10" s="64">
        <f>+SUM(D2:D9)</f>
        <v>189047367.37258959</v>
      </c>
      <c r="E10" s="65">
        <v>172580981.67745054</v>
      </c>
      <c r="F10" s="64">
        <f>+SUM(F2:F9)</f>
        <v>16466385.695138991</v>
      </c>
      <c r="G10" s="66">
        <f t="shared" si="1"/>
        <v>0.77805405914815484</v>
      </c>
      <c r="H10" s="64">
        <f t="shared" si="4"/>
        <v>283571051.05888438</v>
      </c>
      <c r="I10" s="66">
        <f t="shared" si="2"/>
        <v>1.1670810887222323</v>
      </c>
      <c r="J10" s="64">
        <f t="shared" si="5"/>
        <v>11815460.460786849</v>
      </c>
      <c r="K10" s="67">
        <f t="shared" si="3"/>
        <v>6740903.0458326153</v>
      </c>
      <c r="L10" s="68"/>
    </row>
    <row r="11" spans="1:14" ht="15.75" x14ac:dyDescent="0.25">
      <c r="A11" s="135" t="s">
        <v>210</v>
      </c>
      <c r="B11" s="57" t="s">
        <v>97</v>
      </c>
      <c r="C11" s="58">
        <v>96971948.480137512</v>
      </c>
      <c r="D11" s="59">
        <f>IFERROR(+VLOOKUP(B11,COMISIONES!A:E,5,FALSE),"0")*1</f>
        <v>70698656.268371478</v>
      </c>
      <c r="E11" s="59">
        <v>60998735.722843982</v>
      </c>
      <c r="F11" s="59">
        <f t="shared" ref="F11:F16" si="7">+D11-E11</f>
        <v>9699920.5455274954</v>
      </c>
      <c r="G11" s="60">
        <f t="shared" si="1"/>
        <v>0.7290629648722845</v>
      </c>
      <c r="H11" s="59">
        <f t="shared" si="4"/>
        <v>106047984.40255722</v>
      </c>
      <c r="I11" s="60">
        <f t="shared" si="2"/>
        <v>1.0935944473084269</v>
      </c>
      <c r="J11" s="59">
        <f t="shared" si="5"/>
        <v>4418666.0167732174</v>
      </c>
      <c r="K11" s="59">
        <f t="shared" si="3"/>
        <v>3284161.5264707543</v>
      </c>
      <c r="L11" s="61" cm="1">
        <f t="array" ref="L11">+_xlfn.IFS(I11&gt;114%,H11*0.0125,I11&gt;109%,H11*0.01,I11&gt;104%,H11*0.0075,I11&gt;99%,H11*0.005,I11&lt;99%,H11*0)</f>
        <v>1060479.8440255723</v>
      </c>
    </row>
    <row r="12" spans="1:14" ht="16.5" thickBot="1" x14ac:dyDescent="0.3">
      <c r="A12" s="136"/>
      <c r="B12" s="36" t="s">
        <v>107</v>
      </c>
      <c r="C12" s="62">
        <v>31630902.408567004</v>
      </c>
      <c r="D12" s="4">
        <f>IFERROR(+VLOOKUP(B12,COMISIONES!A:E,5,FALSE),"0")*1</f>
        <v>23710427.563167904</v>
      </c>
      <c r="E12" s="4">
        <v>18969387.566567279</v>
      </c>
      <c r="F12" s="4">
        <f t="shared" si="7"/>
        <v>4741039.9966006242</v>
      </c>
      <c r="G12" s="5">
        <f t="shared" si="1"/>
        <v>0.74959693709990716</v>
      </c>
      <c r="H12" s="4">
        <f t="shared" si="4"/>
        <v>35565641.344751857</v>
      </c>
      <c r="I12" s="5">
        <f t="shared" si="2"/>
        <v>1.1243954056498608</v>
      </c>
      <c r="J12" s="4">
        <f t="shared" si="5"/>
        <v>1481901.722697994</v>
      </c>
      <c r="K12" s="4">
        <f t="shared" si="3"/>
        <v>990059.35567488754</v>
      </c>
      <c r="L12" s="63" cm="1">
        <f t="array" ref="L12">+_xlfn.IFS(I12&gt;114%,H12*0.02,I12&gt;109%,H12*0.015,I12&gt;104%,H12*0.0125,I12&gt;99%,H12*0.01,I12&lt;99%,H12*0)</f>
        <v>533484.62017127778</v>
      </c>
      <c r="M12" s="27"/>
    </row>
    <row r="13" spans="1:14" ht="16.5" thickBot="1" x14ac:dyDescent="0.3">
      <c r="A13" s="136"/>
      <c r="B13" s="36" t="s">
        <v>91</v>
      </c>
      <c r="C13" s="62">
        <v>128363916.07462499</v>
      </c>
      <c r="D13" s="4">
        <f>IFERROR(+VLOOKUP(B13,COMISIONES!A:E,5,FALSE),"0")*1</f>
        <v>72751967.97314705</v>
      </c>
      <c r="E13" s="4">
        <v>70744381.949405372</v>
      </c>
      <c r="F13" s="4">
        <f t="shared" si="7"/>
        <v>2007586.0237416774</v>
      </c>
      <c r="G13" s="5">
        <f t="shared" si="1"/>
        <v>0.56676338801359361</v>
      </c>
      <c r="H13" s="4">
        <f t="shared" si="4"/>
        <v>109127951.95972058</v>
      </c>
      <c r="I13" s="5">
        <f t="shared" si="2"/>
        <v>0.85014508202039052</v>
      </c>
      <c r="J13" s="4">
        <f t="shared" si="5"/>
        <v>4546997.9983216906</v>
      </c>
      <c r="K13" s="4">
        <f t="shared" si="3"/>
        <v>6951493.512684742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36"/>
      <c r="B14" s="36" t="s">
        <v>112</v>
      </c>
      <c r="C14" s="62">
        <v>42449057.394974999</v>
      </c>
      <c r="D14" s="4">
        <f>IFERROR(+VLOOKUP(B14,COMISIONES!A:E,5,FALSE),"0")*1</f>
        <v>27589529.499061346</v>
      </c>
      <c r="E14" s="4">
        <v>27546925.839061346</v>
      </c>
      <c r="F14" s="4">
        <f t="shared" si="7"/>
        <v>42603.660000000149</v>
      </c>
      <c r="G14" s="5">
        <f t="shared" si="1"/>
        <v>0.64994445559413805</v>
      </c>
      <c r="H14" s="4">
        <f t="shared" si="4"/>
        <v>41384294.248592019</v>
      </c>
      <c r="I14" s="5">
        <f t="shared" si="2"/>
        <v>0.97491668339120707</v>
      </c>
      <c r="J14" s="4">
        <f t="shared" si="5"/>
        <v>1724345.5936913341</v>
      </c>
      <c r="K14" s="4">
        <f t="shared" si="3"/>
        <v>1857440.9869892066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36"/>
      <c r="B15" s="36" t="s">
        <v>108</v>
      </c>
      <c r="C15" s="62">
        <v>42449057.394974999</v>
      </c>
      <c r="D15" s="4">
        <f>IFERROR(+VLOOKUP(B15,COMISIONES!A:E,5,FALSE),"0")*1</f>
        <v>34000537.548853599</v>
      </c>
      <c r="E15" s="4">
        <v>32380644.938175641</v>
      </c>
      <c r="F15" s="4">
        <f t="shared" si="7"/>
        <v>1619892.6106779575</v>
      </c>
      <c r="G15" s="5">
        <f t="shared" si="1"/>
        <v>0.80097273379923128</v>
      </c>
      <c r="H15" s="4">
        <f t="shared" si="4"/>
        <v>51000806.323280394</v>
      </c>
      <c r="I15" s="5">
        <f t="shared" si="2"/>
        <v>1.2014591006988469</v>
      </c>
      <c r="J15" s="4">
        <f t="shared" si="5"/>
        <v>2125033.5968033499</v>
      </c>
      <c r="K15" s="4">
        <f t="shared" si="3"/>
        <v>1056064.9807651751</v>
      </c>
      <c r="L15" s="63" cm="1">
        <f t="array" ref="L15">+_xlfn.IFS(I15&gt;109%,H15*0.015,I15&gt;104%,H15*0.0125,I15&gt;99%,H15*0.01,I15&lt;99%,H15*0)</f>
        <v>765012.09484920593</v>
      </c>
    </row>
    <row r="16" spans="1:14" ht="16.5" thickBot="1" x14ac:dyDescent="0.3">
      <c r="A16" s="137"/>
      <c r="B16" s="3"/>
      <c r="C16" s="64">
        <v>341864881.75327951</v>
      </c>
      <c r="D16" s="64">
        <f>+SUM(D11:D15)</f>
        <v>228751118.85260138</v>
      </c>
      <c r="E16" s="65">
        <v>210640076.01605362</v>
      </c>
      <c r="F16" s="64">
        <f t="shared" si="7"/>
        <v>18111042.836547762</v>
      </c>
      <c r="G16" s="66">
        <f t="shared" si="1"/>
        <v>0.66912728116276299</v>
      </c>
      <c r="H16" s="64">
        <f t="shared" si="4"/>
        <v>343126678.27890205</v>
      </c>
      <c r="I16" s="66">
        <f t="shared" si="2"/>
        <v>1.0036909217441445</v>
      </c>
      <c r="J16" s="64">
        <f t="shared" si="5"/>
        <v>14296944.928287586</v>
      </c>
      <c r="K16" s="67">
        <f t="shared" si="3"/>
        <v>14139220.362584766</v>
      </c>
      <c r="L16" s="68"/>
    </row>
    <row r="17" spans="1:13" ht="15.75" x14ac:dyDescent="0.25">
      <c r="A17" s="138" t="s">
        <v>211</v>
      </c>
      <c r="B17" s="69" t="s">
        <v>82</v>
      </c>
      <c r="C17" s="70">
        <v>29338018.132500004</v>
      </c>
      <c r="D17" s="59">
        <f>IFERROR(+VLOOKUP(B17,COMISIONES!A:E,5,FALSE),"0")*1</f>
        <v>14327327.187412227</v>
      </c>
      <c r="E17" s="59">
        <v>13248468.821860446</v>
      </c>
      <c r="F17" s="59">
        <f t="shared" ref="F17:F40" si="8">+D17-E17</f>
        <v>1078858.3655517809</v>
      </c>
      <c r="G17" s="60">
        <f t="shared" si="1"/>
        <v>0.48835361416389378</v>
      </c>
      <c r="H17" s="59">
        <f t="shared" si="4"/>
        <v>21490990.781118341</v>
      </c>
      <c r="I17" s="60">
        <f t="shared" si="2"/>
        <v>0.73253042124584067</v>
      </c>
      <c r="J17" s="59">
        <f t="shared" si="5"/>
        <v>895457.94921326416</v>
      </c>
      <c r="K17" s="59">
        <f t="shared" si="3"/>
        <v>1876336.3681359722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39"/>
      <c r="B18" s="19" t="s">
        <v>83</v>
      </c>
      <c r="C18" s="71">
        <v>24959505.900000002</v>
      </c>
      <c r="D18" s="4">
        <f>IFERROR(+VLOOKUP(B18,COMISIONES!A:E,5,FALSE),"0")*1</f>
        <v>14052477.154894143</v>
      </c>
      <c r="E18" s="4">
        <v>13082662.976654328</v>
      </c>
      <c r="F18" s="4">
        <f t="shared" si="8"/>
        <v>969814.17823981494</v>
      </c>
      <c r="G18" s="5">
        <f t="shared" si="1"/>
        <v>0.5630110311956994</v>
      </c>
      <c r="H18" s="4">
        <f t="shared" si="4"/>
        <v>21078715.732341215</v>
      </c>
      <c r="I18" s="5">
        <f t="shared" si="2"/>
        <v>0.84451654679354904</v>
      </c>
      <c r="J18" s="4">
        <f t="shared" si="5"/>
        <v>878279.82218088396</v>
      </c>
      <c r="K18" s="4">
        <f t="shared" si="3"/>
        <v>1363378.5931382324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39"/>
      <c r="B19" s="19" t="s">
        <v>93</v>
      </c>
      <c r="C19" s="71">
        <v>25856650.1655</v>
      </c>
      <c r="D19" s="4">
        <f>IFERROR(+VLOOKUP(B19,COMISIONES!A:E,5,FALSE),"0")*1</f>
        <v>15370590.76602143</v>
      </c>
      <c r="E19" s="4">
        <v>14301461.297281625</v>
      </c>
      <c r="F19" s="4">
        <f t="shared" si="8"/>
        <v>1069129.4687398057</v>
      </c>
      <c r="G19" s="5">
        <f t="shared" si="1"/>
        <v>0.59445406375687815</v>
      </c>
      <c r="H19" s="4">
        <f t="shared" si="4"/>
        <v>23055886.149032146</v>
      </c>
      <c r="I19" s="5">
        <f t="shared" si="2"/>
        <v>0.89168109563531717</v>
      </c>
      <c r="J19" s="4">
        <f t="shared" si="5"/>
        <v>960661.92287633941</v>
      </c>
      <c r="K19" s="4">
        <f t="shared" si="3"/>
        <v>1310757.4249348212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39"/>
      <c r="B20" s="19" t="s">
        <v>96</v>
      </c>
      <c r="C20" s="71">
        <v>33548130</v>
      </c>
      <c r="D20" s="4">
        <f>IFERROR(+VLOOKUP(B20,COMISIONES!A:E,5,FALSE),"0")*1</f>
        <v>31500554.620573465</v>
      </c>
      <c r="E20" s="4">
        <v>29585934.571174562</v>
      </c>
      <c r="F20" s="4">
        <f t="shared" si="8"/>
        <v>1914620.0493989028</v>
      </c>
      <c r="G20" s="5">
        <f t="shared" si="1"/>
        <v>0.93896603538180712</v>
      </c>
      <c r="H20" s="4">
        <f t="shared" si="4"/>
        <v>47250831.930860199</v>
      </c>
      <c r="I20" s="5">
        <f t="shared" si="2"/>
        <v>1.4084490530727107</v>
      </c>
      <c r="J20" s="4">
        <f t="shared" si="5"/>
        <v>1968784.6637858415</v>
      </c>
      <c r="K20" s="4">
        <f t="shared" si="3"/>
        <v>255946.9224283169</v>
      </c>
      <c r="L20" s="63" cm="1">
        <f t="array" ref="L20">+_xlfn.IFS(I20&gt;114%,H20*0.02,I20&gt;109%,H20*0.015,I20&gt;104%,H20*0.0125,I20&gt;99%,H20*0.01,I20&lt;99%,H20*0)</f>
        <v>945016.63861720404</v>
      </c>
    </row>
    <row r="21" spans="1:13" ht="15.75" x14ac:dyDescent="0.25">
      <c r="A21" s="139"/>
      <c r="B21" s="19" t="s">
        <v>98</v>
      </c>
      <c r="C21" s="71">
        <v>25458510</v>
      </c>
      <c r="D21" s="4">
        <f>IFERROR(+VLOOKUP(B21,COMISIONES!A:E,5,FALSE),"0")*1</f>
        <v>17562945.746719211</v>
      </c>
      <c r="E21" s="4">
        <v>16040429.295363158</v>
      </c>
      <c r="F21" s="4">
        <f t="shared" ref="F21:F23" si="9">+D21-E21</f>
        <v>1522516.4513560534</v>
      </c>
      <c r="G21" s="5">
        <f t="shared" si="1"/>
        <v>0.68986542208162271</v>
      </c>
      <c r="H21" s="4">
        <f t="shared" si="4"/>
        <v>26344418.620078817</v>
      </c>
      <c r="I21" s="5">
        <f t="shared" si="2"/>
        <v>1.0347981331224341</v>
      </c>
      <c r="J21" s="4">
        <f t="shared" si="5"/>
        <v>1097684.1091699507</v>
      </c>
      <c r="K21" s="4">
        <f t="shared" si="3"/>
        <v>986945.53166009858</v>
      </c>
      <c r="L21" s="63" cm="1">
        <f t="array" ref="L21">+_xlfn.IFS(I21&gt;114%,H21*0.02,I21&gt;109%,H21*0.015,I21&gt;104%,H21*0.0125,I21&gt;99%,H21*0.01,I21&lt;99%,H21*0)</f>
        <v>263444.18620078819</v>
      </c>
    </row>
    <row r="22" spans="1:13" ht="15.75" x14ac:dyDescent="0.25">
      <c r="A22" s="139"/>
      <c r="B22" s="19" t="s">
        <v>233</v>
      </c>
      <c r="C22" s="71">
        <v>31742890.200000003</v>
      </c>
      <c r="D22" s="4">
        <f>IFERROR(+VLOOKUP(B22,COMISIONES!A:E,5,FALSE),"0")*1</f>
        <v>21235121.316008732</v>
      </c>
      <c r="E22" s="4">
        <v>18089049.048035316</v>
      </c>
      <c r="F22" s="4">
        <f t="shared" si="9"/>
        <v>3146072.2679734156</v>
      </c>
      <c r="G22" s="5">
        <f t="shared" si="1"/>
        <v>0.66897252210539826</v>
      </c>
      <c r="H22" s="4">
        <f t="shared" si="4"/>
        <v>31852681.974013098</v>
      </c>
      <c r="I22" s="5">
        <f t="shared" si="2"/>
        <v>1.0034587831580974</v>
      </c>
      <c r="J22" s="4">
        <f t="shared" si="5"/>
        <v>1327195.0822505457</v>
      </c>
      <c r="K22" s="4">
        <f t="shared" si="3"/>
        <v>1313471.1104989089</v>
      </c>
      <c r="L22" s="63" cm="1">
        <f t="array" ref="L22">+_xlfn.IFS(I22&gt;114%,H22*0.02,I22&gt;109%,H22*0.015,I22&gt;104%,H22*0.0125,I22&gt;99%,H22*0.01,I22&lt;99%,H22*0)</f>
        <v>318526.81974013097</v>
      </c>
    </row>
    <row r="23" spans="1:13" ht="15.75" x14ac:dyDescent="0.25">
      <c r="A23" s="139"/>
      <c r="B23" s="19" t="s">
        <v>162</v>
      </c>
      <c r="C23" s="71">
        <v>27435946.230000004</v>
      </c>
      <c r="D23" s="4">
        <f>IFERROR(+VLOOKUP(B23,COMISIONES!A:E,5,FALSE),"0")*1</f>
        <v>18444679.141901817</v>
      </c>
      <c r="E23" s="4">
        <v>17466980.410405338</v>
      </c>
      <c r="F23" s="4">
        <f t="shared" si="9"/>
        <v>977698.73149647936</v>
      </c>
      <c r="G23" s="5">
        <f t="shared" si="1"/>
        <v>0.67228150205854276</v>
      </c>
      <c r="H23" s="4">
        <f t="shared" si="4"/>
        <v>27667018.712852724</v>
      </c>
      <c r="I23" s="5">
        <f t="shared" si="2"/>
        <v>1.0084222530878142</v>
      </c>
      <c r="J23" s="4">
        <f t="shared" si="5"/>
        <v>1152792.4463688636</v>
      </c>
      <c r="K23" s="4">
        <f t="shared" si="3"/>
        <v>1123908.3860122734</v>
      </c>
      <c r="L23" s="63" cm="1">
        <f t="array" ref="L23">+_xlfn.IFS(I23&gt;114%,H23*0.02,I23&gt;109%,H23*0.015,I23&gt;104%,H23*0.0125,I23&gt;99%,H23*0.01,I23&lt;99%,H23*0)</f>
        <v>276670.18712852726</v>
      </c>
    </row>
    <row r="24" spans="1:13" ht="15.75" x14ac:dyDescent="0.25">
      <c r="A24" s="139"/>
      <c r="B24" s="19" t="s">
        <v>234</v>
      </c>
      <c r="C24" s="71">
        <v>33494055</v>
      </c>
      <c r="D24" s="4">
        <f>IFERROR(+VLOOKUP(B24,COMISIONES!A:E,5,FALSE),"0")*1</f>
        <v>26870463.672417026</v>
      </c>
      <c r="E24" s="4">
        <v>23247610.489984244</v>
      </c>
      <c r="F24" s="4">
        <f t="shared" si="8"/>
        <v>3622853.1824327819</v>
      </c>
      <c r="G24" s="5">
        <f t="shared" si="1"/>
        <v>0.80224576189467134</v>
      </c>
      <c r="H24" s="4">
        <f t="shared" si="4"/>
        <v>40305695.508625537</v>
      </c>
      <c r="I24" s="5">
        <f t="shared" si="2"/>
        <v>1.203368642842007</v>
      </c>
      <c r="J24" s="4">
        <f t="shared" si="5"/>
        <v>1679403.9795260641</v>
      </c>
      <c r="K24" s="4">
        <f t="shared" si="3"/>
        <v>827948.91594787175</v>
      </c>
      <c r="L24" s="63" cm="1">
        <f t="array" ref="L24">+_xlfn.IFS(I24&gt;114%,H24*0.02,I24&gt;109%,H24*0.015,I24&gt;104%,H24*0.0125,I24&gt;99%,H24*0.01,I24&lt;99%,H24*0)</f>
        <v>806113.91017251078</v>
      </c>
    </row>
    <row r="25" spans="1:13" ht="15.75" x14ac:dyDescent="0.25">
      <c r="A25" s="139"/>
      <c r="B25" s="19" t="s">
        <v>140</v>
      </c>
      <c r="C25" s="71">
        <v>54064952.86500001</v>
      </c>
      <c r="D25" s="4">
        <f>IFERROR(+VLOOKUP(B25,COMISIONES!A:E,5,FALSE),"0")*1</f>
        <v>37438041.877962932</v>
      </c>
      <c r="E25" s="4">
        <v>35975298.026544489</v>
      </c>
      <c r="F25" s="4">
        <f t="shared" si="8"/>
        <v>1462743.851418443</v>
      </c>
      <c r="G25" s="5">
        <f t="shared" si="1"/>
        <v>0.69246415457802368</v>
      </c>
      <c r="H25" s="4">
        <f t="shared" si="4"/>
        <v>56157062.816944398</v>
      </c>
      <c r="I25" s="5">
        <f t="shared" si="2"/>
        <v>1.0386962318670356</v>
      </c>
      <c r="J25" s="4">
        <f t="shared" si="5"/>
        <v>2339877.6173726832</v>
      </c>
      <c r="K25" s="4">
        <f t="shared" si="3"/>
        <v>2078363.8733796347</v>
      </c>
      <c r="L25" s="63" cm="1">
        <f t="array" ref="L25">+_xlfn.IFS(I25&gt;109%,H25*0.015,I25&gt;104%,H25*0.0125,I25&gt;99%,H25*0.01,I25&lt;99%,H25*0)</f>
        <v>561570.62816944404</v>
      </c>
    </row>
    <row r="26" spans="1:13" ht="16.5" thickBot="1" x14ac:dyDescent="0.3">
      <c r="A26" s="140"/>
      <c r="B26" s="72"/>
      <c r="C26" s="67">
        <v>285898658.49300003</v>
      </c>
      <c r="D26" s="67">
        <f>+SUM(D17:D25)</f>
        <v>196802201.48391098</v>
      </c>
      <c r="E26" s="65">
        <v>181037894.93730351</v>
      </c>
      <c r="F26" s="67">
        <f>+D26-E26</f>
        <v>15764306.546607465</v>
      </c>
      <c r="G26" s="66">
        <f t="shared" si="1"/>
        <v>0.68836350097364829</v>
      </c>
      <c r="H26" s="64">
        <f t="shared" si="4"/>
        <v>295203302.22586644</v>
      </c>
      <c r="I26" s="66">
        <f t="shared" si="2"/>
        <v>1.0325452514604725</v>
      </c>
      <c r="J26" s="64">
        <f t="shared" si="5"/>
        <v>12300137.592744436</v>
      </c>
      <c r="K26" s="67">
        <f t="shared" si="3"/>
        <v>11137057.126136132</v>
      </c>
      <c r="L26" s="68"/>
    </row>
    <row r="27" spans="1:13" ht="15.75" x14ac:dyDescent="0.25">
      <c r="A27" s="135" t="s">
        <v>219</v>
      </c>
      <c r="B27" s="57" t="s">
        <v>214</v>
      </c>
      <c r="C27" s="73">
        <v>81977700</v>
      </c>
      <c r="D27" s="59">
        <f>IFERROR(+VLOOKUP(B27,COMISIONES!A:E,5,FALSE),"0")*1</f>
        <v>48175945.040107362</v>
      </c>
      <c r="E27" s="59">
        <v>48175945.040107362</v>
      </c>
      <c r="F27" s="59">
        <f t="shared" si="8"/>
        <v>0</v>
      </c>
      <c r="G27" s="60">
        <f t="shared" si="1"/>
        <v>0.58767134281770972</v>
      </c>
      <c r="H27" s="59">
        <f t="shared" si="4"/>
        <v>72263917.560161039</v>
      </c>
      <c r="I27" s="60">
        <f t="shared" si="2"/>
        <v>0.88150701422656452</v>
      </c>
      <c r="J27" s="59">
        <f t="shared" si="5"/>
        <v>3010996.5650067101</v>
      </c>
      <c r="K27" s="59">
        <f t="shared" si="3"/>
        <v>4225219.3699865798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36"/>
      <c r="B28" s="36" t="s">
        <v>216</v>
      </c>
      <c r="C28" s="74">
        <v>21000000</v>
      </c>
      <c r="D28" s="4">
        <f>IFERROR(+VLOOKUP(B28,COMISIONES!A:E,5,FALSE),"0")*1</f>
        <v>9619009.6277426537</v>
      </c>
      <c r="E28" s="4">
        <v>8901689.1630995069</v>
      </c>
      <c r="F28" s="4">
        <f t="shared" si="8"/>
        <v>717320.46464314684</v>
      </c>
      <c r="G28" s="5">
        <f t="shared" si="1"/>
        <v>0.45804807751155496</v>
      </c>
      <c r="H28" s="4">
        <f t="shared" si="4"/>
        <v>14428514.44161398</v>
      </c>
      <c r="I28" s="5">
        <f t="shared" si="2"/>
        <v>0.68707211626733233</v>
      </c>
      <c r="J28" s="4">
        <f t="shared" si="5"/>
        <v>601188.10173391586</v>
      </c>
      <c r="K28" s="4">
        <f t="shared" si="3"/>
        <v>1422623.7965321683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36"/>
      <c r="B29" s="36" t="s">
        <v>87</v>
      </c>
      <c r="C29" s="74">
        <v>25739700</v>
      </c>
      <c r="D29" s="4">
        <f>IFERROR(+VLOOKUP(B29,COMISIONES!A:E,5,FALSE),"0")*1</f>
        <v>14513510.837046813</v>
      </c>
      <c r="E29" s="4">
        <v>13740747.005479205</v>
      </c>
      <c r="F29" s="4">
        <f t="shared" si="8"/>
        <v>772763.83156760782</v>
      </c>
      <c r="G29" s="5">
        <f t="shared" si="1"/>
        <v>0.563857031630004</v>
      </c>
      <c r="H29" s="4">
        <f t="shared" si="4"/>
        <v>21770266.255570218</v>
      </c>
      <c r="I29" s="5">
        <f t="shared" si="2"/>
        <v>0.84578554744500589</v>
      </c>
      <c r="J29" s="4">
        <f t="shared" si="5"/>
        <v>907094.42731542583</v>
      </c>
      <c r="K29" s="4">
        <f t="shared" si="3"/>
        <v>1403273.6453691483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36"/>
      <c r="B30" s="36" t="s">
        <v>215</v>
      </c>
      <c r="C30" s="74">
        <v>38233205.112125672</v>
      </c>
      <c r="D30" s="4">
        <f>IFERROR(+VLOOKUP(B30,COMISIONES!A:E,5,FALSE),"0")*1</f>
        <v>13744781.310032215</v>
      </c>
      <c r="E30" s="4">
        <v>12594173.607601481</v>
      </c>
      <c r="F30" s="4">
        <f t="shared" si="8"/>
        <v>1150607.7024307344</v>
      </c>
      <c r="G30" s="5">
        <f t="shared" si="1"/>
        <v>0.35949853719360436</v>
      </c>
      <c r="H30" s="4">
        <f t="shared" si="4"/>
        <v>20617171.965048321</v>
      </c>
      <c r="I30" s="5">
        <f t="shared" si="2"/>
        <v>0.53924780579040643</v>
      </c>
      <c r="J30" s="4">
        <f t="shared" si="5"/>
        <v>859048.83187701344</v>
      </c>
      <c r="K30" s="4">
        <f t="shared" si="3"/>
        <v>3061052.9752616822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36"/>
      <c r="B31" s="36" t="s">
        <v>99</v>
      </c>
      <c r="C31" s="74">
        <v>25415250</v>
      </c>
      <c r="D31" s="4">
        <f>IFERROR(+VLOOKUP(B31,COMISIONES!A:E,5,FALSE),"0")*1</f>
        <v>17811529.234015737</v>
      </c>
      <c r="E31" s="4">
        <v>15146199.127599556</v>
      </c>
      <c r="F31" s="4">
        <f t="shared" si="8"/>
        <v>2665330.1064161807</v>
      </c>
      <c r="G31" s="5">
        <f t="shared" si="1"/>
        <v>0.70082054018810502</v>
      </c>
      <c r="H31" s="4">
        <f t="shared" si="4"/>
        <v>26717293.851023607</v>
      </c>
      <c r="I31" s="5">
        <f t="shared" si="2"/>
        <v>1.0512308102821577</v>
      </c>
      <c r="J31" s="4">
        <f t="shared" si="5"/>
        <v>1113220.5771259835</v>
      </c>
      <c r="K31" s="4">
        <f t="shared" si="3"/>
        <v>950465.09574803291</v>
      </c>
      <c r="L31" s="63" cm="1">
        <f t="array" ref="L31">+_xlfn.IFS(I31&gt;114%,H31*0.02,I31&gt;109%,H31*0.015,I31&gt;104%,H31*0.0125,I31&gt;99%,H31*0.01,I31&lt;99%,H31*0)</f>
        <v>333966.17313779512</v>
      </c>
      <c r="M31" s="27"/>
    </row>
    <row r="32" spans="1:13" ht="15.75" x14ac:dyDescent="0.25">
      <c r="A32" s="136"/>
      <c r="B32" s="36" t="s">
        <v>213</v>
      </c>
      <c r="C32" s="74">
        <v>25200000</v>
      </c>
      <c r="D32" s="4">
        <f>IFERROR(+VLOOKUP(B32,COMISIONES!A:E,5,FALSE),"0")*1</f>
        <v>11113936.881548401</v>
      </c>
      <c r="E32" s="4">
        <v>10197499.507189181</v>
      </c>
      <c r="F32" s="4">
        <f t="shared" si="8"/>
        <v>916437.37435922027</v>
      </c>
      <c r="G32" s="5">
        <f t="shared" si="1"/>
        <v>0.44102924133128574</v>
      </c>
      <c r="H32" s="4">
        <f t="shared" si="4"/>
        <v>16670905.322322601</v>
      </c>
      <c r="I32" s="5">
        <f t="shared" si="2"/>
        <v>0.66154386199692861</v>
      </c>
      <c r="J32" s="4">
        <f t="shared" si="5"/>
        <v>694621.05509677506</v>
      </c>
      <c r="K32" s="4">
        <f t="shared" si="3"/>
        <v>1760757.8898064499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36"/>
      <c r="B33" s="36" t="s">
        <v>100</v>
      </c>
      <c r="C33" s="74">
        <v>26496750</v>
      </c>
      <c r="D33" s="4">
        <f>IFERROR(+VLOOKUP(B33,COMISIONES!A:E,5,FALSE),"0")*1</f>
        <v>12580118.437786307</v>
      </c>
      <c r="E33" s="4">
        <v>12103394.068564892</v>
      </c>
      <c r="F33" s="4">
        <f t="shared" si="8"/>
        <v>476724.36922141537</v>
      </c>
      <c r="G33" s="5">
        <f t="shared" si="1"/>
        <v>0.47477967817888261</v>
      </c>
      <c r="H33" s="4">
        <f t="shared" si="4"/>
        <v>18870177.656679459</v>
      </c>
      <c r="I33" s="5">
        <f t="shared" si="2"/>
        <v>0.71216951726832378</v>
      </c>
      <c r="J33" s="4">
        <f t="shared" si="5"/>
        <v>786257.4023616442</v>
      </c>
      <c r="K33" s="4">
        <f t="shared" si="3"/>
        <v>1739578.9452767116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36"/>
      <c r="B34" s="36" t="s">
        <v>139</v>
      </c>
      <c r="C34" s="74">
        <v>21000000</v>
      </c>
      <c r="D34" s="4">
        <f>IFERROR(+VLOOKUP(B34,COMISIONES!A:E,5,FALSE),"0")*1</f>
        <v>8965967.9978734702</v>
      </c>
      <c r="E34" s="4">
        <v>8306352.3391326573</v>
      </c>
      <c r="F34" s="4">
        <f t="shared" si="8"/>
        <v>659615.65874081291</v>
      </c>
      <c r="G34" s="5">
        <f t="shared" si="1"/>
        <v>0.4269508570415938</v>
      </c>
      <c r="H34" s="4">
        <f t="shared" si="4"/>
        <v>13448951.996810205</v>
      </c>
      <c r="I34" s="5">
        <f t="shared" si="2"/>
        <v>0.64042628556239067</v>
      </c>
      <c r="J34" s="4">
        <f t="shared" si="5"/>
        <v>560372.99986709189</v>
      </c>
      <c r="K34" s="4">
        <f t="shared" si="3"/>
        <v>1504254.0002658162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36"/>
      <c r="B35" s="19" t="s">
        <v>104</v>
      </c>
      <c r="C35" s="74">
        <v>24658200</v>
      </c>
      <c r="D35" s="4">
        <f>IFERROR(+VLOOKUP(B35,COMISIONES!A:E,5,FALSE),"0")*1</f>
        <v>5395818.7702505961</v>
      </c>
      <c r="E35" s="4">
        <v>4507248.1294552842</v>
      </c>
      <c r="F35" s="4">
        <f t="shared" si="8"/>
        <v>888570.64079531189</v>
      </c>
      <c r="G35" s="5">
        <f t="shared" si="1"/>
        <v>0.21882451964257715</v>
      </c>
      <c r="H35" s="4">
        <f t="shared" si="4"/>
        <v>8093728.1553758942</v>
      </c>
      <c r="I35" s="5">
        <f t="shared" si="2"/>
        <v>0.32823677946386576</v>
      </c>
      <c r="J35" s="4">
        <f t="shared" si="5"/>
        <v>337238.67314066226</v>
      </c>
      <c r="K35" s="4">
        <f t="shared" si="3"/>
        <v>2407797.6537186755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36"/>
      <c r="B36" s="36" t="s">
        <v>207</v>
      </c>
      <c r="C36" s="74">
        <v>25235000</v>
      </c>
      <c r="D36" s="4">
        <f>IFERROR(+VLOOKUP(B36,COMISIONES!A:E,5,FALSE),"0")*1</f>
        <v>10097592.903339321</v>
      </c>
      <c r="E36" s="4">
        <v>8945374.4014698043</v>
      </c>
      <c r="F36" s="4">
        <f t="shared" si="8"/>
        <v>1152218.5018695164</v>
      </c>
      <c r="G36" s="5">
        <f t="shared" si="1"/>
        <v>0.40014237778241812</v>
      </c>
      <c r="H36" s="4">
        <f t="shared" si="4"/>
        <v>15146389.355008982</v>
      </c>
      <c r="I36" s="5">
        <f t="shared" si="2"/>
        <v>0.60021356667362724</v>
      </c>
      <c r="J36" s="4">
        <f t="shared" si="5"/>
        <v>631099.55645870755</v>
      </c>
      <c r="K36" s="4">
        <f t="shared" si="3"/>
        <v>1892175.8870825849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36"/>
      <c r="B37" s="36" t="s">
        <v>111</v>
      </c>
      <c r="C37" s="74">
        <v>122011750</v>
      </c>
      <c r="D37" s="4">
        <f>IFERROR(+VLOOKUP(B37,COMISIONES!A:E,5,FALSE),"0")*1</f>
        <v>34946802.602325797</v>
      </c>
      <c r="E37" s="4">
        <v>34946802.602325797</v>
      </c>
      <c r="F37" s="4">
        <f t="shared" si="8"/>
        <v>0</v>
      </c>
      <c r="G37" s="5">
        <f t="shared" si="1"/>
        <v>0.28642161596998483</v>
      </c>
      <c r="H37" s="4">
        <f t="shared" si="4"/>
        <v>52420203.903488696</v>
      </c>
      <c r="I37" s="5">
        <f t="shared" si="2"/>
        <v>0.42963242395497725</v>
      </c>
      <c r="J37" s="4">
        <f t="shared" si="5"/>
        <v>2184175.1626453623</v>
      </c>
      <c r="K37" s="4">
        <f t="shared" si="3"/>
        <v>10883118.424709275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36"/>
      <c r="B38" s="36" t="s">
        <v>217</v>
      </c>
      <c r="C38" s="74">
        <v>35700000</v>
      </c>
      <c r="D38" s="4">
        <f>IFERROR(+VLOOKUP(B38,COMISIONES!A:E,5,FALSE),"0")*1</f>
        <v>9617956.635158509</v>
      </c>
      <c r="E38" s="4">
        <v>6190889.5468710093</v>
      </c>
      <c r="F38" s="4">
        <f t="shared" ref="F38" si="10">+D38-E38</f>
        <v>3427067.0882874997</v>
      </c>
      <c r="G38" s="5">
        <f t="shared" si="1"/>
        <v>0.26941055000444003</v>
      </c>
      <c r="H38" s="4">
        <f t="shared" si="4"/>
        <v>14426934.952737764</v>
      </c>
      <c r="I38" s="5">
        <f t="shared" si="2"/>
        <v>0.40411582500666005</v>
      </c>
      <c r="J38" s="4">
        <f t="shared" si="5"/>
        <v>601122.28969740681</v>
      </c>
      <c r="K38" s="4">
        <f t="shared" si="3"/>
        <v>3260255.4206051864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36"/>
      <c r="B39" s="36" t="s">
        <v>81</v>
      </c>
      <c r="C39" s="74">
        <v>36361427.739</v>
      </c>
      <c r="D39" s="4">
        <f>IFERROR(+VLOOKUP(B39,COMISIONES!A:E,5,FALSE),"0")*1</f>
        <v>16993732.776372664</v>
      </c>
      <c r="E39" s="4">
        <v>15544153.682039484</v>
      </c>
      <c r="F39" s="4">
        <f t="shared" si="8"/>
        <v>1449579.0943331793</v>
      </c>
      <c r="G39" s="5">
        <f t="shared" si="1"/>
        <v>0.46735603723683761</v>
      </c>
      <c r="H39" s="4">
        <f t="shared" si="4"/>
        <v>25490599.164558996</v>
      </c>
      <c r="I39" s="5">
        <f t="shared" si="2"/>
        <v>0.70103405585525636</v>
      </c>
      <c r="J39" s="4">
        <f t="shared" si="5"/>
        <v>1062108.2985232915</v>
      </c>
      <c r="K39" s="4">
        <f t="shared" si="3"/>
        <v>2420961.870328417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37"/>
      <c r="B40" s="3"/>
      <c r="C40" s="75">
        <v>509028982.85112572</v>
      </c>
      <c r="D40" s="67">
        <f>+SUM(D27:D39)</f>
        <v>213576703.05359986</v>
      </c>
      <c r="E40" s="65">
        <v>199300468.22093523</v>
      </c>
      <c r="F40" s="67">
        <f t="shared" si="8"/>
        <v>14276234.832664639</v>
      </c>
      <c r="G40" s="66">
        <f t="shared" si="1"/>
        <v>0.41957670437021866</v>
      </c>
      <c r="H40" s="64">
        <f t="shared" si="4"/>
        <v>320365054.58039981</v>
      </c>
      <c r="I40" s="66">
        <f t="shared" si="2"/>
        <v>0.62936505655532793</v>
      </c>
      <c r="J40" s="64">
        <f t="shared" si="5"/>
        <v>13348543.940849992</v>
      </c>
      <c r="K40" s="67">
        <f t="shared" si="3"/>
        <v>36931534.974690735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828177390.76270187</v>
      </c>
      <c r="E41" s="82">
        <v>763559420.85174298</v>
      </c>
      <c r="F41" s="81">
        <f>+D41-E41</f>
        <v>64617969.910958886</v>
      </c>
      <c r="G41" s="83">
        <f t="shared" si="1"/>
        <v>0.60022982320421836</v>
      </c>
      <c r="H41" s="81">
        <f t="shared" si="4"/>
        <v>1242266086.1440527</v>
      </c>
      <c r="I41" s="83">
        <f t="shared" si="2"/>
        <v>0.9003447348063276</v>
      </c>
      <c r="J41" s="81">
        <f t="shared" si="5"/>
        <v>51761086.922668867</v>
      </c>
      <c r="K41" s="81">
        <f t="shared" si="3"/>
        <v>68948719.541304275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26219522.389394078</v>
      </c>
      <c r="E43" s="4">
        <v>11610713.574258471</v>
      </c>
      <c r="F43" s="4">
        <f t="shared" ref="F43" si="11">+D43-E43</f>
        <v>14608808.815135607</v>
      </c>
      <c r="G43" s="5">
        <f>+D43/C43</f>
        <v>0.65548805973485191</v>
      </c>
      <c r="H43" s="4">
        <f t="shared" ref="H43" si="12">+D43/$N$3*$N$4</f>
        <v>39329283.584091119</v>
      </c>
      <c r="I43" s="5">
        <f>+H43/C43</f>
        <v>0.98323208960227804</v>
      </c>
      <c r="J43" s="4">
        <f t="shared" ref="J43" si="13">+D43/$N$3</f>
        <v>1638720.1493371299</v>
      </c>
      <c r="K43" s="4">
        <f>+(C43-D43)/$N$2</f>
        <v>1722559.7013257402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21062966.055391137</v>
      </c>
      <c r="E44" s="4">
        <v>18973242.700626545</v>
      </c>
      <c r="F44" s="4">
        <f t="shared" ref="F44" si="14">+D44-E44</f>
        <v>2089723.3547645919</v>
      </c>
      <c r="G44" s="5">
        <f>+D44/C44</f>
        <v>0.70209886851303793</v>
      </c>
      <c r="H44" s="4">
        <f t="shared" ref="H44" si="15">+D44/$N$3*$N$4</f>
        <v>31594449.083086707</v>
      </c>
      <c r="I44" s="5">
        <f>+H44/C44</f>
        <v>1.053148302769557</v>
      </c>
      <c r="J44" s="4">
        <f t="shared" ref="J44" si="16">+D44/$N$3</f>
        <v>1316435.378461946</v>
      </c>
      <c r="K44" s="4">
        <f>+(C44-D44)/$N$2</f>
        <v>1117129.2430761079</v>
      </c>
      <c r="L44" s="4" cm="1">
        <f t="array" ref="L44">+_xlfn.IFS(I44&gt;114%,H44*0.02,I44&gt;109%,H44*0.015,I44&gt;104%,H44*0.0125,I44&gt;99%,H44*0.01,I44&lt;99%,H44*0)</f>
        <v>394930.61353858386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0.78378378378378377</v>
      </c>
      <c r="E2" s="13">
        <v>33</v>
      </c>
      <c r="F2" s="12">
        <f>+H2-E2</f>
        <v>25</v>
      </c>
      <c r="G2" s="13">
        <f>VLOOKUP(B2,'Base Cobertura'!$A:$C,3,FALSE)</f>
        <v>74</v>
      </c>
      <c r="H2" s="13">
        <f>VLOOKUP(B2,'Base Cobertura'!$A:$C,2,FALSE)</f>
        <v>58</v>
      </c>
      <c r="I2" s="17">
        <f>(+G2*$M$2)-H2</f>
        <v>4.8999999999999986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1"/>
      <c r="B3">
        <v>49</v>
      </c>
      <c r="C3" s="13" t="str">
        <f>+AVANCE!B12</f>
        <v>49 - ESCOBAR RAÚL</v>
      </c>
      <c r="D3" s="22">
        <f t="shared" ref="D3:D38" si="0">H3/G3</f>
        <v>0.42323651452282157</v>
      </c>
      <c r="E3" s="13">
        <v>1</v>
      </c>
      <c r="F3" s="12">
        <f t="shared" ref="F3:F38" si="1">+H3-E3</f>
        <v>101</v>
      </c>
      <c r="G3" s="13">
        <f>VLOOKUP(B3,'Base Cobertura'!$A:$C,3,FALSE)</f>
        <v>241</v>
      </c>
      <c r="H3" s="13">
        <f>VLOOKUP(B3,'Base Cobertura'!$A:$C,2,FALSE)</f>
        <v>102</v>
      </c>
      <c r="I3" s="17">
        <f t="shared" ref="I3:I38" si="2">(+G3*$M$2)-H3</f>
        <v>102.85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61</v>
      </c>
      <c r="T3" s="12">
        <v>214</v>
      </c>
      <c r="U3" s="41">
        <f>+S3/T3</f>
        <v>0.28504672897196259</v>
      </c>
    </row>
    <row r="4" spans="1:21" x14ac:dyDescent="0.25">
      <c r="A4" s="141"/>
      <c r="B4">
        <v>20</v>
      </c>
      <c r="C4" s="13" t="str">
        <f>+AVANCE!B2</f>
        <v>20 - FLORES JAVIER</v>
      </c>
      <c r="D4" s="22">
        <f t="shared" si="0"/>
        <v>0.82819383259911894</v>
      </c>
      <c r="E4" s="13">
        <v>126</v>
      </c>
      <c r="F4" s="12">
        <f t="shared" si="1"/>
        <v>62</v>
      </c>
      <c r="G4" s="13">
        <f>VLOOKUP(B4,'Base Cobertura'!$A:$C,3,FALSE)</f>
        <v>227</v>
      </c>
      <c r="H4" s="13">
        <f>VLOOKUP(B4,'Base Cobertura'!$A:$C,2,FALSE)</f>
        <v>188</v>
      </c>
      <c r="I4" s="17">
        <f t="shared" si="2"/>
        <v>4.9499999999999886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41</v>
      </c>
      <c r="T4" s="13">
        <v>214</v>
      </c>
      <c r="U4" s="5">
        <f t="shared" ref="U4:U11" si="3">+S4/T4</f>
        <v>0.19158878504672897</v>
      </c>
    </row>
    <row r="5" spans="1:21" x14ac:dyDescent="0.25">
      <c r="A5" s="141"/>
      <c r="B5">
        <v>15</v>
      </c>
      <c r="C5" s="13" t="str">
        <f>+AVANCE!B13</f>
        <v>15 - GALARZA GERARDO</v>
      </c>
      <c r="D5" s="22">
        <f t="shared" si="0"/>
        <v>0.72307692307692306</v>
      </c>
      <c r="E5" s="13">
        <v>21</v>
      </c>
      <c r="F5" s="12">
        <f t="shared" si="1"/>
        <v>26</v>
      </c>
      <c r="G5" s="13">
        <f>VLOOKUP(B5,'Base Cobertura'!$A:$C,3,FALSE)</f>
        <v>65</v>
      </c>
      <c r="H5" s="13">
        <f>VLOOKUP(B5,'Base Cobertura'!$A:$C,2,FALSE)</f>
        <v>47</v>
      </c>
      <c r="I5" s="17">
        <f t="shared" si="2"/>
        <v>8.25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77</v>
      </c>
      <c r="T5" s="13">
        <v>214</v>
      </c>
      <c r="U5" s="5">
        <f t="shared" si="3"/>
        <v>0.35981308411214952</v>
      </c>
    </row>
    <row r="6" spans="1:21" x14ac:dyDescent="0.25">
      <c r="A6" s="141"/>
      <c r="B6">
        <v>19</v>
      </c>
      <c r="C6" s="13" t="str">
        <f>+AVANCE!B3</f>
        <v>19 - GONZALEZ MARCELO</v>
      </c>
      <c r="D6" s="22">
        <f t="shared" si="0"/>
        <v>0.84057971014492749</v>
      </c>
      <c r="E6" s="13">
        <v>100</v>
      </c>
      <c r="F6" s="12">
        <f t="shared" si="1"/>
        <v>74</v>
      </c>
      <c r="G6" s="13">
        <f>VLOOKUP(B6,'Base Cobertura'!$A:$C,3,FALSE)</f>
        <v>207</v>
      </c>
      <c r="H6" s="13">
        <f>VLOOKUP(B6,'Base Cobertura'!$A:$C,2,FALSE)</f>
        <v>174</v>
      </c>
      <c r="I6" s="17">
        <f t="shared" si="2"/>
        <v>1.9499999999999886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38</v>
      </c>
      <c r="T6" s="13">
        <v>214</v>
      </c>
      <c r="U6" s="5">
        <f t="shared" si="3"/>
        <v>0.17757009345794392</v>
      </c>
    </row>
    <row r="7" spans="1:21" x14ac:dyDescent="0.25">
      <c r="A7" s="141"/>
      <c r="B7">
        <v>16</v>
      </c>
      <c r="C7" s="13" t="str">
        <f>+AVANCE!B4</f>
        <v>16 - GOMEZ MATÍAS</v>
      </c>
      <c r="D7" s="22">
        <f t="shared" si="0"/>
        <v>0.71212121212121215</v>
      </c>
      <c r="E7" s="13">
        <v>81</v>
      </c>
      <c r="F7" s="12">
        <f t="shared" si="1"/>
        <v>60</v>
      </c>
      <c r="G7" s="13">
        <f>VLOOKUP(B7,'Base Cobertura'!$A:$C,3,FALSE)</f>
        <v>198</v>
      </c>
      <c r="H7" s="13">
        <f>VLOOKUP(B7,'Base Cobertura'!$A:$C,2,FALSE)</f>
        <v>141</v>
      </c>
      <c r="I7" s="17">
        <f t="shared" si="2"/>
        <v>27.299999999999983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74</v>
      </c>
      <c r="T7" s="13">
        <v>214</v>
      </c>
      <c r="U7" s="5">
        <f t="shared" si="3"/>
        <v>0.34579439252336447</v>
      </c>
    </row>
    <row r="8" spans="1:21" x14ac:dyDescent="0.25">
      <c r="A8" s="141"/>
      <c r="B8">
        <v>12</v>
      </c>
      <c r="C8" s="13" t="str">
        <f>+AVANCE!B5</f>
        <v>12 - GUTIERREZ MARCOS DAVID</v>
      </c>
      <c r="D8" s="22">
        <f t="shared" si="0"/>
        <v>0.80373831775700932</v>
      </c>
      <c r="E8" s="13">
        <v>89</v>
      </c>
      <c r="F8" s="12">
        <f t="shared" si="1"/>
        <v>83</v>
      </c>
      <c r="G8" s="13">
        <f>VLOOKUP(B8,'Base Cobertura'!$A:$C,3,FALSE)</f>
        <v>214</v>
      </c>
      <c r="H8" s="13">
        <f>VLOOKUP(B8,'Base Cobertura'!$A:$C,2,FALSE)</f>
        <v>172</v>
      </c>
      <c r="I8" s="17">
        <f t="shared" si="2"/>
        <v>9.9000000000000057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72</v>
      </c>
      <c r="T8" s="13">
        <v>214</v>
      </c>
      <c r="U8" s="5">
        <f t="shared" si="3"/>
        <v>0.3364485981308411</v>
      </c>
    </row>
    <row r="9" spans="1:21" x14ac:dyDescent="0.25">
      <c r="A9" s="141"/>
      <c r="B9">
        <v>11</v>
      </c>
      <c r="C9" s="30" t="str">
        <f>+AVANCE!B6</f>
        <v>11 - SANCHEZ RICARDO</v>
      </c>
      <c r="D9" s="22">
        <f>H9/G9</f>
        <v>0.72023809523809523</v>
      </c>
      <c r="E9" s="13">
        <v>92</v>
      </c>
      <c r="F9" s="12">
        <f t="shared" si="1"/>
        <v>29</v>
      </c>
      <c r="G9" s="13">
        <f>VLOOKUP(B9,'Base Cobertura'!$A:$C,3,FALSE)</f>
        <v>168</v>
      </c>
      <c r="H9" s="13">
        <f>VLOOKUP(B9,'Base Cobertura'!$A:$C,2,FALSE)</f>
        <v>121</v>
      </c>
      <c r="I9" s="17">
        <f t="shared" si="2"/>
        <v>21.799999999999983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17</v>
      </c>
      <c r="T9" s="13">
        <v>214</v>
      </c>
      <c r="U9" s="5">
        <f t="shared" si="3"/>
        <v>7.9439252336448593E-2</v>
      </c>
    </row>
    <row r="10" spans="1:21" x14ac:dyDescent="0.25">
      <c r="A10" s="141"/>
      <c r="B10">
        <v>8</v>
      </c>
      <c r="C10" s="13" t="str">
        <f>+AVANCE!B7</f>
        <v>8 - RAVAROTTO EMANUEL</v>
      </c>
      <c r="D10" s="22">
        <f t="shared" si="0"/>
        <v>0.68205128205128207</v>
      </c>
      <c r="E10" s="13">
        <v>64</v>
      </c>
      <c r="F10" s="12">
        <f t="shared" si="1"/>
        <v>69</v>
      </c>
      <c r="G10" s="13">
        <f>VLOOKUP(B10,'Base Cobertura'!$A:$C,3,FALSE)</f>
        <v>195</v>
      </c>
      <c r="H10" s="13">
        <f>VLOOKUP(B10,'Base Cobertura'!$A:$C,2,FALSE)</f>
        <v>133</v>
      </c>
      <c r="I10" s="17">
        <f t="shared" si="2"/>
        <v>32.75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19</v>
      </c>
      <c r="T10" s="13">
        <v>214</v>
      </c>
      <c r="U10" s="5">
        <f t="shared" si="3"/>
        <v>8.8785046728971959E-2</v>
      </c>
    </row>
    <row r="11" spans="1:21" x14ac:dyDescent="0.25">
      <c r="A11" s="141"/>
      <c r="B11">
        <v>52</v>
      </c>
      <c r="C11" s="31" t="str">
        <f>+AVANCE!B14</f>
        <v>52 - MARSALL NICOLAS</v>
      </c>
      <c r="D11" s="32">
        <f t="shared" si="0"/>
        <v>0.41584158415841582</v>
      </c>
      <c r="E11" s="31">
        <v>19</v>
      </c>
      <c r="F11" s="33">
        <f t="shared" si="1"/>
        <v>23</v>
      </c>
      <c r="G11" s="13">
        <f>VLOOKUP(B11,'Base Cobertura'!$A:$C,3,FALSE)</f>
        <v>101</v>
      </c>
      <c r="H11" s="13">
        <f>VLOOKUP(B11,'Base Cobertura'!$A:$C,2,FALSE)</f>
        <v>42</v>
      </c>
      <c r="I11" s="34">
        <f t="shared" si="2"/>
        <v>43.849999999999994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34</v>
      </c>
      <c r="T11" s="13">
        <v>214</v>
      </c>
      <c r="U11" s="5">
        <f t="shared" si="3"/>
        <v>0.15887850467289719</v>
      </c>
    </row>
    <row r="12" spans="1:21" x14ac:dyDescent="0.25">
      <c r="A12" s="141"/>
      <c r="B12">
        <v>53</v>
      </c>
      <c r="C12" s="31" t="str">
        <f>+AVANCE!B15</f>
        <v>53 - SANDOVAL RODRIGO</v>
      </c>
      <c r="D12" s="32">
        <f t="shared" si="0"/>
        <v>0.51428571428571423</v>
      </c>
      <c r="E12" s="31">
        <v>24</v>
      </c>
      <c r="F12" s="33">
        <f t="shared" si="1"/>
        <v>30</v>
      </c>
      <c r="G12" s="13">
        <f>VLOOKUP(B12,'Base Cobertura'!$A:$C,3,FALSE)</f>
        <v>105</v>
      </c>
      <c r="H12" s="13">
        <f>VLOOKUP(B12,'Base Cobertura'!$A:$C,2,FALSE)</f>
        <v>54</v>
      </c>
      <c r="I12" s="34">
        <f t="shared" si="2"/>
        <v>35.25</v>
      </c>
      <c r="J12" t="s">
        <v>59</v>
      </c>
    </row>
    <row r="13" spans="1:21" x14ac:dyDescent="0.25">
      <c r="A13" s="141"/>
      <c r="B13">
        <v>5</v>
      </c>
      <c r="C13" s="13" t="str">
        <f>+AVANCE!B8</f>
        <v>5 - SCHELOVER RAUL</v>
      </c>
      <c r="D13" s="22">
        <f t="shared" si="0"/>
        <v>0.77394636015325668</v>
      </c>
      <c r="E13" s="13">
        <v>144</v>
      </c>
      <c r="F13" s="12">
        <f t="shared" si="1"/>
        <v>58</v>
      </c>
      <c r="G13" s="13">
        <f>VLOOKUP(B13,'Base Cobertura'!$A:$C,3,FALSE)</f>
        <v>261</v>
      </c>
      <c r="H13" s="13">
        <f>VLOOKUP(B13,'Base Cobertura'!$A:$C,2,FALSE)</f>
        <v>202</v>
      </c>
      <c r="I13" s="17">
        <f t="shared" si="2"/>
        <v>19.849999999999994</v>
      </c>
      <c r="J13" t="s">
        <v>57</v>
      </c>
      <c r="K13" t="s">
        <v>64</v>
      </c>
    </row>
    <row r="14" spans="1:21" ht="15.75" thickBot="1" x14ac:dyDescent="0.3">
      <c r="A14" s="141"/>
      <c r="B14">
        <v>4</v>
      </c>
      <c r="C14" s="10" t="str">
        <f>+AVANCE!B9</f>
        <v>4 - TUR SPRINGER FERNANDO</v>
      </c>
      <c r="D14" s="22">
        <f t="shared" si="0"/>
        <v>0.6428571428571429</v>
      </c>
      <c r="E14" s="13">
        <v>85</v>
      </c>
      <c r="F14" s="12">
        <f t="shared" si="1"/>
        <v>32</v>
      </c>
      <c r="G14" s="13">
        <f>VLOOKUP(B14,'Base Cobertura'!$A:$C,3,FALSE)</f>
        <v>182</v>
      </c>
      <c r="H14" s="13">
        <f>VLOOKUP(B14,'Base Cobertura'!$A:$C,2,FALSE)</f>
        <v>117</v>
      </c>
      <c r="I14" s="17">
        <f t="shared" si="2"/>
        <v>37.699999999999989</v>
      </c>
      <c r="J14" t="s">
        <v>55</v>
      </c>
      <c r="K14" t="s">
        <v>64</v>
      </c>
    </row>
    <row r="15" spans="1:21" ht="15.75" thickBot="1" x14ac:dyDescent="0.3">
      <c r="A15" s="142"/>
      <c r="C15" s="9"/>
      <c r="D15" s="23"/>
      <c r="E15" s="14"/>
      <c r="F15" s="16">
        <f>+SUM(F2:F14)</f>
        <v>672</v>
      </c>
      <c r="G15" s="8">
        <f>+SUM(G2:G14)</f>
        <v>2238</v>
      </c>
      <c r="H15" s="8">
        <f>+SUM(H2:H14)</f>
        <v>1551</v>
      </c>
      <c r="I15" s="8"/>
    </row>
    <row r="16" spans="1:21" x14ac:dyDescent="0.25">
      <c r="A16" s="143" t="s">
        <v>38</v>
      </c>
      <c r="B16">
        <v>31</v>
      </c>
      <c r="C16" s="12" t="str">
        <f>+AVANCE!B22</f>
        <v>31 - RENZO RAMOS</v>
      </c>
      <c r="D16" s="22">
        <f t="shared" si="0"/>
        <v>0.75155279503105588</v>
      </c>
      <c r="E16" s="13">
        <v>90</v>
      </c>
      <c r="F16" s="12">
        <f t="shared" si="1"/>
        <v>31</v>
      </c>
      <c r="G16" s="13">
        <f>VLOOKUP(B16,'Base Cobertura'!$A:$C,3,FALSE)</f>
        <v>161</v>
      </c>
      <c r="H16" s="13">
        <f>VLOOKUP(B16,'Base Cobertura'!$A:$C,2,FALSE)</f>
        <v>121</v>
      </c>
      <c r="I16" s="17">
        <f t="shared" si="2"/>
        <v>15.849999999999994</v>
      </c>
      <c r="J16" t="s">
        <v>55</v>
      </c>
      <c r="K16" t="s">
        <v>55</v>
      </c>
    </row>
    <row r="17" spans="1:11" x14ac:dyDescent="0.25">
      <c r="A17" s="141"/>
      <c r="B17">
        <v>54</v>
      </c>
      <c r="C17" s="13" t="str">
        <f>+AVANCE!B24</f>
        <v>54 - BARTSCHAT EMILIANO NAHUEL</v>
      </c>
      <c r="D17" s="22">
        <f t="shared" si="0"/>
        <v>0.56930693069306926</v>
      </c>
      <c r="E17" s="13">
        <v>92</v>
      </c>
      <c r="F17" s="12">
        <f t="shared" si="1"/>
        <v>23</v>
      </c>
      <c r="G17" s="13">
        <f>VLOOKUP(B17,'Base Cobertura'!$A:$C,3,FALSE)</f>
        <v>202</v>
      </c>
      <c r="H17" s="13">
        <f>VLOOKUP(B17,'Base Cobertura'!$A:$C,2,FALSE)</f>
        <v>115</v>
      </c>
      <c r="I17" s="17">
        <f t="shared" si="2"/>
        <v>56.699999999999989</v>
      </c>
      <c r="J17" t="s">
        <v>55</v>
      </c>
      <c r="K17" t="s">
        <v>63</v>
      </c>
    </row>
    <row r="18" spans="1:11" x14ac:dyDescent="0.25">
      <c r="A18" s="141"/>
      <c r="B18">
        <v>21</v>
      </c>
      <c r="C18" s="13" t="str">
        <f>+AVANCE!B20</f>
        <v>21 - CATAN MATIAS</v>
      </c>
      <c r="D18" s="22">
        <f t="shared" si="0"/>
        <v>0.83625730994152048</v>
      </c>
      <c r="E18" s="13">
        <v>88</v>
      </c>
      <c r="F18" s="12">
        <f t="shared" si="1"/>
        <v>55</v>
      </c>
      <c r="G18" s="13">
        <f>VLOOKUP(B18,'Base Cobertura'!$A:$C,3,FALSE)</f>
        <v>171</v>
      </c>
      <c r="H18" s="13">
        <f>VLOOKUP(B18,'Base Cobertura'!$A:$C,2,FALSE)</f>
        <v>143</v>
      </c>
      <c r="I18" s="17">
        <f t="shared" si="2"/>
        <v>2.3499999999999943</v>
      </c>
      <c r="J18" t="s">
        <v>58</v>
      </c>
      <c r="K18" t="s">
        <v>55</v>
      </c>
    </row>
    <row r="19" spans="1:11" x14ac:dyDescent="0.25">
      <c r="A19" s="141"/>
      <c r="B19">
        <v>23</v>
      </c>
      <c r="C19" s="13" t="str">
        <f>+AVANCE!B21</f>
        <v>23 - DELGADO JOSÉ</v>
      </c>
      <c r="D19" s="22">
        <f t="shared" si="0"/>
        <v>0.79870129870129869</v>
      </c>
      <c r="E19" s="13">
        <v>95</v>
      </c>
      <c r="F19" s="12">
        <f t="shared" si="1"/>
        <v>28</v>
      </c>
      <c r="G19" s="13">
        <f>VLOOKUP(B19,'Base Cobertura'!$A:$C,3,FALSE)</f>
        <v>154</v>
      </c>
      <c r="H19" s="13">
        <f>VLOOKUP(B19,'Base Cobertura'!$A:$C,2,FALSE)</f>
        <v>123</v>
      </c>
      <c r="I19" s="17">
        <f t="shared" si="2"/>
        <v>7.9000000000000057</v>
      </c>
      <c r="J19" t="s">
        <v>58</v>
      </c>
      <c r="K19" t="s">
        <v>64</v>
      </c>
    </row>
    <row r="20" spans="1:11" x14ac:dyDescent="0.25">
      <c r="A20" s="141"/>
      <c r="B20">
        <v>18</v>
      </c>
      <c r="C20" s="13" t="str">
        <f>+AVANCE!B19</f>
        <v>18 - HERRERA PABLO</v>
      </c>
      <c r="D20" s="22">
        <f t="shared" si="0"/>
        <v>0.8192090395480226</v>
      </c>
      <c r="E20" s="13">
        <v>83</v>
      </c>
      <c r="F20" s="12">
        <f t="shared" si="1"/>
        <v>62</v>
      </c>
      <c r="G20" s="13">
        <f>VLOOKUP(B20,'Base Cobertura'!$A:$C,3,FALSE)</f>
        <v>177</v>
      </c>
      <c r="H20" s="13">
        <f>VLOOKUP(B20,'Base Cobertura'!$A:$C,2,FALSE)</f>
        <v>145</v>
      </c>
      <c r="I20" s="17">
        <f t="shared" si="2"/>
        <v>5.4499999999999886</v>
      </c>
      <c r="J20" t="s">
        <v>55</v>
      </c>
      <c r="K20" t="s">
        <v>55</v>
      </c>
    </row>
    <row r="21" spans="1:11" x14ac:dyDescent="0.25">
      <c r="A21" s="141"/>
      <c r="B21">
        <v>44</v>
      </c>
      <c r="C21" s="13" t="str">
        <f>+AVANCE!B23</f>
        <v>44 - MONGES CESAR LUIS</v>
      </c>
      <c r="D21" s="22">
        <f t="shared" si="0"/>
        <v>0.7751479289940828</v>
      </c>
      <c r="E21" s="13">
        <v>64</v>
      </c>
      <c r="F21" s="12">
        <f t="shared" si="1"/>
        <v>67</v>
      </c>
      <c r="G21" s="13">
        <f>VLOOKUP(B21,'Base Cobertura'!$A:$C,3,FALSE)</f>
        <v>169</v>
      </c>
      <c r="H21" s="13">
        <f>VLOOKUP(B21,'Base Cobertura'!$A:$C,2,FALSE)</f>
        <v>131</v>
      </c>
      <c r="I21" s="17">
        <f t="shared" si="2"/>
        <v>12.650000000000006</v>
      </c>
      <c r="J21" t="s">
        <v>58</v>
      </c>
      <c r="K21" t="s">
        <v>64</v>
      </c>
    </row>
    <row r="22" spans="1:11" x14ac:dyDescent="0.25">
      <c r="A22" s="141"/>
      <c r="B22">
        <v>56</v>
      </c>
      <c r="C22" s="13" t="str">
        <f>+AVANCE!B25</f>
        <v>56 - JUAN ANDRES SANCHEZ</v>
      </c>
      <c r="D22" s="22">
        <f t="shared" si="0"/>
        <v>0.39898989898989901</v>
      </c>
      <c r="E22" s="13">
        <v>66</v>
      </c>
      <c r="F22" s="12">
        <f t="shared" si="1"/>
        <v>13</v>
      </c>
      <c r="G22" s="13">
        <f>VLOOKUP(B22,'Base Cobertura'!$A:$C,3,FALSE)</f>
        <v>198</v>
      </c>
      <c r="H22" s="13">
        <f>VLOOKUP(B22,'Base Cobertura'!$A:$C,2,FALSE)</f>
        <v>79</v>
      </c>
      <c r="I22" s="17">
        <f t="shared" si="2"/>
        <v>89.299999999999983</v>
      </c>
      <c r="J22" t="s">
        <v>58</v>
      </c>
      <c r="K22" t="s">
        <v>66</v>
      </c>
    </row>
    <row r="23" spans="1:11" x14ac:dyDescent="0.25">
      <c r="A23" s="141"/>
      <c r="B23">
        <v>2</v>
      </c>
      <c r="C23" s="13" t="str">
        <f>+AVANCE!B17</f>
        <v>2 - OJEDA NORBERTO</v>
      </c>
      <c r="D23" s="22">
        <f t="shared" si="0"/>
        <v>0.74637681159420288</v>
      </c>
      <c r="E23" s="13">
        <v>70</v>
      </c>
      <c r="F23" s="12">
        <f t="shared" si="1"/>
        <v>33</v>
      </c>
      <c r="G23" s="13">
        <f>VLOOKUP(B23,'Base Cobertura'!$A:$C,3,FALSE)</f>
        <v>138</v>
      </c>
      <c r="H23" s="13">
        <f>VLOOKUP(B23,'Base Cobertura'!$A:$C,2,FALSE)</f>
        <v>103</v>
      </c>
      <c r="I23" s="17">
        <f t="shared" si="2"/>
        <v>14.299999999999997</v>
      </c>
      <c r="J23" t="s">
        <v>58</v>
      </c>
      <c r="K23" t="s">
        <v>67</v>
      </c>
    </row>
    <row r="24" spans="1:11" ht="15.75" thickBot="1" x14ac:dyDescent="0.3">
      <c r="A24" s="141"/>
      <c r="B24">
        <v>3</v>
      </c>
      <c r="C24" s="10" t="str">
        <f>+AVANCE!B18</f>
        <v>3 - VIDAL NAHUEL</v>
      </c>
      <c r="D24" s="22">
        <f t="shared" si="0"/>
        <v>0.78823529411764703</v>
      </c>
      <c r="E24" s="13">
        <v>79</v>
      </c>
      <c r="F24" s="12">
        <f t="shared" si="1"/>
        <v>55</v>
      </c>
      <c r="G24" s="13">
        <f>VLOOKUP(B24,'Base Cobertura'!$A:$C,3,FALSE)</f>
        <v>170</v>
      </c>
      <c r="H24" s="13">
        <f>VLOOKUP(B24,'Base Cobertura'!$A:$C,2,FALSE)</f>
        <v>134</v>
      </c>
      <c r="I24" s="17">
        <f t="shared" si="2"/>
        <v>10.5</v>
      </c>
      <c r="J24" t="s">
        <v>60</v>
      </c>
      <c r="K24" t="s">
        <v>64</v>
      </c>
    </row>
    <row r="25" spans="1:11" ht="15.75" thickBot="1" x14ac:dyDescent="0.3">
      <c r="A25" s="142"/>
      <c r="C25" s="9"/>
      <c r="D25" s="23"/>
      <c r="E25" s="14"/>
      <c r="F25" s="16">
        <f>+SUM(F16:F24)</f>
        <v>367</v>
      </c>
      <c r="G25" s="8">
        <f>+SUM(G16:G24)</f>
        <v>1540</v>
      </c>
      <c r="H25" s="8">
        <f>+SUM(H16:H24)</f>
        <v>1094</v>
      </c>
      <c r="I25" s="8"/>
    </row>
    <row r="26" spans="1:11" x14ac:dyDescent="0.25">
      <c r="A26" s="143" t="s">
        <v>218</v>
      </c>
      <c r="B26">
        <v>32</v>
      </c>
      <c r="C26" s="12" t="str">
        <f>+AVANCE!B27</f>
        <v>32 - CABRAL GONZALO</v>
      </c>
      <c r="D26" s="22">
        <f t="shared" si="0"/>
        <v>0.75862068965517238</v>
      </c>
      <c r="E26" s="13">
        <v>20</v>
      </c>
      <c r="F26" s="12">
        <f>+H26-E26</f>
        <v>24</v>
      </c>
      <c r="G26" s="13">
        <f>VLOOKUP(B26,'Base Cobertura'!$A:$C,3,FALSE)</f>
        <v>58</v>
      </c>
      <c r="H26" s="13">
        <f>VLOOKUP(B26,'Base Cobertura'!$A:$C,2,FALSE)</f>
        <v>44</v>
      </c>
      <c r="I26" s="17">
        <f t="shared" si="2"/>
        <v>5.2999999999999972</v>
      </c>
      <c r="J26" t="s">
        <v>55</v>
      </c>
      <c r="K26" t="s">
        <v>67</v>
      </c>
    </row>
    <row r="27" spans="1:11" x14ac:dyDescent="0.25">
      <c r="A27" s="141"/>
      <c r="B27">
        <v>36</v>
      </c>
      <c r="C27" s="12" t="str">
        <f>+AVANCE!B28</f>
        <v>36 - COSARINSKI DIEGO</v>
      </c>
      <c r="D27" s="22">
        <f t="shared" si="0"/>
        <v>0.66874999999999996</v>
      </c>
      <c r="E27" s="13">
        <v>68</v>
      </c>
      <c r="F27" s="12">
        <f t="shared" si="1"/>
        <v>39</v>
      </c>
      <c r="G27" s="13">
        <f>VLOOKUP(B27,'Base Cobertura'!$A:$C,3,FALSE)</f>
        <v>160</v>
      </c>
      <c r="H27" s="13">
        <f>VLOOKUP(B27,'Base Cobertura'!$A:$C,2,FALSE)</f>
        <v>107</v>
      </c>
      <c r="I27" s="17">
        <f t="shared" si="2"/>
        <v>29</v>
      </c>
      <c r="J27" t="s">
        <v>58</v>
      </c>
      <c r="K27" t="s">
        <v>67</v>
      </c>
    </row>
    <row r="28" spans="1:11" x14ac:dyDescent="0.25">
      <c r="A28" s="141"/>
      <c r="B28">
        <v>9</v>
      </c>
      <c r="C28" s="12" t="str">
        <f>+AVANCE!B29</f>
        <v>9 - ESTIGARRIBIA DAVID</v>
      </c>
      <c r="D28" s="22">
        <f t="shared" si="0"/>
        <v>0.72049689440993792</v>
      </c>
      <c r="E28" s="13">
        <v>80</v>
      </c>
      <c r="F28" s="12">
        <f t="shared" si="1"/>
        <v>36</v>
      </c>
      <c r="G28" s="13">
        <f>VLOOKUP(B28,'Base Cobertura'!$A:$C,3,FALSE)</f>
        <v>161</v>
      </c>
      <c r="H28" s="13">
        <f>VLOOKUP(B28,'Base Cobertura'!$A:$C,2,FALSE)</f>
        <v>116</v>
      </c>
      <c r="I28" s="17">
        <f t="shared" si="2"/>
        <v>20.849999999999994</v>
      </c>
      <c r="J28" t="s">
        <v>58</v>
      </c>
      <c r="K28" t="s">
        <v>55</v>
      </c>
    </row>
    <row r="29" spans="1:11" x14ac:dyDescent="0.25">
      <c r="A29" s="141"/>
      <c r="B29">
        <v>40</v>
      </c>
      <c r="C29" s="12" t="str">
        <f>+AVANCE!B30</f>
        <v>40 - IBARROLA JORGE</v>
      </c>
      <c r="D29" s="22">
        <f t="shared" si="0"/>
        <v>0.42</v>
      </c>
      <c r="E29" s="13">
        <v>68</v>
      </c>
      <c r="F29" s="12">
        <f t="shared" si="1"/>
        <v>37</v>
      </c>
      <c r="G29" s="13">
        <f>VLOOKUP(B29,'Base Cobertura'!$A:$C,3,FALSE)</f>
        <v>250</v>
      </c>
      <c r="H29" s="13">
        <f>VLOOKUP(B29,'Base Cobertura'!$A:$C,2,FALSE)</f>
        <v>105</v>
      </c>
      <c r="I29" s="17">
        <f t="shared" si="2"/>
        <v>107.5</v>
      </c>
      <c r="J29" t="s">
        <v>58</v>
      </c>
      <c r="K29" t="s">
        <v>67</v>
      </c>
    </row>
    <row r="30" spans="1:11" x14ac:dyDescent="0.25">
      <c r="A30" s="141"/>
      <c r="B30">
        <v>27</v>
      </c>
      <c r="C30" s="12" t="str">
        <f>+AVANCE!B31</f>
        <v>27 - GOMEZ ADRIÁN</v>
      </c>
      <c r="D30" s="22">
        <f t="shared" si="0"/>
        <v>0.89928057553956831</v>
      </c>
      <c r="E30" s="13">
        <v>73</v>
      </c>
      <c r="F30" s="12">
        <f t="shared" si="1"/>
        <v>52</v>
      </c>
      <c r="G30" s="13">
        <f>VLOOKUP(B30,'Base Cobertura'!$A:$C,3,FALSE)</f>
        <v>139</v>
      </c>
      <c r="H30" s="13">
        <f>VLOOKUP(B30,'Base Cobertura'!$A:$C,2,FALSE)</f>
        <v>125</v>
      </c>
      <c r="I30" s="17">
        <f t="shared" si="2"/>
        <v>-6.8500000000000085</v>
      </c>
      <c r="J30" t="s">
        <v>55</v>
      </c>
      <c r="K30" t="s">
        <v>67</v>
      </c>
    </row>
    <row r="31" spans="1:11" x14ac:dyDescent="0.25">
      <c r="A31" s="141"/>
      <c r="B31">
        <v>10</v>
      </c>
      <c r="C31" s="12" t="str">
        <f>+AVANCE!B32</f>
        <v>10 - BRITEZ EMMANUEL</v>
      </c>
      <c r="D31" s="22">
        <f t="shared" si="0"/>
        <v>0.65193370165745856</v>
      </c>
      <c r="E31" s="13">
        <v>40</v>
      </c>
      <c r="F31" s="12">
        <f t="shared" si="1"/>
        <v>78</v>
      </c>
      <c r="G31" s="13">
        <f>VLOOKUP(B31,'Base Cobertura'!$A:$C,3,FALSE)</f>
        <v>181</v>
      </c>
      <c r="H31" s="13">
        <f>VLOOKUP(B31,'Base Cobertura'!$A:$C,2,FALSE)</f>
        <v>118</v>
      </c>
      <c r="I31" s="17">
        <f t="shared" si="2"/>
        <v>35.849999999999994</v>
      </c>
      <c r="J31" t="s">
        <v>58</v>
      </c>
      <c r="K31" t="s">
        <v>67</v>
      </c>
    </row>
    <row r="32" spans="1:11" x14ac:dyDescent="0.25">
      <c r="A32" s="141"/>
      <c r="B32">
        <v>28</v>
      </c>
      <c r="C32" s="12" t="str">
        <f>+AVANCE!B33</f>
        <v>28 - GOMEZ PABLO</v>
      </c>
      <c r="D32" s="22">
        <f t="shared" si="0"/>
        <v>0.7857142857142857</v>
      </c>
      <c r="E32" s="13">
        <v>67</v>
      </c>
      <c r="F32" s="12">
        <f t="shared" si="1"/>
        <v>65</v>
      </c>
      <c r="G32" s="13">
        <f>VLOOKUP(B32,'Base Cobertura'!$A:$C,3,FALSE)</f>
        <v>168</v>
      </c>
      <c r="H32" s="13">
        <f>VLOOKUP(B32,'Base Cobertura'!$A:$C,2,FALSE)</f>
        <v>132</v>
      </c>
      <c r="I32" s="17">
        <f t="shared" si="2"/>
        <v>10.799999999999983</v>
      </c>
      <c r="J32" t="s">
        <v>58</v>
      </c>
      <c r="K32" t="s">
        <v>67</v>
      </c>
    </row>
    <row r="33" spans="1:12" x14ac:dyDescent="0.25">
      <c r="A33" s="141"/>
      <c r="B33">
        <v>33</v>
      </c>
      <c r="C33" s="12" t="str">
        <f>+AVANCE!B34</f>
        <v>33 - NICOLAS AZULA</v>
      </c>
      <c r="D33" s="22">
        <f t="shared" si="0"/>
        <v>0.7678571428571429</v>
      </c>
      <c r="E33" s="13">
        <v>66</v>
      </c>
      <c r="F33" s="12">
        <f t="shared" si="1"/>
        <v>63</v>
      </c>
      <c r="G33" s="13">
        <f>VLOOKUP(B33,'Base Cobertura'!$A:$C,3,FALSE)</f>
        <v>168</v>
      </c>
      <c r="H33" s="13">
        <f>VLOOKUP(B33,'Base Cobertura'!$A:$C,2,FALSE)</f>
        <v>129</v>
      </c>
      <c r="I33" s="17">
        <f t="shared" si="2"/>
        <v>13.799999999999983</v>
      </c>
      <c r="J33" t="s">
        <v>58</v>
      </c>
      <c r="K33" t="s">
        <v>67</v>
      </c>
    </row>
    <row r="34" spans="1:12" x14ac:dyDescent="0.25">
      <c r="A34" s="141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141"/>
      <c r="B35">
        <v>24</v>
      </c>
      <c r="C35" s="12" t="str">
        <f>+AVANCE!B36</f>
        <v>24 - MARTINEZ JORGE NICOLAS</v>
      </c>
      <c r="D35" s="22">
        <f t="shared" si="0"/>
        <v>0.6348314606741573</v>
      </c>
      <c r="E35" s="13">
        <v>81</v>
      </c>
      <c r="F35" s="12">
        <f t="shared" si="1"/>
        <v>32</v>
      </c>
      <c r="G35" s="13">
        <f>VLOOKUP(B35,'Base Cobertura'!$A:$C,3,FALSE)</f>
        <v>178</v>
      </c>
      <c r="H35" s="13">
        <f>VLOOKUP(B35,'Base Cobertura'!$A:$C,2,FALSE)</f>
        <v>113</v>
      </c>
      <c r="I35" s="17">
        <f t="shared" si="2"/>
        <v>38.299999999999983</v>
      </c>
      <c r="J35" t="s">
        <v>58</v>
      </c>
      <c r="K35" t="s">
        <v>67</v>
      </c>
    </row>
    <row r="36" spans="1:12" x14ac:dyDescent="0.25">
      <c r="A36" s="141"/>
      <c r="B36">
        <v>7</v>
      </c>
      <c r="C36" s="12" t="str">
        <f>+AVANCE!B37</f>
        <v>7 - VALLEJOS EDUARDO</v>
      </c>
      <c r="D36" s="22">
        <f t="shared" si="0"/>
        <v>0.10434782608695652</v>
      </c>
      <c r="E36" s="13">
        <v>0</v>
      </c>
      <c r="F36" s="12">
        <f t="shared" si="1"/>
        <v>12</v>
      </c>
      <c r="G36" s="13">
        <f>VLOOKUP(B36,'Base Cobertura'!$A:$C,3,FALSE)</f>
        <v>115</v>
      </c>
      <c r="H36" s="13">
        <f>VLOOKUP(B36,'Base Cobertura'!$A:$C,2,FALSE)</f>
        <v>12</v>
      </c>
      <c r="I36" s="17">
        <f t="shared" si="2"/>
        <v>85.75</v>
      </c>
      <c r="J36" t="s">
        <v>58</v>
      </c>
    </row>
    <row r="37" spans="1:12" x14ac:dyDescent="0.25">
      <c r="A37" s="141"/>
      <c r="B37">
        <v>57</v>
      </c>
      <c r="C37" s="12" t="str">
        <f>+AVANCE!B38</f>
        <v>57 - ROUBINEAU SEBASTIAN</v>
      </c>
      <c r="D37" s="22">
        <f t="shared" si="0"/>
        <v>0.28846153846153844</v>
      </c>
      <c r="E37" s="13">
        <v>17</v>
      </c>
      <c r="F37" s="12">
        <f t="shared" si="1"/>
        <v>13</v>
      </c>
      <c r="G37" s="13">
        <f>VLOOKUP(B37,'Base Cobertura'!$A:$C,3,FALSE)</f>
        <v>104</v>
      </c>
      <c r="H37" s="13">
        <f>VLOOKUP(B37,'Base Cobertura'!$A:$C,2,FALSE)</f>
        <v>30</v>
      </c>
      <c r="I37" s="17">
        <f t="shared" si="2"/>
        <v>58.399999999999991</v>
      </c>
      <c r="J37" t="s">
        <v>59</v>
      </c>
    </row>
    <row r="38" spans="1:12" ht="15.75" thickBot="1" x14ac:dyDescent="0.3">
      <c r="A38" s="141"/>
      <c r="B38">
        <v>1</v>
      </c>
      <c r="C38" s="12" t="str">
        <f>+AVANCE!B39</f>
        <v>1 - VERA ERNESTO</v>
      </c>
      <c r="D38" s="22">
        <f t="shared" si="0"/>
        <v>0.70078740157480313</v>
      </c>
      <c r="E38" s="13">
        <v>60</v>
      </c>
      <c r="F38" s="12">
        <f t="shared" si="1"/>
        <v>29</v>
      </c>
      <c r="G38" s="13">
        <f>VLOOKUP(B38,'Base Cobertura'!$A:$C,3,FALSE)</f>
        <v>127</v>
      </c>
      <c r="H38" s="13">
        <f>VLOOKUP(B38,'Base Cobertura'!$A:$C,2,FALSE)</f>
        <v>89</v>
      </c>
      <c r="I38" s="17">
        <f t="shared" si="2"/>
        <v>18.950000000000003</v>
      </c>
      <c r="J38" t="s">
        <v>55</v>
      </c>
      <c r="K38" t="s">
        <v>55</v>
      </c>
    </row>
    <row r="39" spans="1:12" ht="15.75" thickBot="1" x14ac:dyDescent="0.3">
      <c r="A39" s="142"/>
      <c r="C39" s="9"/>
      <c r="D39" s="23"/>
      <c r="E39" s="14"/>
      <c r="F39" s="8">
        <f>+SUM(F26:F38)</f>
        <v>467</v>
      </c>
      <c r="G39" s="8">
        <f>+SUM(G26:G38)</f>
        <v>1951</v>
      </c>
      <c r="H39" s="8">
        <f>+SUM(H26:H38)</f>
        <v>1189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1506</v>
      </c>
      <c r="G40" s="8">
        <f>+G15+G25+G39</f>
        <v>5729</v>
      </c>
      <c r="H40" s="8">
        <f>+H15+H25+H39</f>
        <v>3834</v>
      </c>
      <c r="I40" s="8"/>
      <c r="L40" s="1">
        <f>+H40/G40</f>
        <v>0.66922674114156044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0.28099173553719009</v>
      </c>
      <c r="E41" s="13">
        <v>60</v>
      </c>
      <c r="F41" s="12">
        <f t="shared" ref="F41:F42" si="5">+H41-E41</f>
        <v>-26</v>
      </c>
      <c r="G41" s="13">
        <f>VLOOKUP(B41,'Base Cobertura'!$A:$C,3,FALSE)</f>
        <v>121</v>
      </c>
      <c r="H41" s="13">
        <f>VLOOKUP(B41,'Base Cobertura'!$A:$C,2,FALSE)</f>
        <v>34</v>
      </c>
      <c r="I41" s="17">
        <f t="shared" ref="I41:I42" si="6">(+G41*$M$2)-H41</f>
        <v>68.849999999999994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0.35245901639344263</v>
      </c>
      <c r="E42" s="13">
        <v>60</v>
      </c>
      <c r="F42" s="12">
        <f t="shared" si="5"/>
        <v>-17</v>
      </c>
      <c r="G42" s="13">
        <f>VLOOKUP(B42,'Base Cobertura'!$A:$C,3,FALSE)</f>
        <v>122</v>
      </c>
      <c r="H42" s="13">
        <f>VLOOKUP(B42,'Base Cobertura'!$A:$C,2,FALSE)</f>
        <v>43</v>
      </c>
      <c r="I42" s="17">
        <f t="shared" si="6"/>
        <v>60.7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3433</v>
      </c>
      <c r="G3" t="s">
        <v>222</v>
      </c>
      <c r="H3" s="51">
        <v>1</v>
      </c>
      <c r="I3" s="51">
        <v>3433</v>
      </c>
    </row>
    <row r="4" spans="1:9" x14ac:dyDescent="0.25">
      <c r="A4">
        <v>1</v>
      </c>
      <c r="B4" s="51">
        <v>89</v>
      </c>
      <c r="C4" s="51">
        <v>127</v>
      </c>
      <c r="G4" t="s">
        <v>223</v>
      </c>
      <c r="H4">
        <v>2</v>
      </c>
      <c r="I4" s="51">
        <v>3433</v>
      </c>
    </row>
    <row r="5" spans="1:9" x14ac:dyDescent="0.25">
      <c r="A5">
        <v>10</v>
      </c>
      <c r="B5" s="51">
        <v>118</v>
      </c>
      <c r="C5" s="51">
        <v>181</v>
      </c>
      <c r="G5" t="s">
        <v>224</v>
      </c>
      <c r="H5" s="51">
        <v>1</v>
      </c>
      <c r="I5" s="51">
        <v>3433</v>
      </c>
    </row>
    <row r="6" spans="1:9" x14ac:dyDescent="0.25">
      <c r="A6">
        <v>100</v>
      </c>
      <c r="B6" s="51">
        <v>40</v>
      </c>
      <c r="C6" s="51">
        <v>2028</v>
      </c>
      <c r="G6" t="s">
        <v>225</v>
      </c>
      <c r="H6" s="51"/>
      <c r="I6" s="51">
        <v>3433</v>
      </c>
    </row>
    <row r="7" spans="1:9" x14ac:dyDescent="0.25">
      <c r="A7">
        <v>11</v>
      </c>
      <c r="B7" s="51">
        <v>121</v>
      </c>
      <c r="C7" s="51">
        <v>168</v>
      </c>
      <c r="G7" t="s">
        <v>226</v>
      </c>
      <c r="H7" s="51">
        <v>4</v>
      </c>
      <c r="I7" s="51">
        <v>3433</v>
      </c>
    </row>
    <row r="8" spans="1:9" x14ac:dyDescent="0.25">
      <c r="A8">
        <v>12</v>
      </c>
      <c r="B8" s="51">
        <v>172</v>
      </c>
      <c r="C8" s="51">
        <v>214</v>
      </c>
      <c r="G8" t="s">
        <v>227</v>
      </c>
      <c r="H8" s="51">
        <v>2</v>
      </c>
      <c r="I8" s="51">
        <v>3433</v>
      </c>
    </row>
    <row r="9" spans="1:9" x14ac:dyDescent="0.25">
      <c r="A9">
        <v>123</v>
      </c>
      <c r="B9" s="51">
        <v>34</v>
      </c>
      <c r="C9" s="51">
        <v>489</v>
      </c>
      <c r="G9" t="s">
        <v>228</v>
      </c>
      <c r="H9" s="51">
        <v>2</v>
      </c>
      <c r="I9" s="51">
        <v>3433</v>
      </c>
    </row>
    <row r="10" spans="1:9" x14ac:dyDescent="0.25">
      <c r="A10">
        <v>15</v>
      </c>
      <c r="B10" s="51">
        <v>47</v>
      </c>
      <c r="C10" s="51">
        <v>65</v>
      </c>
      <c r="G10" t="s">
        <v>229</v>
      </c>
      <c r="H10">
        <v>1</v>
      </c>
      <c r="I10" s="51">
        <v>3433</v>
      </c>
    </row>
    <row r="11" spans="1:9" x14ac:dyDescent="0.25">
      <c r="A11">
        <v>16</v>
      </c>
      <c r="B11" s="51">
        <v>141</v>
      </c>
      <c r="C11" s="51">
        <v>198</v>
      </c>
      <c r="G11" t="s">
        <v>230</v>
      </c>
      <c r="H11" s="51">
        <v>1</v>
      </c>
      <c r="I11" s="51">
        <v>3433</v>
      </c>
    </row>
    <row r="12" spans="1:9" x14ac:dyDescent="0.25">
      <c r="A12">
        <v>18</v>
      </c>
      <c r="B12" s="51">
        <v>145</v>
      </c>
      <c r="C12" s="51">
        <v>177</v>
      </c>
      <c r="E12">
        <f>+F12</f>
        <v>1</v>
      </c>
      <c r="F12">
        <v>1</v>
      </c>
      <c r="G12" t="s">
        <v>222</v>
      </c>
      <c r="H12">
        <v>39</v>
      </c>
      <c r="I12" s="51">
        <v>127</v>
      </c>
    </row>
    <row r="13" spans="1:9" x14ac:dyDescent="0.25">
      <c r="A13">
        <v>19</v>
      </c>
      <c r="B13" s="51">
        <v>174</v>
      </c>
      <c r="C13" s="51">
        <v>207</v>
      </c>
      <c r="E13">
        <f>+$E$12</f>
        <v>1</v>
      </c>
      <c r="G13" t="s">
        <v>223</v>
      </c>
      <c r="H13" s="51">
        <v>36</v>
      </c>
      <c r="I13" s="51">
        <v>127</v>
      </c>
    </row>
    <row r="14" spans="1:9" x14ac:dyDescent="0.25">
      <c r="A14">
        <v>2</v>
      </c>
      <c r="B14" s="51">
        <v>103</v>
      </c>
      <c r="C14" s="51">
        <v>138</v>
      </c>
      <c r="E14">
        <f t="shared" ref="E14:E20" si="0">+$E$12</f>
        <v>1</v>
      </c>
      <c r="G14" t="s">
        <v>224</v>
      </c>
      <c r="H14" s="51">
        <v>50</v>
      </c>
      <c r="I14" s="51">
        <v>127</v>
      </c>
    </row>
    <row r="15" spans="1:9" x14ac:dyDescent="0.25">
      <c r="A15">
        <v>20</v>
      </c>
      <c r="B15" s="51">
        <v>188</v>
      </c>
      <c r="C15" s="51">
        <v>227</v>
      </c>
      <c r="E15">
        <f t="shared" si="0"/>
        <v>1</v>
      </c>
      <c r="G15" t="s">
        <v>225</v>
      </c>
      <c r="H15" s="51">
        <v>34</v>
      </c>
      <c r="I15" s="51">
        <v>127</v>
      </c>
    </row>
    <row r="16" spans="1:9" x14ac:dyDescent="0.25">
      <c r="A16">
        <v>21</v>
      </c>
      <c r="B16" s="51">
        <v>143</v>
      </c>
      <c r="C16" s="51">
        <v>171</v>
      </c>
      <c r="E16">
        <f t="shared" si="0"/>
        <v>1</v>
      </c>
      <c r="G16" t="s">
        <v>226</v>
      </c>
      <c r="H16" s="51">
        <v>58</v>
      </c>
      <c r="I16" s="51">
        <v>127</v>
      </c>
    </row>
    <row r="17" spans="1:9" x14ac:dyDescent="0.25">
      <c r="A17">
        <v>22</v>
      </c>
      <c r="B17" s="51">
        <v>58</v>
      </c>
      <c r="C17" s="51">
        <v>74</v>
      </c>
      <c r="E17">
        <f t="shared" si="0"/>
        <v>1</v>
      </c>
      <c r="G17" t="s">
        <v>227</v>
      </c>
      <c r="H17" s="51">
        <v>53</v>
      </c>
      <c r="I17" s="51">
        <v>127</v>
      </c>
    </row>
    <row r="18" spans="1:9" x14ac:dyDescent="0.25">
      <c r="A18">
        <v>23</v>
      </c>
      <c r="B18" s="51">
        <v>123</v>
      </c>
      <c r="C18" s="51">
        <v>154</v>
      </c>
      <c r="E18">
        <f t="shared" si="0"/>
        <v>1</v>
      </c>
      <c r="G18" t="s">
        <v>228</v>
      </c>
      <c r="H18" s="51">
        <v>22</v>
      </c>
      <c r="I18" s="51">
        <v>127</v>
      </c>
    </row>
    <row r="19" spans="1:9" x14ac:dyDescent="0.25">
      <c r="A19">
        <v>24</v>
      </c>
      <c r="B19" s="51">
        <v>113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72</v>
      </c>
      <c r="C20" s="51">
        <v>172</v>
      </c>
      <c r="E20">
        <f t="shared" si="0"/>
        <v>1</v>
      </c>
      <c r="G20" t="s">
        <v>230</v>
      </c>
      <c r="H20">
        <v>34</v>
      </c>
      <c r="I20" s="51">
        <v>127</v>
      </c>
    </row>
    <row r="21" spans="1:9" x14ac:dyDescent="0.25">
      <c r="A21">
        <v>26</v>
      </c>
      <c r="B21" s="51">
        <v>64</v>
      </c>
      <c r="C21" s="51">
        <v>166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125</v>
      </c>
      <c r="C22" s="51">
        <v>139</v>
      </c>
      <c r="E22">
        <f t="shared" ref="E22:E29" si="1">+$F$21</f>
        <v>10</v>
      </c>
      <c r="G22" t="s">
        <v>223</v>
      </c>
      <c r="H22" s="51">
        <v>16</v>
      </c>
      <c r="I22" s="51">
        <v>181</v>
      </c>
    </row>
    <row r="23" spans="1:9" x14ac:dyDescent="0.25">
      <c r="A23">
        <v>28</v>
      </c>
      <c r="B23" s="51">
        <v>132</v>
      </c>
      <c r="C23" s="51">
        <v>168</v>
      </c>
      <c r="E23">
        <f t="shared" si="1"/>
        <v>10</v>
      </c>
      <c r="G23" t="s">
        <v>224</v>
      </c>
      <c r="H23" s="51">
        <v>51</v>
      </c>
      <c r="I23" s="51">
        <v>181</v>
      </c>
    </row>
    <row r="24" spans="1:9" x14ac:dyDescent="0.25">
      <c r="A24">
        <v>3</v>
      </c>
      <c r="B24" s="51">
        <v>134</v>
      </c>
      <c r="C24" s="51">
        <v>170</v>
      </c>
      <c r="E24">
        <f t="shared" si="1"/>
        <v>10</v>
      </c>
      <c r="G24" t="s">
        <v>225</v>
      </c>
      <c r="H24" s="51">
        <v>38</v>
      </c>
      <c r="I24" s="51">
        <v>181</v>
      </c>
    </row>
    <row r="25" spans="1:9" x14ac:dyDescent="0.25">
      <c r="A25">
        <v>30</v>
      </c>
      <c r="B25" s="51">
        <v>21</v>
      </c>
      <c r="C25" s="51">
        <v>139</v>
      </c>
      <c r="E25">
        <f t="shared" si="1"/>
        <v>10</v>
      </c>
      <c r="G25" t="s">
        <v>226</v>
      </c>
      <c r="H25" s="51">
        <v>61</v>
      </c>
      <c r="I25" s="51">
        <v>181</v>
      </c>
    </row>
    <row r="26" spans="1:9" x14ac:dyDescent="0.25">
      <c r="A26">
        <v>31</v>
      </c>
      <c r="B26" s="51">
        <v>121</v>
      </c>
      <c r="C26" s="51">
        <v>161</v>
      </c>
      <c r="E26">
        <f t="shared" si="1"/>
        <v>10</v>
      </c>
      <c r="G26" t="s">
        <v>227</v>
      </c>
      <c r="H26" s="51">
        <v>39</v>
      </c>
      <c r="I26" s="51">
        <v>181</v>
      </c>
    </row>
    <row r="27" spans="1:9" x14ac:dyDescent="0.25">
      <c r="A27">
        <v>32</v>
      </c>
      <c r="B27" s="51">
        <v>44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181</v>
      </c>
    </row>
    <row r="28" spans="1:9" x14ac:dyDescent="0.25">
      <c r="A28">
        <v>33</v>
      </c>
      <c r="B28" s="51">
        <v>129</v>
      </c>
      <c r="C28" s="51">
        <v>168</v>
      </c>
      <c r="E28">
        <f t="shared" si="1"/>
        <v>10</v>
      </c>
      <c r="G28" t="s">
        <v>229</v>
      </c>
      <c r="H28" s="51">
        <v>10</v>
      </c>
      <c r="I28" s="51">
        <v>181</v>
      </c>
    </row>
    <row r="29" spans="1:9" x14ac:dyDescent="0.25">
      <c r="A29">
        <v>36</v>
      </c>
      <c r="B29" s="51">
        <v>107</v>
      </c>
      <c r="C29" s="51">
        <v>160</v>
      </c>
      <c r="E29">
        <f t="shared" si="1"/>
        <v>10</v>
      </c>
      <c r="G29" t="s">
        <v>230</v>
      </c>
      <c r="H29" s="51">
        <v>18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25</v>
      </c>
      <c r="I30" s="51">
        <v>2028</v>
      </c>
    </row>
    <row r="31" spans="1:9" x14ac:dyDescent="0.25">
      <c r="A31">
        <v>4</v>
      </c>
      <c r="B31" s="51">
        <v>117</v>
      </c>
      <c r="C31" s="51">
        <v>182</v>
      </c>
      <c r="E31">
        <f t="shared" ref="E31:E38" si="2">+$F$30</f>
        <v>100</v>
      </c>
      <c r="G31" t="s">
        <v>223</v>
      </c>
      <c r="H31" s="51">
        <v>20</v>
      </c>
      <c r="I31" s="51">
        <v>2028</v>
      </c>
    </row>
    <row r="32" spans="1:9" x14ac:dyDescent="0.25">
      <c r="A32">
        <v>40</v>
      </c>
      <c r="B32" s="51">
        <v>105</v>
      </c>
      <c r="C32" s="51">
        <v>250</v>
      </c>
      <c r="E32">
        <f t="shared" si="2"/>
        <v>100</v>
      </c>
      <c r="G32" t="s">
        <v>224</v>
      </c>
      <c r="H32" s="51">
        <v>20</v>
      </c>
      <c r="I32" s="51">
        <v>2028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2028</v>
      </c>
    </row>
    <row r="34" spans="1:9" x14ac:dyDescent="0.25">
      <c r="A34">
        <v>43</v>
      </c>
      <c r="B34" s="51">
        <v>12</v>
      </c>
      <c r="C34" s="51">
        <v>93</v>
      </c>
      <c r="E34">
        <f t="shared" si="2"/>
        <v>100</v>
      </c>
      <c r="G34" t="s">
        <v>226</v>
      </c>
      <c r="H34" s="51">
        <v>24</v>
      </c>
      <c r="I34" s="51">
        <v>2028</v>
      </c>
    </row>
    <row r="35" spans="1:9" x14ac:dyDescent="0.25">
      <c r="A35">
        <v>44</v>
      </c>
      <c r="B35" s="51">
        <v>131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2028</v>
      </c>
    </row>
    <row r="36" spans="1:9" x14ac:dyDescent="0.25">
      <c r="A36">
        <v>49</v>
      </c>
      <c r="B36" s="51">
        <v>102</v>
      </c>
      <c r="C36" s="51">
        <v>241</v>
      </c>
      <c r="E36">
        <f t="shared" si="2"/>
        <v>100</v>
      </c>
      <c r="G36" t="s">
        <v>228</v>
      </c>
      <c r="H36" s="51">
        <v>19</v>
      </c>
      <c r="I36" s="51">
        <v>2028</v>
      </c>
    </row>
    <row r="37" spans="1:9" x14ac:dyDescent="0.25">
      <c r="A37">
        <v>5</v>
      </c>
      <c r="B37" s="51">
        <v>202</v>
      </c>
      <c r="C37" s="51">
        <v>261</v>
      </c>
      <c r="E37">
        <f t="shared" si="2"/>
        <v>100</v>
      </c>
      <c r="G37" t="s">
        <v>229</v>
      </c>
      <c r="H37" s="51">
        <v>6</v>
      </c>
      <c r="I37" s="51">
        <v>2028</v>
      </c>
    </row>
    <row r="38" spans="1:9" x14ac:dyDescent="0.25">
      <c r="A38">
        <v>52</v>
      </c>
      <c r="B38" s="51">
        <v>42</v>
      </c>
      <c r="C38" s="51">
        <v>101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54</v>
      </c>
      <c r="C39" s="51">
        <v>105</v>
      </c>
      <c r="E39">
        <f>+$F$39</f>
        <v>11</v>
      </c>
      <c r="F39">
        <v>11</v>
      </c>
      <c r="G39" t="s">
        <v>222</v>
      </c>
      <c r="H39" s="51">
        <v>42</v>
      </c>
      <c r="I39" s="51">
        <v>168</v>
      </c>
    </row>
    <row r="40" spans="1:9" x14ac:dyDescent="0.25">
      <c r="A40">
        <v>54</v>
      </c>
      <c r="B40" s="51">
        <v>115</v>
      </c>
      <c r="C40" s="51">
        <v>202</v>
      </c>
      <c r="E40">
        <f t="shared" ref="E40:E47" si="3">+$F$39</f>
        <v>11</v>
      </c>
      <c r="G40" t="s">
        <v>223</v>
      </c>
      <c r="H40" s="51">
        <v>25</v>
      </c>
      <c r="I40" s="51">
        <v>168</v>
      </c>
    </row>
    <row r="41" spans="1:9" x14ac:dyDescent="0.25">
      <c r="A41">
        <v>56</v>
      </c>
      <c r="B41">
        <v>79</v>
      </c>
      <c r="C41" s="51">
        <v>198</v>
      </c>
      <c r="E41">
        <f t="shared" si="3"/>
        <v>11</v>
      </c>
      <c r="G41" t="s">
        <v>224</v>
      </c>
      <c r="H41" s="51">
        <v>70</v>
      </c>
      <c r="I41" s="51">
        <v>168</v>
      </c>
    </row>
    <row r="42" spans="1:9" x14ac:dyDescent="0.25">
      <c r="A42">
        <v>57</v>
      </c>
      <c r="B42" s="51">
        <v>30</v>
      </c>
      <c r="C42" s="51">
        <v>104</v>
      </c>
      <c r="E42">
        <f t="shared" si="3"/>
        <v>11</v>
      </c>
      <c r="G42" t="s">
        <v>225</v>
      </c>
      <c r="H42" s="51">
        <v>38</v>
      </c>
      <c r="I42" s="51">
        <v>168</v>
      </c>
    </row>
    <row r="43" spans="1:9" x14ac:dyDescent="0.25">
      <c r="A43">
        <v>58</v>
      </c>
      <c r="B43" s="51">
        <v>34</v>
      </c>
      <c r="C43" s="51">
        <v>121</v>
      </c>
      <c r="E43">
        <f t="shared" si="3"/>
        <v>11</v>
      </c>
      <c r="G43" t="s">
        <v>226</v>
      </c>
      <c r="H43" s="51">
        <v>81</v>
      </c>
      <c r="I43" s="51">
        <v>168</v>
      </c>
    </row>
    <row r="44" spans="1:9" x14ac:dyDescent="0.25">
      <c r="A44">
        <v>59</v>
      </c>
      <c r="B44" s="51">
        <v>43</v>
      </c>
      <c r="C44" s="51">
        <v>122</v>
      </c>
      <c r="E44">
        <f t="shared" si="3"/>
        <v>11</v>
      </c>
      <c r="G44" t="s">
        <v>227</v>
      </c>
      <c r="H44" s="51">
        <v>55</v>
      </c>
      <c r="I44" s="51">
        <v>168</v>
      </c>
    </row>
    <row r="45" spans="1:9" x14ac:dyDescent="0.25">
      <c r="A45">
        <v>7</v>
      </c>
      <c r="B45" s="51">
        <v>12</v>
      </c>
      <c r="C45" s="51">
        <v>115</v>
      </c>
      <c r="E45">
        <f t="shared" si="3"/>
        <v>11</v>
      </c>
      <c r="G45" t="s">
        <v>228</v>
      </c>
      <c r="H45" s="51">
        <v>12</v>
      </c>
      <c r="I45" s="51">
        <v>168</v>
      </c>
    </row>
    <row r="46" spans="1:9" x14ac:dyDescent="0.25">
      <c r="A46">
        <v>8</v>
      </c>
      <c r="B46" s="51">
        <v>133</v>
      </c>
      <c r="C46" s="51">
        <v>195</v>
      </c>
      <c r="E46">
        <f t="shared" si="3"/>
        <v>11</v>
      </c>
      <c r="G46" t="s">
        <v>229</v>
      </c>
      <c r="H46" s="51">
        <v>23</v>
      </c>
      <c r="I46" s="51">
        <v>168</v>
      </c>
    </row>
    <row r="47" spans="1:9" x14ac:dyDescent="0.25">
      <c r="A47">
        <v>9</v>
      </c>
      <c r="B47" s="51">
        <v>116</v>
      </c>
      <c r="C47" s="51">
        <v>161</v>
      </c>
      <c r="E47">
        <f t="shared" si="3"/>
        <v>11</v>
      </c>
      <c r="G47" t="s">
        <v>230</v>
      </c>
      <c r="H47" s="51">
        <v>19</v>
      </c>
      <c r="I47" s="51">
        <v>168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61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41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77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74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72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17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19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34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20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18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20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2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20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7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4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30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17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33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14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19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40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20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80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32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76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63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10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37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20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50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42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55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44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108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73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19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31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35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49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30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83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48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119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85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29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33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23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47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45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39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63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48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13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20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29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75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57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98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59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111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101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34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33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61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58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89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50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113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92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25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35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31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37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24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32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27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46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25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42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25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27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55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82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41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99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77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13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27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22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40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12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27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66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47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20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9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29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25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52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44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47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18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38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14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24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31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34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18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23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50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23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53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36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88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76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22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28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19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17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43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37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79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72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15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20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51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32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64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39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84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70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16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29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26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10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1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6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1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51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26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38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95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71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29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15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27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16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18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34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13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43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36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52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38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70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66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12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23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15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32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15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49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43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72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46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19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12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13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23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40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24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13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14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35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53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46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77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56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19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34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35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24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5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29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34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67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63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28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18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12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33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32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75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40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101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83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17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27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25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31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13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53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15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43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32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40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17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24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81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67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101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47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136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97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38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40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31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8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42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37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22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64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45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77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57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19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23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31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13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23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32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30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3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12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9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21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25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24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6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7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12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17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14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19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25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19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9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4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3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3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4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6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46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33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68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25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82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70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23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41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39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49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43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36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61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63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16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22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24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1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1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1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1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1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1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1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1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1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1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1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1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1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3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1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1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1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1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1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1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1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1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3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1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1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1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1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1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1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1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1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1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1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1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1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COMISIONES</vt:lpstr>
      <vt:lpstr>AVANCE</vt:lpstr>
      <vt:lpstr>COBERTURA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2026-06-19T18:24:48Z</dcterms:modified>
</cp:coreProperties>
</file>