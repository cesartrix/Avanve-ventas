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A26E35A1-85C9-4B96-A606-D43697F9660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<sst xmlns="http://schemas.openxmlformats.org/spreadsheetml/2006/main" count="902" uniqueCount="235">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</sst>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97" t="s">
        <v>76</v>
      </c>
      <c r="B1" s="97" t="s">
        <v>147</v>
      </c>
      <c r="C1" s="97" t="s">
        <v>148</v>
      </c>
      <c r="D1" s="97" t="s">
        <v>149</v>
      </c>
      <c r="E1" s="97" t="s">
        <v>150</v>
      </c>
      <c r="F1" s="97" t="s">
        <v>151</v>
      </c>
      <c r="G1" s="97" t="s">
        <v>152</v>
      </c>
      <c r="H1" s="97" t="s">
        <v>153</v>
      </c>
    </row>
    <row r="2" spans="1:8" x14ac:dyDescent="0.25">
      <c r="A2" s="96" t="s">
        <v>154</v>
      </c>
      <c r="B2" s="96">
        <v>0</v>
      </c>
      <c r="C2" s="96">
        <v>41928.631166658197</v>
      </c>
      <c r="D2" s="96">
        <v>207302.19131536529</v>
      </c>
      <c r="E2" s="96">
        <v>677561890.16147554</v>
      </c>
      <c r="F2" s="96">
        <v>0</v>
      </c>
      <c r="G2" s="96">
        <v>332451.74828047713</v>
      </c>
      <c r="H2" s="96">
        <v>332451.90999999997</v>
      </c>
    </row>
    <row r="3" spans="1:8" x14ac:dyDescent="0.25">
      <c r="A3" s="96" t="s">
        <v>81</v>
      </c>
      <c r="B3" s="96">
        <v>1</v>
      </c>
      <c r="C3" s="96">
        <v>500.14311877310001</v>
      </c>
      <c r="D3" s="96">
        <v>880.13180968409995</v>
      </c>
      <c r="E3" s="96">
        <v>11081724.942682527</v>
      </c>
      <c r="F3" s="96">
        <v>0</v>
      </c>
      <c r="G3" s="96">
        <v>332451.74828047713</v>
      </c>
      <c r="H3" s="96">
        <v>332451.90999999997</v>
      </c>
    </row>
    <row r="4" spans="1:8" x14ac:dyDescent="0.25">
      <c r="A4" s="96" t="s">
        <v>82</v>
      </c>
      <c r="B4" s="96">
        <v>1</v>
      </c>
      <c r="C4" s="96">
        <v>287.18810317290001</v>
      </c>
      <c r="D4" s="96">
        <v>527.75910714140002</v>
      </c>
      <c r="E4" s="96">
        <v>7935947.3890327429</v>
      </c>
      <c r="F4" s="96">
        <v>0</v>
      </c>
      <c r="G4" s="96">
        <v>0</v>
      </c>
      <c r="H4" s="96">
        <v>0</v>
      </c>
    </row>
    <row r="5" spans="1:8" x14ac:dyDescent="0.25">
      <c r="A5" s="96" t="s">
        <v>83</v>
      </c>
      <c r="B5" s="96">
        <v>1</v>
      </c>
      <c r="C5" s="96">
        <v>396.25083333129999</v>
      </c>
      <c r="D5" s="96">
        <v>1278.5221071381</v>
      </c>
      <c r="E5" s="96">
        <v>8747383.1666885894</v>
      </c>
      <c r="F5" s="96">
        <v>0</v>
      </c>
      <c r="G5" s="96">
        <v>0</v>
      </c>
      <c r="H5" s="96">
        <v>0</v>
      </c>
    </row>
    <row r="6" spans="1:8" x14ac:dyDescent="0.25">
      <c r="A6" s="96" t="s">
        <v>84</v>
      </c>
      <c r="B6" s="96">
        <v>1</v>
      </c>
      <c r="C6" s="96">
        <v>852.71874999889997</v>
      </c>
      <c r="D6" s="96">
        <v>2348.9985714469999</v>
      </c>
      <c r="E6" s="96">
        <v>16797290.894173365</v>
      </c>
      <c r="F6" s="96">
        <v>0</v>
      </c>
      <c r="G6" s="96">
        <v>0</v>
      </c>
      <c r="H6" s="96">
        <v>0</v>
      </c>
    </row>
    <row r="7" spans="1:8" x14ac:dyDescent="0.25">
      <c r="A7" s="96" t="s">
        <v>85</v>
      </c>
      <c r="B7" s="96">
        <v>1</v>
      </c>
      <c r="C7" s="96">
        <v>771.12899602920004</v>
      </c>
      <c r="D7" s="96">
        <v>2640.9885119064002</v>
      </c>
      <c r="E7" s="96">
        <v>14914934.086527392</v>
      </c>
      <c r="F7" s="96">
        <v>0</v>
      </c>
      <c r="G7" s="96">
        <v>0</v>
      </c>
      <c r="H7" s="96">
        <v>0</v>
      </c>
    </row>
    <row r="8" spans="1:8" x14ac:dyDescent="0.25">
      <c r="A8" s="96" t="s">
        <v>111</v>
      </c>
      <c r="B8" s="96">
        <v>1</v>
      </c>
      <c r="C8" s="96">
        <v>2434.2782407408999</v>
      </c>
      <c r="D8" s="96">
        <v>3889.9464768542002</v>
      </c>
      <c r="E8" s="96">
        <v>33451176.522885799</v>
      </c>
      <c r="F8" s="96">
        <v>0</v>
      </c>
      <c r="G8" s="96">
        <v>0</v>
      </c>
      <c r="H8" s="96">
        <v>0</v>
      </c>
    </row>
    <row r="9" spans="1:8" x14ac:dyDescent="0.25">
      <c r="A9" s="96" t="s">
        <v>86</v>
      </c>
      <c r="B9" s="96">
        <v>1</v>
      </c>
      <c r="C9" s="96">
        <v>492.95461507919998</v>
      </c>
      <c r="D9" s="96">
        <v>2075.5115416671001</v>
      </c>
      <c r="E9" s="96">
        <v>8806933.4567012265</v>
      </c>
      <c r="F9" s="96">
        <v>0</v>
      </c>
      <c r="G9" s="96">
        <v>0</v>
      </c>
      <c r="H9" s="96">
        <v>0</v>
      </c>
    </row>
    <row r="10" spans="1:8" x14ac:dyDescent="0.25">
      <c r="A10" s="96" t="s">
        <v>87</v>
      </c>
      <c r="B10" s="96">
        <v>1</v>
      </c>
      <c r="C10" s="96">
        <v>421.65004960290003</v>
      </c>
      <c r="D10" s="96">
        <v>1037.2136479307001</v>
      </c>
      <c r="E10" s="96">
        <v>9823471.9917300809</v>
      </c>
      <c r="F10" s="96">
        <v>0</v>
      </c>
      <c r="G10" s="96">
        <v>0</v>
      </c>
      <c r="H10" s="96">
        <v>0</v>
      </c>
    </row>
    <row r="11" spans="1:8" x14ac:dyDescent="0.25">
      <c r="A11" s="96" t="s">
        <v>213</v>
      </c>
      <c r="B11" s="96">
        <v>1</v>
      </c>
      <c r="C11" s="96">
        <v>387.68936904610001</v>
      </c>
      <c r="D11" s="96">
        <v>962.63459523810002</v>
      </c>
      <c r="E11" s="96">
        <v>6665534.1859788187</v>
      </c>
      <c r="F11" s="96">
        <v>0</v>
      </c>
      <c r="G11" s="96">
        <v>0</v>
      </c>
      <c r="H11" s="96">
        <v>0</v>
      </c>
    </row>
    <row r="12" spans="1:8" x14ac:dyDescent="0.25">
      <c r="A12" s="96" t="s">
        <v>212</v>
      </c>
      <c r="B12" s="96">
        <v>1</v>
      </c>
      <c r="C12" s="96">
        <v>679.03967460050001</v>
      </c>
      <c r="D12" s="96">
        <v>3407.0478690399</v>
      </c>
      <c r="E12" s="96">
        <v>10931376.163111016</v>
      </c>
      <c r="F12" s="96">
        <v>0</v>
      </c>
      <c r="G12" s="96">
        <v>0</v>
      </c>
      <c r="H12" s="96">
        <v>0</v>
      </c>
    </row>
    <row r="13" spans="1:8" x14ac:dyDescent="0.25">
      <c r="A13" s="96" t="s">
        <v>90</v>
      </c>
      <c r="B13" s="96">
        <v>1</v>
      </c>
      <c r="C13" s="96">
        <v>871.83837301480003</v>
      </c>
      <c r="D13" s="96">
        <v>1883.8193690534999</v>
      </c>
      <c r="E13" s="96">
        <v>14492216.412792483</v>
      </c>
      <c r="F13" s="96">
        <v>0</v>
      </c>
      <c r="G13" s="96">
        <v>0</v>
      </c>
      <c r="H13" s="96">
        <v>0</v>
      </c>
    </row>
    <row r="14" spans="1:8" x14ac:dyDescent="0.25">
      <c r="A14" s="96" t="s">
        <v>91</v>
      </c>
      <c r="B14" s="96">
        <v>1</v>
      </c>
      <c r="C14" s="96">
        <v>3687.1787698415001</v>
      </c>
      <c r="D14" s="96">
        <v>34116.466666663298</v>
      </c>
      <c r="E14" s="96">
        <v>59180827.134406224</v>
      </c>
      <c r="F14" s="96">
        <v>0</v>
      </c>
      <c r="G14" s="96">
        <v>0</v>
      </c>
      <c r="H14" s="96">
        <v>0</v>
      </c>
    </row>
    <row r="15" spans="1:8" x14ac:dyDescent="0.25">
      <c r="A15" s="96" t="s">
        <v>92</v>
      </c>
      <c r="B15" s="96">
        <v>1</v>
      </c>
      <c r="C15" s="96">
        <v>695.49613095029997</v>
      </c>
      <c r="D15" s="96">
        <v>2584.5916666585999</v>
      </c>
      <c r="E15" s="96">
        <v>12686900.332479352</v>
      </c>
      <c r="F15" s="96">
        <v>0</v>
      </c>
      <c r="G15" s="96">
        <v>0</v>
      </c>
      <c r="H15" s="96">
        <v>0</v>
      </c>
    </row>
    <row r="16" spans="1:8" x14ac:dyDescent="0.25">
      <c r="A16" s="96" t="s">
        <v>93</v>
      </c>
      <c r="B16" s="96">
        <v>1</v>
      </c>
      <c r="C16" s="96">
        <v>372.736309522</v>
      </c>
      <c r="D16" s="96">
        <v>1829.9713690543999</v>
      </c>
      <c r="E16" s="96">
        <v>9582764.4529769439</v>
      </c>
      <c r="F16" s="96">
        <v>0</v>
      </c>
      <c r="G16" s="96">
        <v>0</v>
      </c>
      <c r="H16" s="96">
        <v>0</v>
      </c>
    </row>
    <row r="17" spans="1:8" x14ac:dyDescent="0.25">
      <c r="A17" s="96" t="s">
        <v>94</v>
      </c>
      <c r="B17" s="96">
        <v>1</v>
      </c>
      <c r="C17" s="96">
        <v>840.47349206139995</v>
      </c>
      <c r="D17" s="96">
        <v>2245.6983690565999</v>
      </c>
      <c r="E17" s="96">
        <v>16167381.13479867</v>
      </c>
      <c r="F17" s="96">
        <v>0</v>
      </c>
      <c r="G17" s="96">
        <v>0</v>
      </c>
      <c r="H17" s="96">
        <v>0</v>
      </c>
    </row>
    <row r="18" spans="1:8" x14ac:dyDescent="0.25">
      <c r="A18" s="96" t="s">
        <v>95</v>
      </c>
      <c r="B18" s="96">
        <v>1</v>
      </c>
      <c r="C18" s="96">
        <v>971.22653571319995</v>
      </c>
      <c r="D18" s="96">
        <v>4114.9628690424997</v>
      </c>
      <c r="E18" s="96">
        <v>19062578.988594737</v>
      </c>
      <c r="F18" s="96">
        <v>0</v>
      </c>
      <c r="G18" s="96">
        <v>0</v>
      </c>
      <c r="H18" s="96">
        <v>0</v>
      </c>
    </row>
    <row r="19" spans="1:8" x14ac:dyDescent="0.25">
      <c r="A19" s="96" t="s">
        <v>96</v>
      </c>
      <c r="B19" s="96">
        <v>1</v>
      </c>
      <c r="C19" s="96">
        <v>939.20582407220002</v>
      </c>
      <c r="D19" s="96">
        <v>3457.2247262034998</v>
      </c>
      <c r="E19" s="96">
        <v>18556073.997634564</v>
      </c>
      <c r="F19" s="96">
        <v>0</v>
      </c>
      <c r="G19" s="96">
        <v>0</v>
      </c>
      <c r="H19" s="96">
        <v>0</v>
      </c>
    </row>
    <row r="20" spans="1:8" x14ac:dyDescent="0.25">
      <c r="A20" s="96" t="s">
        <v>97</v>
      </c>
      <c r="B20" s="96">
        <v>1</v>
      </c>
      <c r="C20" s="96">
        <v>3071.8499801587</v>
      </c>
      <c r="D20" s="96">
        <v>13712.0793333276</v>
      </c>
      <c r="E20" s="96">
        <v>45072979.61650601</v>
      </c>
      <c r="F20" s="96">
        <v>0</v>
      </c>
      <c r="G20" s="96">
        <v>0</v>
      </c>
      <c r="H20" s="96">
        <v>0</v>
      </c>
    </row>
    <row r="21" spans="1:8" x14ac:dyDescent="0.25">
      <c r="A21" s="96" t="s">
        <v>98</v>
      </c>
      <c r="B21" s="96">
        <v>1</v>
      </c>
      <c r="C21" s="96">
        <v>420.4204166641</v>
      </c>
      <c r="D21" s="96">
        <v>1629.9108809618001</v>
      </c>
      <c r="E21" s="96">
        <v>9684737.8484921921</v>
      </c>
      <c r="F21" s="96">
        <v>0</v>
      </c>
      <c r="G21" s="96">
        <v>0</v>
      </c>
      <c r="H21" s="96">
        <v>0</v>
      </c>
    </row>
    <row r="22" spans="1:8" x14ac:dyDescent="0.25">
      <c r="A22" s="96" t="s">
        <v>207</v>
      </c>
      <c r="B22" s="96">
        <v>1</v>
      </c>
      <c r="C22" s="96">
        <v>348.21431745899997</v>
      </c>
      <c r="D22" s="96">
        <v>1238.0315238086</v>
      </c>
      <c r="E22" s="96">
        <v>6222492.2724699304</v>
      </c>
      <c r="F22" s="96">
        <v>0</v>
      </c>
      <c r="G22" s="96">
        <v>0</v>
      </c>
      <c r="H22" s="96">
        <v>0</v>
      </c>
    </row>
    <row r="23" spans="1:8" x14ac:dyDescent="0.25">
      <c r="A23" s="96" t="s">
        <v>155</v>
      </c>
      <c r="B23" s="96">
        <v>1</v>
      </c>
      <c r="C23" s="96">
        <v>1923.2949206333999</v>
      </c>
      <c r="D23" s="96">
        <v>10953.3035833293</v>
      </c>
      <c r="E23" s="96">
        <v>36341982.308257863</v>
      </c>
      <c r="F23" s="96">
        <v>0</v>
      </c>
      <c r="G23" s="96">
        <v>0</v>
      </c>
      <c r="H23" s="96">
        <v>0</v>
      </c>
    </row>
    <row r="24" spans="1:8" x14ac:dyDescent="0.25">
      <c r="A24" s="96" t="s">
        <v>220</v>
      </c>
      <c r="B24" s="96">
        <v>1</v>
      </c>
      <c r="C24" s="96">
        <v>1862.3213293652</v>
      </c>
      <c r="D24" s="96">
        <v>15300.7601488083</v>
      </c>
      <c r="E24" s="96">
        <v>32504670.724847101</v>
      </c>
      <c r="F24" s="96">
        <v>0</v>
      </c>
      <c r="G24" s="96">
        <v>0</v>
      </c>
      <c r="H24" s="96">
        <v>0</v>
      </c>
    </row>
    <row r="25" spans="1:8" x14ac:dyDescent="0.25">
      <c r="A25" s="96" t="s">
        <v>99</v>
      </c>
      <c r="B25" s="96">
        <v>1</v>
      </c>
      <c r="C25" s="96">
        <v>515.25296825299995</v>
      </c>
      <c r="D25" s="96">
        <v>1997.2391666768001</v>
      </c>
      <c r="E25" s="96">
        <v>9407600.5395302419</v>
      </c>
      <c r="F25" s="96">
        <v>0</v>
      </c>
      <c r="G25" s="96">
        <v>0</v>
      </c>
      <c r="H25" s="96">
        <v>0</v>
      </c>
    </row>
    <row r="26" spans="1:8" x14ac:dyDescent="0.25">
      <c r="A26" s="96" t="s">
        <v>100</v>
      </c>
      <c r="B26" s="96">
        <v>1</v>
      </c>
      <c r="C26" s="96">
        <v>454.00863095120002</v>
      </c>
      <c r="D26" s="96">
        <v>959.78791666929999</v>
      </c>
      <c r="E26" s="96">
        <v>6448364.3120282274</v>
      </c>
      <c r="F26" s="96">
        <v>0</v>
      </c>
      <c r="G26" s="96">
        <v>0</v>
      </c>
      <c r="H26" s="96">
        <v>0</v>
      </c>
    </row>
    <row r="27" spans="1:8" x14ac:dyDescent="0.25">
      <c r="A27" s="96" t="s">
        <v>221</v>
      </c>
      <c r="B27" s="96">
        <v>1</v>
      </c>
      <c r="C27" s="96">
        <v>5166.5</v>
      </c>
      <c r="D27" s="96">
        <v>15335.54</v>
      </c>
      <c r="E27" s="96">
        <v>50661514.217519999</v>
      </c>
      <c r="F27" s="96">
        <v>0</v>
      </c>
      <c r="G27" s="96">
        <v>0</v>
      </c>
      <c r="H27" s="96">
        <v>0</v>
      </c>
    </row>
    <row r="28" spans="1:8" x14ac:dyDescent="0.25">
      <c r="A28" s="96" t="s">
        <v>233</v>
      </c>
      <c r="B28" s="96">
        <v>1</v>
      </c>
      <c r="C28" s="96">
        <v>705.33491732590005</v>
      </c>
      <c r="D28" s="96">
        <v>3127.0876711410001</v>
      </c>
      <c r="E28" s="96">
        <v>13932220.499480665</v>
      </c>
      <c r="F28" s="96">
        <v>0</v>
      </c>
      <c r="G28" s="96">
        <v>0</v>
      </c>
      <c r="H28" s="96">
        <v>0</v>
      </c>
    </row>
    <row r="29" spans="1:8" x14ac:dyDescent="0.25">
      <c r="A29" s="96" t="s">
        <v>214</v>
      </c>
      <c r="B29" s="96">
        <v>1</v>
      </c>
      <c r="C29" s="96">
        <v>2601.9821825396998</v>
      </c>
      <c r="D29" s="96">
        <v>7049.6216666716</v>
      </c>
      <c r="E29" s="96">
        <v>33450220.947755333</v>
      </c>
      <c r="F29" s="96">
        <v>0</v>
      </c>
      <c r="G29" s="96">
        <v>0</v>
      </c>
      <c r="H29" s="96">
        <v>0</v>
      </c>
    </row>
    <row r="30" spans="1:8" x14ac:dyDescent="0.25">
      <c r="A30" s="96" t="s">
        <v>139</v>
      </c>
      <c r="B30" s="96">
        <v>1</v>
      </c>
      <c r="C30" s="96">
        <v>259.70168650789998</v>
      </c>
      <c r="D30" s="96">
        <v>1219.7308333378</v>
      </c>
      <c r="E30" s="96">
        <v>5618690.4157067938</v>
      </c>
      <c r="F30" s="96">
        <v>0</v>
      </c>
      <c r="G30" s="96">
        <v>0</v>
      </c>
      <c r="H30" s="96">
        <v>0</v>
      </c>
    </row>
    <row r="31" spans="1:8" x14ac:dyDescent="0.25">
      <c r="A31" s="96" t="s">
        <v>216</v>
      </c>
      <c r="B31" s="96">
        <v>1</v>
      </c>
      <c r="C31" s="96">
        <v>328.83323412499999</v>
      </c>
      <c r="D31" s="96">
        <v>741.89249999850006</v>
      </c>
      <c r="E31" s="96">
        <v>5777964.8325451156</v>
      </c>
      <c r="F31" s="96">
        <v>0</v>
      </c>
      <c r="G31" s="96">
        <v>0</v>
      </c>
      <c r="H31" s="96">
        <v>0</v>
      </c>
    </row>
    <row r="32" spans="1:8" x14ac:dyDescent="0.25">
      <c r="A32" s="96" t="s">
        <v>104</v>
      </c>
      <c r="B32" s="96">
        <v>1</v>
      </c>
      <c r="C32" s="96">
        <v>174.87857142839999</v>
      </c>
      <c r="D32" s="96">
        <v>674.03041666670003</v>
      </c>
      <c r="E32" s="96">
        <v>3802949.3075159392</v>
      </c>
      <c r="F32" s="96">
        <v>0</v>
      </c>
      <c r="G32" s="96">
        <v>0</v>
      </c>
      <c r="H32" s="96">
        <v>0</v>
      </c>
    </row>
    <row r="33" spans="1:8" x14ac:dyDescent="0.25">
      <c r="A33" s="96" t="s">
        <v>215</v>
      </c>
      <c r="B33" s="96">
        <v>1</v>
      </c>
      <c r="C33" s="96">
        <v>471.37511904659999</v>
      </c>
      <c r="D33" s="96">
        <v>1852.1960000014001</v>
      </c>
      <c r="E33" s="96">
        <v>8588184.3117468338</v>
      </c>
      <c r="F33" s="96">
        <v>0</v>
      </c>
      <c r="G33" s="96">
        <v>0</v>
      </c>
      <c r="H33" s="96">
        <v>0</v>
      </c>
    </row>
    <row r="34" spans="1:8" x14ac:dyDescent="0.25">
      <c r="A34" s="96" t="s">
        <v>231</v>
      </c>
      <c r="B34" s="96">
        <v>1</v>
      </c>
      <c r="C34" s="96">
        <v>67.860218253900001</v>
      </c>
      <c r="D34" s="96">
        <v>852.25708333290004</v>
      </c>
      <c r="E34" s="96">
        <v>1880938.5392911113</v>
      </c>
      <c r="F34" s="96">
        <v>0</v>
      </c>
      <c r="G34" s="96">
        <v>0</v>
      </c>
      <c r="H34" s="96">
        <v>0</v>
      </c>
    </row>
    <row r="35" spans="1:8" x14ac:dyDescent="0.25">
      <c r="A35" s="96" t="s">
        <v>206</v>
      </c>
      <c r="B35" s="96">
        <v>1</v>
      </c>
      <c r="C35" s="96">
        <v>148</v>
      </c>
      <c r="D35" s="96">
        <v>292.8</v>
      </c>
      <c r="E35" s="96">
        <v>2013486.1534</v>
      </c>
      <c r="F35" s="96">
        <v>0</v>
      </c>
      <c r="G35" s="96">
        <v>0</v>
      </c>
      <c r="H35" s="96">
        <v>0</v>
      </c>
    </row>
    <row r="36" spans="1:8" x14ac:dyDescent="0.25">
      <c r="A36" s="96" t="s">
        <v>162</v>
      </c>
      <c r="B36" s="96">
        <v>1</v>
      </c>
      <c r="C36" s="96">
        <v>738.56251190319995</v>
      </c>
      <c r="D36" s="96">
        <v>2450.4147023866999</v>
      </c>
      <c r="E36" s="96">
        <v>12619217.089428457</v>
      </c>
      <c r="F36" s="96">
        <v>0</v>
      </c>
      <c r="G36" s="96">
        <v>0</v>
      </c>
      <c r="H36" s="96">
        <v>0</v>
      </c>
    </row>
    <row r="37" spans="1:8" x14ac:dyDescent="0.25">
      <c r="A37" s="96" t="s">
        <v>107</v>
      </c>
      <c r="B37" s="96">
        <v>1</v>
      </c>
      <c r="C37" s="96">
        <v>644.06299603219998</v>
      </c>
      <c r="D37" s="96">
        <v>3989.6771547639</v>
      </c>
      <c r="E37" s="96">
        <v>12726652.901956733</v>
      </c>
      <c r="F37" s="96">
        <v>0</v>
      </c>
      <c r="G37" s="96">
        <v>0</v>
      </c>
      <c r="H37" s="96">
        <v>0</v>
      </c>
    </row>
    <row r="38" spans="1:8" x14ac:dyDescent="0.25">
      <c r="A38" s="96" t="s">
        <v>112</v>
      </c>
      <c r="B38" s="96">
        <v>1</v>
      </c>
      <c r="C38" s="96">
        <v>543.83686868660004</v>
      </c>
      <c r="D38" s="96">
        <v>6586.7099999968004</v>
      </c>
      <c r="E38" s="96">
        <v>12063016.447646325</v>
      </c>
      <c r="F38" s="96">
        <v>0</v>
      </c>
      <c r="G38" s="96">
        <v>0</v>
      </c>
      <c r="H38" s="96">
        <v>0</v>
      </c>
    </row>
    <row r="39" spans="1:8" x14ac:dyDescent="0.25">
      <c r="A39" s="96" t="s">
        <v>108</v>
      </c>
      <c r="B39" s="96">
        <v>1</v>
      </c>
      <c r="C39" s="96">
        <v>1148.5833333333001</v>
      </c>
      <c r="D39" s="96">
        <v>14031.3499999982</v>
      </c>
      <c r="E39" s="96">
        <v>25192644.671372555</v>
      </c>
      <c r="F39" s="96">
        <v>0</v>
      </c>
      <c r="G39" s="96">
        <v>0</v>
      </c>
      <c r="H39" s="96">
        <v>0</v>
      </c>
    </row>
    <row r="40" spans="1:8" x14ac:dyDescent="0.25">
      <c r="A40" s="96" t="s">
        <v>234</v>
      </c>
      <c r="B40" s="96">
        <v>1</v>
      </c>
      <c r="C40" s="96">
        <v>919.90530423300004</v>
      </c>
      <c r="D40" s="96">
        <v>5011.6447367884002</v>
      </c>
      <c r="E40" s="96">
        <v>10463850.92498962</v>
      </c>
      <c r="F40" s="96">
        <v>0</v>
      </c>
      <c r="G40" s="96">
        <v>0</v>
      </c>
      <c r="H40" s="96">
        <v>0</v>
      </c>
    </row>
    <row r="41" spans="1:8" x14ac:dyDescent="0.25">
      <c r="A41" s="96" t="s">
        <v>140</v>
      </c>
      <c r="B41" s="96">
        <v>1</v>
      </c>
      <c r="C41" s="96">
        <v>1673.1505158728</v>
      </c>
      <c r="D41" s="96">
        <v>9756.1595238119007</v>
      </c>
      <c r="E41" s="96">
        <v>19594052.122893002</v>
      </c>
      <c r="F41" s="96">
        <v>0</v>
      </c>
      <c r="G41" s="96">
        <v>0</v>
      </c>
      <c r="H41" s="96">
        <v>0</v>
      </c>
    </row>
    <row r="42" spans="1:8" x14ac:dyDescent="0.25">
      <c r="A42" s="96" t="s">
        <v>217</v>
      </c>
      <c r="B42" s="96">
        <v>1</v>
      </c>
      <c r="C42" s="96">
        <v>162.06111111109999</v>
      </c>
      <c r="D42" s="96">
        <v>2287.8899999998998</v>
      </c>
      <c r="E42" s="96">
        <v>4305943.4722995181</v>
      </c>
      <c r="F42" s="96">
        <v>0</v>
      </c>
      <c r="G42" s="96">
        <v>0</v>
      </c>
      <c r="H42" s="96">
        <v>0</v>
      </c>
    </row>
    <row r="43" spans="1:8" x14ac:dyDescent="0.25">
      <c r="A43" s="96" t="s">
        <v>145</v>
      </c>
      <c r="B43" s="96">
        <v>1</v>
      </c>
      <c r="C43" s="96">
        <v>227.30500992079999</v>
      </c>
      <c r="D43" s="96">
        <v>1095.8402098199001</v>
      </c>
      <c r="E43" s="96">
        <v>6840893.5633781236</v>
      </c>
      <c r="F43" s="96">
        <v>0</v>
      </c>
      <c r="G43" s="96">
        <v>0</v>
      </c>
      <c r="H43" s="96">
        <v>0</v>
      </c>
    </row>
    <row r="44" spans="1:8" x14ac:dyDescent="0.25">
      <c r="A44" s="96" t="s">
        <v>146</v>
      </c>
      <c r="B44" s="96">
        <v>1</v>
      </c>
      <c r="C44" s="96">
        <v>1046.7694444448</v>
      </c>
      <c r="D44" s="96">
        <v>12465.4199404748</v>
      </c>
      <c r="E44" s="96">
        <v>14127537.863605659</v>
      </c>
      <c r="F44" s="96">
        <v>0</v>
      </c>
      <c r="G44" s="96">
        <v>0</v>
      </c>
      <c r="H44" s="96">
        <v>0</v>
      </c>
    </row>
    <row r="45" spans="1:8" x14ac:dyDescent="0.25">
      <c r="A45" s="96" t="s">
        <v>156</v>
      </c>
      <c r="B45" s="96">
        <v>1</v>
      </c>
      <c r="C45" s="96">
        <v>381.49339285799999</v>
      </c>
      <c r="D45" s="96">
        <v>3434.3270488133999</v>
      </c>
      <c r="E45" s="96">
        <v>7757835.1522215344</v>
      </c>
      <c r="F45" s="96">
        <v>0</v>
      </c>
      <c r="G45" s="96">
        <v>0</v>
      </c>
      <c r="H45" s="96">
        <v>0</v>
      </c>
    </row>
    <row r="46" spans="1:8" x14ac:dyDescent="0.25">
      <c r="A46" s="96" t="s">
        <v>232</v>
      </c>
      <c r="B46" s="96">
        <v>1</v>
      </c>
      <c r="C46" s="96">
        <v>321.875</v>
      </c>
      <c r="D46" s="96">
        <v>-24.9999999996</v>
      </c>
      <c r="E46" s="96">
        <v>1576733.851396092</v>
      </c>
      <c r="F46" s="96">
        <v>0</v>
      </c>
      <c r="G46" s="96">
        <v>0</v>
      </c>
      <c r="H46" s="9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2" sqref="E2:E44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bestFit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19062578.988594737</v>
      </c>
      <c r="E2" s="59">
        <v>17439906.551381622</v>
      </c>
      <c r="F2" s="59">
        <f t="shared" ref="F2:F9" si="0">+D2-E2</f>
        <v>1622672.4372131154</v>
      </c>
      <c r="G2" s="60">
        <f t="shared" ref="G2:G41" si="1">+D2/C2</f>
        <v>0.59055527523998486</v>
      </c>
      <c r="H2" s="59">
        <f>+D2/$N$3*$N$4</f>
        <v>45750189.572627366</v>
      </c>
      <c r="I2" s="60">
        <f t="shared" ref="I2:I41" si="2">+H2/C2</f>
        <v>1.4173326605759635</v>
      </c>
      <c r="J2" s="59">
        <f>+D2/$N$3</f>
        <v>1906257.8988594736</v>
      </c>
      <c r="K2" s="59">
        <f t="shared" ref="K2:K41" si="3">+(C2-D2)/$N$2</f>
        <v>944035.54640400119</v>
      </c>
      <c r="L2" s="61" cm="1">
        <f t="array" ref="L2">+_xlfn.IFS(I2&gt;114%,H2*0.02,I2&gt;109%,H2*0.015,I2&gt;104%,H2*0.0125,I2&gt;99%,H2*0.01,I2&lt;99%,H2*0)</f>
        <v>915003.7914525473</v>
      </c>
      <c r="M2" s="53" t="s">
        <v>36</v>
      </c>
      <c r="N2">
        <v>14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16167381.13479867</v>
      </c>
      <c r="E3" s="4">
        <v>14059558.299505398</v>
      </c>
      <c r="F3" s="4">
        <f t="shared" si="0"/>
        <v>2107822.8352932725</v>
      </c>
      <c r="G3" s="5">
        <f t="shared" si="1"/>
        <v>0.52181915812752067</v>
      </c>
      <c r="H3" s="4">
        <f t="shared" ref="H3:H41" si="4">+D3/$N$3*$N$4</f>
        <v>38801714.723516807</v>
      </c>
      <c r="I3" s="5">
        <f t="shared" si="2"/>
        <v>1.2523659795060496</v>
      </c>
      <c r="J3" s="4">
        <f t="shared" ref="J3:J41" si="5">+D3/$N$3</f>
        <v>1616738.1134798671</v>
      </c>
      <c r="K3" s="4">
        <f t="shared" si="3"/>
        <v>1058239.0745774703</v>
      </c>
      <c r="L3" s="63" cm="1">
        <f t="array" ref="L3">+_xlfn.IFS(I3&gt;114%,H3*0.02,I3&gt;109%,H3*0.015,I3&gt;104%,H3*0.0125,I3&gt;99%,H3*0.01,I3&lt;99%,H3*0)</f>
        <v>776034.29447033617</v>
      </c>
      <c r="M3" s="53" t="s">
        <v>40</v>
      </c>
      <c r="N3">
        <f>N4-N2</f>
        <v>10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12686900.332479352</v>
      </c>
      <c r="E4" s="4">
        <v>11854719.440338746</v>
      </c>
      <c r="F4" s="4">
        <f t="shared" si="0"/>
        <v>832180.89214060642</v>
      </c>
      <c r="G4" s="5">
        <f t="shared" si="1"/>
        <v>0.44687870246512368</v>
      </c>
      <c r="H4" s="4">
        <f t="shared" si="4"/>
        <v>30448560.797950443</v>
      </c>
      <c r="I4" s="5">
        <f t="shared" si="2"/>
        <v>1.0725088859162968</v>
      </c>
      <c r="J4" s="4">
        <f t="shared" si="5"/>
        <v>1268690.0332479351</v>
      </c>
      <c r="K4" s="4">
        <f t="shared" si="3"/>
        <v>1121652.2091192072</v>
      </c>
      <c r="L4" s="63" cm="1">
        <f t="array" ref="L4">+_xlfn.IFS(I4&gt;114%,H4*0.02,I4&gt;109%,H4*0.015,I4&gt;104%,H4*0.0125,I4&gt;99%,H4*0.01,I4&lt;99%,H4*0)</f>
        <v>380607.00997438055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14492216.412792483</v>
      </c>
      <c r="E5" s="4">
        <v>11920566.462441558</v>
      </c>
      <c r="F5" s="4">
        <f t="shared" si="0"/>
        <v>2571649.9503509253</v>
      </c>
      <c r="G5" s="5">
        <f t="shared" si="1"/>
        <v>0.51046849085846357</v>
      </c>
      <c r="H5" s="4">
        <f t="shared" si="4"/>
        <v>34781319.390701957</v>
      </c>
      <c r="I5" s="5">
        <f t="shared" si="2"/>
        <v>1.2251243780603125</v>
      </c>
      <c r="J5" s="4">
        <f t="shared" si="5"/>
        <v>1449221.6412792483</v>
      </c>
      <c r="K5" s="4">
        <f t="shared" si="3"/>
        <v>992701.06052541209</v>
      </c>
      <c r="L5" s="63" cm="1">
        <f t="array" ref="L5">+_xlfn.IFS(I5&gt;114%,H5*0.02,I5&gt;109%,H5*0.015,I5&gt;104%,H5*0.0125,I5&gt;99%,H5*0.01,I5&lt;99%,H5*0)</f>
        <v>695626.38781403913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10931376.163111016</v>
      </c>
      <c r="E6" s="4">
        <v>10222287.133025508</v>
      </c>
      <c r="F6" s="4">
        <f t="shared" si="0"/>
        <v>709089.03008550778</v>
      </c>
      <c r="G6" s="5">
        <f t="shared" si="1"/>
        <v>0.46459705649064303</v>
      </c>
      <c r="H6" s="4">
        <f t="shared" si="4"/>
        <v>26235302.791466441</v>
      </c>
      <c r="I6" s="5">
        <f t="shared" si="2"/>
        <v>1.1150329355775432</v>
      </c>
      <c r="J6" s="4">
        <f t="shared" si="5"/>
        <v>1093137.6163111017</v>
      </c>
      <c r="K6" s="4">
        <f t="shared" si="3"/>
        <v>899810.59817207919</v>
      </c>
      <c r="L6" s="63" cm="1">
        <f t="array" ref="L6">+_xlfn.IFS(I6&gt;114%,H6*0.02,I6&gt;109%,H6*0.015,I6&gt;104%,H6*0.0125,I6&gt;99%,H6*0.01,I6&lt;99%,H6*0)</f>
        <v>393529.5418719966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8806933.4567012265</v>
      </c>
      <c r="E7" s="4">
        <v>7404424.1934615131</v>
      </c>
      <c r="F7" s="4">
        <f t="shared" ref="F7:F8" si="6">+D7-E7</f>
        <v>1402509.2632397134</v>
      </c>
      <c r="G7" s="5">
        <f t="shared" si="1"/>
        <v>0.31746012702141607</v>
      </c>
      <c r="H7" s="4">
        <f t="shared" si="4"/>
        <v>21136640.296082944</v>
      </c>
      <c r="I7" s="5">
        <f t="shared" si="2"/>
        <v>0.76190430485139859</v>
      </c>
      <c r="J7" s="4">
        <f t="shared" si="5"/>
        <v>880693.34567012265</v>
      </c>
      <c r="K7" s="4">
        <f t="shared" si="3"/>
        <v>1352494.5409830913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14914934.086527392</v>
      </c>
      <c r="E8" s="4">
        <v>13226460.381280242</v>
      </c>
      <c r="F8" s="4">
        <f t="shared" si="6"/>
        <v>1688473.7052471507</v>
      </c>
      <c r="G8" s="5">
        <f t="shared" si="1"/>
        <v>0.41625699418759998</v>
      </c>
      <c r="H8" s="4">
        <f t="shared" si="4"/>
        <v>35795841.807665735</v>
      </c>
      <c r="I8" s="5">
        <f t="shared" si="2"/>
        <v>0.9990167860502398</v>
      </c>
      <c r="J8" s="4">
        <f t="shared" si="5"/>
        <v>1491493.4086527391</v>
      </c>
      <c r="K8" s="4">
        <f t="shared" si="3"/>
        <v>1494009.8093135937</v>
      </c>
      <c r="L8" s="63" cm="1">
        <f t="array" ref="L8">+_xlfn.IFS(I8&gt;114%,H8*0.02,I8&gt;109%,H8*0.015,I8&gt;104%,H8*0.0125,I8&gt;99%,H8*0.01,I8&lt;99%,H8*0)</f>
        <v>357958.41807665734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16797290.894173365</v>
      </c>
      <c r="E9" s="4">
        <v>15645728.431611888</v>
      </c>
      <c r="F9" s="4">
        <f t="shared" si="0"/>
        <v>1151562.462561477</v>
      </c>
      <c r="G9" s="5">
        <f t="shared" si="1"/>
        <v>0.46879119797245289</v>
      </c>
      <c r="H9" s="4">
        <f t="shared" si="4"/>
        <v>40313498.146016076</v>
      </c>
      <c r="I9" s="5">
        <f t="shared" si="2"/>
        <v>1.1250988751338868</v>
      </c>
      <c r="J9" s="4">
        <f t="shared" si="5"/>
        <v>1679729.0894173365</v>
      </c>
      <c r="K9" s="4">
        <f t="shared" si="3"/>
        <v>1359555.7516245956</v>
      </c>
      <c r="L9" s="63" cm="1">
        <f t="array" ref="L9">+_xlfn.IFS(I9&gt;114%,H9*0.02,I9&gt;109%,H9*0.015,I9&gt;104%,H9*0.0125,I9&gt;99%,H9*0.01,I9&lt;99%,H9*0)</f>
        <v>604702.4721902411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113859611.46917823</v>
      </c>
      <c r="E10" s="65">
        <v>101773650.89304647</v>
      </c>
      <c r="F10" s="64">
        <f>+SUM(F2:F9)</f>
        <v>12085960.576131769</v>
      </c>
      <c r="G10" s="66">
        <f t="shared" si="1"/>
        <v>0.46860706979340161</v>
      </c>
      <c r="H10" s="64">
        <f t="shared" si="4"/>
        <v>273263067.5260278</v>
      </c>
      <c r="I10" s="66">
        <f t="shared" si="2"/>
        <v>1.124656967504164</v>
      </c>
      <c r="J10" s="64">
        <f t="shared" si="5"/>
        <v>11385961.146917824</v>
      </c>
      <c r="K10" s="67">
        <f t="shared" si="3"/>
        <v>9222498.5907194484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45072979.61650601</v>
      </c>
      <c r="E11" s="59">
        <v>41338677.54260511</v>
      </c>
      <c r="F11" s="59">
        <f t="shared" ref="F11:F16" si="7">+D11-E11</f>
        <v>3734302.0739009008</v>
      </c>
      <c r="G11" s="60">
        <f t="shared" si="1"/>
        <v>0.46480431014272316</v>
      </c>
      <c r="H11" s="59">
        <f t="shared" si="4"/>
        <v>108175151.07961442</v>
      </c>
      <c r="I11" s="60">
        <f t="shared" si="2"/>
        <v>1.1155303443425355</v>
      </c>
      <c r="J11" s="59">
        <f t="shared" si="5"/>
        <v>4507297.9616506007</v>
      </c>
      <c r="K11" s="59">
        <f t="shared" si="3"/>
        <v>3707069.2045451072</v>
      </c>
      <c r="L11" s="61" cm="1">
        <f t="array" ref="L11">+_xlfn.IFS(I11&gt;114%,H11*0.0125,I11&gt;109%,H11*0.01,I11&gt;104%,H11*0.0075,I11&gt;99%,H11*0.005,I11&lt;99%,H11*0)</f>
        <v>1081751.5107961441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12726652.901956733</v>
      </c>
      <c r="E12" s="4">
        <v>12726652.901956733</v>
      </c>
      <c r="F12" s="4">
        <f t="shared" si="7"/>
        <v>0</v>
      </c>
      <c r="G12" s="5">
        <f t="shared" si="1"/>
        <v>0.40234871384857518</v>
      </c>
      <c r="H12" s="4">
        <f t="shared" si="4"/>
        <v>30543966.964696158</v>
      </c>
      <c r="I12" s="5">
        <f t="shared" si="2"/>
        <v>0.96563691323658041</v>
      </c>
      <c r="J12" s="4">
        <f t="shared" si="5"/>
        <v>1272665.2901956732</v>
      </c>
      <c r="K12" s="4">
        <f t="shared" si="3"/>
        <v>1350303.5361864478</v>
      </c>
      <c r="L12" s="63" cm="1">
        <f t="array" ref="L12">+_xlfn.IFS(I12&gt;114%,H12*0.02,I12&gt;109%,H12*0.015,I12&gt;104%,H12*0.0125,I12&gt;99%,H12*0.01,I12&lt;99%,H12*0)</f>
        <v>0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59180827.134406224</v>
      </c>
      <c r="E13" s="4">
        <v>54947546.702784903</v>
      </c>
      <c r="F13" s="4">
        <f t="shared" si="7"/>
        <v>4233280.4316213205</v>
      </c>
      <c r="G13" s="5">
        <f t="shared" si="1"/>
        <v>0.46103943338719244</v>
      </c>
      <c r="H13" s="4">
        <f t="shared" si="4"/>
        <v>142033985.12257493</v>
      </c>
      <c r="I13" s="5">
        <f t="shared" si="2"/>
        <v>1.1064946401292617</v>
      </c>
      <c r="J13" s="4">
        <f t="shared" si="5"/>
        <v>5918082.7134406222</v>
      </c>
      <c r="K13" s="4">
        <f t="shared" si="3"/>
        <v>4941649.2100156257</v>
      </c>
      <c r="L13" s="63" cm="1">
        <f t="array" ref="L13">+_xlfn.IFS(I13&gt;114%,H13*0.0125,I13&gt;109%,H13*0.01,I13&gt;104%,H13*0.0075,I13&gt;99%,H13*0.005,I13&lt;99%,H13*0)</f>
        <v>1420339.8512257494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12063016.447646325</v>
      </c>
      <c r="E14" s="4">
        <v>10126859.110729419</v>
      </c>
      <c r="F14" s="4">
        <f t="shared" si="7"/>
        <v>1936157.3369169068</v>
      </c>
      <c r="G14" s="5">
        <f t="shared" si="1"/>
        <v>0.28417630892021439</v>
      </c>
      <c r="H14" s="4">
        <f t="shared" si="4"/>
        <v>28951239.474351179</v>
      </c>
      <c r="I14" s="5">
        <f t="shared" si="2"/>
        <v>0.68202314140851439</v>
      </c>
      <c r="J14" s="4">
        <f t="shared" si="5"/>
        <v>1206301.6447646325</v>
      </c>
      <c r="K14" s="4">
        <f t="shared" si="3"/>
        <v>2170431.4962377623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25192644.671372555</v>
      </c>
      <c r="E15" s="4">
        <v>23985001.331072558</v>
      </c>
      <c r="F15" s="4">
        <f t="shared" si="7"/>
        <v>1207643.3402999975</v>
      </c>
      <c r="G15" s="5">
        <f t="shared" si="1"/>
        <v>0.59347948381899263</v>
      </c>
      <c r="H15" s="4">
        <f t="shared" si="4"/>
        <v>60462347.211294137</v>
      </c>
      <c r="I15" s="5">
        <f t="shared" si="2"/>
        <v>1.4243507611655826</v>
      </c>
      <c r="J15" s="4">
        <f t="shared" si="5"/>
        <v>2519264.4671372557</v>
      </c>
      <c r="K15" s="4">
        <f t="shared" si="3"/>
        <v>1232600.9088287461</v>
      </c>
      <c r="L15" s="63" cm="1">
        <f t="array" ref="L15">+_xlfn.IFS(I15&gt;109%,H15*0.015,I15&gt;104%,H15*0.0125,I15&gt;99%,H15*0.01,I15&lt;99%,H15*0)</f>
        <v>906935.20816941198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154236120.77188784</v>
      </c>
      <c r="E16" s="65">
        <v>143124737.58914873</v>
      </c>
      <c r="F16" s="64">
        <f t="shared" si="7"/>
        <v>11111383.182739109</v>
      </c>
      <c r="G16" s="66">
        <f t="shared" si="1"/>
        <v>0.45116105515394389</v>
      </c>
      <c r="H16" s="64">
        <f t="shared" si="4"/>
        <v>370166689.85253084</v>
      </c>
      <c r="I16" s="66">
        <f t="shared" si="2"/>
        <v>1.0827865323694654</v>
      </c>
      <c r="J16" s="64">
        <f t="shared" si="5"/>
        <v>15423612.077188784</v>
      </c>
      <c r="K16" s="67">
        <f t="shared" si="3"/>
        <v>13402054.355813691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7935947.3890327429</v>
      </c>
      <c r="E17" s="59">
        <v>7416441.7657084363</v>
      </c>
      <c r="F17" s="59">
        <f t="shared" ref="F17:F40" si="8">+D17-E17</f>
        <v>519505.62332430668</v>
      </c>
      <c r="G17" s="60">
        <f t="shared" si="1"/>
        <v>0.27050045961494162</v>
      </c>
      <c r="H17" s="59">
        <f t="shared" si="4"/>
        <v>19046273.733678583</v>
      </c>
      <c r="I17" s="60">
        <f t="shared" si="2"/>
        <v>0.64920110307585999</v>
      </c>
      <c r="J17" s="59">
        <f t="shared" si="5"/>
        <v>793594.73890327429</v>
      </c>
      <c r="K17" s="59">
        <f t="shared" si="3"/>
        <v>1528719.33881909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8747383.1666885894</v>
      </c>
      <c r="E18" s="4">
        <v>8097618.1083014421</v>
      </c>
      <c r="F18" s="4">
        <f t="shared" si="8"/>
        <v>649765.05838714726</v>
      </c>
      <c r="G18" s="5">
        <f t="shared" si="1"/>
        <v>0.35046299400857084</v>
      </c>
      <c r="H18" s="4">
        <f t="shared" si="4"/>
        <v>20993719.600052617</v>
      </c>
      <c r="I18" s="5">
        <f t="shared" si="2"/>
        <v>0.84111118562057019</v>
      </c>
      <c r="J18" s="4">
        <f t="shared" si="5"/>
        <v>874738.31666885898</v>
      </c>
      <c r="K18" s="4">
        <f t="shared" si="3"/>
        <v>1158008.7666651008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9582764.4529769439</v>
      </c>
      <c r="E19" s="4">
        <v>9015875.5390208997</v>
      </c>
      <c r="F19" s="4">
        <f t="shared" si="8"/>
        <v>566888.91395604424</v>
      </c>
      <c r="G19" s="5">
        <f t="shared" si="1"/>
        <v>0.37061121187937296</v>
      </c>
      <c r="H19" s="4">
        <f t="shared" si="4"/>
        <v>22998634.687144667</v>
      </c>
      <c r="I19" s="5">
        <f t="shared" si="2"/>
        <v>0.88946690851049515</v>
      </c>
      <c r="J19" s="4">
        <f t="shared" si="5"/>
        <v>958276.44529769442</v>
      </c>
      <c r="K19" s="4">
        <f t="shared" si="3"/>
        <v>1162420.4080373612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18556073.997634564</v>
      </c>
      <c r="E20" s="4">
        <v>15820251.940252023</v>
      </c>
      <c r="F20" s="4">
        <f t="shared" si="8"/>
        <v>2735822.0573825408</v>
      </c>
      <c r="G20" s="5">
        <f t="shared" si="1"/>
        <v>0.55311798295864967</v>
      </c>
      <c r="H20" s="4">
        <f t="shared" si="4"/>
        <v>44534577.59432295</v>
      </c>
      <c r="I20" s="5">
        <f t="shared" si="2"/>
        <v>1.3274831591007592</v>
      </c>
      <c r="J20" s="4">
        <f t="shared" si="5"/>
        <v>1855607.3997634563</v>
      </c>
      <c r="K20" s="4">
        <f t="shared" si="3"/>
        <v>1070861.1430261026</v>
      </c>
      <c r="L20" s="63" cm="1">
        <f t="array" ref="L20">+_xlfn.IFS(I20&gt;114%,H20*0.02,I20&gt;109%,H20*0.015,I20&gt;104%,H20*0.0125,I20&gt;99%,H20*0.01,I20&lt;99%,H20*0)</f>
        <v>890691.551886459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9684737.8484921921</v>
      </c>
      <c r="E21" s="4">
        <v>8244716.2501042979</v>
      </c>
      <c r="F21" s="4">
        <f t="shared" ref="F21:F23" si="9">+D21-E21</f>
        <v>1440021.5983878942</v>
      </c>
      <c r="G21" s="5">
        <f t="shared" si="1"/>
        <v>0.3804125947862696</v>
      </c>
      <c r="H21" s="4">
        <f t="shared" si="4"/>
        <v>23243370.836381264</v>
      </c>
      <c r="I21" s="5">
        <f t="shared" si="2"/>
        <v>0.91299022748704717</v>
      </c>
      <c r="J21" s="4">
        <f t="shared" si="5"/>
        <v>968473.78484921926</v>
      </c>
      <c r="K21" s="4">
        <f t="shared" si="3"/>
        <v>1126698.0108219862</v>
      </c>
      <c r="L21" s="63" cm="1">
        <f t="array" ref="L21">+_xlfn.IFS(I21&gt;114%,H21*0.02,I21&gt;109%,H21*0.015,I21&gt;104%,H21*0.0125,I21&gt;99%,H21*0.01,I21&lt;99%,H21*0)</f>
        <v>0</v>
      </c>
    </row>
    <row r="22" spans="1:13" ht="15.75" x14ac:dyDescent="0.25">
      <c r="A22" s="91"/>
      <c r="B22" s="19" t="s">
        <v>233</v>
      </c>
      <c r="C22" s="71">
        <v>31742890.200000003</v>
      </c>
      <c r="D22" s="4">
        <f>IFERROR(+VLOOKUP(B22,COMISIONES!A:E,5,FALSE),"0")*1</f>
        <v>13932220.499480665</v>
      </c>
      <c r="E22" s="4">
        <v>13022386.541284554</v>
      </c>
      <c r="F22" s="4">
        <f t="shared" si="9"/>
        <v>909833.95819611102</v>
      </c>
      <c r="G22" s="5">
        <f t="shared" si="1"/>
        <v>0.43890837953629891</v>
      </c>
      <c r="H22" s="4">
        <f t="shared" si="4"/>
        <v>33437329.198753595</v>
      </c>
      <c r="I22" s="5">
        <f t="shared" si="2"/>
        <v>1.0533801108871175</v>
      </c>
      <c r="J22" s="4">
        <f t="shared" si="5"/>
        <v>1393222.0499480665</v>
      </c>
      <c r="K22" s="4">
        <f t="shared" si="3"/>
        <v>1272190.6928942385</v>
      </c>
      <c r="L22" s="63" cm="1">
        <f t="array" ref="L22">+_xlfn.IFS(I22&gt;114%,H22*0.02,I22&gt;109%,H22*0.015,I22&gt;104%,H22*0.0125,I22&gt;99%,H22*0.01,I22&lt;99%,H22*0)</f>
        <v>417966.61498441995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12619217.089428457</v>
      </c>
      <c r="E23" s="4">
        <v>11034688.327347409</v>
      </c>
      <c r="F23" s="4">
        <f t="shared" si="9"/>
        <v>1584528.7620810475</v>
      </c>
      <c r="G23" s="5">
        <f t="shared" si="1"/>
        <v>0.45995195440461595</v>
      </c>
      <c r="H23" s="4">
        <f t="shared" si="4"/>
        <v>30286121.014628299</v>
      </c>
      <c r="I23" s="5">
        <f t="shared" si="2"/>
        <v>1.1038846905710784</v>
      </c>
      <c r="J23" s="4">
        <f t="shared" si="5"/>
        <v>1261921.7089428457</v>
      </c>
      <c r="K23" s="4">
        <f t="shared" si="3"/>
        <v>1058337.7957551104</v>
      </c>
      <c r="L23" s="63" cm="1">
        <f t="array" ref="L23">+_xlfn.IFS(I23&gt;114%,H23*0.02,I23&gt;109%,H23*0.015,I23&gt;104%,H23*0.0125,I23&gt;99%,H23*0.01,I23&lt;99%,H23*0)</f>
        <v>454291.81521942449</v>
      </c>
    </row>
    <row r="24" spans="1:13" ht="15.75" x14ac:dyDescent="0.25">
      <c r="A24" s="91"/>
      <c r="B24" s="19" t="s">
        <v>234</v>
      </c>
      <c r="C24" s="71">
        <v>33494055</v>
      </c>
      <c r="D24" s="4">
        <f>IFERROR(+VLOOKUP(B24,COMISIONES!A:E,5,FALSE),"0")*1</f>
        <v>10463850.92498962</v>
      </c>
      <c r="E24" s="4">
        <v>8128233.8339369334</v>
      </c>
      <c r="F24" s="4">
        <f t="shared" si="8"/>
        <v>2335617.0910526868</v>
      </c>
      <c r="G24" s="5">
        <f t="shared" si="1"/>
        <v>0.31240919993084204</v>
      </c>
      <c r="H24" s="4">
        <f t="shared" si="4"/>
        <v>25113242.219975092</v>
      </c>
      <c r="I24" s="5">
        <f t="shared" si="2"/>
        <v>0.74978207983402101</v>
      </c>
      <c r="J24" s="4">
        <f t="shared" si="5"/>
        <v>1046385.0924989621</v>
      </c>
      <c r="K24" s="4">
        <f t="shared" si="3"/>
        <v>1645014.5767864559</v>
      </c>
      <c r="L24" s="63" cm="1">
        <f t="array" ref="L24">+_xlfn.IFS(I24&gt;114%,H24*0.02,I24&gt;109%,H24*0.015,I24&gt;104%,H24*0.0125,I24&gt;99%,H24*0.01,I24&lt;99%,H24*0)</f>
        <v>0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19594052.122893002</v>
      </c>
      <c r="E25" s="4">
        <v>19638670.354043003</v>
      </c>
      <c r="F25" s="4">
        <f t="shared" si="8"/>
        <v>-44618.231150001287</v>
      </c>
      <c r="G25" s="5">
        <f t="shared" si="1"/>
        <v>0.36241689087974011</v>
      </c>
      <c r="H25" s="4">
        <f t="shared" si="4"/>
        <v>47025725.09494321</v>
      </c>
      <c r="I25" s="5">
        <f t="shared" si="2"/>
        <v>0.86980053811137636</v>
      </c>
      <c r="J25" s="4">
        <f t="shared" si="5"/>
        <v>1959405.2122893003</v>
      </c>
      <c r="K25" s="4">
        <f t="shared" si="3"/>
        <v>2462207.1958647859</v>
      </c>
      <c r="L25" s="63" cm="1">
        <f t="array" ref="L25">+_xlfn.IFS(I25&gt;109%,H25*0.015,I25&gt;104%,H25*0.0125,I25&gt;99%,H25*0.01,I25&lt;99%,H25*0)</f>
        <v>0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111116247.49161679</v>
      </c>
      <c r="E26" s="65">
        <v>100418882.659999</v>
      </c>
      <c r="F26" s="67">
        <f>+D26-E26</f>
        <v>10697364.831617787</v>
      </c>
      <c r="G26" s="66">
        <f t="shared" si="1"/>
        <v>0.38865606462556163</v>
      </c>
      <c r="H26" s="64">
        <f t="shared" si="4"/>
        <v>266678993.9798803</v>
      </c>
      <c r="I26" s="66">
        <f t="shared" si="2"/>
        <v>0.93277455510134788</v>
      </c>
      <c r="J26" s="64">
        <f t="shared" si="5"/>
        <v>11111624.749161679</v>
      </c>
      <c r="K26" s="67">
        <f t="shared" si="3"/>
        <v>12484457.928670231</v>
      </c>
      <c r="L26" s="68"/>
    </row>
    <row r="27" spans="1:13" ht="15.75" x14ac:dyDescent="0.25">
      <c r="A27" s="87" t="s">
        <v>219</v>
      </c>
      <c r="B27" s="57" t="s">
        <v>214</v>
      </c>
      <c r="C27" s="73">
        <v>81977700</v>
      </c>
      <c r="D27" s="59">
        <f>IFERROR(+VLOOKUP(B27,COMISIONES!A:E,5,FALSE),"0")*1</f>
        <v>33450220.947755333</v>
      </c>
      <c r="E27" s="59">
        <v>30033987.082212482</v>
      </c>
      <c r="F27" s="59">
        <f t="shared" si="8"/>
        <v>3416233.8655428514</v>
      </c>
      <c r="G27" s="60">
        <f t="shared" si="1"/>
        <v>0.40804049086221417</v>
      </c>
      <c r="H27" s="59">
        <f t="shared" si="4"/>
        <v>80280530.274612799</v>
      </c>
      <c r="I27" s="60">
        <f t="shared" si="2"/>
        <v>0.97929717806931393</v>
      </c>
      <c r="J27" s="59">
        <f t="shared" si="5"/>
        <v>3345022.0947755333</v>
      </c>
      <c r="K27" s="59">
        <f t="shared" si="3"/>
        <v>3466248.5037317616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5777964.8325451156</v>
      </c>
      <c r="E28" s="4">
        <v>5212708.9840588067</v>
      </c>
      <c r="F28" s="4">
        <f t="shared" si="8"/>
        <v>565255.84848630894</v>
      </c>
      <c r="G28" s="5">
        <f t="shared" si="1"/>
        <v>0.27514118250214836</v>
      </c>
      <c r="H28" s="4">
        <f t="shared" si="4"/>
        <v>13867115.598108279</v>
      </c>
      <c r="I28" s="5">
        <f t="shared" si="2"/>
        <v>0.66033883800515614</v>
      </c>
      <c r="J28" s="4">
        <f t="shared" si="5"/>
        <v>577796.48325451161</v>
      </c>
      <c r="K28" s="4">
        <f t="shared" si="3"/>
        <v>1087288.2262467775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9823471.9917300809</v>
      </c>
      <c r="E29" s="4">
        <v>8509221.7116328403</v>
      </c>
      <c r="F29" s="4">
        <f t="shared" si="8"/>
        <v>1314250.2800972406</v>
      </c>
      <c r="G29" s="5">
        <f t="shared" si="1"/>
        <v>0.38164671661791244</v>
      </c>
      <c r="H29" s="4">
        <f t="shared" si="4"/>
        <v>23576332.780152194</v>
      </c>
      <c r="I29" s="5">
        <f t="shared" si="2"/>
        <v>0.91595211988298986</v>
      </c>
      <c r="J29" s="4">
        <f t="shared" si="5"/>
        <v>982347.19917300809</v>
      </c>
      <c r="K29" s="4">
        <f t="shared" si="3"/>
        <v>1136873.429162137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8588184.3117468338</v>
      </c>
      <c r="E30" s="4">
        <v>7023786.2862272449</v>
      </c>
      <c r="F30" s="4">
        <f t="shared" si="8"/>
        <v>1564398.025519589</v>
      </c>
      <c r="G30" s="5">
        <f t="shared" si="1"/>
        <v>0.22462632380833508</v>
      </c>
      <c r="H30" s="4">
        <f t="shared" si="4"/>
        <v>20611642.348192401</v>
      </c>
      <c r="I30" s="5">
        <f t="shared" si="2"/>
        <v>0.53910317714000422</v>
      </c>
      <c r="J30" s="4">
        <f t="shared" si="5"/>
        <v>858818.43117468338</v>
      </c>
      <c r="K30" s="4">
        <f t="shared" si="3"/>
        <v>2117501.4857413457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9407600.5395302419</v>
      </c>
      <c r="E31" s="4">
        <v>8331163.463863492</v>
      </c>
      <c r="F31" s="4">
        <f t="shared" si="8"/>
        <v>1076437.0756667498</v>
      </c>
      <c r="G31" s="5">
        <f t="shared" si="1"/>
        <v>0.37015573482575392</v>
      </c>
      <c r="H31" s="4">
        <f t="shared" si="4"/>
        <v>22578241.294872582</v>
      </c>
      <c r="I31" s="5">
        <f t="shared" si="2"/>
        <v>0.88837376358180942</v>
      </c>
      <c r="J31" s="4">
        <f t="shared" si="5"/>
        <v>940760.05395302421</v>
      </c>
      <c r="K31" s="4">
        <f t="shared" si="3"/>
        <v>1143403.532890697</v>
      </c>
      <c r="L31" s="63" cm="1">
        <f t="array" ref="L31">+_xlfn.IFS(I31&gt;114%,H31*0.02,I31&gt;109%,H31*0.015,I31&gt;104%,H31*0.0125,I31&gt;99%,H31*0.01,I31&lt;99%,H31*0)</f>
        <v>0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6665534.1859788187</v>
      </c>
      <c r="E32" s="4">
        <v>5611548.663038048</v>
      </c>
      <c r="F32" s="4">
        <f t="shared" si="8"/>
        <v>1053985.5229407707</v>
      </c>
      <c r="G32" s="5">
        <f t="shared" si="1"/>
        <v>0.26450532484042932</v>
      </c>
      <c r="H32" s="4">
        <f t="shared" si="4"/>
        <v>15997282.046349166</v>
      </c>
      <c r="I32" s="5">
        <f t="shared" si="2"/>
        <v>0.63481277961703042</v>
      </c>
      <c r="J32" s="4">
        <f t="shared" si="5"/>
        <v>666553.41859788192</v>
      </c>
      <c r="K32" s="4">
        <f t="shared" si="3"/>
        <v>1323890.4152872271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6448364.3120282274</v>
      </c>
      <c r="E33" s="4">
        <v>5482149.478754703</v>
      </c>
      <c r="F33" s="4">
        <f t="shared" si="8"/>
        <v>966214.83327352442</v>
      </c>
      <c r="G33" s="5">
        <f t="shared" si="1"/>
        <v>0.24336434891178077</v>
      </c>
      <c r="H33" s="4">
        <f t="shared" si="4"/>
        <v>15476074.348867744</v>
      </c>
      <c r="I33" s="5">
        <f t="shared" si="2"/>
        <v>0.5840744373882738</v>
      </c>
      <c r="J33" s="4">
        <f t="shared" si="5"/>
        <v>644836.43120282271</v>
      </c>
      <c r="K33" s="4">
        <f t="shared" si="3"/>
        <v>1432027.5491408408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5618690.4157067938</v>
      </c>
      <c r="E34" s="4">
        <v>4657516.3901073569</v>
      </c>
      <c r="F34" s="4">
        <f t="shared" si="8"/>
        <v>961174.02559943683</v>
      </c>
      <c r="G34" s="5">
        <f t="shared" si="1"/>
        <v>0.2675566864622283</v>
      </c>
      <c r="H34" s="4">
        <f t="shared" si="4"/>
        <v>13484856.997696307</v>
      </c>
      <c r="I34" s="5">
        <f t="shared" si="2"/>
        <v>0.64213604750934794</v>
      </c>
      <c r="J34" s="4">
        <f t="shared" si="5"/>
        <v>561869.0415706794</v>
      </c>
      <c r="K34" s="4">
        <f t="shared" si="3"/>
        <v>1098664.9703066575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3802949.3075159392</v>
      </c>
      <c r="E35" s="4">
        <v>3564392.4785372978</v>
      </c>
      <c r="F35" s="4">
        <f t="shared" si="8"/>
        <v>238556.82897864142</v>
      </c>
      <c r="G35" s="5">
        <f t="shared" si="1"/>
        <v>0.15422655779886363</v>
      </c>
      <c r="H35" s="4">
        <f t="shared" si="4"/>
        <v>9127078.3380382545</v>
      </c>
      <c r="I35" s="5">
        <f t="shared" si="2"/>
        <v>0.37014373871727274</v>
      </c>
      <c r="J35" s="4">
        <f t="shared" si="5"/>
        <v>380294.9307515939</v>
      </c>
      <c r="K35" s="4">
        <f t="shared" si="3"/>
        <v>1489660.7637488616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6222492.2724699304</v>
      </c>
      <c r="E36" s="4">
        <v>5567175.7313747797</v>
      </c>
      <c r="F36" s="4">
        <f t="shared" si="8"/>
        <v>655316.54109515063</v>
      </c>
      <c r="G36" s="5">
        <f t="shared" si="1"/>
        <v>0.24658182177412047</v>
      </c>
      <c r="H36" s="4">
        <f t="shared" si="4"/>
        <v>14933981.453927832</v>
      </c>
      <c r="I36" s="5">
        <f t="shared" si="2"/>
        <v>0.59179637225788906</v>
      </c>
      <c r="J36" s="4">
        <f t="shared" si="5"/>
        <v>622249.22724699299</v>
      </c>
      <c r="K36" s="4">
        <f t="shared" si="3"/>
        <v>1358036.2662521477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33451176.522885799</v>
      </c>
      <c r="E37" s="4">
        <v>28457978.498885799</v>
      </c>
      <c r="F37" s="4">
        <f t="shared" si="8"/>
        <v>4993198.0240000002</v>
      </c>
      <c r="G37" s="5">
        <f t="shared" si="1"/>
        <v>0.27416356640148021</v>
      </c>
      <c r="H37" s="4">
        <f t="shared" si="4"/>
        <v>80282823.654925913</v>
      </c>
      <c r="I37" s="5">
        <f t="shared" si="2"/>
        <v>0.65799255936355239</v>
      </c>
      <c r="J37" s="4">
        <f t="shared" si="5"/>
        <v>3345117.6522885798</v>
      </c>
      <c r="K37" s="4">
        <f t="shared" si="3"/>
        <v>6325755.2483652998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4305943.4722995181</v>
      </c>
      <c r="E38" s="4">
        <v>2767832.4172995184</v>
      </c>
      <c r="F38" s="4">
        <f t="shared" ref="F38" si="10">+D38-E38</f>
        <v>1538111.0549999997</v>
      </c>
      <c r="G38" s="5">
        <f t="shared" si="1"/>
        <v>0.12061466308962235</v>
      </c>
      <c r="H38" s="4">
        <f t="shared" si="4"/>
        <v>10334264.333518844</v>
      </c>
      <c r="I38" s="5">
        <f t="shared" si="2"/>
        <v>0.28947519141509365</v>
      </c>
      <c r="J38" s="4">
        <f t="shared" si="5"/>
        <v>430594.34722995182</v>
      </c>
      <c r="K38" s="4">
        <f t="shared" si="3"/>
        <v>2242432.6091214633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11081724.942682527</v>
      </c>
      <c r="E39" s="4">
        <v>9930506.0322296303</v>
      </c>
      <c r="F39" s="4">
        <f t="shared" si="8"/>
        <v>1151218.9104528967</v>
      </c>
      <c r="G39" s="5">
        <f t="shared" si="1"/>
        <v>0.30476594654716088</v>
      </c>
      <c r="H39" s="4">
        <f t="shared" si="4"/>
        <v>26596139.862438068</v>
      </c>
      <c r="I39" s="5">
        <f t="shared" si="2"/>
        <v>0.73143827171318621</v>
      </c>
      <c r="J39" s="4">
        <f t="shared" si="5"/>
        <v>1108172.4942682527</v>
      </c>
      <c r="K39" s="4">
        <f t="shared" si="3"/>
        <v>1805693.0568798196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144644318.05487517</v>
      </c>
      <c r="E40" s="65">
        <v>125149967.21822201</v>
      </c>
      <c r="F40" s="67">
        <f t="shared" si="8"/>
        <v>19494350.836653158</v>
      </c>
      <c r="G40" s="66">
        <f t="shared" si="1"/>
        <v>0.28415733274106886</v>
      </c>
      <c r="H40" s="64">
        <f t="shared" si="4"/>
        <v>347146363.33170044</v>
      </c>
      <c r="I40" s="66">
        <f t="shared" si="2"/>
        <v>0.68197759857856532</v>
      </c>
      <c r="J40" s="64">
        <f t="shared" si="5"/>
        <v>14464431.805487517</v>
      </c>
      <c r="K40" s="67">
        <f t="shared" si="3"/>
        <v>26027476.056875043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523856297.78755802</v>
      </c>
      <c r="E41" s="82">
        <v>470467238.36041617</v>
      </c>
      <c r="F41" s="81">
        <f>+D41-E41</f>
        <v>53389059.427141845</v>
      </c>
      <c r="G41" s="83">
        <f t="shared" si="1"/>
        <v>0.37967007613654757</v>
      </c>
      <c r="H41" s="81">
        <f t="shared" si="4"/>
        <v>1257255114.6901393</v>
      </c>
      <c r="I41" s="83">
        <f t="shared" si="2"/>
        <v>0.9112081827277142</v>
      </c>
      <c r="J41" s="81">
        <f t="shared" si="5"/>
        <v>52385629.778755799</v>
      </c>
      <c r="K41" s="81">
        <f t="shared" si="3"/>
        <v>61136489.236112714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6840893.5633781236</v>
      </c>
      <c r="E43" s="4">
        <v>6840893.5633781236</v>
      </c>
      <c r="F43" s="4">
        <f t="shared" ref="F43" si="11">+D43-E43</f>
        <v>0</v>
      </c>
      <c r="G43" s="5">
        <f>+D43/C43</f>
        <v>0.17102233908445308</v>
      </c>
      <c r="H43" s="4">
        <f t="shared" ref="H43" si="12">+D43/$N$3*$N$4</f>
        <v>16418144.552107498</v>
      </c>
      <c r="I43" s="5">
        <f>+H43/C43</f>
        <v>0.41045361380268747</v>
      </c>
      <c r="J43" s="4">
        <f t="shared" ref="J43" si="13">+D43/$N$3</f>
        <v>684089.35633781238</v>
      </c>
      <c r="K43" s="4">
        <f>+(C43-D43)/$N$2</f>
        <v>2368507.6026158482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14127537.863605659</v>
      </c>
      <c r="E44" s="4">
        <v>14127537.863605659</v>
      </c>
      <c r="F44" s="4">
        <f t="shared" ref="F44" si="14">+D44-E44</f>
        <v>0</v>
      </c>
      <c r="G44" s="5">
        <f>+D44/C44</f>
        <v>0.47091792878685529</v>
      </c>
      <c r="H44" s="4">
        <f t="shared" ref="H44" si="15">+D44/$N$3*$N$4</f>
        <v>33906090.872653589</v>
      </c>
      <c r="I44" s="5">
        <f>+H44/C44</f>
        <v>1.130203029088453</v>
      </c>
      <c r="J44" s="4">
        <f t="shared" ref="J44" si="16">+D44/$N$3</f>
        <v>1412753.786360566</v>
      </c>
      <c r="K44" s="4">
        <f>+(C44-D44)/$N$2</f>
        <v>1133747.2954567387</v>
      </c>
      <c r="L44" s="4" cm="1">
        <f t="array" ref="L44">+_xlfn.IFS(I44&gt;114%,H44*0.02,I44&gt;109%,H44*0.015,I44&gt;104%,H44*0.0125,I44&gt;99%,H44*0.01,I44&lt;99%,H44*0)</f>
        <v>508591.36308980384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5" workbookViewId="0">
      <selection activeCell="C16" sqref="C16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0.64383561643835618</v>
      </c>
      <c r="E2" s="13">
        <v>33</v>
      </c>
      <c r="F2" s="12">
        <f>+H2-E2</f>
        <v>14</v>
      </c>
      <c r="G2" s="13">
        <f>VLOOKUP(B2,'Base Cobertura'!$A:$C,3,FALSE)</f>
        <v>73</v>
      </c>
      <c r="H2" s="13">
        <f>VLOOKUP(B2,'Base Cobertura'!$A:$C,2,FALSE)</f>
        <v>47</v>
      </c>
      <c r="I2" s="17">
        <f>(+G2*$M$2)-H2</f>
        <v>15.049999999999997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0.34309623430962344</v>
      </c>
      <c r="E3" s="13">
        <v>1</v>
      </c>
      <c r="F3" s="12">
        <f t="shared" ref="F3:F38" si="1">+H3-E3</f>
        <v>81</v>
      </c>
      <c r="G3" s="13">
        <f>VLOOKUP(B3,'Base Cobertura'!$A:$C,3,FALSE)</f>
        <v>239</v>
      </c>
      <c r="H3" s="13">
        <f>VLOOKUP(B3,'Base Cobertura'!$A:$C,2,FALSE)</f>
        <v>82</v>
      </c>
      <c r="I3" s="17">
        <f t="shared" ref="I3:I38" si="2">(+G3*$M$2)-H3</f>
        <v>121.15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42</v>
      </c>
      <c r="T3" s="12">
        <v>214</v>
      </c>
      <c r="U3" s="41">
        <f>+S3/T3</f>
        <v>0.19626168224299065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0.74008810572687223</v>
      </c>
      <c r="E4" s="13">
        <v>126</v>
      </c>
      <c r="F4" s="12">
        <f t="shared" si="1"/>
        <v>42</v>
      </c>
      <c r="G4" s="13">
        <f>VLOOKUP(B4,'Base Cobertura'!$A:$C,3,FALSE)</f>
        <v>227</v>
      </c>
      <c r="H4" s="13">
        <f>VLOOKUP(B4,'Base Cobertura'!$A:$C,2,FALSE)</f>
        <v>168</v>
      </c>
      <c r="I4" s="17">
        <f t="shared" si="2"/>
        <v>24.949999999999989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24</v>
      </c>
      <c r="T4" s="13">
        <v>214</v>
      </c>
      <c r="U4" s="5">
        <f t="shared" ref="U4:U11" si="3">+S4/T4</f>
        <v>0.11214953271028037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0.63076923076923075</v>
      </c>
      <c r="E5" s="13">
        <v>21</v>
      </c>
      <c r="F5" s="12">
        <f t="shared" si="1"/>
        <v>20</v>
      </c>
      <c r="G5" s="13">
        <f>VLOOKUP(B5,'Base Cobertura'!$A:$C,3,FALSE)</f>
        <v>65</v>
      </c>
      <c r="H5" s="13">
        <f>VLOOKUP(B5,'Base Cobertura'!$A:$C,2,FALSE)</f>
        <v>41</v>
      </c>
      <c r="I5" s="17">
        <f t="shared" si="2"/>
        <v>14.25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59</v>
      </c>
      <c r="T5" s="13">
        <v>214</v>
      </c>
      <c r="U5" s="5">
        <f t="shared" si="3"/>
        <v>0.27570093457943923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0.70531400966183577</v>
      </c>
      <c r="E6" s="13">
        <v>100</v>
      </c>
      <c r="F6" s="12">
        <f t="shared" si="1"/>
        <v>46</v>
      </c>
      <c r="G6" s="13">
        <f>VLOOKUP(B6,'Base Cobertura'!$A:$C,3,FALSE)</f>
        <v>207</v>
      </c>
      <c r="H6" s="13">
        <f>VLOOKUP(B6,'Base Cobertura'!$A:$C,2,FALSE)</f>
        <v>146</v>
      </c>
      <c r="I6" s="17">
        <f t="shared" si="2"/>
        <v>29.949999999999989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29</v>
      </c>
      <c r="T6" s="13">
        <v>214</v>
      </c>
      <c r="U6" s="5">
        <f t="shared" si="3"/>
        <v>0.13551401869158877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0.57070707070707072</v>
      </c>
      <c r="E7" s="13">
        <v>81</v>
      </c>
      <c r="F7" s="12">
        <f t="shared" si="1"/>
        <v>32</v>
      </c>
      <c r="G7" s="13">
        <f>VLOOKUP(B7,'Base Cobertura'!$A:$C,3,FALSE)</f>
        <v>198</v>
      </c>
      <c r="H7" s="13">
        <f>VLOOKUP(B7,'Base Cobertura'!$A:$C,2,FALSE)</f>
        <v>113</v>
      </c>
      <c r="I7" s="17">
        <f t="shared" si="2"/>
        <v>55.299999999999983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66</v>
      </c>
      <c r="T7" s="13">
        <v>214</v>
      </c>
      <c r="U7" s="5">
        <f t="shared" si="3"/>
        <v>0.30841121495327101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0.68691588785046731</v>
      </c>
      <c r="E8" s="13">
        <v>89</v>
      </c>
      <c r="F8" s="12">
        <f t="shared" si="1"/>
        <v>58</v>
      </c>
      <c r="G8" s="13">
        <f>VLOOKUP(B8,'Base Cobertura'!$A:$C,3,FALSE)</f>
        <v>214</v>
      </c>
      <c r="H8" s="13">
        <f>VLOOKUP(B8,'Base Cobertura'!$A:$C,2,FALSE)</f>
        <v>147</v>
      </c>
      <c r="I8" s="17">
        <f t="shared" si="2"/>
        <v>34.900000000000006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56</v>
      </c>
      <c r="T8" s="13">
        <v>214</v>
      </c>
      <c r="U8" s="5">
        <f t="shared" si="3"/>
        <v>0.26168224299065418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0.65644171779141103</v>
      </c>
      <c r="E9" s="13">
        <v>92</v>
      </c>
      <c r="F9" s="12">
        <f t="shared" si="1"/>
        <v>15</v>
      </c>
      <c r="G9" s="13">
        <f>VLOOKUP(B9,'Base Cobertura'!$A:$C,3,FALSE)</f>
        <v>163</v>
      </c>
      <c r="H9" s="13">
        <f>VLOOKUP(B9,'Base Cobertura'!$A:$C,2,FALSE)</f>
        <v>107</v>
      </c>
      <c r="I9" s="17">
        <f t="shared" si="2"/>
        <v>31.549999999999983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15</v>
      </c>
      <c r="T9" s="13">
        <v>214</v>
      </c>
      <c r="U9" s="5">
        <f t="shared" si="3"/>
        <v>7.0093457943925228E-2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0.54871794871794877</v>
      </c>
      <c r="E10" s="13">
        <v>64</v>
      </c>
      <c r="F10" s="12">
        <f t="shared" si="1"/>
        <v>43</v>
      </c>
      <c r="G10" s="13">
        <f>VLOOKUP(B10,'Base Cobertura'!$A:$C,3,FALSE)</f>
        <v>195</v>
      </c>
      <c r="H10" s="13">
        <f>VLOOKUP(B10,'Base Cobertura'!$A:$C,2,FALSE)</f>
        <v>107</v>
      </c>
      <c r="I10" s="17">
        <f t="shared" si="2"/>
        <v>58.75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15</v>
      </c>
      <c r="T10" s="13">
        <v>214</v>
      </c>
      <c r="U10" s="5">
        <f t="shared" si="3"/>
        <v>7.0093457943925228E-2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0.27722772277227725</v>
      </c>
      <c r="E11" s="31">
        <v>19</v>
      </c>
      <c r="F11" s="33">
        <f t="shared" si="1"/>
        <v>9</v>
      </c>
      <c r="G11" s="13">
        <f>VLOOKUP(B11,'Base Cobertura'!$A:$C,3,FALSE)</f>
        <v>101</v>
      </c>
      <c r="H11" s="13">
        <f>VLOOKUP(B11,'Base Cobertura'!$A:$C,2,FALSE)</f>
        <v>28</v>
      </c>
      <c r="I11" s="34">
        <f t="shared" si="2"/>
        <v>57.849999999999994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25</v>
      </c>
      <c r="T11" s="13">
        <v>214</v>
      </c>
      <c r="U11" s="5">
        <f t="shared" si="3"/>
        <v>0.11682242990654206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0.34285714285714286</v>
      </c>
      <c r="E12" s="31">
        <v>24</v>
      </c>
      <c r="F12" s="33">
        <f t="shared" si="1"/>
        <v>12</v>
      </c>
      <c r="G12" s="13">
        <f>VLOOKUP(B12,'Base Cobertura'!$A:$C,3,FALSE)</f>
        <v>105</v>
      </c>
      <c r="H12" s="13">
        <f>VLOOKUP(B12,'Base Cobertura'!$A:$C,2,FALSE)</f>
        <v>36</v>
      </c>
      <c r="I12" s="34">
        <f t="shared" si="2"/>
        <v>53.25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0.68582375478927204</v>
      </c>
      <c r="E13" s="13">
        <v>144</v>
      </c>
      <c r="F13" s="12">
        <f t="shared" si="1"/>
        <v>35</v>
      </c>
      <c r="G13" s="13">
        <f>VLOOKUP(B13,'Base Cobertura'!$A:$C,3,FALSE)</f>
        <v>261</v>
      </c>
      <c r="H13" s="13">
        <f>VLOOKUP(B13,'Base Cobertura'!$A:$C,2,FALSE)</f>
        <v>179</v>
      </c>
      <c r="I13" s="17">
        <f t="shared" si="2"/>
        <v>42.849999999999994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0.5714285714285714</v>
      </c>
      <c r="E14" s="13">
        <v>85</v>
      </c>
      <c r="F14" s="12">
        <f t="shared" si="1"/>
        <v>19</v>
      </c>
      <c r="G14" s="13">
        <f>VLOOKUP(B14,'Base Cobertura'!$A:$C,3,FALSE)</f>
        <v>182</v>
      </c>
      <c r="H14" s="13">
        <f>VLOOKUP(B14,'Base Cobertura'!$A:$C,2,FALSE)</f>
        <v>104</v>
      </c>
      <c r="I14" s="17">
        <f t="shared" si="2"/>
        <v>50.699999999999989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426</v>
      </c>
      <c r="G15" s="8">
        <f>+SUM(G2:G14)</f>
        <v>2230</v>
      </c>
      <c r="H15" s="8">
        <f>+SUM(H2:H14)</f>
        <v>1305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RENZO RAMOS</v>
      </c>
      <c r="D16" s="22">
        <f t="shared" si="0"/>
        <v>0.72499999999999998</v>
      </c>
      <c r="E16" s="13">
        <v>90</v>
      </c>
      <c r="F16" s="12">
        <f t="shared" si="1"/>
        <v>26</v>
      </c>
      <c r="G16" s="13">
        <f>VLOOKUP(B16,'Base Cobertura'!$A:$C,3,FALSE)</f>
        <v>160</v>
      </c>
      <c r="H16" s="13">
        <f>VLOOKUP(B16,'Base Cobertura'!$A:$C,2,FALSE)</f>
        <v>116</v>
      </c>
      <c r="I16" s="17">
        <f t="shared" si="2"/>
        <v>20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BARTSCHAT EMILIANO NAHUEL</v>
      </c>
      <c r="D17" s="22">
        <f t="shared" si="0"/>
        <v>0.38118811881188119</v>
      </c>
      <c r="E17" s="13">
        <v>92</v>
      </c>
      <c r="F17" s="12">
        <f t="shared" si="1"/>
        <v>-15</v>
      </c>
      <c r="G17" s="13">
        <f>VLOOKUP(B17,'Base Cobertura'!$A:$C,3,FALSE)</f>
        <v>202</v>
      </c>
      <c r="H17" s="13">
        <f>VLOOKUP(B17,'Base Cobertura'!$A:$C,2,FALSE)</f>
        <v>77</v>
      </c>
      <c r="I17" s="17">
        <f t="shared" si="2"/>
        <v>94.699999999999989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0.77058823529411768</v>
      </c>
      <c r="E18" s="13">
        <v>88</v>
      </c>
      <c r="F18" s="12">
        <f t="shared" si="1"/>
        <v>43</v>
      </c>
      <c r="G18" s="13">
        <f>VLOOKUP(B18,'Base Cobertura'!$A:$C,3,FALSE)</f>
        <v>170</v>
      </c>
      <c r="H18" s="13">
        <f>VLOOKUP(B18,'Base Cobertura'!$A:$C,2,FALSE)</f>
        <v>131</v>
      </c>
      <c r="I18" s="17">
        <f t="shared" si="2"/>
        <v>13.5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0.72727272727272729</v>
      </c>
      <c r="E19" s="13">
        <v>95</v>
      </c>
      <c r="F19" s="12">
        <f t="shared" si="1"/>
        <v>17</v>
      </c>
      <c r="G19" s="13">
        <f>VLOOKUP(B19,'Base Cobertura'!$A:$C,3,FALSE)</f>
        <v>154</v>
      </c>
      <c r="H19" s="13">
        <f>VLOOKUP(B19,'Base Cobertura'!$A:$C,2,FALSE)</f>
        <v>112</v>
      </c>
      <c r="I19" s="17">
        <f t="shared" si="2"/>
        <v>18.900000000000006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0.7344632768361582</v>
      </c>
      <c r="E20" s="13">
        <v>83</v>
      </c>
      <c r="F20" s="12">
        <f t="shared" si="1"/>
        <v>47</v>
      </c>
      <c r="G20" s="13">
        <f>VLOOKUP(B20,'Base Cobertura'!$A:$C,3,FALSE)</f>
        <v>177</v>
      </c>
      <c r="H20" s="13">
        <f>VLOOKUP(B20,'Base Cobertura'!$A:$C,2,FALSE)</f>
        <v>130</v>
      </c>
      <c r="I20" s="17">
        <f t="shared" si="2"/>
        <v>20.449999999999989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0.68047337278106512</v>
      </c>
      <c r="E21" s="13">
        <v>64</v>
      </c>
      <c r="F21" s="12">
        <f t="shared" si="1"/>
        <v>51</v>
      </c>
      <c r="G21" s="13">
        <f>VLOOKUP(B21,'Base Cobertura'!$A:$C,3,FALSE)</f>
        <v>169</v>
      </c>
      <c r="H21" s="13">
        <f>VLOOKUP(B21,'Base Cobertura'!$A:$C,2,FALSE)</f>
        <v>115</v>
      </c>
      <c r="I21" s="17">
        <f t="shared" si="2"/>
        <v>28.650000000000006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0.34848484848484851</v>
      </c>
      <c r="E22" s="13">
        <v>66</v>
      </c>
      <c r="F22" s="12">
        <f t="shared" si="1"/>
        <v>3</v>
      </c>
      <c r="G22" s="13">
        <f>VLOOKUP(B22,'Base Cobertura'!$A:$C,3,FALSE)</f>
        <v>198</v>
      </c>
      <c r="H22" s="13">
        <f>VLOOKUP(B22,'Base Cobertura'!$A:$C,2,FALSE)</f>
        <v>69</v>
      </c>
      <c r="I22" s="17">
        <f t="shared" si="2"/>
        <v>99.299999999999983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0.63043478260869568</v>
      </c>
      <c r="E23" s="13">
        <v>70</v>
      </c>
      <c r="F23" s="12">
        <f t="shared" si="1"/>
        <v>17</v>
      </c>
      <c r="G23" s="13">
        <f>VLOOKUP(B23,'Base Cobertura'!$A:$C,3,FALSE)</f>
        <v>138</v>
      </c>
      <c r="H23" s="13">
        <f>VLOOKUP(B23,'Base Cobertura'!$A:$C,2,FALSE)</f>
        <v>87</v>
      </c>
      <c r="I23" s="17">
        <f t="shared" si="2"/>
        <v>30.299999999999997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0.68823529411764706</v>
      </c>
      <c r="E24" s="13">
        <v>79</v>
      </c>
      <c r="F24" s="12">
        <f t="shared" si="1"/>
        <v>38</v>
      </c>
      <c r="G24" s="13">
        <f>VLOOKUP(B24,'Base Cobertura'!$A:$C,3,FALSE)</f>
        <v>170</v>
      </c>
      <c r="H24" s="13">
        <f>VLOOKUP(B24,'Base Cobertura'!$A:$C,2,FALSE)</f>
        <v>117</v>
      </c>
      <c r="I24" s="17">
        <f t="shared" si="2"/>
        <v>27.5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227</v>
      </c>
      <c r="G25" s="8">
        <f>+SUM(G16:G24)</f>
        <v>1538</v>
      </c>
      <c r="H25" s="8">
        <f>+SUM(H16:H24)</f>
        <v>954</v>
      </c>
      <c r="I25" s="8"/>
    </row>
    <row r="26" spans="1:11" x14ac:dyDescent="0.25">
      <c r="A26" s="95" t="s">
        <v>218</v>
      </c>
      <c r="B26">
        <v>32</v>
      </c>
      <c r="C26" s="12" t="str">
        <f>+AVANCE!B27</f>
        <v>32 - CABRAL GONZALO</v>
      </c>
      <c r="D26" s="22">
        <f t="shared" si="0"/>
        <v>0.56140350877192979</v>
      </c>
      <c r="E26" s="13">
        <v>20</v>
      </c>
      <c r="F26" s="12">
        <f>+H26-E26</f>
        <v>12</v>
      </c>
      <c r="G26" s="13">
        <f>VLOOKUP(B26,'Base Cobertura'!$A:$C,3,FALSE)</f>
        <v>57</v>
      </c>
      <c r="H26" s="13">
        <f>VLOOKUP(B26,'Base Cobertura'!$A:$C,2,FALSE)</f>
        <v>32</v>
      </c>
      <c r="I26" s="17">
        <f t="shared" si="2"/>
        <v>16.449999999999996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0.61006289308176098</v>
      </c>
      <c r="E27" s="13">
        <v>68</v>
      </c>
      <c r="F27" s="12">
        <f t="shared" si="1"/>
        <v>29</v>
      </c>
      <c r="G27" s="13">
        <f>VLOOKUP(B27,'Base Cobertura'!$A:$C,3,FALSE)</f>
        <v>159</v>
      </c>
      <c r="H27" s="13">
        <f>VLOOKUP(B27,'Base Cobertura'!$A:$C,2,FALSE)</f>
        <v>97</v>
      </c>
      <c r="I27" s="17">
        <f t="shared" si="2"/>
        <v>38.150000000000006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0.64596273291925466</v>
      </c>
      <c r="E28" s="13">
        <v>80</v>
      </c>
      <c r="F28" s="12">
        <f t="shared" si="1"/>
        <v>24</v>
      </c>
      <c r="G28" s="13">
        <f>VLOOKUP(B28,'Base Cobertura'!$A:$C,3,FALSE)</f>
        <v>161</v>
      </c>
      <c r="H28" s="13">
        <f>VLOOKUP(B28,'Base Cobertura'!$A:$C,2,FALSE)</f>
        <v>104</v>
      </c>
      <c r="I28" s="17">
        <f t="shared" si="2"/>
        <v>32.849999999999994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0.34136546184738958</v>
      </c>
      <c r="E29" s="13">
        <v>68</v>
      </c>
      <c r="F29" s="12">
        <f t="shared" si="1"/>
        <v>17</v>
      </c>
      <c r="G29" s="13">
        <f>VLOOKUP(B29,'Base Cobertura'!$A:$C,3,FALSE)</f>
        <v>249</v>
      </c>
      <c r="H29" s="13">
        <f>VLOOKUP(B29,'Base Cobertura'!$A:$C,2,FALSE)</f>
        <v>85</v>
      </c>
      <c r="I29" s="17">
        <f t="shared" si="2"/>
        <v>126.65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0.82014388489208634</v>
      </c>
      <c r="E30" s="13">
        <v>73</v>
      </c>
      <c r="F30" s="12">
        <f t="shared" si="1"/>
        <v>41</v>
      </c>
      <c r="G30" s="13">
        <f>VLOOKUP(B30,'Base Cobertura'!$A:$C,3,FALSE)</f>
        <v>139</v>
      </c>
      <c r="H30" s="13">
        <f>VLOOKUP(B30,'Base Cobertura'!$A:$C,2,FALSE)</f>
        <v>114</v>
      </c>
      <c r="I30" s="17">
        <f t="shared" si="2"/>
        <v>4.1499999999999915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0.51381215469613262</v>
      </c>
      <c r="E31" s="13">
        <v>40</v>
      </c>
      <c r="F31" s="12">
        <f t="shared" si="1"/>
        <v>53</v>
      </c>
      <c r="G31" s="13">
        <f>VLOOKUP(B31,'Base Cobertura'!$A:$C,3,FALSE)</f>
        <v>181</v>
      </c>
      <c r="H31" s="13">
        <f>VLOOKUP(B31,'Base Cobertura'!$A:$C,2,FALSE)</f>
        <v>93</v>
      </c>
      <c r="I31" s="17">
        <f t="shared" si="2"/>
        <v>60.849999999999994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0.6428571428571429</v>
      </c>
      <c r="E32" s="13">
        <v>67</v>
      </c>
      <c r="F32" s="12">
        <f t="shared" si="1"/>
        <v>41</v>
      </c>
      <c r="G32" s="13">
        <f>VLOOKUP(B32,'Base Cobertura'!$A:$C,3,FALSE)</f>
        <v>168</v>
      </c>
      <c r="H32" s="13">
        <f>VLOOKUP(B32,'Base Cobertura'!$A:$C,2,FALSE)</f>
        <v>108</v>
      </c>
      <c r="I32" s="17">
        <f t="shared" si="2"/>
        <v>34.799999999999983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0.6428571428571429</v>
      </c>
      <c r="E33" s="13">
        <v>66</v>
      </c>
      <c r="F33" s="12">
        <f t="shared" si="1"/>
        <v>42</v>
      </c>
      <c r="G33" s="13">
        <f>VLOOKUP(B33,'Base Cobertura'!$A:$C,3,FALSE)</f>
        <v>168</v>
      </c>
      <c r="H33" s="13">
        <f>VLOOKUP(B33,'Base Cobertura'!$A:$C,2,FALSE)</f>
        <v>108</v>
      </c>
      <c r="I33" s="17">
        <f t="shared" si="2"/>
        <v>34.799999999999983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0.46478873239436619</v>
      </c>
      <c r="E34" s="13">
        <v>82</v>
      </c>
      <c r="F34" s="12">
        <f t="shared" si="1"/>
        <v>-16</v>
      </c>
      <c r="G34" s="13">
        <f>VLOOKUP(B34,'Base Cobertura'!$A:$C,3,FALSE)</f>
        <v>142</v>
      </c>
      <c r="H34" s="13">
        <f>VLOOKUP(B34,'Base Cobertura'!$A:$C,2,FALSE)</f>
        <v>66</v>
      </c>
      <c r="I34" s="17">
        <f t="shared" si="2"/>
        <v>54.7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0.5730337078651685</v>
      </c>
      <c r="E35" s="13">
        <v>81</v>
      </c>
      <c r="F35" s="12">
        <f t="shared" si="1"/>
        <v>21</v>
      </c>
      <c r="G35" s="13">
        <f>VLOOKUP(B35,'Base Cobertura'!$A:$C,3,FALSE)</f>
        <v>178</v>
      </c>
      <c r="H35" s="13">
        <f>VLOOKUP(B35,'Base Cobertura'!$A:$C,2,FALSE)</f>
        <v>102</v>
      </c>
      <c r="I35" s="17">
        <f t="shared" si="2"/>
        <v>49.299999999999983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5.2631578947368418E-2</v>
      </c>
      <c r="E36" s="13">
        <v>0</v>
      </c>
      <c r="F36" s="12">
        <f t="shared" si="1"/>
        <v>6</v>
      </c>
      <c r="G36" s="13">
        <f>VLOOKUP(B36,'Base Cobertura'!$A:$C,3,FALSE)</f>
        <v>114</v>
      </c>
      <c r="H36" s="13">
        <f>VLOOKUP(B36,'Base Cobertura'!$A:$C,2,FALSE)</f>
        <v>6</v>
      </c>
      <c r="I36" s="17">
        <f t="shared" si="2"/>
        <v>90.899999999999991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0.16346153846153846</v>
      </c>
      <c r="E37" s="13">
        <v>17</v>
      </c>
      <c r="F37" s="12">
        <f t="shared" si="1"/>
        <v>0</v>
      </c>
      <c r="G37" s="13">
        <f>VLOOKUP(B37,'Base Cobertura'!$A:$C,3,FALSE)</f>
        <v>104</v>
      </c>
      <c r="H37" s="13">
        <f>VLOOKUP(B37,'Base Cobertura'!$A:$C,2,FALSE)</f>
        <v>17</v>
      </c>
      <c r="I37" s="17">
        <f t="shared" si="2"/>
        <v>71.399999999999991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0.62204724409448819</v>
      </c>
      <c r="E38" s="13">
        <v>60</v>
      </c>
      <c r="F38" s="12">
        <f t="shared" si="1"/>
        <v>19</v>
      </c>
      <c r="G38" s="13">
        <f>VLOOKUP(B38,'Base Cobertura'!$A:$C,3,FALSE)</f>
        <v>127</v>
      </c>
      <c r="H38" s="13">
        <f>VLOOKUP(B38,'Base Cobertura'!$A:$C,2,FALSE)</f>
        <v>79</v>
      </c>
      <c r="I38" s="17">
        <f t="shared" si="2"/>
        <v>28.950000000000003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289</v>
      </c>
      <c r="G39" s="8">
        <f>+SUM(G26:G38)</f>
        <v>1947</v>
      </c>
      <c r="H39" s="8">
        <f>+SUM(H26:H38)</f>
        <v>1011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942</v>
      </c>
      <c r="G40" s="8">
        <f>+G15+G25+G39</f>
        <v>5715</v>
      </c>
      <c r="H40" s="8">
        <f>+H15+H25+H39</f>
        <v>3270</v>
      </c>
      <c r="I40" s="8"/>
      <c r="L40" s="1">
        <f>+H40/G40</f>
        <v>0.57217847769028873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0.19834710743801653</v>
      </c>
      <c r="E41" s="13">
        <v>60</v>
      </c>
      <c r="F41" s="12">
        <f t="shared" ref="F41:F42" si="5">+H41-E41</f>
        <v>-36</v>
      </c>
      <c r="G41" s="13">
        <f>VLOOKUP(B41,'Base Cobertura'!$A:$C,3,FALSE)</f>
        <v>121</v>
      </c>
      <c r="H41" s="13">
        <f>VLOOKUP(B41,'Base Cobertura'!$A:$C,2,FALSE)</f>
        <v>24</v>
      </c>
      <c r="I41" s="17">
        <f t="shared" ref="I41:I42" si="6">(+G41*$M$2)-H41</f>
        <v>78.849999999999994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0.21311475409836064</v>
      </c>
      <c r="E42" s="13">
        <v>60</v>
      </c>
      <c r="F42" s="12">
        <f t="shared" si="5"/>
        <v>-34</v>
      </c>
      <c r="G42" s="13">
        <f>VLOOKUP(B42,'Base Cobertura'!$A:$C,3,FALSE)</f>
        <v>122</v>
      </c>
      <c r="H42" s="13">
        <f>VLOOKUP(B42,'Base Cobertura'!$A:$C,2,FALSE)</f>
        <v>26</v>
      </c>
      <c r="I42" s="17">
        <f t="shared" si="6"/>
        <v>77.7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3</v>
      </c>
      <c r="C3" s="51">
        <v>3431</v>
      </c>
      <c r="G3" t="s">
        <v>222</v>
      </c>
      <c r="H3" s="51">
        <v>1</v>
      </c>
      <c r="I3" s="51">
        <v>3431</v>
      </c>
    </row>
    <row r="4" spans="1:9" x14ac:dyDescent="0.25">
      <c r="A4">
        <v>1</v>
      </c>
      <c r="B4" s="51">
        <v>79</v>
      </c>
      <c r="C4" s="51">
        <v>127</v>
      </c>
      <c r="G4" t="s">
        <v>223</v>
      </c>
      <c r="H4">
        <v>2</v>
      </c>
      <c r="I4" s="51">
        <v>3431</v>
      </c>
    </row>
    <row r="5" spans="1:9" x14ac:dyDescent="0.25">
      <c r="A5">
        <v>10</v>
      </c>
      <c r="B5" s="51">
        <v>93</v>
      </c>
      <c r="C5" s="51">
        <v>181</v>
      </c>
      <c r="G5" t="s">
        <v>224</v>
      </c>
      <c r="H5" s="51"/>
      <c r="I5" s="51">
        <v>3431</v>
      </c>
    </row>
    <row r="6" spans="1:9" x14ac:dyDescent="0.25">
      <c r="A6">
        <v>100</v>
      </c>
      <c r="B6" s="51">
        <v>30</v>
      </c>
      <c r="C6" s="51">
        <v>2027</v>
      </c>
      <c r="G6" t="s">
        <v>225</v>
      </c>
      <c r="H6" s="51"/>
      <c r="I6" s="51">
        <v>3431</v>
      </c>
    </row>
    <row r="7" spans="1:9" x14ac:dyDescent="0.25">
      <c r="A7">
        <v>11</v>
      </c>
      <c r="B7" s="51">
        <v>107</v>
      </c>
      <c r="C7" s="51">
        <v>163</v>
      </c>
      <c r="G7" t="s">
        <v>226</v>
      </c>
      <c r="H7" s="51">
        <v>2</v>
      </c>
      <c r="I7" s="51">
        <v>3431</v>
      </c>
    </row>
    <row r="8" spans="1:9" x14ac:dyDescent="0.25">
      <c r="A8">
        <v>12</v>
      </c>
      <c r="B8" s="51">
        <v>147</v>
      </c>
      <c r="C8" s="51">
        <v>214</v>
      </c>
      <c r="G8" t="s">
        <v>227</v>
      </c>
      <c r="H8" s="51">
        <v>2</v>
      </c>
      <c r="I8" s="51">
        <v>3431</v>
      </c>
    </row>
    <row r="9" spans="1:9" x14ac:dyDescent="0.25">
      <c r="A9">
        <v>123</v>
      </c>
      <c r="B9" s="51">
        <v>28</v>
      </c>
      <c r="C9" s="51">
        <v>489</v>
      </c>
      <c r="G9" t="s">
        <v>228</v>
      </c>
      <c r="H9" s="51">
        <v>1</v>
      </c>
      <c r="I9" s="51">
        <v>3431</v>
      </c>
    </row>
    <row r="10" spans="1:9" x14ac:dyDescent="0.25">
      <c r="A10">
        <v>15</v>
      </c>
      <c r="B10" s="51">
        <v>41</v>
      </c>
      <c r="C10" s="51">
        <v>65</v>
      </c>
      <c r="G10" t="s">
        <v>229</v>
      </c>
      <c r="H10">
        <v>1</v>
      </c>
      <c r="I10" s="51">
        <v>3431</v>
      </c>
    </row>
    <row r="11" spans="1:9" x14ac:dyDescent="0.25">
      <c r="A11">
        <v>16</v>
      </c>
      <c r="B11" s="51">
        <v>113</v>
      </c>
      <c r="C11" s="51">
        <v>198</v>
      </c>
      <c r="G11" t="s">
        <v>230</v>
      </c>
      <c r="H11" s="51"/>
      <c r="I11" s="51">
        <v>3431</v>
      </c>
    </row>
    <row r="12" spans="1:9" x14ac:dyDescent="0.25">
      <c r="A12">
        <v>18</v>
      </c>
      <c r="B12" s="51">
        <v>130</v>
      </c>
      <c r="C12" s="51">
        <v>177</v>
      </c>
      <c r="E12">
        <f>+F12</f>
        <v>1</v>
      </c>
      <c r="F12">
        <v>1</v>
      </c>
      <c r="G12" t="s">
        <v>222</v>
      </c>
      <c r="H12">
        <v>33</v>
      </c>
      <c r="I12" s="51">
        <v>127</v>
      </c>
    </row>
    <row r="13" spans="1:9" x14ac:dyDescent="0.25">
      <c r="A13">
        <v>19</v>
      </c>
      <c r="B13" s="51">
        <v>146</v>
      </c>
      <c r="C13" s="51">
        <v>207</v>
      </c>
      <c r="E13">
        <f>+$E$12</f>
        <v>1</v>
      </c>
      <c r="G13" t="s">
        <v>223</v>
      </c>
      <c r="H13" s="51">
        <v>27</v>
      </c>
      <c r="I13" s="51">
        <v>127</v>
      </c>
    </row>
    <row r="14" spans="1:9" x14ac:dyDescent="0.25">
      <c r="A14">
        <v>2</v>
      </c>
      <c r="B14" s="51">
        <v>87</v>
      </c>
      <c r="C14" s="51">
        <v>138</v>
      </c>
      <c r="E14">
        <f t="shared" ref="E14:E20" si="0">+$E$12</f>
        <v>1</v>
      </c>
      <c r="G14" t="s">
        <v>224</v>
      </c>
      <c r="H14" s="51">
        <v>46</v>
      </c>
      <c r="I14" s="51">
        <v>127</v>
      </c>
    </row>
    <row r="15" spans="1:9" x14ac:dyDescent="0.25">
      <c r="A15">
        <v>20</v>
      </c>
      <c r="B15" s="51">
        <v>168</v>
      </c>
      <c r="C15" s="51">
        <v>227</v>
      </c>
      <c r="E15">
        <f t="shared" si="0"/>
        <v>1</v>
      </c>
      <c r="G15" t="s">
        <v>225</v>
      </c>
      <c r="H15" s="51">
        <v>29</v>
      </c>
      <c r="I15" s="51">
        <v>127</v>
      </c>
    </row>
    <row r="16" spans="1:9" x14ac:dyDescent="0.25">
      <c r="A16">
        <v>21</v>
      </c>
      <c r="B16" s="51">
        <v>131</v>
      </c>
      <c r="C16" s="51">
        <v>170</v>
      </c>
      <c r="E16">
        <f t="shared" si="0"/>
        <v>1</v>
      </c>
      <c r="G16" t="s">
        <v>226</v>
      </c>
      <c r="H16" s="51">
        <v>52</v>
      </c>
      <c r="I16" s="51">
        <v>127</v>
      </c>
    </row>
    <row r="17" spans="1:9" x14ac:dyDescent="0.25">
      <c r="A17">
        <v>22</v>
      </c>
      <c r="B17" s="51">
        <v>47</v>
      </c>
      <c r="C17" s="51">
        <v>73</v>
      </c>
      <c r="E17">
        <f t="shared" si="0"/>
        <v>1</v>
      </c>
      <c r="G17" t="s">
        <v>227</v>
      </c>
      <c r="H17" s="51">
        <v>48</v>
      </c>
      <c r="I17" s="51">
        <v>127</v>
      </c>
    </row>
    <row r="18" spans="1:9" x14ac:dyDescent="0.25">
      <c r="A18">
        <v>23</v>
      </c>
      <c r="B18" s="51">
        <v>112</v>
      </c>
      <c r="C18" s="51">
        <v>154</v>
      </c>
      <c r="E18">
        <f t="shared" si="0"/>
        <v>1</v>
      </c>
      <c r="G18" t="s">
        <v>228</v>
      </c>
      <c r="H18" s="51">
        <v>19</v>
      </c>
      <c r="I18" s="51">
        <v>127</v>
      </c>
    </row>
    <row r="19" spans="1:9" x14ac:dyDescent="0.25">
      <c r="A19">
        <v>24</v>
      </c>
      <c r="B19" s="51">
        <v>102</v>
      </c>
      <c r="C19" s="51">
        <v>178</v>
      </c>
      <c r="E19">
        <f t="shared" si="0"/>
        <v>1</v>
      </c>
      <c r="G19" t="s">
        <v>229</v>
      </c>
      <c r="H19" s="51">
        <v>23</v>
      </c>
      <c r="I19" s="51">
        <v>127</v>
      </c>
    </row>
    <row r="20" spans="1:9" x14ac:dyDescent="0.25">
      <c r="A20">
        <v>25</v>
      </c>
      <c r="B20" s="51">
        <v>59</v>
      </c>
      <c r="C20" s="51">
        <v>172</v>
      </c>
      <c r="E20">
        <f t="shared" si="0"/>
        <v>1</v>
      </c>
      <c r="G20" t="s">
        <v>230</v>
      </c>
      <c r="H20">
        <v>25</v>
      </c>
      <c r="I20" s="51">
        <v>127</v>
      </c>
    </row>
    <row r="21" spans="1:9" x14ac:dyDescent="0.25">
      <c r="A21">
        <v>26</v>
      </c>
      <c r="B21" s="51">
        <v>57</v>
      </c>
      <c r="C21" s="51">
        <v>165</v>
      </c>
      <c r="E21">
        <f>+$F$21</f>
        <v>10</v>
      </c>
      <c r="F21">
        <v>10</v>
      </c>
      <c r="G21" t="s">
        <v>222</v>
      </c>
      <c r="H21" s="51">
        <v>20</v>
      </c>
      <c r="I21" s="51">
        <v>181</v>
      </c>
    </row>
    <row r="22" spans="1:9" x14ac:dyDescent="0.25">
      <c r="A22">
        <v>27</v>
      </c>
      <c r="B22" s="51">
        <v>114</v>
      </c>
      <c r="C22" s="51">
        <v>139</v>
      </c>
      <c r="E22">
        <f t="shared" ref="E22:E29" si="1">+$F$21</f>
        <v>10</v>
      </c>
      <c r="G22" t="s">
        <v>223</v>
      </c>
      <c r="H22" s="51">
        <v>9</v>
      </c>
      <c r="I22" s="51">
        <v>181</v>
      </c>
    </row>
    <row r="23" spans="1:9" x14ac:dyDescent="0.25">
      <c r="A23">
        <v>28</v>
      </c>
      <c r="B23" s="51">
        <v>108</v>
      </c>
      <c r="C23" s="51">
        <v>168</v>
      </c>
      <c r="E23">
        <f t="shared" si="1"/>
        <v>10</v>
      </c>
      <c r="G23" t="s">
        <v>224</v>
      </c>
      <c r="H23" s="51">
        <v>38</v>
      </c>
      <c r="I23" s="51">
        <v>181</v>
      </c>
    </row>
    <row r="24" spans="1:9" x14ac:dyDescent="0.25">
      <c r="A24">
        <v>3</v>
      </c>
      <c r="B24" s="51">
        <v>117</v>
      </c>
      <c r="C24" s="51">
        <v>170</v>
      </c>
      <c r="E24">
        <f t="shared" si="1"/>
        <v>10</v>
      </c>
      <c r="G24" t="s">
        <v>225</v>
      </c>
      <c r="H24" s="51">
        <v>30</v>
      </c>
      <c r="I24" s="51">
        <v>181</v>
      </c>
    </row>
    <row r="25" spans="1:9" x14ac:dyDescent="0.25">
      <c r="A25">
        <v>30</v>
      </c>
      <c r="B25" s="51">
        <v>18</v>
      </c>
      <c r="C25" s="51">
        <v>139</v>
      </c>
      <c r="E25">
        <f t="shared" si="1"/>
        <v>10</v>
      </c>
      <c r="G25" t="s">
        <v>226</v>
      </c>
      <c r="H25" s="51">
        <v>49</v>
      </c>
      <c r="I25" s="51">
        <v>181</v>
      </c>
    </row>
    <row r="26" spans="1:9" x14ac:dyDescent="0.25">
      <c r="A26">
        <v>31</v>
      </c>
      <c r="B26" s="51">
        <v>116</v>
      </c>
      <c r="C26" s="51">
        <v>160</v>
      </c>
      <c r="E26">
        <f t="shared" si="1"/>
        <v>10</v>
      </c>
      <c r="G26" t="s">
        <v>227</v>
      </c>
      <c r="H26" s="51">
        <v>29</v>
      </c>
      <c r="I26" s="51">
        <v>181</v>
      </c>
    </row>
    <row r="27" spans="1:9" x14ac:dyDescent="0.25">
      <c r="A27">
        <v>32</v>
      </c>
      <c r="B27" s="51">
        <v>32</v>
      </c>
      <c r="C27" s="51">
        <v>57</v>
      </c>
      <c r="E27">
        <f t="shared" si="1"/>
        <v>10</v>
      </c>
      <c r="G27" t="s">
        <v>228</v>
      </c>
      <c r="H27" s="51">
        <v>10</v>
      </c>
      <c r="I27" s="51">
        <v>181</v>
      </c>
    </row>
    <row r="28" spans="1:9" x14ac:dyDescent="0.25">
      <c r="A28">
        <v>33</v>
      </c>
      <c r="B28" s="51">
        <v>108</v>
      </c>
      <c r="C28" s="51">
        <v>168</v>
      </c>
      <c r="E28">
        <f t="shared" si="1"/>
        <v>10</v>
      </c>
      <c r="G28" t="s">
        <v>229</v>
      </c>
      <c r="H28" s="51">
        <v>9</v>
      </c>
      <c r="I28" s="51">
        <v>181</v>
      </c>
    </row>
    <row r="29" spans="1:9" x14ac:dyDescent="0.25">
      <c r="A29">
        <v>36</v>
      </c>
      <c r="B29" s="51">
        <v>97</v>
      </c>
      <c r="C29" s="51">
        <v>159</v>
      </c>
      <c r="E29">
        <f t="shared" si="1"/>
        <v>10</v>
      </c>
      <c r="G29" t="s">
        <v>230</v>
      </c>
      <c r="H29" s="51">
        <v>7</v>
      </c>
      <c r="I29" s="51">
        <v>181</v>
      </c>
    </row>
    <row r="30" spans="1:9" x14ac:dyDescent="0.25">
      <c r="A30">
        <v>37</v>
      </c>
      <c r="B30" s="51">
        <v>66</v>
      </c>
      <c r="C30" s="51">
        <v>142</v>
      </c>
      <c r="E30">
        <f>+$F$30</f>
        <v>100</v>
      </c>
      <c r="F30">
        <v>100</v>
      </c>
      <c r="G30" t="s">
        <v>222</v>
      </c>
      <c r="H30" s="51">
        <v>17</v>
      </c>
      <c r="I30" s="51">
        <v>2027</v>
      </c>
    </row>
    <row r="31" spans="1:9" x14ac:dyDescent="0.25">
      <c r="A31">
        <v>4</v>
      </c>
      <c r="B31" s="51">
        <v>104</v>
      </c>
      <c r="C31" s="51">
        <v>182</v>
      </c>
      <c r="E31">
        <f t="shared" ref="E31:E38" si="2">+$F$30</f>
        <v>100</v>
      </c>
      <c r="G31" t="s">
        <v>223</v>
      </c>
      <c r="H31" s="51">
        <v>12</v>
      </c>
      <c r="I31" s="51">
        <v>2027</v>
      </c>
    </row>
    <row r="32" spans="1:9" x14ac:dyDescent="0.25">
      <c r="A32">
        <v>40</v>
      </c>
      <c r="B32" s="51">
        <v>85</v>
      </c>
      <c r="C32" s="51">
        <v>249</v>
      </c>
      <c r="E32">
        <f t="shared" si="2"/>
        <v>100</v>
      </c>
      <c r="G32" t="s">
        <v>224</v>
      </c>
      <c r="H32" s="51">
        <v>13</v>
      </c>
      <c r="I32" s="51">
        <v>2027</v>
      </c>
    </row>
    <row r="33" spans="1:9" x14ac:dyDescent="0.25">
      <c r="A33">
        <v>42</v>
      </c>
      <c r="B33" s="51">
        <v>4</v>
      </c>
      <c r="C33" s="51">
        <v>52</v>
      </c>
      <c r="E33">
        <f t="shared" si="2"/>
        <v>100</v>
      </c>
      <c r="G33" t="s">
        <v>225</v>
      </c>
      <c r="H33" s="51">
        <v>10</v>
      </c>
      <c r="I33" s="51">
        <v>2027</v>
      </c>
    </row>
    <row r="34" spans="1:9" x14ac:dyDescent="0.25">
      <c r="A34">
        <v>43</v>
      </c>
      <c r="B34" s="51">
        <v>4</v>
      </c>
      <c r="C34" s="51">
        <v>93</v>
      </c>
      <c r="E34">
        <f t="shared" si="2"/>
        <v>100</v>
      </c>
      <c r="G34" t="s">
        <v>226</v>
      </c>
      <c r="H34" s="51">
        <v>16</v>
      </c>
      <c r="I34" s="51">
        <v>2027</v>
      </c>
    </row>
    <row r="35" spans="1:9" x14ac:dyDescent="0.25">
      <c r="A35">
        <v>44</v>
      </c>
      <c r="B35" s="51">
        <v>115</v>
      </c>
      <c r="C35" s="51">
        <v>169</v>
      </c>
      <c r="E35">
        <f t="shared" si="2"/>
        <v>100</v>
      </c>
      <c r="G35" t="s">
        <v>227</v>
      </c>
      <c r="H35" s="51">
        <v>11</v>
      </c>
      <c r="I35" s="51">
        <v>2027</v>
      </c>
    </row>
    <row r="36" spans="1:9" x14ac:dyDescent="0.25">
      <c r="A36">
        <v>49</v>
      </c>
      <c r="B36" s="51">
        <v>82</v>
      </c>
      <c r="C36" s="51">
        <v>239</v>
      </c>
      <c r="E36">
        <f t="shared" si="2"/>
        <v>100</v>
      </c>
      <c r="G36" t="s">
        <v>228</v>
      </c>
      <c r="H36" s="51">
        <v>13</v>
      </c>
      <c r="I36" s="51">
        <v>2027</v>
      </c>
    </row>
    <row r="37" spans="1:9" x14ac:dyDescent="0.25">
      <c r="A37">
        <v>5</v>
      </c>
      <c r="B37" s="51">
        <v>179</v>
      </c>
      <c r="C37" s="51">
        <v>261</v>
      </c>
      <c r="E37">
        <f t="shared" si="2"/>
        <v>100</v>
      </c>
      <c r="G37" t="s">
        <v>229</v>
      </c>
      <c r="H37" s="51">
        <v>5</v>
      </c>
      <c r="I37" s="51">
        <v>2027</v>
      </c>
    </row>
    <row r="38" spans="1:9" x14ac:dyDescent="0.25">
      <c r="A38">
        <v>52</v>
      </c>
      <c r="B38" s="51">
        <v>28</v>
      </c>
      <c r="C38" s="51">
        <v>101</v>
      </c>
      <c r="E38">
        <f t="shared" si="2"/>
        <v>100</v>
      </c>
      <c r="G38" t="s">
        <v>230</v>
      </c>
      <c r="H38" s="51">
        <v>2</v>
      </c>
      <c r="I38" s="51">
        <v>2027</v>
      </c>
    </row>
    <row r="39" spans="1:9" x14ac:dyDescent="0.25">
      <c r="A39">
        <v>53</v>
      </c>
      <c r="B39" s="51">
        <v>36</v>
      </c>
      <c r="C39" s="51">
        <v>105</v>
      </c>
      <c r="E39">
        <f>+$F$39</f>
        <v>11</v>
      </c>
      <c r="F39">
        <v>11</v>
      </c>
      <c r="G39" t="s">
        <v>222</v>
      </c>
      <c r="H39" s="51">
        <v>32</v>
      </c>
      <c r="I39" s="51">
        <v>163</v>
      </c>
    </row>
    <row r="40" spans="1:9" x14ac:dyDescent="0.25">
      <c r="A40">
        <v>54</v>
      </c>
      <c r="B40" s="51">
        <v>77</v>
      </c>
      <c r="C40" s="51">
        <v>202</v>
      </c>
      <c r="E40">
        <f t="shared" ref="E40:E47" si="3">+$F$39</f>
        <v>11</v>
      </c>
      <c r="G40" t="s">
        <v>223</v>
      </c>
      <c r="H40" s="51">
        <v>19</v>
      </c>
      <c r="I40" s="51">
        <v>163</v>
      </c>
    </row>
    <row r="41" spans="1:9" x14ac:dyDescent="0.25">
      <c r="A41">
        <v>56</v>
      </c>
      <c r="B41">
        <v>69</v>
      </c>
      <c r="C41" s="51">
        <v>198</v>
      </c>
      <c r="E41">
        <f t="shared" si="3"/>
        <v>11</v>
      </c>
      <c r="G41" t="s">
        <v>224</v>
      </c>
      <c r="H41" s="51">
        <v>51</v>
      </c>
      <c r="I41" s="51">
        <v>163</v>
      </c>
    </row>
    <row r="42" spans="1:9" x14ac:dyDescent="0.25">
      <c r="A42">
        <v>57</v>
      </c>
      <c r="B42" s="51">
        <v>17</v>
      </c>
      <c r="C42" s="51">
        <v>104</v>
      </c>
      <c r="E42">
        <f t="shared" si="3"/>
        <v>11</v>
      </c>
      <c r="G42" t="s">
        <v>225</v>
      </c>
      <c r="H42" s="51">
        <v>31</v>
      </c>
      <c r="I42" s="51">
        <v>163</v>
      </c>
    </row>
    <row r="43" spans="1:9" x14ac:dyDescent="0.25">
      <c r="A43">
        <v>58</v>
      </c>
      <c r="B43" s="51">
        <v>24</v>
      </c>
      <c r="C43" s="51">
        <v>121</v>
      </c>
      <c r="E43">
        <f t="shared" si="3"/>
        <v>11</v>
      </c>
      <c r="G43" t="s">
        <v>226</v>
      </c>
      <c r="H43" s="51">
        <v>62</v>
      </c>
      <c r="I43" s="51">
        <v>163</v>
      </c>
    </row>
    <row r="44" spans="1:9" x14ac:dyDescent="0.25">
      <c r="A44">
        <v>59</v>
      </c>
      <c r="B44" s="51">
        <v>26</v>
      </c>
      <c r="C44" s="51">
        <v>122</v>
      </c>
      <c r="E44">
        <f t="shared" si="3"/>
        <v>11</v>
      </c>
      <c r="G44" t="s">
        <v>227</v>
      </c>
      <c r="H44" s="51">
        <v>41</v>
      </c>
      <c r="I44" s="51">
        <v>163</v>
      </c>
    </row>
    <row r="45" spans="1:9" x14ac:dyDescent="0.25">
      <c r="A45">
        <v>7</v>
      </c>
      <c r="B45" s="51">
        <v>6</v>
      </c>
      <c r="C45" s="51">
        <v>114</v>
      </c>
      <c r="E45">
        <f t="shared" si="3"/>
        <v>11</v>
      </c>
      <c r="G45" t="s">
        <v>228</v>
      </c>
      <c r="H45" s="51">
        <v>10</v>
      </c>
      <c r="I45" s="51">
        <v>163</v>
      </c>
    </row>
    <row r="46" spans="1:9" x14ac:dyDescent="0.25">
      <c r="A46">
        <v>8</v>
      </c>
      <c r="B46" s="51">
        <v>107</v>
      </c>
      <c r="C46" s="51">
        <v>195</v>
      </c>
      <c r="E46">
        <f t="shared" si="3"/>
        <v>11</v>
      </c>
      <c r="G46" t="s">
        <v>229</v>
      </c>
      <c r="H46" s="51">
        <v>18</v>
      </c>
      <c r="I46" s="51">
        <v>163</v>
      </c>
    </row>
    <row r="47" spans="1:9" x14ac:dyDescent="0.25">
      <c r="A47">
        <v>9</v>
      </c>
      <c r="B47" s="51">
        <v>104</v>
      </c>
      <c r="C47" s="51">
        <v>161</v>
      </c>
      <c r="E47">
        <f t="shared" si="3"/>
        <v>11</v>
      </c>
      <c r="G47" t="s">
        <v>230</v>
      </c>
      <c r="H47" s="51">
        <v>12</v>
      </c>
      <c r="I47" s="51">
        <v>163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42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24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59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29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66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56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15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15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25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18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9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16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>
        <v>1</v>
      </c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17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>
        <v>3</v>
      </c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11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>
        <v>2</v>
      </c>
      <c r="I64" s="51">
        <v>489</v>
      </c>
    </row>
    <row r="65" spans="5:9" x14ac:dyDescent="0.25">
      <c r="E65">
        <f t="shared" si="5"/>
        <v>123</v>
      </c>
      <c r="G65" t="s">
        <v>230</v>
      </c>
      <c r="H65" s="51"/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25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11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19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14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25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11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15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9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10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27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14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59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25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59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49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7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19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16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41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28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44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32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87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54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17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20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28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33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23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62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33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104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64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9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21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19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11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40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32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23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49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31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11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13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19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62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46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76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51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93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74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13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24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24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47</v>
      </c>
      <c r="I120" s="51">
        <v>170</v>
      </c>
    </row>
    <row r="121" spans="5:9" x14ac:dyDescent="0.25">
      <c r="E121">
        <f t="shared" ref="E121:E128" si="12">+$F$120</f>
        <v>21</v>
      </c>
      <c r="G121" t="s">
        <v>223</v>
      </c>
      <c r="H121" s="51">
        <v>39</v>
      </c>
      <c r="I121" s="51">
        <v>170</v>
      </c>
    </row>
    <row r="122" spans="5:9" x14ac:dyDescent="0.25">
      <c r="E122">
        <f t="shared" si="12"/>
        <v>21</v>
      </c>
      <c r="G122" t="s">
        <v>224</v>
      </c>
      <c r="H122" s="51">
        <v>66</v>
      </c>
      <c r="I122" s="51">
        <v>170</v>
      </c>
    </row>
    <row r="123" spans="5:9" x14ac:dyDescent="0.25">
      <c r="E123">
        <f t="shared" si="12"/>
        <v>21</v>
      </c>
      <c r="G123" t="s">
        <v>225</v>
      </c>
      <c r="H123" s="51">
        <v>35</v>
      </c>
      <c r="I123" s="51">
        <v>170</v>
      </c>
    </row>
    <row r="124" spans="5:9" x14ac:dyDescent="0.25">
      <c r="E124">
        <f t="shared" si="12"/>
        <v>21</v>
      </c>
      <c r="G124" t="s">
        <v>226</v>
      </c>
      <c r="H124">
        <v>95</v>
      </c>
      <c r="I124" s="51">
        <v>170</v>
      </c>
    </row>
    <row r="125" spans="5:9" x14ac:dyDescent="0.25">
      <c r="E125">
        <f t="shared" si="12"/>
        <v>21</v>
      </c>
      <c r="G125" t="s">
        <v>227</v>
      </c>
      <c r="H125" s="51">
        <v>76</v>
      </c>
      <c r="I125" s="51">
        <v>170</v>
      </c>
    </row>
    <row r="126" spans="5:9" x14ac:dyDescent="0.25">
      <c r="E126">
        <f t="shared" si="12"/>
        <v>21</v>
      </c>
      <c r="G126" t="s">
        <v>228</v>
      </c>
      <c r="H126" s="51">
        <v>20</v>
      </c>
      <c r="I126" s="51">
        <v>170</v>
      </c>
    </row>
    <row r="127" spans="5:9" x14ac:dyDescent="0.25">
      <c r="E127">
        <f t="shared" si="12"/>
        <v>21</v>
      </c>
      <c r="G127" t="s">
        <v>229</v>
      </c>
      <c r="H127" s="51">
        <v>23</v>
      </c>
      <c r="I127" s="51">
        <v>170</v>
      </c>
    </row>
    <row r="128" spans="5:9" x14ac:dyDescent="0.25">
      <c r="E128">
        <f t="shared" si="12"/>
        <v>21</v>
      </c>
      <c r="G128" t="s">
        <v>230</v>
      </c>
      <c r="H128" s="51">
        <v>19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27</v>
      </c>
      <c r="I129" s="51">
        <v>73</v>
      </c>
    </row>
    <row r="130" spans="5:9" x14ac:dyDescent="0.25">
      <c r="E130">
        <f t="shared" ref="E130:E137" si="13">+$F$129</f>
        <v>22</v>
      </c>
      <c r="G130" t="s">
        <v>223</v>
      </c>
      <c r="H130" s="51">
        <v>16</v>
      </c>
      <c r="I130" s="51">
        <v>73</v>
      </c>
    </row>
    <row r="131" spans="5:9" x14ac:dyDescent="0.25">
      <c r="E131">
        <f t="shared" si="13"/>
        <v>22</v>
      </c>
      <c r="G131" t="s">
        <v>224</v>
      </c>
      <c r="H131" s="51">
        <v>28</v>
      </c>
      <c r="I131" s="51">
        <v>73</v>
      </c>
    </row>
    <row r="132" spans="5:9" x14ac:dyDescent="0.25">
      <c r="E132">
        <f t="shared" si="13"/>
        <v>22</v>
      </c>
      <c r="G132" t="s">
        <v>225</v>
      </c>
      <c r="H132" s="51">
        <v>19</v>
      </c>
      <c r="I132" s="51">
        <v>73</v>
      </c>
    </row>
    <row r="133" spans="5:9" x14ac:dyDescent="0.25">
      <c r="E133">
        <f t="shared" si="13"/>
        <v>22</v>
      </c>
      <c r="G133" t="s">
        <v>226</v>
      </c>
      <c r="H133" s="51">
        <v>37</v>
      </c>
      <c r="I133" s="51">
        <v>73</v>
      </c>
    </row>
    <row r="134" spans="5:9" x14ac:dyDescent="0.25">
      <c r="E134">
        <f t="shared" si="13"/>
        <v>22</v>
      </c>
      <c r="G134" t="s">
        <v>227</v>
      </c>
      <c r="H134" s="51">
        <v>22</v>
      </c>
      <c r="I134" s="51">
        <v>73</v>
      </c>
    </row>
    <row r="135" spans="5:9" x14ac:dyDescent="0.25">
      <c r="E135">
        <f t="shared" si="13"/>
        <v>22</v>
      </c>
      <c r="G135" t="s">
        <v>228</v>
      </c>
      <c r="H135" s="51">
        <v>33</v>
      </c>
      <c r="I135" s="51">
        <v>73</v>
      </c>
    </row>
    <row r="136" spans="5:9" x14ac:dyDescent="0.25">
      <c r="E136">
        <f t="shared" si="13"/>
        <v>22</v>
      </c>
      <c r="G136" t="s">
        <v>229</v>
      </c>
      <c r="H136" s="51">
        <v>14</v>
      </c>
      <c r="I136" s="51">
        <v>73</v>
      </c>
    </row>
    <row r="137" spans="5:9" x14ac:dyDescent="0.25">
      <c r="E137">
        <f t="shared" si="13"/>
        <v>22</v>
      </c>
      <c r="G137" t="s">
        <v>230</v>
      </c>
      <c r="H137" s="51">
        <v>22</v>
      </c>
      <c r="I137" s="51">
        <v>73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37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29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62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28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90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56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9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23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13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29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9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60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23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55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39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10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11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4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21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15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17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29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40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33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32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11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10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31</v>
      </c>
      <c r="I165" s="51">
        <v>165</v>
      </c>
    </row>
    <row r="166" spans="5:9" x14ac:dyDescent="0.25">
      <c r="E166">
        <f t="shared" ref="E166:E173" si="17">+$F$165</f>
        <v>26</v>
      </c>
      <c r="G166" t="s">
        <v>223</v>
      </c>
      <c r="H166" s="51">
        <v>7</v>
      </c>
      <c r="I166" s="51">
        <v>165</v>
      </c>
    </row>
    <row r="167" spans="5:9" x14ac:dyDescent="0.25">
      <c r="E167">
        <f t="shared" si="17"/>
        <v>26</v>
      </c>
      <c r="G167" t="s">
        <v>224</v>
      </c>
      <c r="H167" s="51">
        <v>7</v>
      </c>
      <c r="I167" s="51">
        <v>165</v>
      </c>
    </row>
    <row r="168" spans="5:9" x14ac:dyDescent="0.25">
      <c r="E168">
        <f t="shared" si="17"/>
        <v>26</v>
      </c>
      <c r="G168" t="s">
        <v>225</v>
      </c>
      <c r="H168" s="51">
        <v>22</v>
      </c>
      <c r="I168" s="51">
        <v>165</v>
      </c>
    </row>
    <row r="169" spans="5:9" x14ac:dyDescent="0.25">
      <c r="E169">
        <f t="shared" si="17"/>
        <v>26</v>
      </c>
      <c r="G169" t="s">
        <v>226</v>
      </c>
      <c r="H169" s="51">
        <v>21</v>
      </c>
      <c r="I169" s="51">
        <v>165</v>
      </c>
    </row>
    <row r="170" spans="5:9" x14ac:dyDescent="0.25">
      <c r="E170">
        <f t="shared" si="17"/>
        <v>26</v>
      </c>
      <c r="G170" t="s">
        <v>227</v>
      </c>
      <c r="H170" s="51">
        <v>23</v>
      </c>
      <c r="I170" s="51">
        <v>165</v>
      </c>
    </row>
    <row r="171" spans="5:9" x14ac:dyDescent="0.25">
      <c r="E171">
        <f t="shared" si="17"/>
        <v>26</v>
      </c>
      <c r="G171" t="s">
        <v>228</v>
      </c>
      <c r="H171" s="51">
        <v>27</v>
      </c>
      <c r="I171" s="51">
        <v>165</v>
      </c>
    </row>
    <row r="172" spans="5:9" x14ac:dyDescent="0.25">
      <c r="E172">
        <f t="shared" si="17"/>
        <v>26</v>
      </c>
      <c r="G172" t="s">
        <v>229</v>
      </c>
      <c r="H172" s="51">
        <v>14</v>
      </c>
      <c r="I172" s="51">
        <v>165</v>
      </c>
    </row>
    <row r="173" spans="5:9" x14ac:dyDescent="0.25">
      <c r="E173">
        <f t="shared" si="17"/>
        <v>26</v>
      </c>
      <c r="G173" t="s">
        <v>230</v>
      </c>
      <c r="H173" s="51">
        <v>17</v>
      </c>
      <c r="I173" s="51">
        <v>165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36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15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41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24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68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64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17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22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10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26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10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29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23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59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50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8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15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7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35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26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51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30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75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49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11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22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22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5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1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7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/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4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/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10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45</v>
      </c>
      <c r="I210" s="51">
        <v>160</v>
      </c>
    </row>
    <row r="211" spans="5:9" x14ac:dyDescent="0.25">
      <c r="E211">
        <f t="shared" ref="E211:E218" si="22">+$F$210</f>
        <v>31</v>
      </c>
      <c r="G211" t="s">
        <v>223</v>
      </c>
      <c r="H211" s="51">
        <v>21</v>
      </c>
      <c r="I211" s="51">
        <v>160</v>
      </c>
    </row>
    <row r="212" spans="5:9" x14ac:dyDescent="0.25">
      <c r="E212">
        <f t="shared" si="22"/>
        <v>31</v>
      </c>
      <c r="G212" t="s">
        <v>224</v>
      </c>
      <c r="H212">
        <v>55</v>
      </c>
      <c r="I212" s="51">
        <v>160</v>
      </c>
    </row>
    <row r="213" spans="5:9" x14ac:dyDescent="0.25">
      <c r="E213">
        <f t="shared" si="22"/>
        <v>31</v>
      </c>
      <c r="G213" t="s">
        <v>225</v>
      </c>
      <c r="H213" s="51">
        <v>34</v>
      </c>
      <c r="I213" s="51">
        <v>160</v>
      </c>
    </row>
    <row r="214" spans="5:9" x14ac:dyDescent="0.25">
      <c r="E214">
        <f t="shared" si="22"/>
        <v>31</v>
      </c>
      <c r="G214" t="s">
        <v>226</v>
      </c>
      <c r="H214" s="51">
        <v>87</v>
      </c>
      <c r="I214" s="51">
        <v>160</v>
      </c>
    </row>
    <row r="215" spans="5:9" x14ac:dyDescent="0.25">
      <c r="E215">
        <f t="shared" si="22"/>
        <v>31</v>
      </c>
      <c r="G215" t="s">
        <v>227</v>
      </c>
      <c r="H215" s="51">
        <v>61</v>
      </c>
      <c r="I215" s="51">
        <v>160</v>
      </c>
    </row>
    <row r="216" spans="5:9" x14ac:dyDescent="0.25">
      <c r="E216">
        <f t="shared" si="22"/>
        <v>31</v>
      </c>
      <c r="G216" t="s">
        <v>228</v>
      </c>
      <c r="H216" s="51">
        <v>19</v>
      </c>
      <c r="I216" s="51">
        <v>160</v>
      </c>
    </row>
    <row r="217" spans="5:9" x14ac:dyDescent="0.25">
      <c r="E217">
        <f t="shared" si="22"/>
        <v>31</v>
      </c>
      <c r="G217" t="s">
        <v>229</v>
      </c>
      <c r="H217" s="51">
        <v>26</v>
      </c>
      <c r="I217" s="51">
        <v>160</v>
      </c>
    </row>
    <row r="218" spans="5:9" x14ac:dyDescent="0.25">
      <c r="E218">
        <f t="shared" si="22"/>
        <v>31</v>
      </c>
      <c r="G218" t="s">
        <v>230</v>
      </c>
      <c r="H218" s="51">
        <v>12</v>
      </c>
      <c r="I218" s="51">
        <v>160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19</v>
      </c>
      <c r="I219" s="51">
        <v>57</v>
      </c>
    </row>
    <row r="220" spans="5:9" x14ac:dyDescent="0.25">
      <c r="E220">
        <f t="shared" ref="E220:E227" si="23">+$F$219</f>
        <v>32</v>
      </c>
      <c r="G220" t="s">
        <v>223</v>
      </c>
      <c r="H220" s="51">
        <v>9</v>
      </c>
      <c r="I220" s="51">
        <v>57</v>
      </c>
    </row>
    <row r="221" spans="5:9" x14ac:dyDescent="0.25">
      <c r="E221">
        <f t="shared" si="23"/>
        <v>32</v>
      </c>
      <c r="G221" t="s">
        <v>224</v>
      </c>
      <c r="H221" s="51">
        <v>12</v>
      </c>
      <c r="I221" s="51">
        <v>57</v>
      </c>
    </row>
    <row r="222" spans="5:9" x14ac:dyDescent="0.25">
      <c r="E222">
        <f t="shared" si="23"/>
        <v>32</v>
      </c>
      <c r="G222" t="s">
        <v>225</v>
      </c>
      <c r="H222" s="51">
        <v>12</v>
      </c>
      <c r="I222" s="51">
        <v>57</v>
      </c>
    </row>
    <row r="223" spans="5:9" x14ac:dyDescent="0.25">
      <c r="E223">
        <f t="shared" si="23"/>
        <v>32</v>
      </c>
      <c r="G223" t="s">
        <v>226</v>
      </c>
      <c r="H223" s="51">
        <v>26</v>
      </c>
      <c r="I223" s="51">
        <v>57</v>
      </c>
    </row>
    <row r="224" spans="5:9" x14ac:dyDescent="0.25">
      <c r="E224">
        <f t="shared" si="23"/>
        <v>32</v>
      </c>
      <c r="G224" t="s">
        <v>227</v>
      </c>
      <c r="H224" s="51">
        <v>16</v>
      </c>
      <c r="I224" s="51">
        <v>57</v>
      </c>
    </row>
    <row r="225" spans="5:9" x14ac:dyDescent="0.25">
      <c r="E225">
        <f t="shared" si="23"/>
        <v>32</v>
      </c>
      <c r="G225" t="s">
        <v>228</v>
      </c>
      <c r="H225" s="51">
        <v>19</v>
      </c>
      <c r="I225" s="51">
        <v>57</v>
      </c>
    </row>
    <row r="226" spans="5:9" x14ac:dyDescent="0.25">
      <c r="E226">
        <f t="shared" si="23"/>
        <v>32</v>
      </c>
      <c r="G226" t="s">
        <v>229</v>
      </c>
      <c r="H226" s="51">
        <v>9</v>
      </c>
      <c r="I226" s="51">
        <v>57</v>
      </c>
    </row>
    <row r="227" spans="5:9" x14ac:dyDescent="0.25">
      <c r="E227">
        <f t="shared" si="23"/>
        <v>32</v>
      </c>
      <c r="G227" t="s">
        <v>230</v>
      </c>
      <c r="H227" s="51">
        <v>12</v>
      </c>
      <c r="I227" s="51">
        <v>57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33</v>
      </c>
      <c r="I228" s="51">
        <v>168</v>
      </c>
    </row>
    <row r="229" spans="5:9" x14ac:dyDescent="0.25">
      <c r="E229">
        <f t="shared" ref="E229:E236" si="24">+$F$228</f>
        <v>33</v>
      </c>
      <c r="G229" t="s">
        <v>223</v>
      </c>
      <c r="H229" s="51">
        <v>24</v>
      </c>
      <c r="I229" s="51">
        <v>168</v>
      </c>
    </row>
    <row r="230" spans="5:9" x14ac:dyDescent="0.25">
      <c r="E230">
        <f t="shared" si="24"/>
        <v>33</v>
      </c>
      <c r="G230" t="s">
        <v>224</v>
      </c>
      <c r="H230" s="51">
        <v>34</v>
      </c>
      <c r="I230" s="51">
        <v>168</v>
      </c>
    </row>
    <row r="231" spans="5:9" x14ac:dyDescent="0.25">
      <c r="E231">
        <f t="shared" si="24"/>
        <v>33</v>
      </c>
      <c r="G231" t="s">
        <v>225</v>
      </c>
      <c r="H231" s="51">
        <v>31</v>
      </c>
      <c r="I231" s="51">
        <v>168</v>
      </c>
    </row>
    <row r="232" spans="5:9" x14ac:dyDescent="0.25">
      <c r="E232">
        <f t="shared" si="24"/>
        <v>33</v>
      </c>
      <c r="G232" t="s">
        <v>226</v>
      </c>
      <c r="H232" s="51">
        <v>54</v>
      </c>
      <c r="I232" s="51">
        <v>168</v>
      </c>
    </row>
    <row r="233" spans="5:9" x14ac:dyDescent="0.25">
      <c r="E233">
        <f t="shared" si="24"/>
        <v>33</v>
      </c>
      <c r="G233" t="s">
        <v>227</v>
      </c>
      <c r="H233" s="51">
        <v>49</v>
      </c>
      <c r="I233" s="51">
        <v>168</v>
      </c>
    </row>
    <row r="234" spans="5:9" x14ac:dyDescent="0.25">
      <c r="E234">
        <f t="shared" si="24"/>
        <v>33</v>
      </c>
      <c r="G234" t="s">
        <v>228</v>
      </c>
      <c r="H234" s="51">
        <v>10</v>
      </c>
      <c r="I234" s="51">
        <v>168</v>
      </c>
    </row>
    <row r="235" spans="5:9" x14ac:dyDescent="0.25">
      <c r="E235">
        <f t="shared" si="24"/>
        <v>33</v>
      </c>
      <c r="G235" t="s">
        <v>229</v>
      </c>
      <c r="H235" s="51">
        <v>17</v>
      </c>
      <c r="I235" s="51">
        <v>168</v>
      </c>
    </row>
    <row r="236" spans="5:9" x14ac:dyDescent="0.25">
      <c r="E236">
        <f t="shared" si="24"/>
        <v>33</v>
      </c>
      <c r="G236" t="s">
        <v>230</v>
      </c>
      <c r="H236">
        <v>11</v>
      </c>
      <c r="I236" s="51">
        <v>168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23</v>
      </c>
      <c r="I237" s="51">
        <v>159</v>
      </c>
    </row>
    <row r="238" spans="5:9" x14ac:dyDescent="0.25">
      <c r="E238">
        <f t="shared" ref="E238:E245" si="25">+$F$237</f>
        <v>36</v>
      </c>
      <c r="G238" t="s">
        <v>223</v>
      </c>
      <c r="H238" s="51">
        <v>10</v>
      </c>
      <c r="I238" s="51">
        <v>159</v>
      </c>
    </row>
    <row r="239" spans="5:9" x14ac:dyDescent="0.25">
      <c r="E239">
        <f t="shared" si="25"/>
        <v>36</v>
      </c>
      <c r="G239" t="s">
        <v>224</v>
      </c>
      <c r="H239" s="51">
        <v>38</v>
      </c>
      <c r="I239" s="51">
        <v>159</v>
      </c>
    </row>
    <row r="240" spans="5:9" x14ac:dyDescent="0.25">
      <c r="E240">
        <f t="shared" si="25"/>
        <v>36</v>
      </c>
      <c r="G240" t="s">
        <v>225</v>
      </c>
      <c r="H240" s="51">
        <v>29</v>
      </c>
      <c r="I240" s="51">
        <v>159</v>
      </c>
    </row>
    <row r="241" spans="5:9" x14ac:dyDescent="0.25">
      <c r="E241">
        <f t="shared" si="25"/>
        <v>36</v>
      </c>
      <c r="G241" t="s">
        <v>226</v>
      </c>
      <c r="H241" s="51">
        <v>58</v>
      </c>
      <c r="I241" s="51">
        <v>159</v>
      </c>
    </row>
    <row r="242" spans="5:9" x14ac:dyDescent="0.25">
      <c r="E242">
        <f t="shared" si="25"/>
        <v>36</v>
      </c>
      <c r="G242" t="s">
        <v>227</v>
      </c>
      <c r="H242" s="51">
        <v>33</v>
      </c>
      <c r="I242" s="51">
        <v>159</v>
      </c>
    </row>
    <row r="243" spans="5:9" x14ac:dyDescent="0.25">
      <c r="E243">
        <f t="shared" si="25"/>
        <v>36</v>
      </c>
      <c r="G243" t="s">
        <v>228</v>
      </c>
      <c r="H243" s="51">
        <v>14</v>
      </c>
      <c r="I243" s="51">
        <v>159</v>
      </c>
    </row>
    <row r="244" spans="5:9" x14ac:dyDescent="0.25">
      <c r="E244">
        <f t="shared" si="25"/>
        <v>36</v>
      </c>
      <c r="G244" t="s">
        <v>229</v>
      </c>
      <c r="H244">
        <v>8</v>
      </c>
      <c r="I244" s="51">
        <v>159</v>
      </c>
    </row>
    <row r="245" spans="5:9" x14ac:dyDescent="0.25">
      <c r="E245">
        <f t="shared" si="25"/>
        <v>36</v>
      </c>
      <c r="G245" t="s">
        <v>230</v>
      </c>
      <c r="H245" s="51">
        <v>10</v>
      </c>
      <c r="I245" s="51">
        <v>159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12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8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18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15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36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22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12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16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12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25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21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42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37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67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38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11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21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21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16</v>
      </c>
      <c r="I264" s="51">
        <v>249</v>
      </c>
    </row>
    <row r="265" spans="5:9" x14ac:dyDescent="0.25">
      <c r="E265">
        <f t="shared" ref="E265:E272" si="28">+$F$264</f>
        <v>40</v>
      </c>
      <c r="G265" t="s">
        <v>223</v>
      </c>
      <c r="H265">
        <v>3</v>
      </c>
      <c r="I265" s="51">
        <v>249</v>
      </c>
    </row>
    <row r="266" spans="5:9" x14ac:dyDescent="0.25">
      <c r="E266">
        <f t="shared" si="28"/>
        <v>40</v>
      </c>
      <c r="G266" t="s">
        <v>224</v>
      </c>
      <c r="H266" s="51">
        <v>23</v>
      </c>
      <c r="I266" s="51">
        <v>249</v>
      </c>
    </row>
    <row r="267" spans="5:9" x14ac:dyDescent="0.25">
      <c r="E267">
        <f t="shared" si="28"/>
        <v>40</v>
      </c>
      <c r="G267" t="s">
        <v>225</v>
      </c>
      <c r="H267" s="51">
        <v>27</v>
      </c>
      <c r="I267" s="51">
        <v>249</v>
      </c>
    </row>
    <row r="268" spans="5:9" x14ac:dyDescent="0.25">
      <c r="E268">
        <f t="shared" si="28"/>
        <v>40</v>
      </c>
      <c r="G268" t="s">
        <v>226</v>
      </c>
      <c r="H268">
        <v>58</v>
      </c>
      <c r="I268" s="51">
        <v>249</v>
      </c>
    </row>
    <row r="269" spans="5:9" x14ac:dyDescent="0.25">
      <c r="E269">
        <f t="shared" si="28"/>
        <v>40</v>
      </c>
      <c r="G269" t="s">
        <v>227</v>
      </c>
      <c r="H269" s="51">
        <v>41</v>
      </c>
      <c r="I269" s="51">
        <v>249</v>
      </c>
    </row>
    <row r="270" spans="5:9" x14ac:dyDescent="0.25">
      <c r="E270">
        <f t="shared" si="28"/>
        <v>40</v>
      </c>
      <c r="G270" t="s">
        <v>228</v>
      </c>
      <c r="H270" s="51">
        <v>22</v>
      </c>
      <c r="I270" s="51">
        <v>249</v>
      </c>
    </row>
    <row r="271" spans="5:9" x14ac:dyDescent="0.25">
      <c r="E271">
        <f t="shared" si="28"/>
        <v>40</v>
      </c>
      <c r="G271" t="s">
        <v>229</v>
      </c>
      <c r="H271" s="51">
        <v>9</v>
      </c>
      <c r="I271" s="51">
        <v>249</v>
      </c>
    </row>
    <row r="272" spans="5:9" x14ac:dyDescent="0.25">
      <c r="E272">
        <f t="shared" si="28"/>
        <v>40</v>
      </c>
      <c r="G272" t="s">
        <v>230</v>
      </c>
      <c r="H272" s="51">
        <v>9</v>
      </c>
      <c r="I272" s="51">
        <v>249</v>
      </c>
    </row>
    <row r="273" spans="5:9" x14ac:dyDescent="0.25">
      <c r="E273">
        <f>+$F$273</f>
        <v>42</v>
      </c>
      <c r="F273">
        <v>42</v>
      </c>
      <c r="G273" t="s">
        <v>222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/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/>
      <c r="I275" s="51">
        <v>52</v>
      </c>
    </row>
    <row r="276" spans="5:9" x14ac:dyDescent="0.25">
      <c r="E276">
        <f t="shared" si="29"/>
        <v>42</v>
      </c>
      <c r="G276" t="s">
        <v>225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3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4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1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2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1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3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22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24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57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29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80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61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13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19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17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25</v>
      </c>
      <c r="I300" s="51">
        <v>239</v>
      </c>
    </row>
    <row r="301" spans="5:9" x14ac:dyDescent="0.25">
      <c r="E301">
        <f t="shared" ref="E301:E308" si="32">+$F$300</f>
        <v>49</v>
      </c>
      <c r="G301" t="s">
        <v>223</v>
      </c>
      <c r="H301" s="51">
        <v>12</v>
      </c>
      <c r="I301" s="51">
        <v>239</v>
      </c>
    </row>
    <row r="302" spans="5:9" x14ac:dyDescent="0.25">
      <c r="E302">
        <f t="shared" si="32"/>
        <v>49</v>
      </c>
      <c r="G302" t="s">
        <v>224</v>
      </c>
      <c r="H302" s="51">
        <v>39</v>
      </c>
      <c r="I302" s="51">
        <v>239</v>
      </c>
    </row>
    <row r="303" spans="5:9" x14ac:dyDescent="0.25">
      <c r="E303">
        <f t="shared" si="32"/>
        <v>49</v>
      </c>
      <c r="G303" t="s">
        <v>225</v>
      </c>
      <c r="H303" s="51">
        <v>9</v>
      </c>
      <c r="I303" s="51">
        <v>239</v>
      </c>
    </row>
    <row r="304" spans="5:9" x14ac:dyDescent="0.25">
      <c r="E304">
        <f t="shared" si="32"/>
        <v>49</v>
      </c>
      <c r="G304" t="s">
        <v>226</v>
      </c>
      <c r="H304" s="51">
        <v>28</v>
      </c>
      <c r="I304" s="51">
        <v>239</v>
      </c>
    </row>
    <row r="305" spans="5:9" x14ac:dyDescent="0.25">
      <c r="E305">
        <f t="shared" si="32"/>
        <v>49</v>
      </c>
      <c r="G305" t="s">
        <v>227</v>
      </c>
      <c r="H305" s="51">
        <v>21</v>
      </c>
      <c r="I305" s="51">
        <v>239</v>
      </c>
    </row>
    <row r="306" spans="5:9" x14ac:dyDescent="0.25">
      <c r="E306">
        <f t="shared" si="32"/>
        <v>49</v>
      </c>
      <c r="G306" t="s">
        <v>228</v>
      </c>
      <c r="H306" s="51">
        <v>31</v>
      </c>
      <c r="I306" s="51">
        <v>239</v>
      </c>
    </row>
    <row r="307" spans="5:9" x14ac:dyDescent="0.25">
      <c r="E307">
        <f t="shared" si="32"/>
        <v>49</v>
      </c>
      <c r="G307" t="s">
        <v>229</v>
      </c>
      <c r="H307">
        <v>12</v>
      </c>
      <c r="I307" s="51">
        <v>239</v>
      </c>
    </row>
    <row r="308" spans="5:9" x14ac:dyDescent="0.25">
      <c r="E308">
        <f t="shared" si="32"/>
        <v>49</v>
      </c>
      <c r="G308" t="s">
        <v>230</v>
      </c>
      <c r="H308">
        <v>18</v>
      </c>
      <c r="I308" s="51">
        <v>239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66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45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81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35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114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73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26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27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22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5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28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6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36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12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11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37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28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45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34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10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10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18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16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10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41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19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30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19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28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6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4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104</v>
      </c>
    </row>
    <row r="355" spans="5:9" x14ac:dyDescent="0.25">
      <c r="E355">
        <f t="shared" ref="E355:E362" si="38">+$F$354</f>
        <v>57</v>
      </c>
      <c r="G355" t="s">
        <v>223</v>
      </c>
      <c r="H355" s="51">
        <v>1</v>
      </c>
      <c r="I355" s="51">
        <v>104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104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104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104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104</v>
      </c>
    </row>
    <row r="360" spans="5:9" x14ac:dyDescent="0.25">
      <c r="E360">
        <f t="shared" si="38"/>
        <v>57</v>
      </c>
      <c r="G360" t="s">
        <v>228</v>
      </c>
      <c r="H360" s="51">
        <v>17</v>
      </c>
      <c r="I360" s="51">
        <v>104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104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104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1</v>
      </c>
      <c r="I363" s="51">
        <v>121</v>
      </c>
    </row>
    <row r="364" spans="5:9" x14ac:dyDescent="0.25">
      <c r="E364">
        <f t="shared" ref="E364:E371" si="39">+$F$363</f>
        <v>58</v>
      </c>
      <c r="G364" t="s">
        <v>223</v>
      </c>
      <c r="H364" s="51">
        <v>9</v>
      </c>
      <c r="I364" s="51">
        <v>121</v>
      </c>
    </row>
    <row r="365" spans="5:9" x14ac:dyDescent="0.25">
      <c r="E365">
        <f t="shared" si="39"/>
        <v>58</v>
      </c>
      <c r="G365" t="s">
        <v>224</v>
      </c>
      <c r="H365" s="51">
        <v>7</v>
      </c>
      <c r="I365" s="51">
        <v>121</v>
      </c>
    </row>
    <row r="366" spans="5:9" x14ac:dyDescent="0.25">
      <c r="E366">
        <f t="shared" si="39"/>
        <v>58</v>
      </c>
      <c r="G366" t="s">
        <v>225</v>
      </c>
      <c r="H366" s="51">
        <v>13</v>
      </c>
      <c r="I366" s="51">
        <v>121</v>
      </c>
    </row>
    <row r="367" spans="5:9" x14ac:dyDescent="0.25">
      <c r="E367">
        <f t="shared" si="39"/>
        <v>58</v>
      </c>
      <c r="G367" t="s">
        <v>226</v>
      </c>
      <c r="H367" s="51">
        <v>17</v>
      </c>
      <c r="I367" s="51">
        <v>121</v>
      </c>
    </row>
    <row r="368" spans="5:9" x14ac:dyDescent="0.25">
      <c r="E368">
        <f t="shared" si="39"/>
        <v>58</v>
      </c>
      <c r="G368" t="s">
        <v>227</v>
      </c>
      <c r="H368" s="51">
        <v>15</v>
      </c>
      <c r="I368" s="51">
        <v>121</v>
      </c>
    </row>
    <row r="369" spans="5:9" x14ac:dyDescent="0.25">
      <c r="E369">
        <f t="shared" si="39"/>
        <v>58</v>
      </c>
      <c r="G369" t="s">
        <v>228</v>
      </c>
      <c r="H369" s="51">
        <v>3</v>
      </c>
      <c r="I369" s="51">
        <v>121</v>
      </c>
    </row>
    <row r="370" spans="5:9" x14ac:dyDescent="0.25">
      <c r="E370">
        <f t="shared" si="39"/>
        <v>58</v>
      </c>
      <c r="G370" t="s">
        <v>229</v>
      </c>
      <c r="H370" s="51">
        <v>2</v>
      </c>
      <c r="I370" s="51">
        <v>121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121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9</v>
      </c>
      <c r="I372">
        <v>122</v>
      </c>
    </row>
    <row r="373" spans="5:9" x14ac:dyDescent="0.25">
      <c r="E373">
        <f t="shared" ref="E373:E380" si="40">+$F$372</f>
        <v>59</v>
      </c>
      <c r="G373" t="s">
        <v>223</v>
      </c>
      <c r="H373">
        <v>10</v>
      </c>
      <c r="I373">
        <v>122</v>
      </c>
    </row>
    <row r="374" spans="5:9" x14ac:dyDescent="0.25">
      <c r="E374">
        <f t="shared" si="40"/>
        <v>59</v>
      </c>
      <c r="G374" t="s">
        <v>224</v>
      </c>
      <c r="H374">
        <v>7</v>
      </c>
      <c r="I374">
        <v>122</v>
      </c>
    </row>
    <row r="375" spans="5:9" x14ac:dyDescent="0.25">
      <c r="E375">
        <f t="shared" si="40"/>
        <v>59</v>
      </c>
      <c r="G375" t="s">
        <v>225</v>
      </c>
      <c r="H375">
        <v>10</v>
      </c>
      <c r="I375">
        <v>122</v>
      </c>
    </row>
    <row r="376" spans="5:9" x14ac:dyDescent="0.25">
      <c r="E376">
        <f t="shared" si="40"/>
        <v>59</v>
      </c>
      <c r="G376" t="s">
        <v>226</v>
      </c>
      <c r="H376">
        <v>11</v>
      </c>
      <c r="I376">
        <v>122</v>
      </c>
    </row>
    <row r="377" spans="5:9" x14ac:dyDescent="0.25">
      <c r="E377">
        <f t="shared" si="40"/>
        <v>59</v>
      </c>
      <c r="G377" t="s">
        <v>227</v>
      </c>
      <c r="H377">
        <v>10</v>
      </c>
      <c r="I377">
        <v>122</v>
      </c>
    </row>
    <row r="378" spans="5:9" x14ac:dyDescent="0.25">
      <c r="E378">
        <f t="shared" si="40"/>
        <v>59</v>
      </c>
      <c r="G378" t="s">
        <v>228</v>
      </c>
      <c r="H378">
        <v>6</v>
      </c>
      <c r="I378">
        <v>122</v>
      </c>
    </row>
    <row r="379" spans="5:9" x14ac:dyDescent="0.25">
      <c r="E379">
        <f t="shared" si="40"/>
        <v>59</v>
      </c>
      <c r="G379" t="s">
        <v>229</v>
      </c>
      <c r="H379">
        <v>2</v>
      </c>
      <c r="I379">
        <v>122</v>
      </c>
    </row>
    <row r="380" spans="5:9" x14ac:dyDescent="0.25">
      <c r="E380">
        <f t="shared" si="40"/>
        <v>59</v>
      </c>
      <c r="G380" t="s">
        <v>230</v>
      </c>
      <c r="H380">
        <v>2</v>
      </c>
      <c r="I380">
        <v>122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2</v>
      </c>
      <c r="I381">
        <v>114</v>
      </c>
    </row>
    <row r="382" spans="5:9" x14ac:dyDescent="0.25">
      <c r="E382">
        <f t="shared" ref="E382:E389" si="41">+$F$381</f>
        <v>7</v>
      </c>
      <c r="G382" t="s">
        <v>223</v>
      </c>
      <c r="H382">
        <v>1</v>
      </c>
      <c r="I382">
        <v>114</v>
      </c>
    </row>
    <row r="383" spans="5:9" x14ac:dyDescent="0.25">
      <c r="E383">
        <f t="shared" si="41"/>
        <v>7</v>
      </c>
      <c r="G383" t="s">
        <v>224</v>
      </c>
      <c r="H383">
        <v>4</v>
      </c>
      <c r="I383">
        <v>114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114</v>
      </c>
    </row>
    <row r="385" spans="5:9" x14ac:dyDescent="0.25">
      <c r="E385">
        <f t="shared" si="41"/>
        <v>7</v>
      </c>
      <c r="G385" t="s">
        <v>226</v>
      </c>
      <c r="H385">
        <v>2</v>
      </c>
      <c r="I385">
        <v>114</v>
      </c>
    </row>
    <row r="386" spans="5:9" x14ac:dyDescent="0.25">
      <c r="E386">
        <f t="shared" si="41"/>
        <v>7</v>
      </c>
      <c r="G386" t="s">
        <v>227</v>
      </c>
      <c r="H386">
        <v>3</v>
      </c>
      <c r="I386">
        <v>114</v>
      </c>
    </row>
    <row r="387" spans="5:9" x14ac:dyDescent="0.25">
      <c r="E387">
        <f t="shared" si="41"/>
        <v>7</v>
      </c>
      <c r="G387" t="s">
        <v>228</v>
      </c>
      <c r="H387">
        <v>3</v>
      </c>
      <c r="I387">
        <v>114</v>
      </c>
    </row>
    <row r="388" spans="5:9" x14ac:dyDescent="0.25">
      <c r="E388">
        <f t="shared" si="41"/>
        <v>7</v>
      </c>
      <c r="G388" t="s">
        <v>229</v>
      </c>
      <c r="H388">
        <v>1</v>
      </c>
      <c r="I388">
        <v>114</v>
      </c>
    </row>
    <row r="389" spans="5:9" x14ac:dyDescent="0.25">
      <c r="E389">
        <f t="shared" si="41"/>
        <v>7</v>
      </c>
      <c r="G389" t="s">
        <v>230</v>
      </c>
      <c r="H389">
        <v>1</v>
      </c>
      <c r="I389">
        <v>114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36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16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46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15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57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46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14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9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23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31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37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33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24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53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51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13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17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16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COMISIONES</vt:lpstr>
      <vt:lpstr>AVANCE</vt:lpstr>
      <vt:lpstr>COBERTURA</vt:lpstr>
      <vt:lpstr>Venta C</vt:lpstr>
      <vt:lpstr>Base Cobertura</vt:lpstr>
      <vt:lpstr>Base venta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2026-06-11T17:51:23Z</dcterms:modified>
</cp:coreProperties>
</file>