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cesar\Desktop\Reportes Ventas Rap\"/>
    </mc:Choice>
  </mc:AlternateContent>
  <xr:revisionPtr revIDLastSave="0" documentId="8_{BE1BB90A-BFEB-48EE-87C3-D034647CF518}" xr6:coauthVersionLast="47" xr6:coauthVersionMax="47" xr10:uidLastSave="{00000000-0000-0000-0000-000000000000}"/>
  <bookViews>
    <workbookView xWindow="-120" yWindow="-120" windowWidth="29040" windowHeight="15720" activeTab="1" xr2:uid="{00000000-000D-0000-FFFF-FFFF00000000}"/>
  </bookViews>
  <sheets>
    <sheet name="COMISIONES" sheetId="7" r:id="rId1"/>
    <sheet name="AVANCE" sheetId="3" r:id="rId2"/>
    <sheet name="COBERTURA" sheetId="6" r:id="rId3"/>
    <sheet name="Venta C" sheetId="10" r:id="rId4"/>
    <sheet name="Base Cobertura" sheetId="9" r:id="rId5"/>
    <sheet name="Base venta C" sheetId="12" r:id="rId6"/>
  </sheets>
  <definedNames>
    <definedName name="_xlnm._FilterDatabase" localSheetId="1" hidden="1">AVANCE!$B$1:$N$41</definedName>
    <definedName name="_xlnm._FilterDatabase" localSheetId="2" hidden="1">COBERTURA!$C$1:$N$40</definedName>
    <definedName name="_xlnm._FilterDatabase" localSheetId="0" hidden="1">COMISIONES!$A$1:$H$38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7" i="6" l="1"/>
  <c r="E407" i="9"/>
  <c r="E406" i="9"/>
  <c r="E405" i="9"/>
  <c r="E404" i="9"/>
  <c r="E403" i="9"/>
  <c r="E402" i="9"/>
  <c r="E401" i="9"/>
  <c r="E400" i="9"/>
  <c r="E399" i="9"/>
  <c r="E398" i="9"/>
  <c r="E397" i="9"/>
  <c r="E396" i="9"/>
  <c r="E395" i="9"/>
  <c r="E394" i="9"/>
  <c r="E393" i="9"/>
  <c r="E392" i="9"/>
  <c r="E391" i="9"/>
  <c r="E390" i="9"/>
  <c r="E389" i="9"/>
  <c r="E388" i="9"/>
  <c r="E387" i="9"/>
  <c r="E386" i="9"/>
  <c r="E385" i="9"/>
  <c r="E384" i="9"/>
  <c r="E383" i="9"/>
  <c r="E382" i="9"/>
  <c r="E381" i="9"/>
  <c r="E380" i="9"/>
  <c r="E379" i="9"/>
  <c r="E378" i="9"/>
  <c r="E377" i="9"/>
  <c r="E376" i="9"/>
  <c r="E375" i="9"/>
  <c r="E374" i="9"/>
  <c r="E373" i="9"/>
  <c r="E372" i="9"/>
  <c r="E371" i="9"/>
  <c r="E370" i="9"/>
  <c r="E369" i="9"/>
  <c r="E368" i="9"/>
  <c r="E367" i="9"/>
  <c r="E366" i="9"/>
  <c r="E365" i="9"/>
  <c r="E364" i="9"/>
  <c r="E363" i="9"/>
  <c r="E362" i="9"/>
  <c r="E361" i="9"/>
  <c r="E360" i="9"/>
  <c r="E359" i="9"/>
  <c r="E358" i="9"/>
  <c r="E357" i="9"/>
  <c r="E356" i="9"/>
  <c r="E355" i="9"/>
  <c r="E354" i="9"/>
  <c r="E353" i="9"/>
  <c r="E352" i="9"/>
  <c r="E351" i="9"/>
  <c r="E350" i="9"/>
  <c r="E349" i="9"/>
  <c r="E348" i="9"/>
  <c r="E347" i="9"/>
  <c r="E346" i="9"/>
  <c r="E345" i="9"/>
  <c r="E344" i="9"/>
  <c r="E343" i="9"/>
  <c r="E342" i="9"/>
  <c r="E341" i="9"/>
  <c r="E340" i="9"/>
  <c r="E339" i="9"/>
  <c r="E338" i="9"/>
  <c r="E337" i="9"/>
  <c r="E336" i="9"/>
  <c r="E335" i="9"/>
  <c r="E334" i="9"/>
  <c r="E333" i="9"/>
  <c r="E332" i="9"/>
  <c r="E331" i="9"/>
  <c r="E330" i="9"/>
  <c r="E329" i="9"/>
  <c r="E328" i="9"/>
  <c r="E327" i="9"/>
  <c r="E326" i="9"/>
  <c r="E325" i="9"/>
  <c r="E324" i="9"/>
  <c r="E323" i="9"/>
  <c r="E322" i="9"/>
  <c r="E321" i="9"/>
  <c r="E320" i="9"/>
  <c r="E319" i="9"/>
  <c r="E318" i="9"/>
  <c r="E310" i="9"/>
  <c r="E311" i="9"/>
  <c r="E312" i="9"/>
  <c r="E313" i="9"/>
  <c r="E314" i="9"/>
  <c r="E315" i="9"/>
  <c r="E316" i="9"/>
  <c r="E317" i="9"/>
  <c r="E309" i="9"/>
  <c r="E308" i="9"/>
  <c r="E307" i="9"/>
  <c r="E306" i="9"/>
  <c r="E305" i="9"/>
  <c r="E304" i="9"/>
  <c r="E303" i="9"/>
  <c r="E302" i="9"/>
  <c r="E301" i="9"/>
  <c r="E300" i="9"/>
  <c r="E292" i="9"/>
  <c r="E293" i="9"/>
  <c r="E294" i="9"/>
  <c r="E295" i="9"/>
  <c r="E296" i="9"/>
  <c r="E297" i="9"/>
  <c r="E298" i="9"/>
  <c r="E299" i="9"/>
  <c r="E291" i="9"/>
  <c r="E283" i="9"/>
  <c r="E284" i="9"/>
  <c r="E285" i="9"/>
  <c r="E286" i="9"/>
  <c r="E287" i="9"/>
  <c r="E288" i="9"/>
  <c r="E289" i="9"/>
  <c r="E290" i="9"/>
  <c r="E282" i="9"/>
  <c r="E281" i="9"/>
  <c r="E280" i="9"/>
  <c r="E279" i="9"/>
  <c r="E278" i="9"/>
  <c r="E277" i="9"/>
  <c r="E276" i="9"/>
  <c r="E275" i="9"/>
  <c r="E274" i="9"/>
  <c r="E273" i="9"/>
  <c r="E265" i="9"/>
  <c r="E266" i="9"/>
  <c r="E267" i="9"/>
  <c r="E268" i="9"/>
  <c r="E269" i="9"/>
  <c r="E270" i="9"/>
  <c r="E271" i="9"/>
  <c r="E272" i="9"/>
  <c r="E264" i="9"/>
  <c r="E263" i="9"/>
  <c r="E262" i="9"/>
  <c r="E261" i="9"/>
  <c r="E260" i="9"/>
  <c r="E259" i="9"/>
  <c r="E258" i="9"/>
  <c r="E257" i="9"/>
  <c r="E256" i="9"/>
  <c r="E255" i="9"/>
  <c r="E247" i="9"/>
  <c r="E248" i="9"/>
  <c r="E249" i="9"/>
  <c r="E250" i="9"/>
  <c r="E251" i="9"/>
  <c r="E252" i="9"/>
  <c r="E253" i="9"/>
  <c r="E254" i="9"/>
  <c r="E246" i="9"/>
  <c r="E238" i="9"/>
  <c r="E239" i="9"/>
  <c r="E240" i="9"/>
  <c r="E241" i="9"/>
  <c r="E242" i="9"/>
  <c r="E243" i="9"/>
  <c r="E244" i="9"/>
  <c r="E245" i="9"/>
  <c r="E237" i="9"/>
  <c r="E229" i="9"/>
  <c r="E230" i="9"/>
  <c r="E231" i="9"/>
  <c r="E232" i="9"/>
  <c r="E233" i="9"/>
  <c r="E234" i="9"/>
  <c r="E235" i="9"/>
  <c r="E236" i="9"/>
  <c r="E228" i="9"/>
  <c r="E227" i="9"/>
  <c r="E226" i="9"/>
  <c r="E225" i="9"/>
  <c r="E224" i="9"/>
  <c r="E223" i="9"/>
  <c r="E222" i="9"/>
  <c r="E221" i="9"/>
  <c r="E220" i="9"/>
  <c r="E219" i="9"/>
  <c r="E218" i="9"/>
  <c r="E217" i="9"/>
  <c r="E216" i="9"/>
  <c r="E215" i="9"/>
  <c r="E214" i="9"/>
  <c r="E213" i="9"/>
  <c r="E212" i="9"/>
  <c r="E211" i="9"/>
  <c r="E210" i="9"/>
  <c r="E209" i="9"/>
  <c r="E208" i="9"/>
  <c r="E207" i="9"/>
  <c r="E206" i="9"/>
  <c r="E205" i="9"/>
  <c r="E204" i="9"/>
  <c r="E203" i="9"/>
  <c r="E202" i="9"/>
  <c r="E201" i="9"/>
  <c r="E200" i="9"/>
  <c r="E199" i="9"/>
  <c r="E198" i="9"/>
  <c r="E197" i="9"/>
  <c r="E196" i="9"/>
  <c r="E195" i="9"/>
  <c r="E194" i="9"/>
  <c r="E193" i="9"/>
  <c r="E192" i="9"/>
  <c r="E191" i="9"/>
  <c r="E190" i="9"/>
  <c r="E189" i="9"/>
  <c r="E188" i="9"/>
  <c r="E187" i="9"/>
  <c r="E186" i="9"/>
  <c r="E185" i="9"/>
  <c r="E184" i="9"/>
  <c r="E183" i="9"/>
  <c r="E182" i="9"/>
  <c r="E181" i="9"/>
  <c r="E180" i="9"/>
  <c r="E179" i="9"/>
  <c r="E178" i="9"/>
  <c r="E177" i="9"/>
  <c r="E176" i="9"/>
  <c r="E175" i="9"/>
  <c r="E174" i="9"/>
  <c r="E173" i="9"/>
  <c r="E172" i="9"/>
  <c r="E171" i="9"/>
  <c r="E170" i="9"/>
  <c r="E169" i="9"/>
  <c r="E168" i="9"/>
  <c r="E167" i="9"/>
  <c r="E166" i="9"/>
  <c r="E165" i="9"/>
  <c r="E164" i="9"/>
  <c r="E163" i="9"/>
  <c r="E162" i="9"/>
  <c r="E161" i="9"/>
  <c r="E160" i="9"/>
  <c r="E159" i="9"/>
  <c r="E158" i="9"/>
  <c r="E157" i="9"/>
  <c r="E156" i="9"/>
  <c r="E155" i="9"/>
  <c r="E154" i="9"/>
  <c r="E153" i="9"/>
  <c r="E152" i="9"/>
  <c r="E151" i="9"/>
  <c r="E150" i="9"/>
  <c r="E149" i="9"/>
  <c r="E148" i="9"/>
  <c r="E147" i="9"/>
  <c r="E146" i="9"/>
  <c r="E145" i="9"/>
  <c r="E144" i="9"/>
  <c r="E143" i="9"/>
  <c r="E142" i="9"/>
  <c r="E141" i="9"/>
  <c r="E140" i="9"/>
  <c r="E139" i="9"/>
  <c r="E138" i="9"/>
  <c r="E130" i="9"/>
  <c r="E131" i="9"/>
  <c r="E132" i="9"/>
  <c r="E133" i="9"/>
  <c r="E134" i="9"/>
  <c r="E135" i="9"/>
  <c r="E136" i="9"/>
  <c r="E137" i="9"/>
  <c r="E129" i="9"/>
  <c r="E128" i="9"/>
  <c r="E127" i="9"/>
  <c r="E126" i="9"/>
  <c r="E125" i="9"/>
  <c r="E124" i="9"/>
  <c r="E123" i="9"/>
  <c r="E122" i="9"/>
  <c r="E121" i="9"/>
  <c r="E120" i="9"/>
  <c r="E119" i="9"/>
  <c r="E118" i="9"/>
  <c r="E117" i="9"/>
  <c r="E116" i="9"/>
  <c r="E115" i="9"/>
  <c r="E114" i="9"/>
  <c r="E113" i="9"/>
  <c r="E112" i="9"/>
  <c r="E111" i="9"/>
  <c r="E110" i="9"/>
  <c r="E109" i="9"/>
  <c r="E108" i="9"/>
  <c r="E107" i="9"/>
  <c r="E106" i="9"/>
  <c r="E105" i="9"/>
  <c r="E104" i="9"/>
  <c r="E103" i="9"/>
  <c r="E102" i="9"/>
  <c r="E101" i="9"/>
  <c r="E100" i="9"/>
  <c r="E99" i="9"/>
  <c r="E98" i="9"/>
  <c r="E97" i="9"/>
  <c r="E96" i="9"/>
  <c r="E95" i="9"/>
  <c r="E94" i="9"/>
  <c r="E93" i="9"/>
  <c r="E92" i="9"/>
  <c r="E91" i="9"/>
  <c r="E90" i="9"/>
  <c r="E89" i="9"/>
  <c r="E88" i="9"/>
  <c r="E87" i="9"/>
  <c r="E86" i="9"/>
  <c r="E85" i="9"/>
  <c r="E84" i="9"/>
  <c r="E76" i="9"/>
  <c r="E77" i="9"/>
  <c r="E78" i="9"/>
  <c r="E79" i="9"/>
  <c r="E80" i="9"/>
  <c r="E81" i="9"/>
  <c r="E82" i="9"/>
  <c r="E83" i="9"/>
  <c r="E75" i="9"/>
  <c r="E67" i="9"/>
  <c r="E68" i="9"/>
  <c r="E69" i="9"/>
  <c r="E70" i="9"/>
  <c r="E71" i="9"/>
  <c r="E72" i="9"/>
  <c r="E73" i="9"/>
  <c r="E74" i="9"/>
  <c r="E66" i="9"/>
  <c r="E65" i="9"/>
  <c r="E64" i="9"/>
  <c r="E63" i="9"/>
  <c r="E62" i="9"/>
  <c r="E61" i="9"/>
  <c r="E60" i="9"/>
  <c r="E59" i="9"/>
  <c r="E58" i="9"/>
  <c r="E57" i="9"/>
  <c r="E56" i="9"/>
  <c r="E55" i="9"/>
  <c r="E54" i="9"/>
  <c r="E53" i="9"/>
  <c r="E52" i="9"/>
  <c r="E51" i="9"/>
  <c r="E50" i="9"/>
  <c r="E49" i="9"/>
  <c r="E48" i="9"/>
  <c r="E47" i="9"/>
  <c r="E46" i="9"/>
  <c r="E45" i="9"/>
  <c r="E44" i="9"/>
  <c r="E43" i="9"/>
  <c r="E42" i="9"/>
  <c r="E41" i="9"/>
  <c r="E40" i="9"/>
  <c r="E39" i="9"/>
  <c r="E38" i="9"/>
  <c r="E37" i="9"/>
  <c r="E36" i="9"/>
  <c r="E35" i="9"/>
  <c r="E34" i="9"/>
  <c r="E33" i="9"/>
  <c r="E32" i="9"/>
  <c r="E31" i="9"/>
  <c r="E30" i="9"/>
  <c r="E29" i="9"/>
  <c r="E28" i="9"/>
  <c r="E27" i="9"/>
  <c r="E26" i="9"/>
  <c r="E25" i="9"/>
  <c r="E24" i="9"/>
  <c r="E23" i="9"/>
  <c r="E22" i="9"/>
  <c r="E21" i="9"/>
  <c r="E12" i="9"/>
  <c r="E20" i="9" s="1"/>
  <c r="H42" i="6"/>
  <c r="F42" i="6" s="1"/>
  <c r="G42" i="6"/>
  <c r="H41" i="6"/>
  <c r="F41" i="6" s="1"/>
  <c r="G41" i="6"/>
  <c r="C42" i="6"/>
  <c r="C41" i="6"/>
  <c r="E14" i="9" l="1"/>
  <c r="E15" i="9"/>
  <c r="E16" i="9"/>
  <c r="E17" i="9"/>
  <c r="E18" i="9"/>
  <c r="E13" i="9"/>
  <c r="E19" i="9"/>
  <c r="D44" i="3"/>
  <c r="I41" i="6"/>
  <c r="I42" i="6"/>
  <c r="D42" i="6"/>
  <c r="D41" i="6"/>
  <c r="C39" i="10"/>
  <c r="C38" i="10"/>
  <c r="C37" i="10"/>
  <c r="C36" i="10"/>
  <c r="C35" i="10"/>
  <c r="C34" i="10"/>
  <c r="C33" i="10"/>
  <c r="C32" i="10"/>
  <c r="C31" i="10"/>
  <c r="C30" i="10"/>
  <c r="C29" i="10"/>
  <c r="C28" i="10"/>
  <c r="C27" i="10"/>
  <c r="C25" i="10"/>
  <c r="C24" i="10"/>
  <c r="C23" i="10"/>
  <c r="C22" i="10"/>
  <c r="C21" i="10"/>
  <c r="C20" i="10"/>
  <c r="C19" i="10"/>
  <c r="C18" i="10"/>
  <c r="C17" i="10"/>
  <c r="C15" i="10"/>
  <c r="C14" i="10"/>
  <c r="C13" i="10"/>
  <c r="C12" i="10"/>
  <c r="C11" i="10"/>
  <c r="C9" i="10"/>
  <c r="C8" i="10"/>
  <c r="C7" i="10"/>
  <c r="C6" i="10"/>
  <c r="C5" i="10"/>
  <c r="C4" i="10"/>
  <c r="C3" i="10"/>
  <c r="C2" i="10"/>
  <c r="C27" i="6"/>
  <c r="C28" i="6"/>
  <c r="C29" i="6"/>
  <c r="C30" i="6"/>
  <c r="C31" i="6"/>
  <c r="C32" i="6"/>
  <c r="C33" i="6"/>
  <c r="C34" i="6"/>
  <c r="C35" i="6"/>
  <c r="C36" i="6"/>
  <c r="C38" i="6"/>
  <c r="C26" i="6"/>
  <c r="C24" i="6"/>
  <c r="C23" i="6"/>
  <c r="C22" i="6"/>
  <c r="C21" i="6"/>
  <c r="C20" i="6"/>
  <c r="C19" i="6"/>
  <c r="C18" i="6"/>
  <c r="C17" i="6"/>
  <c r="C16" i="6"/>
  <c r="C14" i="6"/>
  <c r="C13" i="6"/>
  <c r="C12" i="6"/>
  <c r="C11" i="6"/>
  <c r="C10" i="6"/>
  <c r="C9" i="6"/>
  <c r="C8" i="6"/>
  <c r="C7" i="6"/>
  <c r="C6" i="6"/>
  <c r="C5" i="6"/>
  <c r="C4" i="6"/>
  <c r="C3" i="6"/>
  <c r="C2" i="6"/>
  <c r="G33" i="6"/>
  <c r="H33" i="6"/>
  <c r="G44" i="3" l="1"/>
  <c r="F44" i="3"/>
  <c r="K44" i="3"/>
  <c r="D43" i="3"/>
  <c r="D33" i="6"/>
  <c r="I33" i="6"/>
  <c r="F33" i="6"/>
  <c r="R2" i="6"/>
  <c r="Q2" i="6"/>
  <c r="K43" i="3" l="1"/>
  <c r="F43" i="3"/>
  <c r="G43" i="3"/>
  <c r="P3" i="6" l="1" a="1"/>
  <c r="D2" i="3"/>
  <c r="F2" i="3" s="1"/>
  <c r="D3" i="3"/>
  <c r="F3" i="3" s="1"/>
  <c r="D4" i="3"/>
  <c r="F4" i="3" s="1"/>
  <c r="D5" i="3"/>
  <c r="F5" i="3" s="1"/>
  <c r="D6" i="3"/>
  <c r="F6" i="3" s="1"/>
  <c r="D7" i="3"/>
  <c r="F7" i="3" s="1"/>
  <c r="D8" i="3"/>
  <c r="F8" i="3" s="1"/>
  <c r="D9" i="3"/>
  <c r="F9" i="3" s="1"/>
  <c r="D11" i="3"/>
  <c r="F11" i="3" s="1"/>
  <c r="D12" i="3"/>
  <c r="F12" i="3" s="1"/>
  <c r="D13" i="3"/>
  <c r="F13" i="3" s="1"/>
  <c r="D14" i="3"/>
  <c r="F14" i="3" s="1"/>
  <c r="D15" i="3"/>
  <c r="F15" i="3" s="1"/>
  <c r="D17" i="3"/>
  <c r="F17" i="3" s="1"/>
  <c r="D18" i="3"/>
  <c r="F18" i="3" s="1"/>
  <c r="D19" i="3"/>
  <c r="F19" i="3" s="1"/>
  <c r="D20" i="3"/>
  <c r="F20" i="3" s="1"/>
  <c r="D21" i="3"/>
  <c r="F21" i="3" s="1"/>
  <c r="D22" i="3"/>
  <c r="F22" i="3" s="1"/>
  <c r="D23" i="3"/>
  <c r="F23" i="3" s="1"/>
  <c r="D24" i="3"/>
  <c r="F24" i="3" s="1"/>
  <c r="D25" i="3"/>
  <c r="F25" i="3" s="1"/>
  <c r="D27" i="3"/>
  <c r="F27" i="3" s="1"/>
  <c r="D28" i="3"/>
  <c r="F28" i="3" s="1"/>
  <c r="D29" i="3"/>
  <c r="F29" i="3" s="1"/>
  <c r="D30" i="3"/>
  <c r="F30" i="3" s="1"/>
  <c r="D31" i="3"/>
  <c r="F31" i="3" s="1"/>
  <c r="D32" i="3"/>
  <c r="F32" i="3" s="1"/>
  <c r="D33" i="3"/>
  <c r="F33" i="3" s="1"/>
  <c r="D34" i="3"/>
  <c r="F34" i="3" s="1"/>
  <c r="D35" i="3"/>
  <c r="F35" i="3" s="1"/>
  <c r="D36" i="3"/>
  <c r="F36" i="3" s="1"/>
  <c r="D37" i="3"/>
  <c r="F37" i="3" s="1"/>
  <c r="D38" i="3"/>
  <c r="F38" i="3" s="1"/>
  <c r="D39" i="3"/>
  <c r="F39" i="3" s="1"/>
  <c r="N3" i="3"/>
  <c r="H38" i="6"/>
  <c r="G38" i="6"/>
  <c r="H37" i="6"/>
  <c r="G37" i="6"/>
  <c r="H36" i="6"/>
  <c r="G36" i="6"/>
  <c r="H35" i="6"/>
  <c r="G35" i="6"/>
  <c r="H34" i="6"/>
  <c r="G34" i="6"/>
  <c r="H32" i="6"/>
  <c r="G32" i="6"/>
  <c r="H31" i="6"/>
  <c r="G31" i="6"/>
  <c r="H30" i="6"/>
  <c r="G30" i="6"/>
  <c r="H29" i="6"/>
  <c r="G29" i="6"/>
  <c r="H28" i="6"/>
  <c r="G28" i="6"/>
  <c r="H27" i="6"/>
  <c r="G27" i="6"/>
  <c r="H26" i="6"/>
  <c r="G26" i="6"/>
  <c r="H24" i="6"/>
  <c r="G24" i="6"/>
  <c r="H23" i="6"/>
  <c r="G23" i="6"/>
  <c r="H22" i="6"/>
  <c r="G22" i="6"/>
  <c r="H21" i="6"/>
  <c r="G21" i="6"/>
  <c r="H20" i="6"/>
  <c r="G20" i="6"/>
  <c r="H19" i="6"/>
  <c r="G19" i="6"/>
  <c r="H18" i="6"/>
  <c r="G18" i="6"/>
  <c r="H17" i="6"/>
  <c r="G17" i="6"/>
  <c r="H16" i="6"/>
  <c r="G16" i="6"/>
  <c r="H14" i="6"/>
  <c r="G14" i="6"/>
  <c r="H13" i="6"/>
  <c r="G13" i="6"/>
  <c r="H12" i="6"/>
  <c r="G12" i="6"/>
  <c r="H11" i="6"/>
  <c r="G11" i="6"/>
  <c r="H10" i="6"/>
  <c r="G10" i="6"/>
  <c r="H9" i="6"/>
  <c r="G9" i="6"/>
  <c r="H8" i="6"/>
  <c r="G8" i="6"/>
  <c r="H7" i="6"/>
  <c r="G7" i="6"/>
  <c r="H6" i="6"/>
  <c r="G6" i="6"/>
  <c r="H5" i="6"/>
  <c r="G5" i="6"/>
  <c r="H4" i="6"/>
  <c r="G4" i="6"/>
  <c r="H3" i="6"/>
  <c r="G3" i="6"/>
  <c r="H2" i="6"/>
  <c r="G2" i="6"/>
  <c r="P3" i="6" l="1"/>
  <c r="U11" i="6"/>
  <c r="H44" i="3"/>
  <c r="I44" i="3" s="1"/>
  <c r="L44" i="3" s="1" a="1"/>
  <c r="L44" i="3" s="1"/>
  <c r="J44" i="3"/>
  <c r="J43" i="3"/>
  <c r="H43" i="3"/>
  <c r="I43" i="3" s="1"/>
  <c r="L43" i="3" s="1" a="1"/>
  <c r="L43" i="3" s="1"/>
  <c r="F10" i="3"/>
  <c r="D16" i="3"/>
  <c r="F16" i="3" s="1"/>
  <c r="D26" i="3"/>
  <c r="F26" i="3" s="1"/>
  <c r="D40" i="3"/>
  <c r="F40" i="3" s="1"/>
  <c r="D10" i="3"/>
  <c r="D41" i="3" l="1"/>
  <c r="F41" i="3" s="1"/>
  <c r="D9" i="6"/>
  <c r="G36" i="3" l="1"/>
  <c r="G6" i="3"/>
  <c r="K3" i="3"/>
  <c r="G2" i="3"/>
  <c r="G39" i="6" l="1"/>
  <c r="G15" i="6"/>
  <c r="G25" i="6"/>
  <c r="H25" i="3"/>
  <c r="I25" i="3" s="1"/>
  <c r="L25" i="3" s="1" a="1"/>
  <c r="L25" i="3" s="1"/>
  <c r="G23" i="3"/>
  <c r="H18" i="3"/>
  <c r="J18" i="3"/>
  <c r="H22" i="3"/>
  <c r="I22" i="3" s="1"/>
  <c r="L22" i="3" s="1" a="1"/>
  <c r="L22" i="3" s="1"/>
  <c r="H23" i="3"/>
  <c r="I23" i="3" s="1"/>
  <c r="L23" i="3" s="1" a="1"/>
  <c r="L23" i="3" s="1"/>
  <c r="J22" i="3"/>
  <c r="H24" i="3"/>
  <c r="J24" i="3"/>
  <c r="G25" i="3"/>
  <c r="J25" i="3"/>
  <c r="J19" i="3"/>
  <c r="H21" i="3"/>
  <c r="J20" i="3"/>
  <c r="H20" i="3"/>
  <c r="J17" i="3"/>
  <c r="H17" i="3"/>
  <c r="I17" i="3" s="1"/>
  <c r="L17" i="3" s="1" a="1"/>
  <c r="L17" i="3" s="1"/>
  <c r="H19" i="3"/>
  <c r="J21" i="3"/>
  <c r="J23" i="3"/>
  <c r="D19" i="6"/>
  <c r="F19" i="6"/>
  <c r="I5" i="6"/>
  <c r="I6" i="6"/>
  <c r="I7" i="6"/>
  <c r="I8" i="6"/>
  <c r="I9" i="6"/>
  <c r="I14" i="6"/>
  <c r="H39" i="6" l="1"/>
  <c r="H15" i="6"/>
  <c r="H25" i="6"/>
  <c r="G40" i="6"/>
  <c r="D37" i="6"/>
  <c r="F37" i="6"/>
  <c r="D36" i="6"/>
  <c r="F36" i="6"/>
  <c r="D35" i="6"/>
  <c r="F35" i="6"/>
  <c r="D32" i="6"/>
  <c r="F32" i="6"/>
  <c r="D27" i="6"/>
  <c r="F27" i="6"/>
  <c r="D34" i="6"/>
  <c r="F34" i="6"/>
  <c r="D31" i="6"/>
  <c r="F31" i="6"/>
  <c r="D30" i="6"/>
  <c r="F30" i="6"/>
  <c r="D29" i="6"/>
  <c r="F29" i="6"/>
  <c r="D28" i="6"/>
  <c r="F28" i="6"/>
  <c r="D38" i="6"/>
  <c r="F38" i="6"/>
  <c r="D26" i="6"/>
  <c r="F26" i="6"/>
  <c r="H11" i="3"/>
  <c r="I11" i="3" s="1"/>
  <c r="L11" i="3" s="1" a="1"/>
  <c r="L11" i="3" s="1"/>
  <c r="J11" i="3"/>
  <c r="H32" i="3"/>
  <c r="J32" i="3"/>
  <c r="H9" i="3"/>
  <c r="J9" i="3"/>
  <c r="H15" i="3"/>
  <c r="J15" i="3"/>
  <c r="J14" i="3"/>
  <c r="H14" i="3"/>
  <c r="H28" i="3"/>
  <c r="J28" i="3"/>
  <c r="J38" i="3"/>
  <c r="H38" i="3"/>
  <c r="J37" i="3"/>
  <c r="H37" i="3"/>
  <c r="I37" i="3" s="1"/>
  <c r="L37" i="3" s="1" a="1"/>
  <c r="L37" i="3" s="1"/>
  <c r="H4" i="3"/>
  <c r="J4" i="3"/>
  <c r="J3" i="3"/>
  <c r="H3" i="3"/>
  <c r="I3" i="3" s="1"/>
  <c r="L3" i="3" s="1" a="1"/>
  <c r="L3" i="3" s="1"/>
  <c r="J35" i="3"/>
  <c r="H35" i="3"/>
  <c r="J13" i="3"/>
  <c r="H13" i="3"/>
  <c r="H34" i="3"/>
  <c r="J34" i="3"/>
  <c r="J26" i="3"/>
  <c r="H26" i="3"/>
  <c r="H12" i="3"/>
  <c r="J12" i="3"/>
  <c r="H31" i="3"/>
  <c r="J31" i="3"/>
  <c r="H8" i="3"/>
  <c r="J8" i="3"/>
  <c r="H30" i="3"/>
  <c r="J30" i="3"/>
  <c r="J29" i="3"/>
  <c r="H29" i="3"/>
  <c r="H27" i="3"/>
  <c r="J27" i="3"/>
  <c r="H7" i="3"/>
  <c r="J7" i="3"/>
  <c r="H39" i="3"/>
  <c r="J39" i="3"/>
  <c r="H6" i="3"/>
  <c r="J6" i="3"/>
  <c r="H5" i="3"/>
  <c r="J5" i="3"/>
  <c r="J36" i="3"/>
  <c r="H36" i="3"/>
  <c r="I36" i="3" s="1"/>
  <c r="L36" i="3" s="1" a="1"/>
  <c r="L36" i="3" s="1"/>
  <c r="H2" i="3"/>
  <c r="I2" i="3" s="1"/>
  <c r="L2" i="3" s="1" a="1"/>
  <c r="L2" i="3" s="1"/>
  <c r="J2" i="3"/>
  <c r="H33" i="3"/>
  <c r="J33" i="3"/>
  <c r="F4" i="6"/>
  <c r="D4" i="6"/>
  <c r="F2" i="6"/>
  <c r="D2" i="6"/>
  <c r="F3" i="6"/>
  <c r="D3" i="6"/>
  <c r="F14" i="6"/>
  <c r="D14" i="6"/>
  <c r="F13" i="6"/>
  <c r="D13" i="6"/>
  <c r="I13" i="6"/>
  <c r="F12" i="6"/>
  <c r="D12" i="6"/>
  <c r="F23" i="6"/>
  <c r="D23" i="6"/>
  <c r="F11" i="6"/>
  <c r="D11" i="6"/>
  <c r="F22" i="6"/>
  <c r="D22" i="6"/>
  <c r="F10" i="6"/>
  <c r="D10" i="6"/>
  <c r="F21" i="6"/>
  <c r="D21" i="6"/>
  <c r="F8" i="6"/>
  <c r="D8" i="6"/>
  <c r="F7" i="6"/>
  <c r="D7" i="6"/>
  <c r="F18" i="6"/>
  <c r="D18" i="6"/>
  <c r="F17" i="6"/>
  <c r="D17" i="6"/>
  <c r="F24" i="6"/>
  <c r="D24" i="6"/>
  <c r="I12" i="6"/>
  <c r="F9" i="6"/>
  <c r="F20" i="6"/>
  <c r="D20" i="6"/>
  <c r="F6" i="6"/>
  <c r="D6" i="6"/>
  <c r="I3" i="6"/>
  <c r="F5" i="6"/>
  <c r="D5" i="6"/>
  <c r="F16" i="6"/>
  <c r="D16" i="6"/>
  <c r="I10" i="6"/>
  <c r="K23" i="3"/>
  <c r="K25" i="3"/>
  <c r="I30" i="6"/>
  <c r="I34" i="6"/>
  <c r="G15" i="3"/>
  <c r="I4" i="6"/>
  <c r="I29" i="6"/>
  <c r="I31" i="6"/>
  <c r="I28" i="6"/>
  <c r="I37" i="6"/>
  <c r="I27" i="6"/>
  <c r="I38" i="6"/>
  <c r="I11" i="6"/>
  <c r="I17" i="6"/>
  <c r="I2" i="6"/>
  <c r="I26" i="6"/>
  <c r="I16" i="6"/>
  <c r="I18" i="6"/>
  <c r="I21" i="6"/>
  <c r="I24" i="6"/>
  <c r="I36" i="6"/>
  <c r="I23" i="6"/>
  <c r="I35" i="6"/>
  <c r="I22" i="6"/>
  <c r="I20" i="6"/>
  <c r="I32" i="6"/>
  <c r="I19" i="6"/>
  <c r="K29" i="3"/>
  <c r="K17" i="3"/>
  <c r="K5" i="3"/>
  <c r="K32" i="3"/>
  <c r="I24" i="3"/>
  <c r="L24" i="3" s="1" a="1"/>
  <c r="L24" i="3" s="1"/>
  <c r="K38" i="3"/>
  <c r="G38" i="3"/>
  <c r="G22" i="3"/>
  <c r="K22" i="3"/>
  <c r="K21" i="3"/>
  <c r="I21" i="3"/>
  <c r="L21" i="3" s="1" a="1"/>
  <c r="L21" i="3" s="1"/>
  <c r="G21" i="3"/>
  <c r="K8" i="3"/>
  <c r="G8" i="3"/>
  <c r="K7" i="3"/>
  <c r="K14" i="3"/>
  <c r="G14" i="3"/>
  <c r="K15" i="3"/>
  <c r="G7" i="3"/>
  <c r="I20" i="3"/>
  <c r="L20" i="3" s="1" a="1"/>
  <c r="L20" i="3" s="1"/>
  <c r="K27" i="3"/>
  <c r="G32" i="3"/>
  <c r="G17" i="3"/>
  <c r="I19" i="3"/>
  <c r="L19" i="3" s="1" a="1"/>
  <c r="L19" i="3" s="1"/>
  <c r="K39" i="3"/>
  <c r="K2" i="3"/>
  <c r="G31" i="3"/>
  <c r="G9" i="3"/>
  <c r="I18" i="3"/>
  <c r="L18" i="3" s="1" a="1"/>
  <c r="L18" i="3" s="1"/>
  <c r="K37" i="3"/>
  <c r="K12" i="3"/>
  <c r="G30" i="3"/>
  <c r="K36" i="3"/>
  <c r="K24" i="3"/>
  <c r="G29" i="3"/>
  <c r="G5" i="3"/>
  <c r="K35" i="3"/>
  <c r="K20" i="3"/>
  <c r="G28" i="3"/>
  <c r="G4" i="3"/>
  <c r="K34" i="3"/>
  <c r="K19" i="3"/>
  <c r="K13" i="3"/>
  <c r="G27" i="3"/>
  <c r="G3" i="3"/>
  <c r="K33" i="3"/>
  <c r="K18" i="3"/>
  <c r="G39" i="3"/>
  <c r="G13" i="3"/>
  <c r="G37" i="3"/>
  <c r="K31" i="3"/>
  <c r="K9" i="3"/>
  <c r="G24" i="3"/>
  <c r="G12" i="3"/>
  <c r="K30" i="3"/>
  <c r="K6" i="3"/>
  <c r="G35" i="3"/>
  <c r="G20" i="3"/>
  <c r="G34" i="3"/>
  <c r="G19" i="3"/>
  <c r="K11" i="3"/>
  <c r="K28" i="3"/>
  <c r="K4" i="3"/>
  <c r="G33" i="3"/>
  <c r="G18" i="3"/>
  <c r="G11" i="3"/>
  <c r="H40" i="6" l="1"/>
  <c r="L40" i="6" s="1"/>
  <c r="F39" i="6"/>
  <c r="H40" i="3"/>
  <c r="J40" i="3"/>
  <c r="J10" i="3"/>
  <c r="H10" i="3"/>
  <c r="K16" i="3"/>
  <c r="G16" i="3"/>
  <c r="H16" i="3"/>
  <c r="I16" i="3" s="1"/>
  <c r="J16" i="3"/>
  <c r="F25" i="6"/>
  <c r="F15" i="6"/>
  <c r="I6" i="3"/>
  <c r="L6" i="3" s="1" a="1"/>
  <c r="L6" i="3" s="1"/>
  <c r="I29" i="3"/>
  <c r="L29" i="3" s="1" a="1"/>
  <c r="L29" i="3" s="1"/>
  <c r="I35" i="3"/>
  <c r="L35" i="3" s="1" a="1"/>
  <c r="L35" i="3" s="1"/>
  <c r="I5" i="3"/>
  <c r="L5" i="3" s="1" a="1"/>
  <c r="L5" i="3" s="1"/>
  <c r="I28" i="3"/>
  <c r="L28" i="3" s="1" a="1"/>
  <c r="L28" i="3" s="1"/>
  <c r="I9" i="3"/>
  <c r="L9" i="3" s="1" a="1"/>
  <c r="L9" i="3" s="1"/>
  <c r="I14" i="3"/>
  <c r="L14" i="3" s="1" a="1"/>
  <c r="L14" i="3" s="1"/>
  <c r="I39" i="3"/>
  <c r="L39" i="3" s="1" a="1"/>
  <c r="L39" i="3" s="1"/>
  <c r="I32" i="3"/>
  <c r="L32" i="3" s="1" a="1"/>
  <c r="L32" i="3" s="1"/>
  <c r="I13" i="3"/>
  <c r="L13" i="3" s="1" a="1"/>
  <c r="L13" i="3" s="1"/>
  <c r="I8" i="3"/>
  <c r="L8" i="3" s="1" a="1"/>
  <c r="L8" i="3" s="1"/>
  <c r="I4" i="3"/>
  <c r="L4" i="3" s="1" a="1"/>
  <c r="L4" i="3" s="1"/>
  <c r="I31" i="3"/>
  <c r="L31" i="3" s="1" a="1"/>
  <c r="L31" i="3" s="1"/>
  <c r="I27" i="3"/>
  <c r="L27" i="3" s="1" a="1"/>
  <c r="L27" i="3" s="1"/>
  <c r="I33" i="3"/>
  <c r="L33" i="3" s="1" a="1"/>
  <c r="L33" i="3" s="1"/>
  <c r="I34" i="3"/>
  <c r="L34" i="3" s="1" a="1"/>
  <c r="L34" i="3" s="1"/>
  <c r="I12" i="3"/>
  <c r="L12" i="3" s="1" a="1"/>
  <c r="L12" i="3" s="1"/>
  <c r="I15" i="3"/>
  <c r="L15" i="3" s="1" a="1"/>
  <c r="L15" i="3" s="1"/>
  <c r="I30" i="3"/>
  <c r="L30" i="3" s="1" a="1"/>
  <c r="L30" i="3" s="1"/>
  <c r="I7" i="3"/>
  <c r="L7" i="3" s="1" a="1"/>
  <c r="L7" i="3" s="1"/>
  <c r="I38" i="3"/>
  <c r="L38" i="3" s="1" a="1"/>
  <c r="L38" i="3" s="1"/>
  <c r="G26" i="3"/>
  <c r="K26" i="3"/>
  <c r="K40" i="3"/>
  <c r="G10" i="3"/>
  <c r="K10" i="3"/>
  <c r="G40" i="3"/>
  <c r="F40" i="6" l="1"/>
  <c r="H41" i="3"/>
  <c r="J41" i="3"/>
  <c r="I40" i="3"/>
  <c r="I26" i="3"/>
  <c r="I10" i="3"/>
  <c r="K41" i="3"/>
  <c r="G41" i="3"/>
  <c r="I41" i="3" l="1"/>
  <c r="U8" i="6" s="1"/>
  <c r="U7" i="6" s="1"/>
  <c r="U5" i="6" s="1"/>
  <c r="U3" i="6" l="1"/>
  <c r="U10" i="6"/>
  <c r="U6" i="6"/>
  <c r="U4" i="6"/>
  <c r="U9" i="6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<sst xmlns="http://schemas.openxmlformats.org/spreadsheetml/2006/main" count="900" uniqueCount="231">
  <si>
    <t>GOMEZ MARTÍN</t>
  </si>
  <si>
    <t>GOMEZ PABLO</t>
  </si>
  <si>
    <t>TORRES ROLANDO</t>
  </si>
  <si>
    <t>BARTSCHAT EMILIANO NAHUEL</t>
  </si>
  <si>
    <t>VIDAL NAHUEL</t>
  </si>
  <si>
    <t>COLHER DIEGO</t>
  </si>
  <si>
    <t>RAVAROTTO EMANUEL</t>
  </si>
  <si>
    <t>OJEDA NORBERTO</t>
  </si>
  <si>
    <t>ESTIGARRIBIA DAVID</t>
  </si>
  <si>
    <t>SANDOVAL RODRIGO</t>
  </si>
  <si>
    <t>VALLEJOS EDUARDO</t>
  </si>
  <si>
    <t>HERRERA PABLO</t>
  </si>
  <si>
    <t>GUTIERREZ MARCOS DAVID</t>
  </si>
  <si>
    <t>GALARZA GERARDO</t>
  </si>
  <si>
    <t>VERA ERNESTO</t>
  </si>
  <si>
    <t>ESCOBAR RAÚL</t>
  </si>
  <si>
    <t>PUJOL ERNESTO</t>
  </si>
  <si>
    <t>CATAN MATIAS</t>
  </si>
  <si>
    <t>KALATAKI GUSTAVO</t>
  </si>
  <si>
    <t>TUR SPRINGER FERNANDO</t>
  </si>
  <si>
    <t>FLORES JAVIER</t>
  </si>
  <si>
    <t>GOMEZ MATÍAS</t>
  </si>
  <si>
    <t>DELGADO JOSÉ</t>
  </si>
  <si>
    <t>ALMIRON NICOLAS</t>
  </si>
  <si>
    <t>CAÑETE DIEGO</t>
  </si>
  <si>
    <t>PEREZ ESQUIVEL BRUNO NICOLAS</t>
  </si>
  <si>
    <t>GOMEZ ADRIÁN</t>
  </si>
  <si>
    <t>ZARATE NICOLAS</t>
  </si>
  <si>
    <t>BLANCO FERNANDO</t>
  </si>
  <si>
    <t>ROMERO ARIEL</t>
  </si>
  <si>
    <t>VENDEDOR/ SUPERVISOR</t>
  </si>
  <si>
    <t>OBJETIVO</t>
  </si>
  <si>
    <t>FACTURACION ACUMULADA</t>
  </si>
  <si>
    <t>FACTURACION DEL DIA</t>
  </si>
  <si>
    <t>MEDIA NECESARIA</t>
  </si>
  <si>
    <t>MEDIA REAL</t>
  </si>
  <si>
    <t>DIAS DE TRABAJO RESTANTES</t>
  </si>
  <si>
    <t>MARTIN (SUPERVISOR)</t>
  </si>
  <si>
    <t>CRISTIAN (SUPERVISOR)</t>
  </si>
  <si>
    <t>FACTURACION N-1</t>
  </si>
  <si>
    <t>DIAS TRABAJADOS</t>
  </si>
  <si>
    <t>AVANCE VS OBJETIVO</t>
  </si>
  <si>
    <t>LOPEZ ENZO</t>
  </si>
  <si>
    <t>COBERTURA TOTAL</t>
  </si>
  <si>
    <t>INCREMENTO DIARIO</t>
  </si>
  <si>
    <t xml:space="preserve">PROYECCION </t>
  </si>
  <si>
    <t>CUMPLIMIENTO PROYECTADO</t>
  </si>
  <si>
    <t>DIAS DE TRABAJO MES</t>
  </si>
  <si>
    <t>CARTERA TOTAL</t>
  </si>
  <si>
    <t>CCC</t>
  </si>
  <si>
    <t>DIA ANTERIOR</t>
  </si>
  <si>
    <t>MARTIN (SUPERVISOR) PREVENTA</t>
  </si>
  <si>
    <t xml:space="preserve">MARTIN (SUPERVISOR) </t>
  </si>
  <si>
    <t>COBRO</t>
  </si>
  <si>
    <t>CCC FALTANTE 85%</t>
  </si>
  <si>
    <t>bien</t>
  </si>
  <si>
    <t>mal</t>
  </si>
  <si>
    <t>re bien</t>
  </si>
  <si>
    <t>apretarlo</t>
  </si>
  <si>
    <t>verlo</t>
  </si>
  <si>
    <t>abrazo</t>
  </si>
  <si>
    <t xml:space="preserve">AUMENTO OBJ </t>
  </si>
  <si>
    <t>SEGOVIA JUAN CRUZ</t>
  </si>
  <si>
    <t>chaca</t>
  </si>
  <si>
    <t>muy bien</t>
  </si>
  <si>
    <t>apretarlo con ema</t>
  </si>
  <si>
    <t>apretar/charlar</t>
  </si>
  <si>
    <t>apretar</t>
  </si>
  <si>
    <t>TOTAL CANALES</t>
  </si>
  <si>
    <t>GARCIA BOGARIN SANTIAGO</t>
  </si>
  <si>
    <t>MOSTRADOR</t>
  </si>
  <si>
    <t>SCHELOVER RAUL</t>
  </si>
  <si>
    <t>MONGES CESAR LUIS</t>
  </si>
  <si>
    <t>GONZALEZ MARCELO</t>
  </si>
  <si>
    <t>Agrupacion</t>
  </si>
  <si>
    <t>DELGADO HERNAN GABRIEL</t>
  </si>
  <si>
    <t>VENDEDOR</t>
  </si>
  <si>
    <t>Nro Vendedor</t>
  </si>
  <si>
    <t>CCC x Bultos</t>
  </si>
  <si>
    <t>Cartera Clientes</t>
  </si>
  <si>
    <t>ZACARIAS DAVID</t>
  </si>
  <si>
    <t>1 - VERA ERNESTO</t>
  </si>
  <si>
    <t>2 - OJEDA NORBERTO</t>
  </si>
  <si>
    <t>3 - VIDAL NAHUEL</t>
  </si>
  <si>
    <t>4 - TUR SPRINGER FERNANDO</t>
  </si>
  <si>
    <t>5 - SCHELOVER RAUL</t>
  </si>
  <si>
    <t>8 - RAVAROTTO EMANUEL</t>
  </si>
  <si>
    <t>9 - ESTIGARRIBIA DAVID</t>
  </si>
  <si>
    <t>10 - SEGOVIA JUAN CRUZ</t>
  </si>
  <si>
    <t>11 - ZACARIAS DAVID</t>
  </si>
  <si>
    <t>12 - GUTIERREZ MARCOS DAVID</t>
  </si>
  <si>
    <t>15 - GALARZA GERARDO</t>
  </si>
  <si>
    <t>16 - GOMEZ MATÍAS</t>
  </si>
  <si>
    <t>18 - HERRERA PABLO</t>
  </si>
  <si>
    <t>19 - GONZALEZ MARCELO</t>
  </si>
  <si>
    <t>20 - FLORES JAVIER</t>
  </si>
  <si>
    <t>21 - CATAN MATIAS</t>
  </si>
  <si>
    <t>22 - ALMIRON NICOLAS</t>
  </si>
  <si>
    <t>23 - DELGADO JOSÉ</t>
  </si>
  <si>
    <t>27 - GOMEZ ADRIÁN</t>
  </si>
  <si>
    <t>28 - GOMEZ PABLO</t>
  </si>
  <si>
    <t>31 - BARTSCHAT EMILIANO NAHUEL</t>
  </si>
  <si>
    <t>32 - BLANCO FERNANDO</t>
  </si>
  <si>
    <t>36 - STELLA MARIS CANO</t>
  </si>
  <si>
    <t>37 - PEREZ ESQUIVEL BRUNO NICOLAS</t>
  </si>
  <si>
    <t>40 - GARCIA BOGARIN SANTIAGO</t>
  </si>
  <si>
    <t>44 - MONGE CÉSAR LUIS</t>
  </si>
  <si>
    <t>49 - ESCOBAR RAÚL</t>
  </si>
  <si>
    <t>53 - SANDOVAL RODRIGO</t>
  </si>
  <si>
    <t>54 - CAÑETE DIEGO</t>
  </si>
  <si>
    <t>57 - ZARATE NICOLAS</t>
  </si>
  <si>
    <t>7 - VALLEJOS EDUARDO</t>
  </si>
  <si>
    <t>52 - MARSALL NICOLAS</t>
  </si>
  <si>
    <t>24 - DELGADO HERNAN GABRIEL</t>
  </si>
  <si>
    <t>Cobertura x Un de negocio</t>
  </si>
  <si>
    <t>Cod vdor</t>
  </si>
  <si>
    <t>% ALCANZADO</t>
  </si>
  <si>
    <t>Periodos</t>
  </si>
  <si>
    <t>Cod. Período</t>
  </si>
  <si>
    <t>Descripción Período</t>
  </si>
  <si>
    <t>Vendedor según comprobante</t>
  </si>
  <si>
    <t>Código</t>
  </si>
  <si>
    <t>Descripción</t>
  </si>
  <si>
    <t>Rotacion a-b-c</t>
  </si>
  <si>
    <t>P.P.P. Neto</t>
  </si>
  <si>
    <t>P.P.P. Final</t>
  </si>
  <si>
    <t>Cantidades CON Cargo</t>
  </si>
  <si>
    <t>Cantidades SIN Cargo</t>
  </si>
  <si>
    <t>Cantidades Totales</t>
  </si>
  <si>
    <t>Pesos Totales</t>
  </si>
  <si>
    <t>Importes Netos</t>
  </si>
  <si>
    <t>Importes Finales</t>
  </si>
  <si>
    <t>Cantidad de Facturas</t>
  </si>
  <si>
    <t>Bultos Promedio</t>
  </si>
  <si>
    <t>Cantidades en Combos</t>
  </si>
  <si>
    <t>Suc: 001 (000009) ESTIGARRIBIA DAVID</t>
  </si>
  <si>
    <t>Suc: 001 (000021) CATAN MATIAS</t>
  </si>
  <si>
    <t>Suc: 001 (000024) DELGADO HERNAN GABRIEL</t>
  </si>
  <si>
    <t>Venta NETA ARTICULOS C</t>
  </si>
  <si>
    <t>33 - NICOLAS AZULA</t>
  </si>
  <si>
    <t>56 - JUAN ANDRES SANCHEZ</t>
  </si>
  <si>
    <t>COBERTURAMESENCURSO</t>
  </si>
  <si>
    <t>COBERTURAUNIDADDENEGOCIO</t>
  </si>
  <si>
    <t>(1382) ROTACION C INCENTIVO</t>
  </si>
  <si>
    <t>ROTACION C INCENTIVO</t>
  </si>
  <si>
    <t>58 - BLADIMIR LEZCANO</t>
  </si>
  <si>
    <t>59 - LEIVA SILVIO</t>
  </si>
  <si>
    <t>SUCURSAL</t>
  </si>
  <si>
    <t>BULTOS</t>
  </si>
  <si>
    <t>UNIDAD DE MEDIDA</t>
  </si>
  <si>
    <t>IMPORTE</t>
  </si>
  <si>
    <t>COMISIÓN POR IMPORTE FIJO</t>
  </si>
  <si>
    <t>COMISIÓN POR PORCENTAJE</t>
  </si>
  <si>
    <t>COMISIÓN TOTAL</t>
  </si>
  <si>
    <t>0 - TODOS LOS VENDEDORES</t>
  </si>
  <si>
    <t>25 - KALATAKI GUSTAVO</t>
  </si>
  <si>
    <t>100 - MOSTRADOR</t>
  </si>
  <si>
    <t>Suc: 001 (000001) VERA ERNESTO</t>
  </si>
  <si>
    <t>Suc: 001 (000003) VIDAL NAHUEL</t>
  </si>
  <si>
    <t>Suc: 001 (000008) RAVAROTTO EMANUEL</t>
  </si>
  <si>
    <t>Suc: 001 (000023) DELGADO JOSÉ</t>
  </si>
  <si>
    <t>Suc: 001 (000040) GARCIA BOGARIN SANTIAGO</t>
  </si>
  <si>
    <t>44 - MONGES CESAR LUIS</t>
  </si>
  <si>
    <t>Suc: 001 (000004) TUR SPRINGER FERNANDO</t>
  </si>
  <si>
    <t>Suc: 001 (000005) SCHELOVER RAUL</t>
  </si>
  <si>
    <t>Suc: 001 (000010) SEGOVIA JUAN CRUZ</t>
  </si>
  <si>
    <t>Suc: 001 (000011) ZACARIAS DAVID</t>
  </si>
  <si>
    <t>Suc: 001 (000016) GOMEZ MATÍAS</t>
  </si>
  <si>
    <t>Suc: 001 (000018) HERRERA PABLO</t>
  </si>
  <si>
    <t>Suc: 001 (000020) FLORES JAVIER</t>
  </si>
  <si>
    <t>Suc: 001 (000025) KALATAKI GUSTAVO</t>
  </si>
  <si>
    <t>Suc: 001 (000026) PUJOL ERNESTO</t>
  </si>
  <si>
    <t>Suc: 001 (000027) GOMEZ ADRIÁN</t>
  </si>
  <si>
    <t>Suc: 001 (000028) GOMEZ PABLO</t>
  </si>
  <si>
    <t>Suc: 001 (000031) BARTSCHAT EMILIANO NAHUEL</t>
  </si>
  <si>
    <t>Suc: 001 (000033) NICOLAS AZULA</t>
  </si>
  <si>
    <t>NICOLAS AZULA</t>
  </si>
  <si>
    <t>Suc: 001 (000037) PEREZ ESQUIVEL BRUNO NICOLAS</t>
  </si>
  <si>
    <t>Suc: 001 (000044) MONGES CESAR LUIS</t>
  </si>
  <si>
    <t>Suc: 001 (000054) CAÑETE DIEGO</t>
  </si>
  <si>
    <t>Suc: 001 (000100) MOSTRADOR</t>
  </si>
  <si>
    <t>Suc: 001 (000002) OJEDA NORBERTO</t>
  </si>
  <si>
    <t>Suc: 001 (000012) GUTIERREZ MARCOS DAVID</t>
  </si>
  <si>
    <t>Suc: 001 (000019) GONZALEZ MARCELO</t>
  </si>
  <si>
    <t>Suc: 001 (000036) GONZALO CABRAL</t>
  </si>
  <si>
    <t>GONZALO CABRAL</t>
  </si>
  <si>
    <t>Suc: 001 (000056) JUAN ANDRES SANCHEZ</t>
  </si>
  <si>
    <t>JUAN ANDRES SANCHEZ</t>
  </si>
  <si>
    <t>Suc: 001 (000123) TORRES ROLANDO</t>
  </si>
  <si>
    <t>Suc: 001 (000030) GOMEZ MARTÍN</t>
  </si>
  <si>
    <t>Suc: 001 (000032) BLANCO FERNANDO</t>
  </si>
  <si>
    <t>Suc: 001 (000052) MARSALL NICOLAS</t>
  </si>
  <si>
    <t>MARSALL NICOLAS</t>
  </si>
  <si>
    <t>Suc: 001 (000053) SANDOVAL RODRIGO</t>
  </si>
  <si>
    <t>Suc: 001 (000058) BLADIMIR LEZCANO</t>
  </si>
  <si>
    <t>BLADIMIR LEZCANO</t>
  </si>
  <si>
    <t>Suc: 001 (000059) LEIVA SILVIO</t>
  </si>
  <si>
    <t>LEIVA SILVIO</t>
  </si>
  <si>
    <t>Suc: 001 (000007) VALLEJOS EDUARDO</t>
  </si>
  <si>
    <t>Suc: 001 (000022) ALMIRON NICOLAS</t>
  </si>
  <si>
    <t>Suc: 001 (000049) ESCOBAR RAÚL</t>
  </si>
  <si>
    <t>Suc: 001 (000042) ROMERO ARIEL</t>
  </si>
  <si>
    <t>Suc: 001 (000057) ZARATE NICOLAS</t>
  </si>
  <si>
    <t>Suc: 001 (000015) GALARZA GERARDO</t>
  </si>
  <si>
    <t>Suc: 001 (000043) COLHER DIEGO</t>
  </si>
  <si>
    <t>(001) MAR 2026</t>
  </si>
  <si>
    <t>43 - COLHER DIEGO</t>
  </si>
  <si>
    <t>24 - MARTINEZ JORGE NICOLAS</t>
  </si>
  <si>
    <t>SUPERVISOR</t>
  </si>
  <si>
    <t>MARTIN PREVENTA</t>
  </si>
  <si>
    <t>MARTIN</t>
  </si>
  <si>
    <t>CRISTIAN</t>
  </si>
  <si>
    <t>11 - SANCHEZ RICARDO</t>
  </si>
  <si>
    <t>10 - BRITEZ EMMANUEL</t>
  </si>
  <si>
    <t>32 - CABRAL GONZALO</t>
  </si>
  <si>
    <t>40 - IBARROLA JORGE</t>
  </si>
  <si>
    <t>36 - COSARINSKI DIEGO</t>
  </si>
  <si>
    <t>57 - ROUBINEAU SEBASTIAN</t>
  </si>
  <si>
    <t>GONZALO (SUPERVISOR)</t>
  </si>
  <si>
    <t>GONZALO</t>
  </si>
  <si>
    <t>26 - PUJOL ERNESTO</t>
  </si>
  <si>
    <t>30 - GOMEZ MARTÍN</t>
  </si>
  <si>
    <t>145 - ALMACEN</t>
  </si>
  <si>
    <t>145 - Articulos Sin Asociar Agrupacion</t>
  </si>
  <si>
    <t>145 - BEBIDAS</t>
  </si>
  <si>
    <t>145 - CHOCOLATE</t>
  </si>
  <si>
    <t>145 - GALLETITAS</t>
  </si>
  <si>
    <t>145 - GOLOSINAS</t>
  </si>
  <si>
    <t>145 - MASCOTAS</t>
  </si>
  <si>
    <t>145 - NO PERECEDEROS</t>
  </si>
  <si>
    <t>145 - PILAS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</si>
</sst>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4" formatCode="_-&quot;$&quot;\ * #,##0.00_-;\-&quot;$&quot;\ * #,##0.00_-;_-&quot;$&quot;\ * &quot;-&quot;??_-;_-@_-"/>
    <numFmt numFmtId="43" formatCode="_-* #,##0.00_-;\-* #,##0.00_-;_-* &quot;-&quot;??_-;_-@_-"/>
    <numFmt numFmtId="164" formatCode="_-&quot;$&quot;* #,##0.00_-;\-&quot;$&quot;* #,##0.00_-;_-&quot;$&quot;* &quot;-&quot;??_-;_-@_-"/>
    <numFmt numFmtId="165" formatCode="_ [$$-2C0A]\ * #,##0.00_ ;_ [$$-2C0A]\ * \-#,##0.00_ ;_ [$$-2C0A]\ * &quot;-&quot;??_ ;_ @_ "/>
    <numFmt numFmtId="166" formatCode="0.0%"/>
    <numFmt numFmtId="167" formatCode="&quot;$&quot;\ #,##0.00"/>
    <numFmt numFmtId="168" formatCode="#,##0.000;\-#,##0.000"/>
  </numFmts>
  <fonts count="24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12"/>
      <name val="Arial"/>
      <family val="2"/>
    </font>
    <font>
      <b/>
      <sz val="11"/>
      <name val="Arial"/>
      <family val="2"/>
    </font>
    <font>
      <sz val="10"/>
      <color theme="1"/>
      <name val="Tahoma"/>
      <family val="2"/>
    </font>
    <font>
      <sz val="11"/>
      <color rgb="FF000000"/>
      <name val="Calibri"/>
      <family val="2"/>
    </font>
    <font>
      <sz val="9"/>
      <color rgb="FF111111"/>
      <name val="Roboto"/>
    </font>
    <font>
      <sz val="11"/>
      <color rgb="FFFFFFFF"/>
      <name val="Calibri"/>
      <family val="2"/>
    </font>
  </fonts>
  <fills count="41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4285F4"/>
      </patternFill>
    </fill>
    <fill>
      <patternFill patternType="solid">
        <fgColor rgb="FFFFC000"/>
        <bgColor indexed="64"/>
      </patternFill>
    </fill>
    <fill>
      <patternFill patternType="solid">
        <fgColor rgb="FFFFFFFF"/>
        <bgColor rgb="FFFFFFFF"/>
      </patternFill>
    </fill>
  </fills>
  <borders count="4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thin">
        <color rgb="FFD9DCDE"/>
      </left>
      <right style="thin">
        <color rgb="FFD9DCDE"/>
      </right>
      <top style="thin">
        <color rgb="FFD9DCDE"/>
      </top>
      <bottom style="thin">
        <color rgb="FFD9DCDE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theme="0" tint="-0.14996795556505021"/>
      </left>
      <right style="thin">
        <color theme="0" tint="-0.14996795556505021"/>
      </right>
      <top style="thin">
        <color theme="0" tint="-0.14996795556505021"/>
      </top>
      <bottom style="thin">
        <color theme="0" tint="-0.14996795556505021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38">
    <xf numFmtId="0" fontId="0" fillId="0" borderId="0"/>
    <xf numFmtId="164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165" fontId="1" fillId="0" borderId="0"/>
    <xf numFmtId="165" fontId="1" fillId="0" borderId="0"/>
    <xf numFmtId="0" fontId="1" fillId="0" borderId="0"/>
    <xf numFmtId="165" fontId="1" fillId="0" borderId="0"/>
    <xf numFmtId="0" fontId="1" fillId="0" borderId="0"/>
    <xf numFmtId="0" fontId="1" fillId="0" borderId="0"/>
    <xf numFmtId="165" fontId="1" fillId="0" borderId="0"/>
    <xf numFmtId="165" fontId="1" fillId="0" borderId="0"/>
    <xf numFmtId="165" fontId="1" fillId="0" borderId="0"/>
    <xf numFmtId="165" fontId="1" fillId="0" borderId="0"/>
    <xf numFmtId="0" fontId="1" fillId="0" borderId="0"/>
    <xf numFmtId="0" fontId="1" fillId="0" borderId="0"/>
    <xf numFmtId="0" fontId="1" fillId="0" borderId="0"/>
    <xf numFmtId="165" fontId="1" fillId="0" borderId="0"/>
    <xf numFmtId="165" fontId="1" fillId="0" borderId="0"/>
    <xf numFmtId="165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/>
    <xf numFmtId="0" fontId="1" fillId="0" borderId="0"/>
    <xf numFmtId="0" fontId="1" fillId="0" borderId="0"/>
    <xf numFmtId="0" fontId="1" fillId="0" borderId="0"/>
    <xf numFmtId="165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/>
    <xf numFmtId="0" fontId="1" fillId="0" borderId="0"/>
    <xf numFmtId="0" fontId="1" fillId="0" borderId="0"/>
    <xf numFmtId="0" fontId="1" fillId="0" borderId="0"/>
    <xf numFmtId="165" fontId="1" fillId="0" borderId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0" fontId="20" fillId="0" borderId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</cellStyleXfs>
  <cellXfs count="98">
    <xf numFmtId="0" fontId="0" fillId="0" borderId="0" xfId="0"/>
    <xf numFmtId="9" fontId="0" fillId="0" borderId="0" xfId="2" applyFont="1"/>
    <xf numFmtId="164" fontId="0" fillId="0" borderId="0" xfId="1" applyFont="1"/>
    <xf numFmtId="165" fontId="18" fillId="34" borderId="14" xfId="47" applyFont="1" applyFill="1" applyBorder="1" applyAlignment="1">
      <alignment horizontal="left"/>
    </xf>
    <xf numFmtId="164" fontId="0" fillId="0" borderId="12" xfId="1" applyFont="1" applyBorder="1"/>
    <xf numFmtId="9" fontId="0" fillId="0" borderId="12" xfId="2" applyFont="1" applyBorder="1"/>
    <xf numFmtId="9" fontId="0" fillId="36" borderId="12" xfId="2" applyFont="1" applyFill="1" applyBorder="1"/>
    <xf numFmtId="0" fontId="0" fillId="36" borderId="10" xfId="0" applyFill="1" applyBorder="1"/>
    <xf numFmtId="0" fontId="0" fillId="36" borderId="12" xfId="0" applyFill="1" applyBorder="1"/>
    <xf numFmtId="0" fontId="16" fillId="34" borderId="10" xfId="0" applyFont="1" applyFill="1" applyBorder="1"/>
    <xf numFmtId="0" fontId="0" fillId="0" borderId="16" xfId="0" applyBorder="1"/>
    <xf numFmtId="0" fontId="16" fillId="34" borderId="11" xfId="0" applyFont="1" applyFill="1" applyBorder="1"/>
    <xf numFmtId="0" fontId="0" fillId="0" borderId="11" xfId="0" applyBorder="1"/>
    <xf numFmtId="0" fontId="0" fillId="0" borderId="12" xfId="0" applyBorder="1"/>
    <xf numFmtId="9" fontId="0" fillId="36" borderId="15" xfId="2" applyFont="1" applyFill="1" applyBorder="1"/>
    <xf numFmtId="9" fontId="0" fillId="36" borderId="10" xfId="2" applyFont="1" applyFill="1" applyBorder="1"/>
    <xf numFmtId="0" fontId="0" fillId="36" borderId="11" xfId="0" applyFill="1" applyBorder="1"/>
    <xf numFmtId="1" fontId="0" fillId="0" borderId="12" xfId="0" applyNumberFormat="1" applyBorder="1"/>
    <xf numFmtId="165" fontId="18" fillId="34" borderId="17" xfId="47" applyFont="1" applyFill="1" applyBorder="1" applyAlignment="1">
      <alignment horizontal="left"/>
    </xf>
    <xf numFmtId="165" fontId="18" fillId="33" borderId="12" xfId="47" applyFont="1" applyFill="1" applyBorder="1" applyAlignment="1" applyProtection="1">
      <alignment horizontal="left"/>
      <protection locked="0"/>
    </xf>
    <xf numFmtId="165" fontId="18" fillId="34" borderId="12" xfId="47" applyFont="1" applyFill="1" applyBorder="1" applyAlignment="1">
      <alignment horizontal="left"/>
    </xf>
    <xf numFmtId="166" fontId="0" fillId="36" borderId="10" xfId="2" applyNumberFormat="1" applyFont="1" applyFill="1" applyBorder="1"/>
    <xf numFmtId="166" fontId="0" fillId="0" borderId="11" xfId="2" applyNumberFormat="1" applyFont="1" applyBorder="1"/>
    <xf numFmtId="166" fontId="0" fillId="36" borderId="15" xfId="2" applyNumberFormat="1" applyFont="1" applyFill="1" applyBorder="1"/>
    <xf numFmtId="166" fontId="0" fillId="36" borderId="12" xfId="2" applyNumberFormat="1" applyFont="1" applyFill="1" applyBorder="1"/>
    <xf numFmtId="166" fontId="0" fillId="0" borderId="0" xfId="2" applyNumberFormat="1" applyFont="1"/>
    <xf numFmtId="164" fontId="0" fillId="0" borderId="0" xfId="132" applyFont="1"/>
    <xf numFmtId="164" fontId="0" fillId="0" borderId="0" xfId="0" applyNumberFormat="1"/>
    <xf numFmtId="3" fontId="0" fillId="0" borderId="0" xfId="0" applyNumberFormat="1"/>
    <xf numFmtId="166" fontId="0" fillId="0" borderId="0" xfId="0" applyNumberFormat="1"/>
    <xf numFmtId="0" fontId="21" fillId="0" borderId="0" xfId="0" applyFont="1"/>
    <xf numFmtId="0" fontId="0" fillId="37" borderId="12" xfId="0" applyFill="1" applyBorder="1"/>
    <xf numFmtId="166" fontId="0" fillId="37" borderId="11" xfId="2" applyNumberFormat="1" applyFont="1" applyFill="1" applyBorder="1"/>
    <xf numFmtId="0" fontId="0" fillId="37" borderId="11" xfId="0" applyFill="1" applyBorder="1"/>
    <xf numFmtId="1" fontId="0" fillId="37" borderId="12" xfId="0" applyNumberFormat="1" applyFill="1" applyBorder="1"/>
    <xf numFmtId="4" fontId="0" fillId="0" borderId="0" xfId="0" applyNumberFormat="1"/>
    <xf numFmtId="165" fontId="18" fillId="33" borderId="12" xfId="47" applyFont="1" applyFill="1" applyBorder="1" applyAlignment="1" applyProtection="1">
      <alignment horizontal="left" wrapText="1"/>
      <protection locked="0"/>
    </xf>
    <xf numFmtId="165" fontId="18" fillId="33" borderId="11" xfId="47" applyFont="1" applyFill="1" applyBorder="1" applyAlignment="1" applyProtection="1">
      <alignment horizontal="left" wrapText="1"/>
      <protection locked="0"/>
    </xf>
    <xf numFmtId="0" fontId="0" fillId="39" borderId="10" xfId="0" applyFill="1" applyBorder="1"/>
    <xf numFmtId="0" fontId="0" fillId="0" borderId="19" xfId="0" applyBorder="1"/>
    <xf numFmtId="0" fontId="16" fillId="0" borderId="0" xfId="0" applyFont="1"/>
    <xf numFmtId="9" fontId="0" fillId="0" borderId="11" xfId="2" applyFont="1" applyBorder="1"/>
    <xf numFmtId="0" fontId="0" fillId="36" borderId="10" xfId="2" applyNumberFormat="1" applyFont="1" applyFill="1" applyBorder="1"/>
    <xf numFmtId="165" fontId="19" fillId="35" borderId="13" xfId="47" applyFont="1" applyFill="1" applyBorder="1" applyAlignment="1">
      <alignment horizontal="center" vertical="center"/>
    </xf>
    <xf numFmtId="167" fontId="0" fillId="0" borderId="11" xfId="0" applyNumberFormat="1" applyBorder="1"/>
    <xf numFmtId="167" fontId="0" fillId="0" borderId="0" xfId="0" applyNumberFormat="1"/>
    <xf numFmtId="167" fontId="0" fillId="0" borderId="21" xfId="0" applyNumberFormat="1" applyBorder="1"/>
    <xf numFmtId="167" fontId="0" fillId="0" borderId="12" xfId="0" applyNumberFormat="1" applyBorder="1"/>
    <xf numFmtId="165" fontId="18" fillId="36" borderId="0" xfId="47" applyFont="1" applyFill="1" applyAlignment="1" applyProtection="1">
      <alignment horizontal="center"/>
      <protection locked="0"/>
    </xf>
    <xf numFmtId="167" fontId="19" fillId="35" borderId="20" xfId="47" applyNumberFormat="1" applyFont="1" applyFill="1" applyBorder="1" applyAlignment="1">
      <alignment horizontal="center" vertical="center"/>
    </xf>
    <xf numFmtId="167" fontId="0" fillId="0" borderId="22" xfId="0" applyNumberFormat="1" applyBorder="1"/>
    <xf numFmtId="168" fontId="22" fillId="40" borderId="23" xfId="0" applyNumberFormat="1" applyFont="1" applyFill="1" applyBorder="1" applyAlignment="1">
      <alignment horizontal="right" vertical="center" wrapText="1"/>
    </xf>
    <xf numFmtId="17" fontId="0" fillId="0" borderId="0" xfId="0" applyNumberFormat="1"/>
    <xf numFmtId="0" fontId="0" fillId="0" borderId="24" xfId="0" applyBorder="1"/>
    <xf numFmtId="165" fontId="19" fillId="35" borderId="20" xfId="47" applyFont="1" applyFill="1" applyBorder="1" applyAlignment="1">
      <alignment horizontal="center" vertical="center" wrapText="1"/>
    </xf>
    <xf numFmtId="9" fontId="19" fillId="35" borderId="20" xfId="2" applyFont="1" applyFill="1" applyBorder="1" applyAlignment="1">
      <alignment horizontal="center" vertical="center" wrapText="1"/>
    </xf>
    <xf numFmtId="164" fontId="19" fillId="35" borderId="20" xfId="1" applyFont="1" applyFill="1" applyBorder="1" applyAlignment="1">
      <alignment horizontal="center" vertical="center" wrapText="1"/>
    </xf>
    <xf numFmtId="165" fontId="18" fillId="33" borderId="26" xfId="47" applyFont="1" applyFill="1" applyBorder="1" applyAlignment="1" applyProtection="1">
      <alignment horizontal="left" wrapText="1"/>
      <protection locked="0"/>
    </xf>
    <xf numFmtId="164" fontId="0" fillId="0" borderId="27" xfId="133" applyFont="1" applyBorder="1"/>
    <xf numFmtId="164" fontId="0" fillId="0" borderId="26" xfId="1" applyFont="1" applyBorder="1"/>
    <xf numFmtId="9" fontId="0" fillId="0" borderId="26" xfId="2" applyFont="1" applyBorder="1"/>
    <xf numFmtId="164" fontId="0" fillId="0" borderId="28" xfId="1" applyFont="1" applyBorder="1"/>
    <xf numFmtId="164" fontId="0" fillId="0" borderId="0" xfId="133" applyFont="1" applyBorder="1"/>
    <xf numFmtId="164" fontId="0" fillId="0" borderId="13" xfId="1" applyFont="1" applyBorder="1"/>
    <xf numFmtId="164" fontId="0" fillId="34" borderId="29" xfId="1" applyFont="1" applyFill="1" applyBorder="1"/>
    <xf numFmtId="164" fontId="0" fillId="0" borderId="30" xfId="1" applyFont="1" applyBorder="1"/>
    <xf numFmtId="9" fontId="0" fillId="34" borderId="30" xfId="2" applyFont="1" applyFill="1" applyBorder="1"/>
    <xf numFmtId="164" fontId="0" fillId="34" borderId="30" xfId="1" applyFont="1" applyFill="1" applyBorder="1"/>
    <xf numFmtId="164" fontId="0" fillId="34" borderId="31" xfId="1" applyFont="1" applyFill="1" applyBorder="1"/>
    <xf numFmtId="165" fontId="18" fillId="33" borderId="26" xfId="47" applyFont="1" applyFill="1" applyBorder="1" applyAlignment="1" applyProtection="1">
      <alignment horizontal="left"/>
      <protection locked="0"/>
    </xf>
    <xf numFmtId="44" fontId="0" fillId="0" borderId="27" xfId="0" applyNumberFormat="1" applyBorder="1"/>
    <xf numFmtId="44" fontId="0" fillId="0" borderId="0" xfId="0" applyNumberFormat="1"/>
    <xf numFmtId="165" fontId="18" fillId="34" borderId="30" xfId="47" applyFont="1" applyFill="1" applyBorder="1" applyAlignment="1">
      <alignment horizontal="left"/>
    </xf>
    <xf numFmtId="164" fontId="0" fillId="0" borderId="27" xfId="1" applyFont="1" applyBorder="1"/>
    <xf numFmtId="164" fontId="0" fillId="0" borderId="0" xfId="1" applyFont="1" applyBorder="1"/>
    <xf numFmtId="164" fontId="0" fillId="34" borderId="30" xfId="134" applyFont="1" applyFill="1" applyBorder="1"/>
    <xf numFmtId="165" fontId="19" fillId="35" borderId="36" xfId="47" applyFont="1" applyFill="1" applyBorder="1" applyAlignment="1">
      <alignment horizontal="center" vertical="center" wrapText="1"/>
    </xf>
    <xf numFmtId="9" fontId="19" fillId="35" borderId="36" xfId="2" applyFont="1" applyFill="1" applyBorder="1" applyAlignment="1">
      <alignment horizontal="center" vertical="center" wrapText="1"/>
    </xf>
    <xf numFmtId="164" fontId="19" fillId="35" borderId="36" xfId="1" applyFont="1" applyFill="1" applyBorder="1" applyAlignment="1">
      <alignment horizontal="center" vertical="center" wrapText="1"/>
    </xf>
    <xf numFmtId="165" fontId="18" fillId="36" borderId="37" xfId="47" applyFont="1" applyFill="1" applyBorder="1" applyAlignment="1" applyProtection="1">
      <alignment horizontal="center" wrapText="1"/>
      <protection locked="0"/>
    </xf>
    <xf numFmtId="165" fontId="18" fillId="36" borderId="38" xfId="47" applyFont="1" applyFill="1" applyBorder="1" applyAlignment="1" applyProtection="1">
      <alignment horizontal="center" wrapText="1"/>
      <protection locked="0"/>
    </xf>
    <xf numFmtId="164" fontId="0" fillId="36" borderId="39" xfId="1" applyFont="1" applyFill="1" applyBorder="1"/>
    <xf numFmtId="164" fontId="0" fillId="0" borderId="39" xfId="1" applyFont="1" applyBorder="1"/>
    <xf numFmtId="9" fontId="0" fillId="36" borderId="39" xfId="2" applyFont="1" applyFill="1" applyBorder="1"/>
    <xf numFmtId="164" fontId="0" fillId="36" borderId="40" xfId="1" applyFont="1" applyFill="1" applyBorder="1"/>
    <xf numFmtId="0" fontId="0" fillId="36" borderId="10" xfId="0" applyFill="1" applyBorder="1" applyAlignment="1">
      <alignment horizontal="center" vertical="center"/>
    </xf>
    <xf numFmtId="0" fontId="0" fillId="36" borderId="10" xfId="0" applyFill="1" applyBorder="1" applyAlignment="1">
      <alignment horizontal="center"/>
    </xf>
    <xf numFmtId="165" fontId="18" fillId="34" borderId="25" xfId="47" applyFont="1" applyFill="1" applyBorder="1" applyAlignment="1">
      <alignment horizontal="center" vertical="center"/>
    </xf>
    <xf numFmtId="165" fontId="18" fillId="34" borderId="17" xfId="47" applyFont="1" applyFill="1" applyBorder="1" applyAlignment="1">
      <alignment horizontal="center" vertical="center"/>
    </xf>
    <xf numFmtId="165" fontId="18" fillId="34" borderId="14" xfId="47" applyFont="1" applyFill="1" applyBorder="1" applyAlignment="1">
      <alignment horizontal="center" vertical="center"/>
    </xf>
    <xf numFmtId="165" fontId="18" fillId="34" borderId="32" xfId="47" applyFont="1" applyFill="1" applyBorder="1" applyAlignment="1">
      <alignment horizontal="center" vertical="center"/>
    </xf>
    <xf numFmtId="165" fontId="18" fillId="34" borderId="33" xfId="47" applyFont="1" applyFill="1" applyBorder="1" applyAlignment="1">
      <alignment horizontal="center" vertical="center"/>
    </xf>
    <xf numFmtId="165" fontId="18" fillId="34" borderId="34" xfId="47" applyFont="1" applyFill="1" applyBorder="1" applyAlignment="1">
      <alignment horizontal="center" vertical="center"/>
    </xf>
    <xf numFmtId="0" fontId="16" fillId="34" borderId="0" xfId="0" applyFont="1" applyFill="1" applyAlignment="1">
      <alignment horizontal="center" vertical="center"/>
    </xf>
    <xf numFmtId="0" fontId="16" fillId="34" borderId="35" xfId="0" applyFont="1" applyFill="1" applyBorder="1" applyAlignment="1">
      <alignment horizontal="center" vertical="center"/>
    </xf>
    <xf numFmtId="0" fontId="16" fillId="34" borderId="27" xfId="0" applyFont="1" applyFill="1" applyBorder="1" applyAlignment="1">
      <alignment horizontal="center" vertical="center"/>
    </xf>
    <xf numFmtId="0" fontId="0" fillId="0" borderId="0" xfId="0"/>
    <xf numFmtId="0" fontId="23" fillId="38" borderId="18" xfId="0" applyFont="1" applyFill="1" applyBorder="1" applyAlignment="1">
      <alignment horizontal="left" vertical="center"/>
    </xf>
  </cellXfs>
  <cellStyles count="138">
    <cellStyle name="20% - Énfasis1" xfId="21" builtinId="30" customBuiltin="1"/>
    <cellStyle name="20% - Énfasis2" xfId="25" builtinId="34" customBuiltin="1"/>
    <cellStyle name="20% - Énfasis3" xfId="29" builtinId="38" customBuiltin="1"/>
    <cellStyle name="20% - Énfasis4" xfId="33" builtinId="42" customBuiltin="1"/>
    <cellStyle name="20% - Énfasis5" xfId="37" builtinId="46" customBuiltin="1"/>
    <cellStyle name="20% - Énfasis6" xfId="41" builtinId="50" customBuiltin="1"/>
    <cellStyle name="40% - Énfasis1" xfId="22" builtinId="31" customBuiltin="1"/>
    <cellStyle name="40% - Énfasis2" xfId="26" builtinId="35" customBuiltin="1"/>
    <cellStyle name="40% - Énfasis3" xfId="30" builtinId="39" customBuiltin="1"/>
    <cellStyle name="40% - Énfasis4" xfId="34" builtinId="43" customBuiltin="1"/>
    <cellStyle name="40% - Énfasis5" xfId="38" builtinId="47" customBuiltin="1"/>
    <cellStyle name="40% - Énfasis6" xfId="42" builtinId="51" customBuiltin="1"/>
    <cellStyle name="60% - Énfasis1" xfId="23" builtinId="32" customBuiltin="1"/>
    <cellStyle name="60% - Énfasis2" xfId="27" builtinId="36" customBuiltin="1"/>
    <cellStyle name="60% - Énfasis3" xfId="31" builtinId="40" customBuiltin="1"/>
    <cellStyle name="60% - Énfasis4" xfId="35" builtinId="44" customBuiltin="1"/>
    <cellStyle name="60% - Énfasis5" xfId="39" builtinId="48" customBuiltin="1"/>
    <cellStyle name="60% - Énfasis6" xfId="43" builtinId="52" customBuiltin="1"/>
    <cellStyle name="Bueno" xfId="8" builtinId="26" customBuiltin="1"/>
    <cellStyle name="Cálculo" xfId="13" builtinId="22" customBuiltin="1"/>
    <cellStyle name="Celda de comprobación" xfId="15" builtinId="23" customBuiltin="1"/>
    <cellStyle name="Celda vinculada" xfId="14" builtinId="24" customBuiltin="1"/>
    <cellStyle name="Encabezado 1" xfId="4" builtinId="16" customBuiltin="1"/>
    <cellStyle name="Encabezado 4" xfId="7" builtinId="19" customBuiltin="1"/>
    <cellStyle name="Énfasis1" xfId="20" builtinId="29" customBuiltin="1"/>
    <cellStyle name="Énfasis2" xfId="24" builtinId="33" customBuiltin="1"/>
    <cellStyle name="Énfasis3" xfId="28" builtinId="37" customBuiltin="1"/>
    <cellStyle name="Énfasis4" xfId="32" builtinId="41" customBuiltin="1"/>
    <cellStyle name="Énfasis5" xfId="36" builtinId="45" customBuiltin="1"/>
    <cellStyle name="Énfasis6" xfId="40" builtinId="49" customBuiltin="1"/>
    <cellStyle name="Entrada" xfId="11" builtinId="20" customBuiltin="1"/>
    <cellStyle name="Incorrecto" xfId="9" builtinId="27" customBuiltin="1"/>
    <cellStyle name="Millares 2" xfId="129" xr:uid="{00000000-0005-0000-0000-000020000000}"/>
    <cellStyle name="Millares 2 2" xfId="135" xr:uid="{BAB1C5F7-A103-47CE-B9CD-8DC544220142}"/>
    <cellStyle name="Moneda" xfId="1" builtinId="4"/>
    <cellStyle name="Moneda 2" xfId="130" xr:uid="{00000000-0005-0000-0000-000022000000}"/>
    <cellStyle name="Moneda 3" xfId="132" xr:uid="{BE0869EE-F189-4E06-A592-D726C240CFEA}"/>
    <cellStyle name="Moneda 3 2" xfId="136" xr:uid="{FC6AA592-0FF9-456D-8CFE-BCCF46350E97}"/>
    <cellStyle name="Moneda 4" xfId="133" xr:uid="{D2C5022A-C521-4491-894B-F496A408B41E}"/>
    <cellStyle name="Moneda 4 2" xfId="137" xr:uid="{224C4A3F-8E21-4819-989E-F20DDC574FC1}"/>
    <cellStyle name="Moneda 5" xfId="134" xr:uid="{481A2629-4FEA-446C-875A-57012E452824}"/>
    <cellStyle name="Neutral" xfId="10" builtinId="28" customBuiltin="1"/>
    <cellStyle name="Normal" xfId="0" builtinId="0"/>
    <cellStyle name="Normal 1028" xfId="55" xr:uid="{00000000-0005-0000-0000-000025000000}"/>
    <cellStyle name="Normal 1029" xfId="56" xr:uid="{00000000-0005-0000-0000-000026000000}"/>
    <cellStyle name="Normal 1041" xfId="54" xr:uid="{00000000-0005-0000-0000-000027000000}"/>
    <cellStyle name="Normal 1048" xfId="49" xr:uid="{00000000-0005-0000-0000-000028000000}"/>
    <cellStyle name="Normal 1051" xfId="83" xr:uid="{00000000-0005-0000-0000-000029000000}"/>
    <cellStyle name="Normal 1069" xfId="79" xr:uid="{00000000-0005-0000-0000-00002A000000}"/>
    <cellStyle name="Normal 1070" xfId="75" xr:uid="{00000000-0005-0000-0000-00002B000000}"/>
    <cellStyle name="Normal 1073" xfId="71" xr:uid="{00000000-0005-0000-0000-00002C000000}"/>
    <cellStyle name="Normal 1076" xfId="67" xr:uid="{00000000-0005-0000-0000-00002D000000}"/>
    <cellStyle name="Normal 1083" xfId="63" xr:uid="{00000000-0005-0000-0000-00002E000000}"/>
    <cellStyle name="Normal 1085" xfId="82" xr:uid="{00000000-0005-0000-0000-00002F000000}"/>
    <cellStyle name="Normal 1094" xfId="78" xr:uid="{00000000-0005-0000-0000-000030000000}"/>
    <cellStyle name="Normal 1096" xfId="74" xr:uid="{00000000-0005-0000-0000-000031000000}"/>
    <cellStyle name="Normal 1097" xfId="70" xr:uid="{00000000-0005-0000-0000-000032000000}"/>
    <cellStyle name="Normal 1098" xfId="66" xr:uid="{00000000-0005-0000-0000-000033000000}"/>
    <cellStyle name="Normal 1105" xfId="62" xr:uid="{00000000-0005-0000-0000-000034000000}"/>
    <cellStyle name="Normal 1107" xfId="81" xr:uid="{00000000-0005-0000-0000-000035000000}"/>
    <cellStyle name="Normal 1111" xfId="77" xr:uid="{00000000-0005-0000-0000-000036000000}"/>
    <cellStyle name="Normal 1113" xfId="73" xr:uid="{00000000-0005-0000-0000-000037000000}"/>
    <cellStyle name="Normal 1116" xfId="69" xr:uid="{00000000-0005-0000-0000-000038000000}"/>
    <cellStyle name="Normal 1119" xfId="65" xr:uid="{00000000-0005-0000-0000-000039000000}"/>
    <cellStyle name="Normal 1127" xfId="61" xr:uid="{00000000-0005-0000-0000-00003A000000}"/>
    <cellStyle name="Normal 1132" xfId="84" xr:uid="{00000000-0005-0000-0000-00003B000000}"/>
    <cellStyle name="Normal 1138" xfId="85" xr:uid="{00000000-0005-0000-0000-00003C000000}"/>
    <cellStyle name="Normal 1139" xfId="86" xr:uid="{00000000-0005-0000-0000-00003D000000}"/>
    <cellStyle name="Normal 1141" xfId="87" xr:uid="{00000000-0005-0000-0000-00003E000000}"/>
    <cellStyle name="Normal 1145" xfId="88" xr:uid="{00000000-0005-0000-0000-00003F000000}"/>
    <cellStyle name="Normal 1155" xfId="89" xr:uid="{00000000-0005-0000-0000-000040000000}"/>
    <cellStyle name="Normal 1157" xfId="90" xr:uid="{00000000-0005-0000-0000-000041000000}"/>
    <cellStyle name="Normal 1159" xfId="91" xr:uid="{00000000-0005-0000-0000-000042000000}"/>
    <cellStyle name="Normal 1160" xfId="92" xr:uid="{00000000-0005-0000-0000-000043000000}"/>
    <cellStyle name="Normal 1163" xfId="93" xr:uid="{00000000-0005-0000-0000-000044000000}"/>
    <cellStyle name="Normal 1164" xfId="94" xr:uid="{00000000-0005-0000-0000-000045000000}"/>
    <cellStyle name="Normal 1166" xfId="95" xr:uid="{00000000-0005-0000-0000-000046000000}"/>
    <cellStyle name="Normal 1168" xfId="96" xr:uid="{00000000-0005-0000-0000-000047000000}"/>
    <cellStyle name="Normal 1172" xfId="97" xr:uid="{00000000-0005-0000-0000-000048000000}"/>
    <cellStyle name="Normal 1174" xfId="98" xr:uid="{00000000-0005-0000-0000-000049000000}"/>
    <cellStyle name="Normal 1182" xfId="99" xr:uid="{00000000-0005-0000-0000-00004A000000}"/>
    <cellStyle name="Normal 1183" xfId="100" xr:uid="{00000000-0005-0000-0000-00004B000000}"/>
    <cellStyle name="Normal 1184" xfId="101" xr:uid="{00000000-0005-0000-0000-00004C000000}"/>
    <cellStyle name="Normal 1185" xfId="102" xr:uid="{00000000-0005-0000-0000-00004D000000}"/>
    <cellStyle name="Normal 1189" xfId="104" xr:uid="{00000000-0005-0000-0000-00004E000000}"/>
    <cellStyle name="Normal 1190" xfId="103" xr:uid="{00000000-0005-0000-0000-00004F000000}"/>
    <cellStyle name="Normal 1193" xfId="105" xr:uid="{00000000-0005-0000-0000-000050000000}"/>
    <cellStyle name="Normal 1194" xfId="106" xr:uid="{00000000-0005-0000-0000-000051000000}"/>
    <cellStyle name="Normal 1195" xfId="107" xr:uid="{00000000-0005-0000-0000-000052000000}"/>
    <cellStyle name="Normal 1200" xfId="108" xr:uid="{00000000-0005-0000-0000-000053000000}"/>
    <cellStyle name="Normal 1201" xfId="109" xr:uid="{00000000-0005-0000-0000-000054000000}"/>
    <cellStyle name="Normal 1203" xfId="110" xr:uid="{00000000-0005-0000-0000-000055000000}"/>
    <cellStyle name="Normal 1205" xfId="111" xr:uid="{00000000-0005-0000-0000-000056000000}"/>
    <cellStyle name="Normal 1208" xfId="112" xr:uid="{00000000-0005-0000-0000-000057000000}"/>
    <cellStyle name="Normal 1210" xfId="113" xr:uid="{00000000-0005-0000-0000-000058000000}"/>
    <cellStyle name="Normal 1211" xfId="114" xr:uid="{00000000-0005-0000-0000-000059000000}"/>
    <cellStyle name="Normal 1212" xfId="115" xr:uid="{00000000-0005-0000-0000-00005A000000}"/>
    <cellStyle name="Normal 1214" xfId="116" xr:uid="{00000000-0005-0000-0000-00005B000000}"/>
    <cellStyle name="Normal 1216" xfId="117" xr:uid="{00000000-0005-0000-0000-00005C000000}"/>
    <cellStyle name="Normal 1227" xfId="118" xr:uid="{00000000-0005-0000-0000-00005D000000}"/>
    <cellStyle name="Normal 1228" xfId="119" xr:uid="{00000000-0005-0000-0000-00005E000000}"/>
    <cellStyle name="Normal 1229" xfId="120" xr:uid="{00000000-0005-0000-0000-00005F000000}"/>
    <cellStyle name="Normal 1230" xfId="121" xr:uid="{00000000-0005-0000-0000-000060000000}"/>
    <cellStyle name="Normal 1231" xfId="122" xr:uid="{00000000-0005-0000-0000-000061000000}"/>
    <cellStyle name="Normal 1233" xfId="123" xr:uid="{00000000-0005-0000-0000-000062000000}"/>
    <cellStyle name="Normal 198" xfId="45" xr:uid="{00000000-0005-0000-0000-000063000000}"/>
    <cellStyle name="Normal 2" xfId="131" xr:uid="{00000000-0005-0000-0000-000064000000}"/>
    <cellStyle name="Normal 316" xfId="52" xr:uid="{00000000-0005-0000-0000-000065000000}"/>
    <cellStyle name="Normal 347" xfId="47" xr:uid="{00000000-0005-0000-0000-000066000000}"/>
    <cellStyle name="Normal 357" xfId="124" xr:uid="{00000000-0005-0000-0000-000067000000}"/>
    <cellStyle name="Normal 423" xfId="128" xr:uid="{00000000-0005-0000-0000-000068000000}"/>
    <cellStyle name="Normal 477" xfId="59" xr:uid="{00000000-0005-0000-0000-000069000000}"/>
    <cellStyle name="Normal 501" xfId="57" xr:uid="{00000000-0005-0000-0000-00006A000000}"/>
    <cellStyle name="Normal 611" xfId="53" xr:uid="{00000000-0005-0000-0000-00006B000000}"/>
    <cellStyle name="Normal 718" xfId="58" xr:uid="{00000000-0005-0000-0000-00006C000000}"/>
    <cellStyle name="Normal 720" xfId="44" xr:uid="{00000000-0005-0000-0000-00006D000000}"/>
    <cellStyle name="Normal 722" xfId="51" xr:uid="{00000000-0005-0000-0000-00006E000000}"/>
    <cellStyle name="Normal 726" xfId="50" xr:uid="{00000000-0005-0000-0000-00006F000000}"/>
    <cellStyle name="Normal 771" xfId="80" xr:uid="{00000000-0005-0000-0000-000070000000}"/>
    <cellStyle name="Normal 776" xfId="76" xr:uid="{00000000-0005-0000-0000-000071000000}"/>
    <cellStyle name="Normal 779" xfId="72" xr:uid="{00000000-0005-0000-0000-000072000000}"/>
    <cellStyle name="Normal 787" xfId="68" xr:uid="{00000000-0005-0000-0000-000073000000}"/>
    <cellStyle name="Normal 794" xfId="64" xr:uid="{00000000-0005-0000-0000-000074000000}"/>
    <cellStyle name="Normal 805" xfId="60" xr:uid="{00000000-0005-0000-0000-000075000000}"/>
    <cellStyle name="Normal 819" xfId="48" xr:uid="{00000000-0005-0000-0000-000076000000}"/>
    <cellStyle name="Normal 874" xfId="127" xr:uid="{00000000-0005-0000-0000-000077000000}"/>
    <cellStyle name="Normal 876" xfId="125" xr:uid="{00000000-0005-0000-0000-000078000000}"/>
    <cellStyle name="Normal 888" xfId="46" xr:uid="{00000000-0005-0000-0000-000079000000}"/>
    <cellStyle name="Normal 924" xfId="126" xr:uid="{00000000-0005-0000-0000-00007A000000}"/>
    <cellStyle name="Notas" xfId="17" builtinId="10" customBuiltin="1"/>
    <cellStyle name="Porcentaje" xfId="2" builtinId="5"/>
    <cellStyle name="Salida" xfId="12" builtinId="21" customBuiltin="1"/>
    <cellStyle name="Texto de advertencia" xfId="16" builtinId="11" customBuiltin="1"/>
    <cellStyle name="Texto explicativo" xfId="18" builtinId="53" customBuiltin="1"/>
    <cellStyle name="Título" xfId="3" builtinId="15" customBuiltin="1"/>
    <cellStyle name="Título 2" xfId="5" builtinId="17" customBuiltin="1"/>
    <cellStyle name="Título 3" xfId="6" builtinId="18" customBuiltin="1"/>
    <cellStyle name="Total" xfId="19" builtinId="25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44"/>
  <sheetViews>
    <sheetView workbookViewId="0">
      <selection activeCell="E10" sqref="E10"/>
    </sheetView>
  </sheetViews>
  <sheetFormatPr baseColWidth="10" defaultRowHeight="15" x14ac:dyDescent="0.25"/>
  <cols>
    <col min="1" max="1" width="34" bestFit="1" customWidth="1"/>
    <col min="2" max="2" width="18.42578125" bestFit="1" customWidth="1"/>
    <col min="3" max="3" width="12" bestFit="1" customWidth="1"/>
    <col min="4" max="4" width="18.5703125" bestFit="1" customWidth="1"/>
    <col min="5" max="5" width="12" bestFit="1" customWidth="1"/>
    <col min="6" max="6" width="27.42578125" bestFit="1" customWidth="1"/>
    <col min="7" max="7" width="26.5703125" bestFit="1" customWidth="1"/>
    <col min="8" max="8" width="16.42578125" bestFit="1" customWidth="1"/>
  </cols>
  <sheetData>
    <row r="1" spans="1:8" x14ac:dyDescent="0.25">
      <c r="A1" s="97" t="s">
        <v>76</v>
      </c>
      <c r="B1" s="97" t="s">
        <v>147</v>
      </c>
      <c r="C1" s="97" t="s">
        <v>148</v>
      </c>
      <c r="D1" s="97" t="s">
        <v>149</v>
      </c>
      <c r="E1" s="97" t="s">
        <v>150</v>
      </c>
      <c r="F1" s="97" t="s">
        <v>151</v>
      </c>
      <c r="G1" s="97" t="s">
        <v>152</v>
      </c>
      <c r="H1" s="97" t="s">
        <v>153</v>
      </c>
    </row>
    <row r="2" spans="1:8" x14ac:dyDescent="0.25">
      <c r="A2" s="96" t="s">
        <v>154</v>
      </c>
      <c r="B2" s="96">
        <v>0</v>
      </c>
      <c r="C2" s="96">
        <v>12759.648138517299</v>
      </c>
      <c r="D2" s="96">
        <v>61262.625914064098</v>
      </c>
      <c r="E2" s="96">
        <v>223094212.44056469</v>
      </c>
      <c r="F2" s="96">
        <v>0</v>
      </c>
      <c r="G2" s="96">
        <v>141404.35170655229</v>
      </c>
      <c r="H2" s="96">
        <v>141404.38</v>
      </c>
    </row>
    <row r="3" spans="1:8" x14ac:dyDescent="0.25">
      <c r="A3" s="96" t="s">
        <v>81</v>
      </c>
      <c r="B3" s="96">
        <v>1</v>
      </c>
      <c r="C3" s="96">
        <v>168.2765046287</v>
      </c>
      <c r="D3" s="96">
        <v>491.7907233853</v>
      </c>
      <c r="E3" s="96">
        <v>4713478.3902184051</v>
      </c>
      <c r="F3" s="96">
        <v>0</v>
      </c>
      <c r="G3" s="96">
        <v>141404.35170655229</v>
      </c>
      <c r="H3" s="96">
        <v>141404.38</v>
      </c>
    </row>
    <row r="4" spans="1:8" x14ac:dyDescent="0.25">
      <c r="A4" s="96" t="s">
        <v>82</v>
      </c>
      <c r="B4" s="96">
        <v>1</v>
      </c>
      <c r="C4" s="96">
        <v>89.716765872799996</v>
      </c>
      <c r="D4" s="96">
        <v>228.65250000060001</v>
      </c>
      <c r="E4" s="96">
        <v>3490474.4748070529</v>
      </c>
      <c r="F4" s="96">
        <v>0</v>
      </c>
      <c r="G4" s="96">
        <v>0</v>
      </c>
      <c r="H4" s="96">
        <v>0</v>
      </c>
    </row>
    <row r="5" spans="1:8" x14ac:dyDescent="0.25">
      <c r="A5" s="96" t="s">
        <v>83</v>
      </c>
      <c r="B5" s="96">
        <v>1</v>
      </c>
      <c r="C5" s="96">
        <v>113.08222222160001</v>
      </c>
      <c r="D5" s="96">
        <v>487.77000000160001</v>
      </c>
      <c r="E5" s="96">
        <v>2539362.2668490014</v>
      </c>
      <c r="F5" s="96">
        <v>0</v>
      </c>
      <c r="G5" s="96">
        <v>0</v>
      </c>
      <c r="H5" s="96">
        <v>0</v>
      </c>
    </row>
    <row r="6" spans="1:8" x14ac:dyDescent="0.25">
      <c r="A6" s="96" t="s">
        <v>84</v>
      </c>
      <c r="B6" s="96">
        <v>1</v>
      </c>
      <c r="C6" s="96">
        <v>319.23392857089999</v>
      </c>
      <c r="D6" s="96">
        <v>1011.7841785766</v>
      </c>
      <c r="E6" s="96">
        <v>5960130.3637676956</v>
      </c>
      <c r="F6" s="96">
        <v>0</v>
      </c>
      <c r="G6" s="96">
        <v>0</v>
      </c>
      <c r="H6" s="96">
        <v>0</v>
      </c>
    </row>
    <row r="7" spans="1:8" x14ac:dyDescent="0.25">
      <c r="A7" s="96" t="s">
        <v>85</v>
      </c>
      <c r="B7" s="96">
        <v>1</v>
      </c>
      <c r="C7" s="96">
        <v>219.94720238030001</v>
      </c>
      <c r="D7" s="96">
        <v>984.96450000130005</v>
      </c>
      <c r="E7" s="96">
        <v>4232380.5042614806</v>
      </c>
      <c r="F7" s="96">
        <v>0</v>
      </c>
      <c r="G7" s="96">
        <v>0</v>
      </c>
      <c r="H7" s="96">
        <v>0</v>
      </c>
    </row>
    <row r="8" spans="1:8" x14ac:dyDescent="0.25">
      <c r="A8" s="96" t="s">
        <v>111</v>
      </c>
      <c r="B8" s="96">
        <v>1</v>
      </c>
      <c r="C8" s="96">
        <v>1614.9333333334</v>
      </c>
      <c r="D8" s="96">
        <v>1507.4840000014001</v>
      </c>
      <c r="E8" s="96">
        <v>16463801.298558187</v>
      </c>
      <c r="F8" s="96">
        <v>0</v>
      </c>
      <c r="G8" s="96">
        <v>0</v>
      </c>
      <c r="H8" s="96">
        <v>0</v>
      </c>
    </row>
    <row r="9" spans="1:8" x14ac:dyDescent="0.25">
      <c r="A9" s="96" t="s">
        <v>86</v>
      </c>
      <c r="B9" s="96">
        <v>1</v>
      </c>
      <c r="C9" s="96">
        <v>113.1691071427</v>
      </c>
      <c r="D9" s="96">
        <v>643.5574999982</v>
      </c>
      <c r="E9" s="96">
        <v>2229458.8498637299</v>
      </c>
      <c r="F9" s="96">
        <v>0</v>
      </c>
      <c r="G9" s="96">
        <v>0</v>
      </c>
      <c r="H9" s="96">
        <v>0</v>
      </c>
    </row>
    <row r="10" spans="1:8" x14ac:dyDescent="0.25">
      <c r="A10" s="96" t="s">
        <v>87</v>
      </c>
      <c r="B10" s="96">
        <v>1</v>
      </c>
      <c r="C10" s="96">
        <v>67.089751984100005</v>
      </c>
      <c r="D10" s="96">
        <v>200.80203124760001</v>
      </c>
      <c r="E10" s="96">
        <v>2237337.654012111</v>
      </c>
      <c r="F10" s="96">
        <v>0</v>
      </c>
      <c r="G10" s="96">
        <v>0</v>
      </c>
      <c r="H10" s="96">
        <v>0</v>
      </c>
    </row>
    <row r="11" spans="1:8" x14ac:dyDescent="0.25">
      <c r="A11" s="96" t="s">
        <v>213</v>
      </c>
      <c r="B11" s="96">
        <v>1</v>
      </c>
      <c r="C11" s="96">
        <v>69.604761904499995</v>
      </c>
      <c r="D11" s="96">
        <v>303.04959523730003</v>
      </c>
      <c r="E11" s="96">
        <v>1556471.8667402903</v>
      </c>
      <c r="F11" s="96">
        <v>0</v>
      </c>
      <c r="G11" s="96">
        <v>0</v>
      </c>
      <c r="H11" s="96">
        <v>0</v>
      </c>
    </row>
    <row r="12" spans="1:8" x14ac:dyDescent="0.25">
      <c r="A12" s="96" t="s">
        <v>212</v>
      </c>
      <c r="B12" s="96">
        <v>1</v>
      </c>
      <c r="C12" s="96">
        <v>178.19682539589999</v>
      </c>
      <c r="D12" s="96">
        <v>527.69845237909999</v>
      </c>
      <c r="E12" s="96">
        <v>3454829.7358999122</v>
      </c>
      <c r="F12" s="96">
        <v>0</v>
      </c>
      <c r="G12" s="96">
        <v>0</v>
      </c>
      <c r="H12" s="96">
        <v>0</v>
      </c>
    </row>
    <row r="13" spans="1:8" x14ac:dyDescent="0.25">
      <c r="A13" s="96" t="s">
        <v>90</v>
      </c>
      <c r="B13" s="96">
        <v>1</v>
      </c>
      <c r="C13" s="96">
        <v>225.7950396821</v>
      </c>
      <c r="D13" s="96">
        <v>829.79151190790003</v>
      </c>
      <c r="E13" s="96">
        <v>4650179.1579327742</v>
      </c>
      <c r="F13" s="96">
        <v>0</v>
      </c>
      <c r="G13" s="96">
        <v>0</v>
      </c>
      <c r="H13" s="96">
        <v>0</v>
      </c>
    </row>
    <row r="14" spans="1:8" x14ac:dyDescent="0.25">
      <c r="A14" s="96" t="s">
        <v>91</v>
      </c>
      <c r="B14" s="96">
        <v>1</v>
      </c>
      <c r="C14" s="96">
        <v>1444.0819444447</v>
      </c>
      <c r="D14" s="96">
        <v>13580.7225000012</v>
      </c>
      <c r="E14" s="96">
        <v>35677866.984969728</v>
      </c>
      <c r="F14" s="96">
        <v>0</v>
      </c>
      <c r="G14" s="96">
        <v>0</v>
      </c>
      <c r="H14" s="96">
        <v>0</v>
      </c>
    </row>
    <row r="15" spans="1:8" x14ac:dyDescent="0.25">
      <c r="A15" s="96" t="s">
        <v>92</v>
      </c>
      <c r="B15" s="96">
        <v>1</v>
      </c>
      <c r="C15" s="96">
        <v>203.11855158700001</v>
      </c>
      <c r="D15" s="96">
        <v>755.52499999940005</v>
      </c>
      <c r="E15" s="96">
        <v>3799689.1529486589</v>
      </c>
      <c r="F15" s="96">
        <v>0</v>
      </c>
      <c r="G15" s="96">
        <v>0</v>
      </c>
      <c r="H15" s="96">
        <v>0</v>
      </c>
    </row>
    <row r="16" spans="1:8" x14ac:dyDescent="0.25">
      <c r="A16" s="96" t="s">
        <v>93</v>
      </c>
      <c r="B16" s="96">
        <v>1</v>
      </c>
      <c r="C16" s="96">
        <v>128.3049206343</v>
      </c>
      <c r="D16" s="96">
        <v>693.45458333670001</v>
      </c>
      <c r="E16" s="96">
        <v>3126324.9965506792</v>
      </c>
      <c r="F16" s="96">
        <v>0</v>
      </c>
      <c r="G16" s="96">
        <v>0</v>
      </c>
      <c r="H16" s="96">
        <v>0</v>
      </c>
    </row>
    <row r="17" spans="1:8" x14ac:dyDescent="0.25">
      <c r="A17" s="96" t="s">
        <v>94</v>
      </c>
      <c r="B17" s="96">
        <v>1</v>
      </c>
      <c r="C17" s="96">
        <v>214.7180555544</v>
      </c>
      <c r="D17" s="96">
        <v>616.00885714909998</v>
      </c>
      <c r="E17" s="96">
        <v>5092283.3348378455</v>
      </c>
      <c r="F17" s="96">
        <v>0</v>
      </c>
      <c r="G17" s="96">
        <v>0</v>
      </c>
      <c r="H17" s="96">
        <v>0</v>
      </c>
    </row>
    <row r="18" spans="1:8" x14ac:dyDescent="0.25">
      <c r="A18" s="96" t="s">
        <v>95</v>
      </c>
      <c r="B18" s="96">
        <v>1</v>
      </c>
      <c r="C18" s="96">
        <v>339.81365079310001</v>
      </c>
      <c r="D18" s="96">
        <v>2209.1249285679</v>
      </c>
      <c r="E18" s="96">
        <v>6538018.3834050605</v>
      </c>
      <c r="F18" s="96">
        <v>0</v>
      </c>
      <c r="G18" s="96">
        <v>0</v>
      </c>
      <c r="H18" s="96">
        <v>0</v>
      </c>
    </row>
    <row r="19" spans="1:8" x14ac:dyDescent="0.25">
      <c r="A19" s="96" t="s">
        <v>96</v>
      </c>
      <c r="B19" s="96">
        <v>1</v>
      </c>
      <c r="C19" s="96">
        <v>242.1867394173</v>
      </c>
      <c r="D19" s="96">
        <v>821.9142142938</v>
      </c>
      <c r="E19" s="96">
        <v>5313079.7996425815</v>
      </c>
      <c r="F19" s="96">
        <v>0</v>
      </c>
      <c r="G19" s="96">
        <v>0</v>
      </c>
      <c r="H19" s="96">
        <v>0</v>
      </c>
    </row>
    <row r="20" spans="1:8" x14ac:dyDescent="0.25">
      <c r="A20" s="96" t="s">
        <v>97</v>
      </c>
      <c r="B20" s="96">
        <v>1</v>
      </c>
      <c r="C20" s="96">
        <v>1331.513234127</v>
      </c>
      <c r="D20" s="96">
        <v>7081.0849999985003</v>
      </c>
      <c r="E20" s="96">
        <v>18543635.055367131</v>
      </c>
      <c r="F20" s="96">
        <v>0</v>
      </c>
      <c r="G20" s="96">
        <v>0</v>
      </c>
      <c r="H20" s="96">
        <v>0</v>
      </c>
    </row>
    <row r="21" spans="1:8" x14ac:dyDescent="0.25">
      <c r="A21" s="96" t="s">
        <v>98</v>
      </c>
      <c r="B21" s="96">
        <v>1</v>
      </c>
      <c r="C21" s="96">
        <v>174.00490079319999</v>
      </c>
      <c r="D21" s="96">
        <v>605.7746071478</v>
      </c>
      <c r="E21" s="96">
        <v>3621062.6775038806</v>
      </c>
      <c r="F21" s="96">
        <v>0</v>
      </c>
      <c r="G21" s="96">
        <v>0</v>
      </c>
      <c r="H21" s="96">
        <v>0</v>
      </c>
    </row>
    <row r="22" spans="1:8" x14ac:dyDescent="0.25">
      <c r="A22" s="96" t="s">
        <v>207</v>
      </c>
      <c r="B22" s="96">
        <v>1</v>
      </c>
      <c r="C22" s="96">
        <v>123.90625</v>
      </c>
      <c r="D22" s="96">
        <v>291.22892856869998</v>
      </c>
      <c r="E22" s="96">
        <v>1931060.2247250369</v>
      </c>
      <c r="F22" s="96">
        <v>0</v>
      </c>
      <c r="G22" s="96">
        <v>0</v>
      </c>
      <c r="H22" s="96">
        <v>0</v>
      </c>
    </row>
    <row r="23" spans="1:8" x14ac:dyDescent="0.25">
      <c r="A23" s="96" t="s">
        <v>155</v>
      </c>
      <c r="B23" s="96">
        <v>1</v>
      </c>
      <c r="C23" s="96">
        <v>128.10228174549999</v>
      </c>
      <c r="D23" s="96">
        <v>339.25166666370001</v>
      </c>
      <c r="E23" s="96">
        <v>1999132.6820728134</v>
      </c>
      <c r="F23" s="96">
        <v>0</v>
      </c>
      <c r="G23" s="96">
        <v>0</v>
      </c>
      <c r="H23" s="96">
        <v>0</v>
      </c>
    </row>
    <row r="24" spans="1:8" x14ac:dyDescent="0.25">
      <c r="A24" s="96" t="s">
        <v>220</v>
      </c>
      <c r="B24" s="96">
        <v>1</v>
      </c>
      <c r="C24" s="96">
        <v>748.66458333349999</v>
      </c>
      <c r="D24" s="96">
        <v>4813.7219583328997</v>
      </c>
      <c r="E24" s="96">
        <v>13993499.751331689</v>
      </c>
      <c r="F24" s="96">
        <v>0</v>
      </c>
      <c r="G24" s="96">
        <v>0</v>
      </c>
      <c r="H24" s="96">
        <v>0</v>
      </c>
    </row>
    <row r="25" spans="1:8" x14ac:dyDescent="0.25">
      <c r="A25" s="96" t="s">
        <v>99</v>
      </c>
      <c r="B25" s="96">
        <v>1</v>
      </c>
      <c r="C25" s="96">
        <v>151.11507936480001</v>
      </c>
      <c r="D25" s="96">
        <v>563.25500000219995</v>
      </c>
      <c r="E25" s="96">
        <v>3265458.2459612871</v>
      </c>
      <c r="F25" s="96">
        <v>0</v>
      </c>
      <c r="G25" s="96">
        <v>0</v>
      </c>
      <c r="H25" s="96">
        <v>0</v>
      </c>
    </row>
    <row r="26" spans="1:8" x14ac:dyDescent="0.25">
      <c r="A26" s="96" t="s">
        <v>100</v>
      </c>
      <c r="B26" s="96">
        <v>1</v>
      </c>
      <c r="C26" s="96">
        <v>78.740436507300004</v>
      </c>
      <c r="D26" s="96">
        <v>282.00000000040001</v>
      </c>
      <c r="E26" s="96">
        <v>1905347.2963424551</v>
      </c>
      <c r="F26" s="96">
        <v>0</v>
      </c>
      <c r="G26" s="96">
        <v>0</v>
      </c>
      <c r="H26" s="96">
        <v>0</v>
      </c>
    </row>
    <row r="27" spans="1:8" x14ac:dyDescent="0.25">
      <c r="A27" s="96" t="s">
        <v>221</v>
      </c>
      <c r="B27" s="96">
        <v>1</v>
      </c>
      <c r="C27" s="96">
        <v>1334.5</v>
      </c>
      <c r="D27" s="96">
        <v>2577.1799999999998</v>
      </c>
      <c r="E27" s="96">
        <v>13136953.343350001</v>
      </c>
      <c r="F27" s="96">
        <v>0</v>
      </c>
      <c r="G27" s="96">
        <v>0</v>
      </c>
      <c r="H27" s="96">
        <v>0</v>
      </c>
    </row>
    <row r="28" spans="1:8" x14ac:dyDescent="0.25">
      <c r="A28" s="96" t="s">
        <v>101</v>
      </c>
      <c r="B28" s="96">
        <v>1</v>
      </c>
      <c r="C28" s="96">
        <v>224.8947354492</v>
      </c>
      <c r="D28" s="96">
        <v>1004.4995833371</v>
      </c>
      <c r="E28" s="96">
        <v>4525419.7648018571</v>
      </c>
      <c r="F28" s="96">
        <v>0</v>
      </c>
      <c r="G28" s="96">
        <v>0</v>
      </c>
      <c r="H28" s="96">
        <v>0</v>
      </c>
    </row>
    <row r="29" spans="1:8" x14ac:dyDescent="0.25">
      <c r="A29" s="96" t="s">
        <v>214</v>
      </c>
      <c r="B29" s="96">
        <v>1</v>
      </c>
      <c r="C29" s="96">
        <v>386.73</v>
      </c>
      <c r="D29" s="96">
        <v>1523.5400000018999</v>
      </c>
      <c r="E29" s="96">
        <v>7197381.3632933144</v>
      </c>
      <c r="F29" s="96">
        <v>0</v>
      </c>
      <c r="G29" s="96">
        <v>0</v>
      </c>
      <c r="H29" s="96">
        <v>0</v>
      </c>
    </row>
    <row r="30" spans="1:8" x14ac:dyDescent="0.25">
      <c r="A30" s="96" t="s">
        <v>139</v>
      </c>
      <c r="B30" s="96">
        <v>1</v>
      </c>
      <c r="C30" s="96">
        <v>73.557242063700002</v>
      </c>
      <c r="D30" s="96">
        <v>290.52000000279997</v>
      </c>
      <c r="E30" s="96">
        <v>1342266.2312651528</v>
      </c>
      <c r="F30" s="96">
        <v>0</v>
      </c>
      <c r="G30" s="96">
        <v>0</v>
      </c>
      <c r="H30" s="96">
        <v>0</v>
      </c>
    </row>
    <row r="31" spans="1:8" x14ac:dyDescent="0.25">
      <c r="A31" s="96" t="s">
        <v>216</v>
      </c>
      <c r="B31" s="96">
        <v>1</v>
      </c>
      <c r="C31" s="96">
        <v>90.458531745100004</v>
      </c>
      <c r="D31" s="96">
        <v>283.59499999920001</v>
      </c>
      <c r="E31" s="96">
        <v>1662817.6962441357</v>
      </c>
      <c r="F31" s="96">
        <v>0</v>
      </c>
      <c r="G31" s="96">
        <v>0</v>
      </c>
      <c r="H31" s="96">
        <v>0</v>
      </c>
    </row>
    <row r="32" spans="1:8" x14ac:dyDescent="0.25">
      <c r="A32" s="96" t="s">
        <v>104</v>
      </c>
      <c r="B32" s="96">
        <v>1</v>
      </c>
      <c r="C32" s="96">
        <v>28.535912698600001</v>
      </c>
      <c r="D32" s="96">
        <v>178.64666666860001</v>
      </c>
      <c r="E32" s="96">
        <v>920475.59202497394</v>
      </c>
      <c r="F32" s="96">
        <v>0</v>
      </c>
      <c r="G32" s="96">
        <v>0</v>
      </c>
      <c r="H32" s="96">
        <v>0</v>
      </c>
    </row>
    <row r="33" spans="1:8" x14ac:dyDescent="0.25">
      <c r="A33" s="96" t="s">
        <v>215</v>
      </c>
      <c r="B33" s="96">
        <v>1</v>
      </c>
      <c r="C33" s="96">
        <v>215.69446428559999</v>
      </c>
      <c r="D33" s="96">
        <v>439.00999999959998</v>
      </c>
      <c r="E33" s="96">
        <v>2806120.8392654946</v>
      </c>
      <c r="F33" s="96">
        <v>0</v>
      </c>
      <c r="G33" s="96">
        <v>0</v>
      </c>
      <c r="H33" s="96">
        <v>0</v>
      </c>
    </row>
    <row r="34" spans="1:8" x14ac:dyDescent="0.25">
      <c r="A34" s="96" t="s">
        <v>206</v>
      </c>
      <c r="B34" s="96">
        <v>1</v>
      </c>
      <c r="C34" s="96">
        <v>-25</v>
      </c>
      <c r="D34" s="96">
        <v>0</v>
      </c>
      <c r="E34" s="96">
        <v>-233849</v>
      </c>
      <c r="F34" s="96">
        <v>0</v>
      </c>
      <c r="G34" s="96">
        <v>0</v>
      </c>
      <c r="H34" s="96">
        <v>0</v>
      </c>
    </row>
    <row r="35" spans="1:8" x14ac:dyDescent="0.25">
      <c r="A35" s="96" t="s">
        <v>162</v>
      </c>
      <c r="B35" s="96">
        <v>1</v>
      </c>
      <c r="C35" s="96">
        <v>186.83611111089999</v>
      </c>
      <c r="D35" s="96">
        <v>804.41601190910001</v>
      </c>
      <c r="E35" s="96">
        <v>3880349.2779353959</v>
      </c>
      <c r="F35" s="96">
        <v>0</v>
      </c>
      <c r="G35" s="96">
        <v>0</v>
      </c>
      <c r="H35" s="96">
        <v>0</v>
      </c>
    </row>
    <row r="36" spans="1:8" x14ac:dyDescent="0.25">
      <c r="A36" s="96" t="s">
        <v>107</v>
      </c>
      <c r="B36" s="96">
        <v>1</v>
      </c>
      <c r="C36" s="96">
        <v>414.39123015899997</v>
      </c>
      <c r="D36" s="96">
        <v>2342.8888214259</v>
      </c>
      <c r="E36" s="96">
        <v>7342359.2744361712</v>
      </c>
      <c r="F36" s="96">
        <v>0</v>
      </c>
      <c r="G36" s="96">
        <v>0</v>
      </c>
      <c r="H36" s="96">
        <v>0</v>
      </c>
    </row>
    <row r="37" spans="1:8" x14ac:dyDescent="0.25">
      <c r="A37" s="96" t="s">
        <v>112</v>
      </c>
      <c r="B37" s="96">
        <v>1</v>
      </c>
      <c r="C37" s="96">
        <v>197.30909090899999</v>
      </c>
      <c r="D37" s="96">
        <v>2277.9899999992999</v>
      </c>
      <c r="E37" s="96">
        <v>4699575.8856638623</v>
      </c>
      <c r="F37" s="96">
        <v>0</v>
      </c>
      <c r="G37" s="96">
        <v>0</v>
      </c>
      <c r="H37" s="96">
        <v>0</v>
      </c>
    </row>
    <row r="38" spans="1:8" x14ac:dyDescent="0.25">
      <c r="A38" s="96" t="s">
        <v>108</v>
      </c>
      <c r="B38" s="96">
        <v>1</v>
      </c>
      <c r="C38" s="96">
        <v>283.9166666667</v>
      </c>
      <c r="D38" s="96">
        <v>3082.25</v>
      </c>
      <c r="E38" s="96">
        <v>5825319.4707523696</v>
      </c>
      <c r="F38" s="96">
        <v>0</v>
      </c>
      <c r="G38" s="96">
        <v>0</v>
      </c>
      <c r="H38" s="96">
        <v>0</v>
      </c>
    </row>
    <row r="39" spans="1:8" x14ac:dyDescent="0.25">
      <c r="A39" s="96" t="s">
        <v>109</v>
      </c>
      <c r="B39" s="96">
        <v>1</v>
      </c>
      <c r="C39" s="96">
        <v>131.14181216910001</v>
      </c>
      <c r="D39" s="96">
        <v>471.4394986822</v>
      </c>
      <c r="E39" s="96">
        <v>3150944.560423614</v>
      </c>
      <c r="F39" s="96">
        <v>0</v>
      </c>
      <c r="G39" s="96">
        <v>0</v>
      </c>
      <c r="H39" s="96">
        <v>0</v>
      </c>
    </row>
    <row r="40" spans="1:8" x14ac:dyDescent="0.25">
      <c r="A40" s="96" t="s">
        <v>140</v>
      </c>
      <c r="B40" s="96">
        <v>1</v>
      </c>
      <c r="C40" s="96">
        <v>548.43968253950004</v>
      </c>
      <c r="D40" s="96">
        <v>4046.0241666669999</v>
      </c>
      <c r="E40" s="96">
        <v>7402539.5016198214</v>
      </c>
      <c r="F40" s="96">
        <v>0</v>
      </c>
      <c r="G40" s="96">
        <v>0</v>
      </c>
      <c r="H40" s="96">
        <v>0</v>
      </c>
    </row>
    <row r="41" spans="1:8" x14ac:dyDescent="0.25">
      <c r="A41" s="96" t="s">
        <v>217</v>
      </c>
      <c r="B41" s="96">
        <v>1</v>
      </c>
      <c r="C41" s="96">
        <v>6</v>
      </c>
      <c r="D41" s="96">
        <v>81</v>
      </c>
      <c r="E41" s="96">
        <v>149294.68419999999</v>
      </c>
      <c r="F41" s="96">
        <v>0</v>
      </c>
      <c r="G41" s="96">
        <v>0</v>
      </c>
      <c r="H41" s="96">
        <v>0</v>
      </c>
    </row>
    <row r="42" spans="1:8" x14ac:dyDescent="0.25">
      <c r="A42" s="96" t="s">
        <v>145</v>
      </c>
      <c r="B42" s="96">
        <v>1</v>
      </c>
      <c r="C42" s="96">
        <v>-6.2142857142999999</v>
      </c>
      <c r="D42" s="96">
        <v>-6.2810714286999998</v>
      </c>
      <c r="E42" s="96">
        <v>-275260.76904147147</v>
      </c>
      <c r="F42" s="96">
        <v>0</v>
      </c>
      <c r="G42" s="96">
        <v>0</v>
      </c>
      <c r="H42" s="96">
        <v>0</v>
      </c>
    </row>
    <row r="43" spans="1:8" x14ac:dyDescent="0.25">
      <c r="A43" s="96" t="s">
        <v>146</v>
      </c>
      <c r="B43" s="96">
        <v>1</v>
      </c>
      <c r="C43" s="96">
        <v>-3.2847222223000001</v>
      </c>
      <c r="D43" s="96">
        <v>-20.505000001599999</v>
      </c>
      <c r="E43" s="96">
        <v>-402349.89063324447</v>
      </c>
      <c r="F43" s="96">
        <v>0</v>
      </c>
      <c r="G43" s="96">
        <v>0</v>
      </c>
      <c r="H43" s="96">
        <v>0</v>
      </c>
    </row>
    <row r="44" spans="1:8" x14ac:dyDescent="0.25">
      <c r="A44" s="96" t="s">
        <v>156</v>
      </c>
      <c r="B44" s="96">
        <v>1</v>
      </c>
      <c r="C44" s="96">
        <v>184.42559523840001</v>
      </c>
      <c r="D44" s="96">
        <v>2016.0000000025</v>
      </c>
      <c r="E44" s="96">
        <v>3629491.4663937623</v>
      </c>
      <c r="F44" s="96">
        <v>0</v>
      </c>
      <c r="G44" s="96">
        <v>0</v>
      </c>
      <c r="H44" s="96">
        <v>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FFFF00"/>
  </sheetPr>
  <dimension ref="A1:N44"/>
  <sheetViews>
    <sheetView tabSelected="1" zoomScale="80" zoomScaleNormal="80" workbookViewId="0">
      <selection activeCell="F29" sqref="F29"/>
    </sheetView>
  </sheetViews>
  <sheetFormatPr baseColWidth="10" defaultRowHeight="15" x14ac:dyDescent="0.25"/>
  <cols>
    <col min="1" max="1" width="25" bestFit="1" customWidth="1"/>
    <col min="2" max="2" width="48" bestFit="1" customWidth="1"/>
    <col min="3" max="3" width="18.85546875" style="2" bestFit="1" customWidth="1"/>
    <col min="4" max="4" width="17.140625" style="2" bestFit="1" customWidth="1"/>
    <col min="5" max="5" width="18.42578125" style="2" hidden="1" customWidth="1"/>
    <col min="6" max="6" width="17.140625" style="2" bestFit="1" customWidth="1"/>
    <col min="7" max="7" width="13" style="1" bestFit="1" customWidth="1"/>
    <col min="8" max="8" width="18.85546875" style="2" bestFit="1" customWidth="1"/>
    <col min="9" max="9" width="18" style="1" bestFit="1" customWidth="1"/>
    <col min="10" max="11" width="17.140625" style="2" bestFit="1" customWidth="1"/>
    <col min="12" max="12" width="16" style="2" bestFit="1" customWidth="1"/>
    <col min="13" max="13" width="27.7109375" bestFit="1" customWidth="1"/>
  </cols>
  <sheetData>
    <row r="1" spans="1:14" ht="30.75" thickBot="1" x14ac:dyDescent="0.3">
      <c r="A1" s="54" t="s">
        <v>208</v>
      </c>
      <c r="B1" s="54" t="s">
        <v>76</v>
      </c>
      <c r="C1" s="54" t="s">
        <v>31</v>
      </c>
      <c r="D1" s="54" t="s">
        <v>32</v>
      </c>
      <c r="E1" s="54" t="s">
        <v>39</v>
      </c>
      <c r="F1" s="54" t="s">
        <v>33</v>
      </c>
      <c r="G1" s="55" t="s">
        <v>41</v>
      </c>
      <c r="H1" s="56" t="s">
        <v>45</v>
      </c>
      <c r="I1" s="55" t="s">
        <v>46</v>
      </c>
      <c r="J1" s="54" t="s">
        <v>35</v>
      </c>
      <c r="K1" s="54" t="s">
        <v>34</v>
      </c>
      <c r="L1" s="54" t="s">
        <v>53</v>
      </c>
    </row>
    <row r="2" spans="1:14" ht="16.5" thickBot="1" x14ac:dyDescent="0.3">
      <c r="A2" s="87" t="s">
        <v>209</v>
      </c>
      <c r="B2" s="57" t="s">
        <v>95</v>
      </c>
      <c r="C2" s="58">
        <v>32279076.638250753</v>
      </c>
      <c r="D2" s="59">
        <f>IFERROR(+VLOOKUP(B2,COMISIONES!A:E,5,FALSE),"0")*1</f>
        <v>6538018.3834050605</v>
      </c>
      <c r="E2" s="59">
        <v>4682028.2206923608</v>
      </c>
      <c r="F2" s="59">
        <f t="shared" ref="F2:F9" si="0">+D2-E2</f>
        <v>1855990.1627126997</v>
      </c>
      <c r="G2" s="60">
        <f t="shared" ref="G2:G41" si="1">+D2/C2</f>
        <v>0.20254663591143432</v>
      </c>
      <c r="H2" s="59">
        <f>+D2/$N$3*$N$4</f>
        <v>52304147.067240477</v>
      </c>
      <c r="I2" s="60">
        <f t="shared" ref="I2:I41" si="2">+H2/C2</f>
        <v>1.6203730872914743</v>
      </c>
      <c r="J2" s="59">
        <f>+D2/$N$3</f>
        <v>2179339.46113502</v>
      </c>
      <c r="K2" s="59">
        <f t="shared" ref="K2:K41" si="3">+(C2-D2)/$N$2</f>
        <v>1225764.6788021759</v>
      </c>
      <c r="L2" s="61" cm="1">
        <f t="array" ref="L2">+_xlfn.IFS(I2&gt;114%,H2*0.02,I2&gt;109%,H2*0.015,I2&gt;104%,H2*0.0125,I2&gt;99%,H2*0.01,I2&lt;99%,H2*0)</f>
        <v>1046082.9413448096</v>
      </c>
      <c r="M2" s="53" t="s">
        <v>36</v>
      </c>
      <c r="N2">
        <v>21</v>
      </c>
    </row>
    <row r="3" spans="1:14" ht="16.5" thickBot="1" x14ac:dyDescent="0.3">
      <c r="A3" s="88"/>
      <c r="B3" s="36" t="s">
        <v>94</v>
      </c>
      <c r="C3" s="62">
        <v>30982728.178883255</v>
      </c>
      <c r="D3" s="4">
        <f>IFERROR(+VLOOKUP(B3,COMISIONES!A:E,5,FALSE),"0")*1</f>
        <v>5092283.3348378455</v>
      </c>
      <c r="E3" s="4">
        <v>2774896.9225576972</v>
      </c>
      <c r="F3" s="4">
        <f t="shared" si="0"/>
        <v>2317386.4122801484</v>
      </c>
      <c r="G3" s="5">
        <f t="shared" si="1"/>
        <v>0.16435877774987445</v>
      </c>
      <c r="H3" s="4">
        <f t="shared" ref="H3:H41" si="4">+D3/$N$3*$N$4</f>
        <v>40738266.678702764</v>
      </c>
      <c r="I3" s="5">
        <f t="shared" si="2"/>
        <v>1.3148702219989956</v>
      </c>
      <c r="J3" s="4">
        <f t="shared" ref="J3:J41" si="5">+D3/$N$3</f>
        <v>1697427.7782792819</v>
      </c>
      <c r="K3" s="4">
        <f t="shared" si="3"/>
        <v>1232878.3259069242</v>
      </c>
      <c r="L3" s="63" cm="1">
        <f t="array" ref="L3">+_xlfn.IFS(I3&gt;114%,H3*0.02,I3&gt;109%,H3*0.015,I3&gt;104%,H3*0.0125,I3&gt;99%,H3*0.01,I3&lt;99%,H3*0)</f>
        <v>814765.33357405534</v>
      </c>
      <c r="M3" s="53" t="s">
        <v>40</v>
      </c>
      <c r="N3">
        <f>N4-N2</f>
        <v>3</v>
      </c>
    </row>
    <row r="4" spans="1:14" ht="16.5" thickBot="1" x14ac:dyDescent="0.3">
      <c r="A4" s="88"/>
      <c r="B4" s="36" t="s">
        <v>92</v>
      </c>
      <c r="C4" s="62">
        <v>28390031.260148253</v>
      </c>
      <c r="D4" s="4">
        <f>IFERROR(+VLOOKUP(B4,COMISIONES!A:E,5,FALSE),"0")*1</f>
        <v>3799689.1529486589</v>
      </c>
      <c r="E4" s="4">
        <v>2224929.6365325735</v>
      </c>
      <c r="F4" s="4">
        <f t="shared" si="0"/>
        <v>1574759.5164160854</v>
      </c>
      <c r="G4" s="5">
        <f t="shared" si="1"/>
        <v>0.13383885062086462</v>
      </c>
      <c r="H4" s="4">
        <f t="shared" si="4"/>
        <v>30397513.223589271</v>
      </c>
      <c r="I4" s="5">
        <f t="shared" si="2"/>
        <v>1.070710804966917</v>
      </c>
      <c r="J4" s="4">
        <f t="shared" si="5"/>
        <v>1266563.0509828862</v>
      </c>
      <c r="K4" s="4">
        <f t="shared" si="3"/>
        <v>1170968.6717714092</v>
      </c>
      <c r="L4" s="63" cm="1">
        <f t="array" ref="L4">+_xlfn.IFS(I4&gt;114%,H4*0.02,I4&gt;109%,H4*0.015,I4&gt;104%,H4*0.0125,I4&gt;99%,H4*0.01,I4&lt;99%,H4*0)</f>
        <v>379968.9152948659</v>
      </c>
      <c r="M4" s="53" t="s">
        <v>47</v>
      </c>
      <c r="N4">
        <v>24</v>
      </c>
    </row>
    <row r="5" spans="1:14" ht="15.75" x14ac:dyDescent="0.25">
      <c r="A5" s="88"/>
      <c r="B5" s="36" t="s">
        <v>90</v>
      </c>
      <c r="C5" s="62">
        <v>28390031.260148253</v>
      </c>
      <c r="D5" s="4">
        <f>IFERROR(+VLOOKUP(B5,COMISIONES!A:E,5,FALSE),"0")*1</f>
        <v>4650179.1579327742</v>
      </c>
      <c r="E5" s="4">
        <v>3752668.2666791501</v>
      </c>
      <c r="F5" s="4">
        <f t="shared" si="0"/>
        <v>897510.89125362411</v>
      </c>
      <c r="G5" s="5">
        <f t="shared" si="1"/>
        <v>0.16379619716940358</v>
      </c>
      <c r="H5" s="4">
        <f t="shared" si="4"/>
        <v>37201433.263462193</v>
      </c>
      <c r="I5" s="5">
        <f t="shared" si="2"/>
        <v>1.3103695773552286</v>
      </c>
      <c r="J5" s="4">
        <f t="shared" si="5"/>
        <v>1550059.7193109246</v>
      </c>
      <c r="K5" s="4">
        <f t="shared" si="3"/>
        <v>1130469.1477245467</v>
      </c>
      <c r="L5" s="63" cm="1">
        <f t="array" ref="L5">+_xlfn.IFS(I5&gt;114%,H5*0.02,I5&gt;109%,H5*0.015,I5&gt;104%,H5*0.0125,I5&gt;99%,H5*0.01,I5&lt;99%,H5*0)</f>
        <v>744028.66526924388</v>
      </c>
    </row>
    <row r="6" spans="1:14" ht="15.75" x14ac:dyDescent="0.25">
      <c r="A6" s="88"/>
      <c r="B6" s="36" t="s">
        <v>212</v>
      </c>
      <c r="C6" s="62">
        <v>23528724.537520126</v>
      </c>
      <c r="D6" s="4">
        <f>IFERROR(+VLOOKUP(B6,COMISIONES!A:E,5,FALSE),"0")*1</f>
        <v>3454829.7358999122</v>
      </c>
      <c r="E6" s="4">
        <v>1763034.9919922091</v>
      </c>
      <c r="F6" s="4">
        <f t="shared" si="0"/>
        <v>1691794.7439077031</v>
      </c>
      <c r="G6" s="5">
        <f t="shared" si="1"/>
        <v>0.14683455239533538</v>
      </c>
      <c r="H6" s="4">
        <f t="shared" si="4"/>
        <v>27638637.887199298</v>
      </c>
      <c r="I6" s="5">
        <f t="shared" si="2"/>
        <v>1.1746764191626831</v>
      </c>
      <c r="J6" s="4">
        <f t="shared" si="5"/>
        <v>1151609.9119666375</v>
      </c>
      <c r="K6" s="4">
        <f t="shared" si="3"/>
        <v>955899.75245810545</v>
      </c>
      <c r="L6" s="63" cm="1">
        <f t="array" ref="L6">+_xlfn.IFS(I6&gt;114%,H6*0.02,I6&gt;109%,H6*0.015,I6&gt;104%,H6*0.0125,I6&gt;99%,H6*0.01,I6&lt;99%,H6*0)</f>
        <v>552772.75774398597</v>
      </c>
    </row>
    <row r="7" spans="1:14" ht="15.75" x14ac:dyDescent="0.25">
      <c r="A7" s="88"/>
      <c r="B7" s="36" t="s">
        <v>86</v>
      </c>
      <c r="C7" s="62">
        <v>27741857.030464504</v>
      </c>
      <c r="D7" s="4">
        <f>IFERROR(+VLOOKUP(B7,COMISIONES!A:E,5,FALSE),"0")*1</f>
        <v>2229458.8498637299</v>
      </c>
      <c r="E7" s="4">
        <v>1244100.7657470268</v>
      </c>
      <c r="F7" s="4">
        <f t="shared" ref="F7:F8" si="6">+D7-E7</f>
        <v>985358.08411670313</v>
      </c>
      <c r="G7" s="5">
        <f t="shared" si="1"/>
        <v>8.0364441623913901E-2</v>
      </c>
      <c r="H7" s="4">
        <f t="shared" si="4"/>
        <v>17835670.798909839</v>
      </c>
      <c r="I7" s="5">
        <f t="shared" si="2"/>
        <v>0.64291553299131121</v>
      </c>
      <c r="J7" s="4">
        <f t="shared" si="5"/>
        <v>743152.94995457667</v>
      </c>
      <c r="K7" s="4">
        <f t="shared" si="3"/>
        <v>1214876.103838132</v>
      </c>
      <c r="L7" s="63" cm="1">
        <f t="array" ref="L7">+_xlfn.IFS(I7&gt;114%,H7*0.02,I7&gt;109%,H7*0.015,I7&gt;104%,H7*0.0125,I7&gt;99%,H7*0.01,I7&lt;99%,H7*0)</f>
        <v>0</v>
      </c>
    </row>
    <row r="8" spans="1:14" ht="15.75" x14ac:dyDescent="0.25">
      <c r="A8" s="88"/>
      <c r="B8" s="36" t="s">
        <v>85</v>
      </c>
      <c r="C8" s="62">
        <v>35831071.416917704</v>
      </c>
      <c r="D8" s="4">
        <f>IFERROR(+VLOOKUP(B8,COMISIONES!A:E,5,FALSE),"0")*1</f>
        <v>4232380.5042614806</v>
      </c>
      <c r="E8" s="4">
        <v>2332273.4502824824</v>
      </c>
      <c r="F8" s="4">
        <f t="shared" si="6"/>
        <v>1900107.0539789982</v>
      </c>
      <c r="G8" s="5">
        <f t="shared" si="1"/>
        <v>0.11812040044839839</v>
      </c>
      <c r="H8" s="4">
        <f t="shared" si="4"/>
        <v>33859044.034091845</v>
      </c>
      <c r="I8" s="5">
        <f t="shared" si="2"/>
        <v>0.94496320358718711</v>
      </c>
      <c r="J8" s="4">
        <f t="shared" si="5"/>
        <v>1410793.5014204935</v>
      </c>
      <c r="K8" s="4">
        <f t="shared" si="3"/>
        <v>1504699.5672693441</v>
      </c>
      <c r="L8" s="63" cm="1">
        <f t="array" ref="L8">+_xlfn.IFS(I8&gt;114%,H8*0.02,I8&gt;109%,H8*0.015,I8&gt;104%,H8*0.0125,I8&gt;99%,H8*0.01,I8&lt;99%,H8*0)</f>
        <v>0</v>
      </c>
    </row>
    <row r="9" spans="1:14" ht="15.75" x14ac:dyDescent="0.25">
      <c r="A9" s="88"/>
      <c r="B9" s="36" t="s">
        <v>84</v>
      </c>
      <c r="C9" s="62">
        <v>35831071.416917704</v>
      </c>
      <c r="D9" s="4">
        <f>IFERROR(+VLOOKUP(B9,COMISIONES!A:E,5,FALSE),"0")*1</f>
        <v>5960130.3637676956</v>
      </c>
      <c r="E9" s="4">
        <v>4892925.4103550436</v>
      </c>
      <c r="F9" s="4">
        <f t="shared" si="0"/>
        <v>1067204.953412652</v>
      </c>
      <c r="G9" s="5">
        <f t="shared" si="1"/>
        <v>0.16633971935747391</v>
      </c>
      <c r="H9" s="4">
        <f t="shared" si="4"/>
        <v>47681042.910141565</v>
      </c>
      <c r="I9" s="5">
        <f t="shared" si="2"/>
        <v>1.3307177548597913</v>
      </c>
      <c r="J9" s="4">
        <f t="shared" si="5"/>
        <v>1986710.1212558986</v>
      </c>
      <c r="K9" s="4">
        <f t="shared" si="3"/>
        <v>1422425.7644357148</v>
      </c>
      <c r="L9" s="63" cm="1">
        <f t="array" ref="L9">+_xlfn.IFS(I9&gt;114%,H9*0.02,I9&gt;109%,H9*0.015,I9&gt;104%,H9*0.0125,I9&gt;99%,H9*0.01,I9&lt;99%,H9*0)</f>
        <v>953620.85820283135</v>
      </c>
    </row>
    <row r="10" spans="1:14" ht="16.5" thickBot="1" x14ac:dyDescent="0.3">
      <c r="A10" s="89"/>
      <c r="B10" s="3"/>
      <c r="C10" s="64">
        <v>242974591.73925051</v>
      </c>
      <c r="D10" s="64">
        <f>+SUM(D2:D9)</f>
        <v>35956969.48291716</v>
      </c>
      <c r="E10" s="65">
        <v>23666857.664838541</v>
      </c>
      <c r="F10" s="64">
        <f>+SUM(F2:F9)</f>
        <v>12290111.818078615</v>
      </c>
      <c r="G10" s="66">
        <f t="shared" si="1"/>
        <v>0.14798654141378115</v>
      </c>
      <c r="H10" s="64">
        <f t="shared" si="4"/>
        <v>287655755.86333728</v>
      </c>
      <c r="I10" s="66">
        <f t="shared" si="2"/>
        <v>1.1838923313102492</v>
      </c>
      <c r="J10" s="64">
        <f t="shared" si="5"/>
        <v>11985656.494305721</v>
      </c>
      <c r="K10" s="67">
        <f t="shared" si="3"/>
        <v>9857982.0122063495</v>
      </c>
      <c r="L10" s="68"/>
    </row>
    <row r="11" spans="1:14" ht="15.75" x14ac:dyDescent="0.25">
      <c r="A11" s="87" t="s">
        <v>210</v>
      </c>
      <c r="B11" s="57" t="s">
        <v>97</v>
      </c>
      <c r="C11" s="58">
        <v>96971948.480137512</v>
      </c>
      <c r="D11" s="59">
        <f>IFERROR(+VLOOKUP(B11,COMISIONES!A:E,5,FALSE),"0")*1</f>
        <v>18543635.055367131</v>
      </c>
      <c r="E11" s="59">
        <v>7023074.0484903501</v>
      </c>
      <c r="F11" s="59">
        <f t="shared" ref="F11:F16" si="7">+D11-E11</f>
        <v>11520561.006876782</v>
      </c>
      <c r="G11" s="60">
        <f t="shared" si="1"/>
        <v>0.19122679647058316</v>
      </c>
      <c r="H11" s="59">
        <f t="shared" si="4"/>
        <v>148349080.44293705</v>
      </c>
      <c r="I11" s="60">
        <f t="shared" si="2"/>
        <v>1.5298143717646653</v>
      </c>
      <c r="J11" s="59">
        <f t="shared" si="5"/>
        <v>6181211.6851223772</v>
      </c>
      <c r="K11" s="59">
        <f t="shared" si="3"/>
        <v>3734681.5916557326</v>
      </c>
      <c r="L11" s="61" cm="1">
        <f t="array" ref="L11">+_xlfn.IFS(I11&gt;114%,H11*0.0125,I11&gt;109%,H11*0.01,I11&gt;104%,H11*0.0075,I11&gt;99%,H11*0.005,I11&lt;99%,H11*0)</f>
        <v>1854363.5055367132</v>
      </c>
    </row>
    <row r="12" spans="1:14" ht="16.5" thickBot="1" x14ac:dyDescent="0.3">
      <c r="A12" s="88"/>
      <c r="B12" s="36" t="s">
        <v>107</v>
      </c>
      <c r="C12" s="62">
        <v>31630902.408567004</v>
      </c>
      <c r="D12" s="4">
        <f>IFERROR(+VLOOKUP(B12,COMISIONES!A:E,5,FALSE),"0")*1</f>
        <v>7342359.2744361712</v>
      </c>
      <c r="E12" s="4">
        <v>7395442.6965926401</v>
      </c>
      <c r="F12" s="4">
        <f t="shared" si="7"/>
        <v>-53083.422156468965</v>
      </c>
      <c r="G12" s="5">
        <f t="shared" si="1"/>
        <v>0.23212613979826088</v>
      </c>
      <c r="H12" s="4">
        <f t="shared" si="4"/>
        <v>58738874.195489362</v>
      </c>
      <c r="I12" s="5">
        <f t="shared" si="2"/>
        <v>1.8570091183860868</v>
      </c>
      <c r="J12" s="4">
        <f t="shared" si="5"/>
        <v>2447453.0914787236</v>
      </c>
      <c r="K12" s="4">
        <f t="shared" si="3"/>
        <v>1156597.2921014682</v>
      </c>
      <c r="L12" s="63" cm="1">
        <f t="array" ref="L12">+_xlfn.IFS(I12&gt;114%,H12*0.02,I12&gt;109%,H12*0.015,I12&gt;104%,H12*0.0125,I12&gt;99%,H12*0.01,I12&lt;99%,H12*0)</f>
        <v>1174777.4839097874</v>
      </c>
      <c r="M12" s="27"/>
    </row>
    <row r="13" spans="1:14" ht="16.5" thickBot="1" x14ac:dyDescent="0.3">
      <c r="A13" s="88"/>
      <c r="B13" s="36" t="s">
        <v>91</v>
      </c>
      <c r="C13" s="62">
        <v>128363916.07462499</v>
      </c>
      <c r="D13" s="4">
        <f>IFERROR(+VLOOKUP(B13,COMISIONES!A:E,5,FALSE),"0")*1</f>
        <v>35677866.984969728</v>
      </c>
      <c r="E13" s="4">
        <v>27711765.916719597</v>
      </c>
      <c r="F13" s="4">
        <f t="shared" si="7"/>
        <v>7966101.0682501309</v>
      </c>
      <c r="G13" s="5">
        <f t="shared" si="1"/>
        <v>0.27794311731832977</v>
      </c>
      <c r="H13" s="4">
        <f t="shared" si="4"/>
        <v>285422935.87975782</v>
      </c>
      <c r="I13" s="5">
        <f t="shared" si="2"/>
        <v>2.2235449385466382</v>
      </c>
      <c r="J13" s="4">
        <f t="shared" si="5"/>
        <v>11892622.328323243</v>
      </c>
      <c r="K13" s="4">
        <f t="shared" si="3"/>
        <v>4413621.3852216788</v>
      </c>
      <c r="L13" s="63" cm="1">
        <f t="array" ref="L13">+_xlfn.IFS(I13&gt;114%,H13*0.0125,I13&gt;109%,H13*0.01,I13&gt;104%,H13*0.0075,I13&gt;99%,H13*0.005,I13&lt;99%,H13*0)</f>
        <v>3567786.6984969731</v>
      </c>
      <c r="M13" s="53" t="s">
        <v>61</v>
      </c>
      <c r="N13" s="25">
        <v>0.02</v>
      </c>
    </row>
    <row r="14" spans="1:14" ht="15.75" x14ac:dyDescent="0.25">
      <c r="A14" s="88"/>
      <c r="B14" s="36" t="s">
        <v>112</v>
      </c>
      <c r="C14" s="62">
        <v>42449057.394974999</v>
      </c>
      <c r="D14" s="4">
        <f>IFERROR(+VLOOKUP(B14,COMISIONES!A:E,5,FALSE),"0")*1</f>
        <v>4699575.8856638623</v>
      </c>
      <c r="E14" s="4">
        <v>968840.97419863928</v>
      </c>
      <c r="F14" s="4">
        <f t="shared" si="7"/>
        <v>3730734.9114652229</v>
      </c>
      <c r="G14" s="5">
        <f t="shared" si="1"/>
        <v>0.11071095977316531</v>
      </c>
      <c r="H14" s="4">
        <f t="shared" si="4"/>
        <v>37596607.085310899</v>
      </c>
      <c r="I14" s="5">
        <f t="shared" si="2"/>
        <v>0.88568767818532246</v>
      </c>
      <c r="J14" s="4">
        <f t="shared" si="5"/>
        <v>1566525.2952212875</v>
      </c>
      <c r="K14" s="4">
        <f t="shared" si="3"/>
        <v>1797594.3575862448</v>
      </c>
      <c r="L14" s="63" cm="1">
        <f t="array" ref="L14">+_xlfn.IFS(I14&gt;109%,H14*0.015,I14&gt;104%,H14*0.0125,I14&gt;99%,H14*0.01,I14&lt;99%,H14*0)</f>
        <v>0</v>
      </c>
      <c r="N14" s="28"/>
    </row>
    <row r="15" spans="1:14" ht="15.75" x14ac:dyDescent="0.25">
      <c r="A15" s="88"/>
      <c r="B15" s="36" t="s">
        <v>108</v>
      </c>
      <c r="C15" s="62">
        <v>42449057.394974999</v>
      </c>
      <c r="D15" s="4">
        <f>IFERROR(+VLOOKUP(B15,COMISIONES!A:E,5,FALSE),"0")*1</f>
        <v>5825319.4707523696</v>
      </c>
      <c r="E15" s="4">
        <v>1445131.6450023698</v>
      </c>
      <c r="F15" s="4">
        <f t="shared" si="7"/>
        <v>4380187.8257499998</v>
      </c>
      <c r="G15" s="5">
        <f t="shared" si="1"/>
        <v>0.13723083216076207</v>
      </c>
      <c r="H15" s="4">
        <f t="shared" si="4"/>
        <v>46602555.766018957</v>
      </c>
      <c r="I15" s="5">
        <f t="shared" si="2"/>
        <v>1.0978466572860965</v>
      </c>
      <c r="J15" s="4">
        <f t="shared" si="5"/>
        <v>1941773.1569174565</v>
      </c>
      <c r="K15" s="4">
        <f t="shared" si="3"/>
        <v>1743987.5202010777</v>
      </c>
      <c r="L15" s="63" cm="1">
        <f t="array" ref="L15">+_xlfn.IFS(I15&gt;109%,H15*0.015,I15&gt;104%,H15*0.0125,I15&gt;99%,H15*0.01,I15&lt;99%,H15*0)</f>
        <v>699038.3364902843</v>
      </c>
    </row>
    <row r="16" spans="1:14" ht="16.5" thickBot="1" x14ac:dyDescent="0.3">
      <c r="A16" s="89"/>
      <c r="B16" s="3"/>
      <c r="C16" s="64">
        <v>341864881.75327951</v>
      </c>
      <c r="D16" s="64">
        <f>+SUM(D11:D15)</f>
        <v>72088756.671189263</v>
      </c>
      <c r="E16" s="65">
        <v>44544255.281003602</v>
      </c>
      <c r="F16" s="64">
        <f t="shared" si="7"/>
        <v>27544501.390185662</v>
      </c>
      <c r="G16" s="66">
        <f t="shared" si="1"/>
        <v>0.21086914894994976</v>
      </c>
      <c r="H16" s="64">
        <f t="shared" si="4"/>
        <v>576710053.36951411</v>
      </c>
      <c r="I16" s="66">
        <f t="shared" si="2"/>
        <v>1.6869531915995981</v>
      </c>
      <c r="J16" s="64">
        <f t="shared" si="5"/>
        <v>24029585.557063088</v>
      </c>
      <c r="K16" s="67">
        <f t="shared" si="3"/>
        <v>12846482.146766203</v>
      </c>
      <c r="L16" s="68"/>
    </row>
    <row r="17" spans="1:13" ht="15.75" x14ac:dyDescent="0.25">
      <c r="A17" s="90" t="s">
        <v>211</v>
      </c>
      <c r="B17" s="69" t="s">
        <v>82</v>
      </c>
      <c r="C17" s="70">
        <v>29338018.132500004</v>
      </c>
      <c r="D17" s="59">
        <f>IFERROR(+VLOOKUP(B17,COMISIONES!A:E,5,FALSE),"0")*1</f>
        <v>3490474.4748070529</v>
      </c>
      <c r="E17" s="59">
        <v>1647814.3144255385</v>
      </c>
      <c r="F17" s="59">
        <f t="shared" ref="F17:F40" si="8">+D17-E17</f>
        <v>1842660.1603815143</v>
      </c>
      <c r="G17" s="60">
        <f t="shared" si="1"/>
        <v>0.11897444670744077</v>
      </c>
      <c r="H17" s="59">
        <f t="shared" si="4"/>
        <v>27923795.798456423</v>
      </c>
      <c r="I17" s="60">
        <f t="shared" si="2"/>
        <v>0.95179557365952616</v>
      </c>
      <c r="J17" s="59">
        <f t="shared" si="5"/>
        <v>1163491.491602351</v>
      </c>
      <c r="K17" s="59">
        <f t="shared" si="3"/>
        <v>1230835.4122710929</v>
      </c>
      <c r="L17" s="61" cm="1">
        <f t="array" ref="L17">+_xlfn.IFS(I17&gt;114%,H17*0.02,I17&gt;109%,H17*0.015,I17&gt;104%,H17*0.0125,I17&gt;99%,H17*0.01,I17&lt;99%,H17*0)</f>
        <v>0</v>
      </c>
    </row>
    <row r="18" spans="1:13" ht="15.75" x14ac:dyDescent="0.25">
      <c r="A18" s="91"/>
      <c r="B18" s="19" t="s">
        <v>83</v>
      </c>
      <c r="C18" s="71">
        <v>24959505.900000002</v>
      </c>
      <c r="D18" s="4">
        <f>IFERROR(+VLOOKUP(B18,COMISIONES!A:E,5,FALSE),"0")*1</f>
        <v>2539362.2668490014</v>
      </c>
      <c r="E18" s="4">
        <v>1318807.9914469167</v>
      </c>
      <c r="F18" s="4">
        <f t="shared" si="8"/>
        <v>1220554.2754020847</v>
      </c>
      <c r="G18" s="5">
        <f t="shared" si="1"/>
        <v>0.10173928430406153</v>
      </c>
      <c r="H18" s="4">
        <f t="shared" si="4"/>
        <v>20314898.134792011</v>
      </c>
      <c r="I18" s="5">
        <f t="shared" si="2"/>
        <v>0.8139142744324922</v>
      </c>
      <c r="J18" s="4">
        <f t="shared" si="5"/>
        <v>846454.08894966717</v>
      </c>
      <c r="K18" s="4">
        <f t="shared" si="3"/>
        <v>1067625.8872929048</v>
      </c>
      <c r="L18" s="63" cm="1">
        <f t="array" ref="L18">+_xlfn.IFS(I18&gt;114%,H18*0.02,I18&gt;109%,H18*0.015,I18&gt;104%,H18*0.0125,I18&gt;99%,H18*0.01,I18&lt;99%,H18*0)</f>
        <v>0</v>
      </c>
    </row>
    <row r="19" spans="1:13" ht="15.75" x14ac:dyDescent="0.25">
      <c r="A19" s="91"/>
      <c r="B19" s="19" t="s">
        <v>93</v>
      </c>
      <c r="C19" s="71">
        <v>25856650.1655</v>
      </c>
      <c r="D19" s="4">
        <f>IFERROR(+VLOOKUP(B19,COMISIONES!A:E,5,FALSE),"0")*1</f>
        <v>3126324.9965506792</v>
      </c>
      <c r="E19" s="4">
        <v>1974051.5620993127</v>
      </c>
      <c r="F19" s="4">
        <f t="shared" si="8"/>
        <v>1152273.4344513665</v>
      </c>
      <c r="G19" s="5">
        <f t="shared" si="1"/>
        <v>0.12090990041401692</v>
      </c>
      <c r="H19" s="4">
        <f t="shared" si="4"/>
        <v>25010599.972405434</v>
      </c>
      <c r="I19" s="5">
        <f t="shared" si="2"/>
        <v>0.96727920331213535</v>
      </c>
      <c r="J19" s="4">
        <f t="shared" si="5"/>
        <v>1042108.3321835598</v>
      </c>
      <c r="K19" s="4">
        <f t="shared" si="3"/>
        <v>1082396.4366166343</v>
      </c>
      <c r="L19" s="63" cm="1">
        <f t="array" ref="L19">+_xlfn.IFS(I19&gt;114%,H19*0.02,I19&gt;109%,H19*0.015,I19&gt;104%,H19*0.0125,I19&gt;99%,H19*0.01,I19&lt;99%,H19*0)</f>
        <v>0</v>
      </c>
    </row>
    <row r="20" spans="1:13" ht="15.75" x14ac:dyDescent="0.25">
      <c r="A20" s="91"/>
      <c r="B20" s="19" t="s">
        <v>96</v>
      </c>
      <c r="C20" s="71">
        <v>33548130</v>
      </c>
      <c r="D20" s="4">
        <f>IFERROR(+VLOOKUP(B20,COMISIONES!A:E,5,FALSE),"0")*1</f>
        <v>5313079.7996425815</v>
      </c>
      <c r="E20" s="4">
        <v>3804498.4929125779</v>
      </c>
      <c r="F20" s="4">
        <f t="shared" si="8"/>
        <v>1508581.3067300036</v>
      </c>
      <c r="G20" s="5">
        <f t="shared" si="1"/>
        <v>0.15837186155063132</v>
      </c>
      <c r="H20" s="4">
        <f t="shared" si="4"/>
        <v>42504638.397140652</v>
      </c>
      <c r="I20" s="5">
        <f t="shared" si="2"/>
        <v>1.2669748924050506</v>
      </c>
      <c r="J20" s="4">
        <f t="shared" si="5"/>
        <v>1771026.5998808604</v>
      </c>
      <c r="K20" s="4">
        <f t="shared" si="3"/>
        <v>1344526.2000170199</v>
      </c>
      <c r="L20" s="63" cm="1">
        <f t="array" ref="L20">+_xlfn.IFS(I20&gt;114%,H20*0.02,I20&gt;109%,H20*0.015,I20&gt;104%,H20*0.0125,I20&gt;99%,H20*0.01,I20&lt;99%,H20*0)</f>
        <v>850092.76794281311</v>
      </c>
    </row>
    <row r="21" spans="1:13" ht="15.75" x14ac:dyDescent="0.25">
      <c r="A21" s="91"/>
      <c r="B21" s="19" t="s">
        <v>98</v>
      </c>
      <c r="C21" s="71">
        <v>25458510</v>
      </c>
      <c r="D21" s="4">
        <f>IFERROR(+VLOOKUP(B21,COMISIONES!A:E,5,FALSE),"0")*1</f>
        <v>3621062.6775038806</v>
      </c>
      <c r="E21" s="4">
        <v>2482567.9113498144</v>
      </c>
      <c r="F21" s="4">
        <f t="shared" ref="F21:F23" si="9">+D21-E21</f>
        <v>1138494.7661540662</v>
      </c>
      <c r="G21" s="5">
        <f t="shared" si="1"/>
        <v>0.14223388083214142</v>
      </c>
      <c r="H21" s="4">
        <f t="shared" si="4"/>
        <v>28968501.420031041</v>
      </c>
      <c r="I21" s="5">
        <f t="shared" si="2"/>
        <v>1.1378710466571311</v>
      </c>
      <c r="J21" s="4">
        <f t="shared" si="5"/>
        <v>1207020.8925012934</v>
      </c>
      <c r="K21" s="4">
        <f t="shared" si="3"/>
        <v>1039878.4439283867</v>
      </c>
      <c r="L21" s="63" cm="1">
        <f t="array" ref="L21">+_xlfn.IFS(I21&gt;114%,H21*0.02,I21&gt;109%,H21*0.015,I21&gt;104%,H21*0.0125,I21&gt;99%,H21*0.01,I21&lt;99%,H21*0)</f>
        <v>434527.52130046563</v>
      </c>
    </row>
    <row r="22" spans="1:13" ht="15.75" x14ac:dyDescent="0.25">
      <c r="A22" s="91"/>
      <c r="B22" s="19" t="s">
        <v>101</v>
      </c>
      <c r="C22" s="71">
        <v>31742890.200000003</v>
      </c>
      <c r="D22" s="4">
        <f>IFERROR(+VLOOKUP(B22,COMISIONES!A:E,5,FALSE),"0")*1</f>
        <v>4525419.7648018571</v>
      </c>
      <c r="E22" s="4">
        <v>3717567.9331198842</v>
      </c>
      <c r="F22" s="4">
        <f t="shared" si="9"/>
        <v>807851.83168197284</v>
      </c>
      <c r="G22" s="5">
        <f t="shared" si="1"/>
        <v>0.14256483062156253</v>
      </c>
      <c r="H22" s="4">
        <f t="shared" si="4"/>
        <v>36203358.118414856</v>
      </c>
      <c r="I22" s="5">
        <f t="shared" si="2"/>
        <v>1.1405186449725002</v>
      </c>
      <c r="J22" s="4">
        <f t="shared" si="5"/>
        <v>1508473.2549339524</v>
      </c>
      <c r="K22" s="4">
        <f t="shared" si="3"/>
        <v>1296070.0207237212</v>
      </c>
      <c r="L22" s="63" cm="1">
        <f t="array" ref="L22">+_xlfn.IFS(I22&gt;114%,H22*0.02,I22&gt;109%,H22*0.015,I22&gt;104%,H22*0.0125,I22&gt;99%,H22*0.01,I22&lt;99%,H22*0)</f>
        <v>724067.16236829711</v>
      </c>
    </row>
    <row r="23" spans="1:13" ht="15.75" x14ac:dyDescent="0.25">
      <c r="A23" s="91"/>
      <c r="B23" s="19" t="s">
        <v>162</v>
      </c>
      <c r="C23" s="71">
        <v>27435946.230000004</v>
      </c>
      <c r="D23" s="4">
        <f>IFERROR(+VLOOKUP(B23,COMISIONES!A:E,5,FALSE),"0")*1</f>
        <v>3880349.2779353959</v>
      </c>
      <c r="E23" s="4">
        <v>2007902.2622231084</v>
      </c>
      <c r="F23" s="4">
        <f t="shared" si="9"/>
        <v>1872447.0157122875</v>
      </c>
      <c r="G23" s="5">
        <f t="shared" si="1"/>
        <v>0.1414330399034098</v>
      </c>
      <c r="H23" s="4">
        <f t="shared" si="4"/>
        <v>31042794.223483168</v>
      </c>
      <c r="I23" s="5">
        <f t="shared" si="2"/>
        <v>1.1314643192272784</v>
      </c>
      <c r="J23" s="4">
        <f t="shared" si="5"/>
        <v>1293449.7593117987</v>
      </c>
      <c r="K23" s="4">
        <f t="shared" si="3"/>
        <v>1121695.0929554575</v>
      </c>
      <c r="L23" s="63" cm="1">
        <f t="array" ref="L23">+_xlfn.IFS(I23&gt;114%,H23*0.02,I23&gt;109%,H23*0.015,I23&gt;104%,H23*0.0125,I23&gt;99%,H23*0.01,I23&lt;99%,H23*0)</f>
        <v>465641.9133522475</v>
      </c>
    </row>
    <row r="24" spans="1:13" ht="15.75" x14ac:dyDescent="0.25">
      <c r="A24" s="91"/>
      <c r="B24" s="19" t="s">
        <v>109</v>
      </c>
      <c r="C24" s="71">
        <v>33494055</v>
      </c>
      <c r="D24" s="4">
        <f>IFERROR(+VLOOKUP(B24,COMISIONES!A:E,5,FALSE),"0")*1</f>
        <v>3150944.560423614</v>
      </c>
      <c r="E24" s="4">
        <v>2373341.2642009868</v>
      </c>
      <c r="F24" s="4">
        <f t="shared" si="8"/>
        <v>777603.29622262716</v>
      </c>
      <c r="G24" s="5">
        <f t="shared" si="1"/>
        <v>9.407474133614499E-2</v>
      </c>
      <c r="H24" s="4">
        <f t="shared" si="4"/>
        <v>25207556.483388916</v>
      </c>
      <c r="I24" s="5">
        <f t="shared" si="2"/>
        <v>0.75259793068916003</v>
      </c>
      <c r="J24" s="4">
        <f t="shared" si="5"/>
        <v>1050314.8534745381</v>
      </c>
      <c r="K24" s="4">
        <f t="shared" si="3"/>
        <v>1444910.020932209</v>
      </c>
      <c r="L24" s="63" cm="1">
        <f t="array" ref="L24">+_xlfn.IFS(I24&gt;114%,H24*0.02,I24&gt;109%,H24*0.015,I24&gt;104%,H24*0.0125,I24&gt;99%,H24*0.01,I24&lt;99%,H24*0)</f>
        <v>0</v>
      </c>
    </row>
    <row r="25" spans="1:13" ht="15.75" x14ac:dyDescent="0.25">
      <c r="A25" s="91"/>
      <c r="B25" s="19" t="s">
        <v>140</v>
      </c>
      <c r="C25" s="71">
        <v>54064952.86500001</v>
      </c>
      <c r="D25" s="4">
        <f>IFERROR(+VLOOKUP(B25,COMISIONES!A:E,5,FALSE),"0")*1</f>
        <v>7402539.5016198214</v>
      </c>
      <c r="E25" s="4">
        <v>-2433547.0814999999</v>
      </c>
      <c r="F25" s="4">
        <f t="shared" si="8"/>
        <v>9836086.5831198208</v>
      </c>
      <c r="G25" s="5">
        <f t="shared" si="1"/>
        <v>0.13691937400008347</v>
      </c>
      <c r="H25" s="4">
        <f t="shared" si="4"/>
        <v>59220316.012958571</v>
      </c>
      <c r="I25" s="5">
        <f t="shared" si="2"/>
        <v>1.0953549920006678</v>
      </c>
      <c r="J25" s="4">
        <f t="shared" si="5"/>
        <v>2467513.1672066073</v>
      </c>
      <c r="K25" s="4">
        <f t="shared" si="3"/>
        <v>2222019.6839704849</v>
      </c>
      <c r="L25" s="63" cm="1">
        <f t="array" ref="L25">+_xlfn.IFS(I25&gt;109%,H25*0.015,I25&gt;104%,H25*0.0125,I25&gt;99%,H25*0.01,I25&lt;99%,H25*0)</f>
        <v>888304.74019437854</v>
      </c>
    </row>
    <row r="26" spans="1:13" ht="16.5" thickBot="1" x14ac:dyDescent="0.3">
      <c r="A26" s="92"/>
      <c r="B26" s="72"/>
      <c r="C26" s="67">
        <v>285898658.49300003</v>
      </c>
      <c r="D26" s="67">
        <f>+SUM(D17:D25)</f>
        <v>37049557.32013388</v>
      </c>
      <c r="E26" s="65">
        <v>16893004.650278136</v>
      </c>
      <c r="F26" s="67">
        <f>+D26-E26</f>
        <v>20156552.669855744</v>
      </c>
      <c r="G26" s="66">
        <f t="shared" si="1"/>
        <v>0.12958982569357178</v>
      </c>
      <c r="H26" s="64">
        <f t="shared" si="4"/>
        <v>296396458.56107104</v>
      </c>
      <c r="I26" s="66">
        <f t="shared" si="2"/>
        <v>1.0367186055485742</v>
      </c>
      <c r="J26" s="64">
        <f t="shared" si="5"/>
        <v>12349852.440044627</v>
      </c>
      <c r="K26" s="67">
        <f t="shared" si="3"/>
        <v>11849957.198707912</v>
      </c>
      <c r="L26" s="68"/>
    </row>
    <row r="27" spans="1:13" ht="15.75" x14ac:dyDescent="0.25">
      <c r="A27" s="87" t="s">
        <v>219</v>
      </c>
      <c r="B27" s="57" t="s">
        <v>214</v>
      </c>
      <c r="C27" s="73">
        <v>81977700</v>
      </c>
      <c r="D27" s="59">
        <f>IFERROR(+VLOOKUP(B27,COMISIONES!A:E,5,FALSE),"0")*1</f>
        <v>7197381.3632933144</v>
      </c>
      <c r="E27" s="59">
        <v>5151540.6591492426</v>
      </c>
      <c r="F27" s="59">
        <f t="shared" si="8"/>
        <v>2045840.7041440718</v>
      </c>
      <c r="G27" s="60">
        <f t="shared" si="1"/>
        <v>8.7796819907039525E-2</v>
      </c>
      <c r="H27" s="59">
        <f t="shared" si="4"/>
        <v>57579050.906346515</v>
      </c>
      <c r="I27" s="60">
        <f t="shared" si="2"/>
        <v>0.7023745592563162</v>
      </c>
      <c r="J27" s="59">
        <f t="shared" si="5"/>
        <v>2399127.1210977715</v>
      </c>
      <c r="K27" s="59">
        <f t="shared" si="3"/>
        <v>3560967.5541288895</v>
      </c>
      <c r="L27" s="61" cm="1">
        <f t="array" ref="L27">+_xlfn.IFS(I27&gt;114%,H27*0.0125,I27&gt;109%,H27*0.01,I27&gt;104%,H27*0.0075,I27&gt;99%,H27*0.005,I27&lt;99%,H27*0)</f>
        <v>0</v>
      </c>
    </row>
    <row r="28" spans="1:13" ht="15.75" x14ac:dyDescent="0.25">
      <c r="A28" s="88"/>
      <c r="B28" s="36" t="s">
        <v>216</v>
      </c>
      <c r="C28" s="74">
        <v>21000000</v>
      </c>
      <c r="D28" s="4">
        <f>IFERROR(+VLOOKUP(B28,COMISIONES!A:E,5,FALSE),"0")*1</f>
        <v>1662817.6962441357</v>
      </c>
      <c r="E28" s="4">
        <v>1127867.2813395613</v>
      </c>
      <c r="F28" s="4">
        <f t="shared" si="8"/>
        <v>534950.4149045744</v>
      </c>
      <c r="G28" s="5">
        <f t="shared" si="1"/>
        <v>7.9181795059244553E-2</v>
      </c>
      <c r="H28" s="4">
        <f t="shared" si="4"/>
        <v>13302541.569953088</v>
      </c>
      <c r="I28" s="5">
        <f t="shared" si="2"/>
        <v>0.63345436047395653</v>
      </c>
      <c r="J28" s="4">
        <f t="shared" si="5"/>
        <v>554272.56541471195</v>
      </c>
      <c r="K28" s="4">
        <f t="shared" si="3"/>
        <v>920818.2049407555</v>
      </c>
      <c r="L28" s="63" cm="1">
        <f t="array" ref="L28">+_xlfn.IFS(I28&gt;114%,H28*0.02,I28&gt;109%,H28*0.015,I28&gt;104%,H28*0.0125,I28&gt;99%,H28*0.01,I28&lt;99%,H28*0)</f>
        <v>0</v>
      </c>
    </row>
    <row r="29" spans="1:13" ht="15.75" x14ac:dyDescent="0.25">
      <c r="A29" s="88"/>
      <c r="B29" s="36" t="s">
        <v>87</v>
      </c>
      <c r="C29" s="74">
        <v>25739700</v>
      </c>
      <c r="D29" s="4">
        <f>IFERROR(+VLOOKUP(B29,COMISIONES!A:E,5,FALSE),"0")*1</f>
        <v>2237337.654012111</v>
      </c>
      <c r="E29" s="4">
        <v>3336344.5485263281</v>
      </c>
      <c r="F29" s="4">
        <f t="shared" si="8"/>
        <v>-1099006.894514217</v>
      </c>
      <c r="G29" s="5">
        <f t="shared" si="1"/>
        <v>8.6921667852077181E-2</v>
      </c>
      <c r="H29" s="4">
        <f t="shared" si="4"/>
        <v>17898701.232096888</v>
      </c>
      <c r="I29" s="5">
        <f t="shared" si="2"/>
        <v>0.69537334281661745</v>
      </c>
      <c r="J29" s="4">
        <f t="shared" si="5"/>
        <v>745779.21800403704</v>
      </c>
      <c r="K29" s="4">
        <f t="shared" si="3"/>
        <v>1119160.1117137091</v>
      </c>
      <c r="L29" s="63" cm="1">
        <f t="array" ref="L29">+_xlfn.IFS(I29&gt;114%,H29*0.02,I29&gt;109%,H29*0.015,I29&gt;104%,H29*0.0125,I29&gt;99%,H29*0.01,I29&lt;99%,H29*0)</f>
        <v>0</v>
      </c>
      <c r="M29" s="27"/>
    </row>
    <row r="30" spans="1:13" ht="15.75" x14ac:dyDescent="0.25">
      <c r="A30" s="88"/>
      <c r="B30" s="36" t="s">
        <v>215</v>
      </c>
      <c r="C30" s="74">
        <v>38233205.112125672</v>
      </c>
      <c r="D30" s="4">
        <f>IFERROR(+VLOOKUP(B30,COMISIONES!A:E,5,FALSE),"0")*1</f>
        <v>2806120.8392654946</v>
      </c>
      <c r="E30" s="4">
        <v>1465987.5738126547</v>
      </c>
      <c r="F30" s="4">
        <f t="shared" si="8"/>
        <v>1340133.2654528399</v>
      </c>
      <c r="G30" s="5">
        <f t="shared" si="1"/>
        <v>7.3394862686401677E-2</v>
      </c>
      <c r="H30" s="4">
        <f t="shared" si="4"/>
        <v>22448966.714123957</v>
      </c>
      <c r="I30" s="5">
        <f t="shared" si="2"/>
        <v>0.58715890149121341</v>
      </c>
      <c r="J30" s="4">
        <f t="shared" si="5"/>
        <v>935373.61308849824</v>
      </c>
      <c r="K30" s="4">
        <f t="shared" si="3"/>
        <v>1687004.0129933418</v>
      </c>
      <c r="L30" s="63" cm="1">
        <f t="array" ref="L30">+_xlfn.IFS(I30&gt;114%,H30*0.02,I30&gt;109%,H30*0.015,I30&gt;104%,H30*0.0125,I30&gt;99%,H30*0.01,I30&lt;99%,H30*0)</f>
        <v>0</v>
      </c>
      <c r="M30" s="26"/>
    </row>
    <row r="31" spans="1:13" ht="15.75" x14ac:dyDescent="0.25">
      <c r="A31" s="88"/>
      <c r="B31" s="36" t="s">
        <v>99</v>
      </c>
      <c r="C31" s="74">
        <v>25415250</v>
      </c>
      <c r="D31" s="4">
        <f>IFERROR(+VLOOKUP(B31,COMISIONES!A:E,5,FALSE),"0")*1</f>
        <v>3265458.2459612871</v>
      </c>
      <c r="E31" s="4">
        <v>2185400.7533588032</v>
      </c>
      <c r="F31" s="4">
        <f t="shared" si="8"/>
        <v>1080057.4926024838</v>
      </c>
      <c r="G31" s="5">
        <f t="shared" si="1"/>
        <v>0.12848420715756434</v>
      </c>
      <c r="H31" s="4">
        <f t="shared" si="4"/>
        <v>26123665.967690296</v>
      </c>
      <c r="I31" s="5">
        <f t="shared" si="2"/>
        <v>1.0278736572605147</v>
      </c>
      <c r="J31" s="4">
        <f t="shared" si="5"/>
        <v>1088486.0819870958</v>
      </c>
      <c r="K31" s="4">
        <f t="shared" si="3"/>
        <v>1054751.9882875578</v>
      </c>
      <c r="L31" s="63" cm="1">
        <f t="array" ref="L31">+_xlfn.IFS(I31&gt;114%,H31*0.02,I31&gt;109%,H31*0.015,I31&gt;104%,H31*0.0125,I31&gt;99%,H31*0.01,I31&lt;99%,H31*0)</f>
        <v>261236.65967690296</v>
      </c>
      <c r="M31" s="27"/>
    </row>
    <row r="32" spans="1:13" ht="15.75" x14ac:dyDescent="0.25">
      <c r="A32" s="88"/>
      <c r="B32" s="36" t="s">
        <v>213</v>
      </c>
      <c r="C32" s="74">
        <v>25200000</v>
      </c>
      <c r="D32" s="4">
        <f>IFERROR(+VLOOKUP(B32,COMISIONES!A:E,5,FALSE),"0")*1</f>
        <v>1556471.8667402903</v>
      </c>
      <c r="E32" s="4">
        <v>772280.47046408884</v>
      </c>
      <c r="F32" s="4">
        <f t="shared" si="8"/>
        <v>784191.39627620147</v>
      </c>
      <c r="G32" s="5">
        <f t="shared" si="1"/>
        <v>6.1764756616678185E-2</v>
      </c>
      <c r="H32" s="4">
        <f t="shared" si="4"/>
        <v>12451774.933922322</v>
      </c>
      <c r="I32" s="5">
        <f t="shared" si="2"/>
        <v>0.49411805293342548</v>
      </c>
      <c r="J32" s="4">
        <f t="shared" si="5"/>
        <v>518823.95558009675</v>
      </c>
      <c r="K32" s="4">
        <f t="shared" si="3"/>
        <v>1125882.2920599862</v>
      </c>
      <c r="L32" s="63" cm="1">
        <f t="array" ref="L32">+_xlfn.IFS(I32&gt;114%,H32*0.02,I32&gt;109%,H32*0.015,I32&gt;104%,H32*0.0125,I32&gt;99%,H32*0.01,I32&lt;99%,H32*0)</f>
        <v>0</v>
      </c>
      <c r="M32" s="26"/>
    </row>
    <row r="33" spans="1:12" ht="15.75" x14ac:dyDescent="0.25">
      <c r="A33" s="88"/>
      <c r="B33" s="36" t="s">
        <v>100</v>
      </c>
      <c r="C33" s="74">
        <v>26496750</v>
      </c>
      <c r="D33" s="4">
        <f>IFERROR(+VLOOKUP(B33,COMISIONES!A:E,5,FALSE),"0")*1</f>
        <v>1905347.2963424551</v>
      </c>
      <c r="E33" s="4">
        <v>1312962.2237802313</v>
      </c>
      <c r="F33" s="4">
        <f t="shared" si="8"/>
        <v>592385.07256222377</v>
      </c>
      <c r="G33" s="5">
        <f t="shared" si="1"/>
        <v>7.19087169687775E-2</v>
      </c>
      <c r="H33" s="4">
        <f t="shared" si="4"/>
        <v>15242778.370739641</v>
      </c>
      <c r="I33" s="5">
        <f t="shared" si="2"/>
        <v>0.57526973575022</v>
      </c>
      <c r="J33" s="4">
        <f t="shared" si="5"/>
        <v>635115.76544748503</v>
      </c>
      <c r="K33" s="4">
        <f t="shared" si="3"/>
        <v>1171019.1763646449</v>
      </c>
      <c r="L33" s="63" cm="1">
        <f t="array" ref="L33">+_xlfn.IFS(I33&gt;114%,H33*0.02,I33&gt;109%,H33*0.015,I33&gt;104%,H33*0.0125,I33&gt;99%,H33*0.01,I33&lt;99%,H33*0)</f>
        <v>0</v>
      </c>
    </row>
    <row r="34" spans="1:12" ht="15.75" x14ac:dyDescent="0.25">
      <c r="A34" s="88"/>
      <c r="B34" s="36" t="s">
        <v>139</v>
      </c>
      <c r="C34" s="74">
        <v>21000000</v>
      </c>
      <c r="D34" s="4">
        <f>IFERROR(+VLOOKUP(B34,COMISIONES!A:E,5,FALSE),"0")*1</f>
        <v>1342266.2312651528</v>
      </c>
      <c r="E34" s="4">
        <v>1012363.4850253685</v>
      </c>
      <c r="F34" s="4">
        <f t="shared" si="8"/>
        <v>329902.74623978429</v>
      </c>
      <c r="G34" s="5">
        <f t="shared" si="1"/>
        <v>6.3917439584054894E-2</v>
      </c>
      <c r="H34" s="4">
        <f t="shared" si="4"/>
        <v>10738129.850121222</v>
      </c>
      <c r="I34" s="5">
        <f t="shared" si="2"/>
        <v>0.51133951667243915</v>
      </c>
      <c r="J34" s="4">
        <f t="shared" si="5"/>
        <v>447422.07708838425</v>
      </c>
      <c r="K34" s="4">
        <f t="shared" si="3"/>
        <v>936082.56041594502</v>
      </c>
      <c r="L34" s="63" cm="1">
        <f t="array" ref="L34">+_xlfn.IFS(I34&gt;114%,H34*0.02,I34&gt;109%,H34*0.015,I34&gt;104%,H34*0.0125,I34&gt;99%,H34*0.01,I34&lt;99%,H34*0)</f>
        <v>0</v>
      </c>
    </row>
    <row r="35" spans="1:12" ht="15.75" x14ac:dyDescent="0.25">
      <c r="A35" s="88"/>
      <c r="B35" s="19" t="s">
        <v>104</v>
      </c>
      <c r="C35" s="74">
        <v>24658200</v>
      </c>
      <c r="D35" s="4">
        <f>IFERROR(+VLOOKUP(B35,COMISIONES!A:E,5,FALSE),"0")*1</f>
        <v>920475.59202497394</v>
      </c>
      <c r="E35" s="4">
        <v>474208.7541035653</v>
      </c>
      <c r="F35" s="4">
        <f t="shared" si="8"/>
        <v>446266.83792140865</v>
      </c>
      <c r="G35" s="5">
        <f t="shared" si="1"/>
        <v>3.7329391116341579E-2</v>
      </c>
      <c r="H35" s="4">
        <f t="shared" si="4"/>
        <v>7363804.7361997925</v>
      </c>
      <c r="I35" s="5">
        <f t="shared" si="2"/>
        <v>0.29863512893073269</v>
      </c>
      <c r="J35" s="4">
        <f t="shared" si="5"/>
        <v>306825.197341658</v>
      </c>
      <c r="K35" s="4">
        <f t="shared" si="3"/>
        <v>1130367.8289511916</v>
      </c>
      <c r="L35" s="63" cm="1">
        <f t="array" ref="L35">+_xlfn.IFS(I35&gt;114%,H35*0.02,I35&gt;109%,H35*0.015,I35&gt;104%,H35*0.0125,I35&gt;99%,H35*0.01,I35&lt;99%,H35*0)</f>
        <v>0</v>
      </c>
    </row>
    <row r="36" spans="1:12" ht="15.75" x14ac:dyDescent="0.25">
      <c r="A36" s="88"/>
      <c r="B36" s="36" t="s">
        <v>207</v>
      </c>
      <c r="C36" s="74">
        <v>25235000</v>
      </c>
      <c r="D36" s="4">
        <f>IFERROR(+VLOOKUP(B36,COMISIONES!A:E,5,FALSE),"0")*1</f>
        <v>1931060.2247250369</v>
      </c>
      <c r="E36" s="4">
        <v>1231155.9948169386</v>
      </c>
      <c r="F36" s="4">
        <f t="shared" si="8"/>
        <v>699904.22990809823</v>
      </c>
      <c r="G36" s="5">
        <f t="shared" si="1"/>
        <v>7.6523091924907347E-2</v>
      </c>
      <c r="H36" s="4">
        <f t="shared" si="4"/>
        <v>15448481.797800295</v>
      </c>
      <c r="I36" s="5">
        <f t="shared" si="2"/>
        <v>0.61218473539925877</v>
      </c>
      <c r="J36" s="4">
        <f t="shared" si="5"/>
        <v>643686.74157501233</v>
      </c>
      <c r="K36" s="4">
        <f t="shared" si="3"/>
        <v>1109711.4178702363</v>
      </c>
      <c r="L36" s="63" cm="1">
        <f t="array" ref="L36">+_xlfn.IFS(I36&gt;114%,H36*0.02,I36&gt;109%,H36*0.015,I36&gt;104%,H36*0.0125,I36&gt;99%,H36*0.01,I36&lt;99%,H36*0)</f>
        <v>0</v>
      </c>
    </row>
    <row r="37" spans="1:12" ht="15.75" x14ac:dyDescent="0.25">
      <c r="A37" s="88"/>
      <c r="B37" s="36" t="s">
        <v>111</v>
      </c>
      <c r="C37" s="74">
        <v>122011750</v>
      </c>
      <c r="D37" s="4">
        <f>IFERROR(+VLOOKUP(B37,COMISIONES!A:E,5,FALSE),"0")*1</f>
        <v>16463801.298558187</v>
      </c>
      <c r="E37" s="4">
        <v>-974804.98299181263</v>
      </c>
      <c r="F37" s="4">
        <f t="shared" si="8"/>
        <v>17438606.281549998</v>
      </c>
      <c r="G37" s="5">
        <f t="shared" si="1"/>
        <v>0.13493619506775525</v>
      </c>
      <c r="H37" s="4">
        <f t="shared" si="4"/>
        <v>131710410.38846549</v>
      </c>
      <c r="I37" s="5">
        <f t="shared" si="2"/>
        <v>1.079489560542042</v>
      </c>
      <c r="J37" s="4">
        <f t="shared" si="5"/>
        <v>5487933.7661860622</v>
      </c>
      <c r="K37" s="4">
        <f t="shared" si="3"/>
        <v>5026092.7953067524</v>
      </c>
      <c r="L37" s="63" cm="1">
        <f t="array" ref="L37">+_xlfn.IFS(I37&gt;114%,H37*0.0125,I37&gt;109%,H37*0.01,I37&gt;104%,H37*0.0075,I37&gt;99%,H37*0.005,I37&lt;99%,H37*0)</f>
        <v>987828.07791349117</v>
      </c>
    </row>
    <row r="38" spans="1:12" ht="15.75" x14ac:dyDescent="0.25">
      <c r="A38" s="88"/>
      <c r="B38" s="36" t="s">
        <v>217</v>
      </c>
      <c r="C38" s="74">
        <v>35700000</v>
      </c>
      <c r="D38" s="4">
        <f>IFERROR(+VLOOKUP(B38,COMISIONES!A:E,5,FALSE),"0")*1</f>
        <v>149294.68419999999</v>
      </c>
      <c r="E38" s="4">
        <v>0</v>
      </c>
      <c r="F38" s="4">
        <f t="shared" ref="F38" si="10">+D38-E38</f>
        <v>149294.68419999999</v>
      </c>
      <c r="G38" s="5">
        <f t="shared" si="1"/>
        <v>4.1819239271708684E-3</v>
      </c>
      <c r="H38" s="4">
        <f t="shared" si="4"/>
        <v>1194357.4735999999</v>
      </c>
      <c r="I38" s="5">
        <f t="shared" si="2"/>
        <v>3.3455391417366948E-2</v>
      </c>
      <c r="J38" s="4">
        <f t="shared" si="5"/>
        <v>49764.894733333327</v>
      </c>
      <c r="K38" s="4">
        <f t="shared" si="3"/>
        <v>1692890.7293238097</v>
      </c>
      <c r="L38" s="63" cm="1">
        <f t="array" ref="L38">+_xlfn.IFS(I38&gt;109%,H38*0.015,I38&gt;104%,H38*0.0125,I38&gt;99%,H38*0.01,I38&lt;99%,H38*0)</f>
        <v>0</v>
      </c>
    </row>
    <row r="39" spans="1:12" ht="15.75" x14ac:dyDescent="0.25">
      <c r="A39" s="88"/>
      <c r="B39" s="36" t="s">
        <v>81</v>
      </c>
      <c r="C39" s="74">
        <v>36361427.739</v>
      </c>
      <c r="D39" s="4">
        <f>IFERROR(+VLOOKUP(B39,COMISIONES!A:E,5,FALSE),"0")*1</f>
        <v>4713478.3902184051</v>
      </c>
      <c r="E39" s="4">
        <v>3667023.6813626946</v>
      </c>
      <c r="F39" s="4">
        <f t="shared" si="8"/>
        <v>1046454.7088557105</v>
      </c>
      <c r="G39" s="5">
        <f t="shared" si="1"/>
        <v>0.12962852900198119</v>
      </c>
      <c r="H39" s="4">
        <f t="shared" si="4"/>
        <v>37707827.12174724</v>
      </c>
      <c r="I39" s="5">
        <f t="shared" si="2"/>
        <v>1.0370282320158495</v>
      </c>
      <c r="J39" s="4">
        <f t="shared" si="5"/>
        <v>1571159.4634061351</v>
      </c>
      <c r="K39" s="4">
        <f t="shared" si="3"/>
        <v>1507045.2070848378</v>
      </c>
      <c r="L39" s="63" cm="1">
        <f t="array" ref="L39">+_xlfn.IFS(I39&gt;114%,H39*0.02,I39&gt;109%,H39*0.015,I39&gt;104%,H39*0.0125,I39&gt;99%,H39*0.01,I39&lt;99%,H39*0)</f>
        <v>377078.27121747239</v>
      </c>
    </row>
    <row r="40" spans="1:12" ht="16.5" thickBot="1" x14ac:dyDescent="0.3">
      <c r="A40" s="89"/>
      <c r="B40" s="3"/>
      <c r="C40" s="75">
        <v>509028982.85112572</v>
      </c>
      <c r="D40" s="67">
        <f>+SUM(D27:D39)</f>
        <v>46151311.382850848</v>
      </c>
      <c r="E40" s="65">
        <v>20762330.442747667</v>
      </c>
      <c r="F40" s="67">
        <f t="shared" si="8"/>
        <v>25388980.940103181</v>
      </c>
      <c r="G40" s="66">
        <f t="shared" si="1"/>
        <v>9.0665390258040754E-2</v>
      </c>
      <c r="H40" s="64">
        <f t="shared" si="4"/>
        <v>369210491.06280679</v>
      </c>
      <c r="I40" s="66">
        <f t="shared" si="2"/>
        <v>0.72532312206432603</v>
      </c>
      <c r="J40" s="64">
        <f t="shared" si="5"/>
        <v>15383770.460950283</v>
      </c>
      <c r="K40" s="67">
        <f t="shared" si="3"/>
        <v>22041793.87944166</v>
      </c>
      <c r="L40" s="68"/>
    </row>
    <row r="41" spans="1:12" ht="16.5" thickBot="1" x14ac:dyDescent="0.3">
      <c r="A41" s="79" t="s">
        <v>42</v>
      </c>
      <c r="B41" s="80"/>
      <c r="C41" s="81">
        <v>1379767147.0931361</v>
      </c>
      <c r="D41" s="81">
        <f>+D40+D26+D10+D16</f>
        <v>191246594.85709113</v>
      </c>
      <c r="E41" s="82">
        <v>105866448.03886795</v>
      </c>
      <c r="F41" s="81">
        <f>+D41-E41</f>
        <v>85380146.818223178</v>
      </c>
      <c r="G41" s="83">
        <f t="shared" si="1"/>
        <v>0.13860787688705689</v>
      </c>
      <c r="H41" s="81">
        <f t="shared" si="4"/>
        <v>1529972758.856729</v>
      </c>
      <c r="I41" s="83">
        <f t="shared" si="2"/>
        <v>1.1088630150964551</v>
      </c>
      <c r="J41" s="81">
        <f t="shared" si="5"/>
        <v>63748864.952363707</v>
      </c>
      <c r="K41" s="81">
        <f t="shared" si="3"/>
        <v>56596216.773144998</v>
      </c>
      <c r="L41" s="84"/>
    </row>
    <row r="42" spans="1:12" ht="30" x14ac:dyDescent="0.25">
      <c r="B42" s="76" t="s">
        <v>30</v>
      </c>
      <c r="C42" s="76" t="s">
        <v>31</v>
      </c>
      <c r="D42" s="76" t="s">
        <v>32</v>
      </c>
      <c r="E42" s="76" t="s">
        <v>32</v>
      </c>
      <c r="F42" s="76" t="s">
        <v>33</v>
      </c>
      <c r="G42" s="77" t="s">
        <v>41</v>
      </c>
      <c r="H42" s="78" t="s">
        <v>45</v>
      </c>
      <c r="I42" s="77" t="s">
        <v>46</v>
      </c>
      <c r="J42" s="76" t="s">
        <v>35</v>
      </c>
      <c r="K42" s="76" t="s">
        <v>34</v>
      </c>
      <c r="L42" s="76" t="s">
        <v>53</v>
      </c>
    </row>
    <row r="43" spans="1:12" ht="15.75" x14ac:dyDescent="0.25">
      <c r="B43" s="36" t="s">
        <v>145</v>
      </c>
      <c r="C43" s="2">
        <v>40000000</v>
      </c>
      <c r="D43" s="4">
        <f>IFERROR(+VLOOKUP(B43,COMISIONES!A:E,5,FALSE),"0")*1</f>
        <v>-275260.76904147147</v>
      </c>
      <c r="E43" s="4">
        <v>0</v>
      </c>
      <c r="F43" s="4">
        <f t="shared" ref="F43" si="11">+D43-E43</f>
        <v>-275260.76904147147</v>
      </c>
      <c r="G43" s="5">
        <f>+D43/C43</f>
        <v>-6.8815192260367865E-3</v>
      </c>
      <c r="H43" s="4">
        <f t="shared" ref="H43" si="12">+D43/$N$3*$N$4</f>
        <v>-2202086.1523317718</v>
      </c>
      <c r="I43" s="5">
        <f>+H43/C43</f>
        <v>-5.5052153808294292E-2</v>
      </c>
      <c r="J43" s="4">
        <f t="shared" ref="J43" si="13">+D43/$N$3</f>
        <v>-91753.589680490491</v>
      </c>
      <c r="K43" s="4">
        <f>+(C43-D43)/$N$2</f>
        <v>1917869.5604305463</v>
      </c>
      <c r="L43" s="4" cm="1">
        <f t="array" ref="L43">+_xlfn.IFS(I43&gt;114%,H43*0.02,I43&gt;109%,H43*0.015,I43&gt;104%,H43*0.0125,I43&gt;99%,H43*0.01,I43&lt;99%,H43*0)</f>
        <v>0</v>
      </c>
    </row>
    <row r="44" spans="1:12" ht="15.75" x14ac:dyDescent="0.25">
      <c r="B44" s="36" t="s">
        <v>146</v>
      </c>
      <c r="C44" s="2">
        <v>30000000</v>
      </c>
      <c r="D44" s="4">
        <f>IFERROR(+VLOOKUP(B44,COMISIONES!A:E,5,FALSE),"0")*1</f>
        <v>-402349.89063324447</v>
      </c>
      <c r="E44" s="4">
        <v>-388379.73864699452</v>
      </c>
      <c r="F44" s="4">
        <f t="shared" ref="F44" si="14">+D44-E44</f>
        <v>-13970.151986249955</v>
      </c>
      <c r="G44" s="5">
        <f>+D44/C44</f>
        <v>-1.3411663021108149E-2</v>
      </c>
      <c r="H44" s="4">
        <f t="shared" ref="H44" si="15">+D44/$N$3*$N$4</f>
        <v>-3218799.1250659563</v>
      </c>
      <c r="I44" s="5">
        <f>+H44/C44</f>
        <v>-0.10729330416886521</v>
      </c>
      <c r="J44" s="4">
        <f t="shared" ref="J44" si="16">+D44/$N$3</f>
        <v>-134116.6302110815</v>
      </c>
      <c r="K44" s="4">
        <f>+(C44-D44)/$N$2</f>
        <v>1447730.9471730117</v>
      </c>
      <c r="L44" s="4" cm="1">
        <f t="array" ref="L44">+_xlfn.IFS(I44&gt;114%,H44*0.02,I44&gt;109%,H44*0.015,I44&gt;104%,H44*0.0125,I44&gt;99%,H44*0.01,I44&lt;99%,H44*0)</f>
        <v>0</v>
      </c>
    </row>
  </sheetData>
  <mergeCells count="4">
    <mergeCell ref="A2:A10"/>
    <mergeCell ref="A11:A16"/>
    <mergeCell ref="A17:A26"/>
    <mergeCell ref="A27:A40"/>
  </mergeCells>
  <conditionalFormatting sqref="G2:G9 G11:G15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17:G25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27:G39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43:G44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ignoredErrors>
    <ignoredError sqref="F10 L13 L37" formula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U42"/>
  <sheetViews>
    <sheetView topLeftCell="A5" workbookViewId="0">
      <selection activeCell="A40" sqref="A40"/>
    </sheetView>
  </sheetViews>
  <sheetFormatPr baseColWidth="10" defaultRowHeight="15" x14ac:dyDescent="0.25"/>
  <cols>
    <col min="1" max="1" width="23.28515625" bestFit="1" customWidth="1"/>
    <col min="2" max="2" width="3" hidden="1" customWidth="1"/>
    <col min="3" max="3" width="34" bestFit="1" customWidth="1"/>
    <col min="4" max="4" width="19.7109375" style="25" bestFit="1" customWidth="1"/>
    <col min="5" max="5" width="16.7109375" style="1" hidden="1" customWidth="1"/>
    <col min="6" max="6" width="18.28515625" hidden="1" customWidth="1"/>
    <col min="7" max="7" width="16.85546875" bestFit="1" customWidth="1"/>
    <col min="8" max="8" width="6.7109375" bestFit="1" customWidth="1"/>
    <col min="9" max="9" width="19.85546875" bestFit="1" customWidth="1"/>
    <col min="10" max="10" width="0" hidden="1" customWidth="1"/>
    <col min="11" max="11" width="17.28515625" hidden="1" customWidth="1"/>
    <col min="12" max="12" width="16.28515625" customWidth="1"/>
    <col min="16" max="16" width="8.7109375" bestFit="1" customWidth="1"/>
    <col min="17" max="17" width="19.42578125" hidden="1" customWidth="1"/>
    <col min="18" max="18" width="34.85546875" bestFit="1" customWidth="1"/>
    <col min="19" max="19" width="4.42578125" bestFit="1" customWidth="1"/>
    <col min="20" max="20" width="14.5703125" bestFit="1" customWidth="1"/>
    <col min="21" max="21" width="13.5703125" bestFit="1" customWidth="1"/>
  </cols>
  <sheetData>
    <row r="1" spans="1:21" ht="15.75" thickBot="1" x14ac:dyDescent="0.3">
      <c r="A1" s="85" t="s">
        <v>208</v>
      </c>
      <c r="C1" s="86" t="s">
        <v>76</v>
      </c>
      <c r="D1" s="21" t="s">
        <v>43</v>
      </c>
      <c r="E1" s="15" t="s">
        <v>50</v>
      </c>
      <c r="F1" s="7" t="s">
        <v>44</v>
      </c>
      <c r="G1" s="7" t="s">
        <v>48</v>
      </c>
      <c r="H1" s="7" t="s">
        <v>49</v>
      </c>
      <c r="I1" s="7" t="s">
        <v>54</v>
      </c>
      <c r="P1" t="s">
        <v>115</v>
      </c>
      <c r="R1" s="40" t="s">
        <v>114</v>
      </c>
    </row>
    <row r="2" spans="1:21" ht="15.75" thickBot="1" x14ac:dyDescent="0.3">
      <c r="A2" s="93" t="s">
        <v>37</v>
      </c>
      <c r="B2">
        <v>22</v>
      </c>
      <c r="C2" s="12" t="str">
        <f>+AVANCE!B11</f>
        <v>22 - ALMIRON NICOLAS</v>
      </c>
      <c r="D2" s="22">
        <f>H2/G2</f>
        <v>0.22222222222222221</v>
      </c>
      <c r="E2" s="13">
        <v>33</v>
      </c>
      <c r="F2" s="12">
        <f>+H2-E2</f>
        <v>-17</v>
      </c>
      <c r="G2" s="13">
        <f>VLOOKUP(B2,'Base Cobertura'!$A:$C,3,FALSE)</f>
        <v>72</v>
      </c>
      <c r="H2" s="13">
        <f>VLOOKUP(B2,'Base Cobertura'!$A:$C,2,FALSE)</f>
        <v>16</v>
      </c>
      <c r="I2" s="17">
        <f>(+G2*$M$2)-H2</f>
        <v>45.199999999999996</v>
      </c>
      <c r="J2" t="s">
        <v>55</v>
      </c>
      <c r="K2" t="s">
        <v>55</v>
      </c>
      <c r="L2" t="s">
        <v>31</v>
      </c>
      <c r="M2" s="1">
        <v>0.85</v>
      </c>
      <c r="P2" s="38">
        <v>12</v>
      </c>
      <c r="Q2" s="39" t="str">
        <f>VLOOKUP(P2,$B:$C,2,FALSE)</f>
        <v>12 - GUTIERREZ MARCOS DAVID</v>
      </c>
      <c r="R2" s="42" t="str">
        <f>VLOOKUP(P2,$B:$C,2,FALSE)</f>
        <v>12 - GUTIERREZ MARCOS DAVID</v>
      </c>
      <c r="S2" s="7" t="s">
        <v>49</v>
      </c>
      <c r="T2" s="7" t="s">
        <v>48</v>
      </c>
      <c r="U2" s="7" t="s">
        <v>116</v>
      </c>
    </row>
    <row r="3" spans="1:21" x14ac:dyDescent="0.25">
      <c r="A3" s="93"/>
      <c r="B3">
        <v>49</v>
      </c>
      <c r="C3" s="13" t="str">
        <f>+AVANCE!B12</f>
        <v>49 - ESCOBAR RAÚL</v>
      </c>
      <c r="D3" s="22">
        <f t="shared" ref="D3:D38" si="0">H3/G3</f>
        <v>0.23012552301255229</v>
      </c>
      <c r="E3" s="13">
        <v>1</v>
      </c>
      <c r="F3" s="12">
        <f t="shared" ref="F3:F38" si="1">+H3-E3</f>
        <v>54</v>
      </c>
      <c r="G3" s="13">
        <f>VLOOKUP(B3,'Base Cobertura'!$A:$C,3,FALSE)</f>
        <v>239</v>
      </c>
      <c r="H3" s="13">
        <f>VLOOKUP(B3,'Base Cobertura'!$A:$C,2,FALSE)</f>
        <v>55</v>
      </c>
      <c r="I3" s="17">
        <f t="shared" ref="I3:I38" si="2">(+G3*$M$2)-H3</f>
        <v>148.15</v>
      </c>
      <c r="J3" t="s">
        <v>56</v>
      </c>
      <c r="K3" t="s">
        <v>63</v>
      </c>
      <c r="P3" s="12" cm="1">
        <f t="array" ref="P3:T11">+_xlfn._xlws.FILTER('Base Cobertura'!E:I,'Base Cobertura'!E:E=COBERTURA!P2)</f>
        <v>12</v>
      </c>
      <c r="Q3" s="12">
        <v>12</v>
      </c>
      <c r="R3" s="12" t="str">
        <v>145 - ALMACEN</v>
      </c>
      <c r="S3" s="12">
        <v>15</v>
      </c>
      <c r="T3" s="12">
        <v>213</v>
      </c>
      <c r="U3" s="41">
        <f>+S3/T3</f>
        <v>7.0422535211267609E-2</v>
      </c>
    </row>
    <row r="4" spans="1:21" x14ac:dyDescent="0.25">
      <c r="A4" s="93"/>
      <c r="B4">
        <v>20</v>
      </c>
      <c r="C4" s="13" t="str">
        <f>+AVANCE!B2</f>
        <v>20 - FLORES JAVIER</v>
      </c>
      <c r="D4" s="22">
        <f t="shared" si="0"/>
        <v>0.25550660792951541</v>
      </c>
      <c r="E4" s="13">
        <v>126</v>
      </c>
      <c r="F4" s="12">
        <f t="shared" si="1"/>
        <v>-68</v>
      </c>
      <c r="G4" s="13">
        <f>VLOOKUP(B4,'Base Cobertura'!$A:$C,3,FALSE)</f>
        <v>227</v>
      </c>
      <c r="H4" s="13">
        <f>VLOOKUP(B4,'Base Cobertura'!$A:$C,2,FALSE)</f>
        <v>58</v>
      </c>
      <c r="I4" s="17">
        <f t="shared" si="2"/>
        <v>134.94999999999999</v>
      </c>
      <c r="J4" t="s">
        <v>57</v>
      </c>
      <c r="K4" t="s">
        <v>64</v>
      </c>
      <c r="P4" s="13">
        <v>12</v>
      </c>
      <c r="Q4" s="13">
        <v>0</v>
      </c>
      <c r="R4" s="13" t="str">
        <v>145 - Articulos Sin Asociar Agrupacion</v>
      </c>
      <c r="S4" s="13">
        <v>7</v>
      </c>
      <c r="T4" s="13">
        <v>213</v>
      </c>
      <c r="U4" s="5">
        <f t="shared" ref="U4:U11" si="3">+S4/T4</f>
        <v>3.2863849765258218E-2</v>
      </c>
    </row>
    <row r="5" spans="1:21" x14ac:dyDescent="0.25">
      <c r="A5" s="93"/>
      <c r="B5">
        <v>15</v>
      </c>
      <c r="C5" s="13" t="str">
        <f>+AVANCE!B13</f>
        <v>15 - GALARZA GERARDO</v>
      </c>
      <c r="D5" s="22">
        <f t="shared" si="0"/>
        <v>0.18461538461538463</v>
      </c>
      <c r="E5" s="13">
        <v>21</v>
      </c>
      <c r="F5" s="12">
        <f t="shared" si="1"/>
        <v>-9</v>
      </c>
      <c r="G5" s="13">
        <f>VLOOKUP(B5,'Base Cobertura'!$A:$C,3,FALSE)</f>
        <v>65</v>
      </c>
      <c r="H5" s="13">
        <f>VLOOKUP(B5,'Base Cobertura'!$A:$C,2,FALSE)</f>
        <v>12</v>
      </c>
      <c r="I5" s="17">
        <f t="shared" si="2"/>
        <v>43.25</v>
      </c>
      <c r="K5" t="s">
        <v>64</v>
      </c>
      <c r="P5" s="13">
        <v>12</v>
      </c>
      <c r="Q5" s="13">
        <v>0</v>
      </c>
      <c r="R5" s="13" t="str">
        <v>145 - BEBIDAS</v>
      </c>
      <c r="S5" s="13">
        <v>11</v>
      </c>
      <c r="T5" s="13">
        <v>213</v>
      </c>
      <c r="U5" s="5">
        <f t="shared" si="3"/>
        <v>5.1643192488262914E-2</v>
      </c>
    </row>
    <row r="6" spans="1:21" x14ac:dyDescent="0.25">
      <c r="A6" s="93"/>
      <c r="B6">
        <v>19</v>
      </c>
      <c r="C6" s="13" t="str">
        <f>+AVANCE!B3</f>
        <v>19 - GONZALEZ MARCELO</v>
      </c>
      <c r="D6" s="22">
        <f t="shared" si="0"/>
        <v>0.28502415458937197</v>
      </c>
      <c r="E6" s="13">
        <v>100</v>
      </c>
      <c r="F6" s="12">
        <f t="shared" si="1"/>
        <v>-41</v>
      </c>
      <c r="G6" s="13">
        <f>VLOOKUP(B6,'Base Cobertura'!$A:$C,3,FALSE)</f>
        <v>207</v>
      </c>
      <c r="H6" s="13">
        <f>VLOOKUP(B6,'Base Cobertura'!$A:$C,2,FALSE)</f>
        <v>59</v>
      </c>
      <c r="I6" s="17">
        <f t="shared" si="2"/>
        <v>116.94999999999999</v>
      </c>
      <c r="J6" t="s">
        <v>58</v>
      </c>
      <c r="K6" t="s">
        <v>58</v>
      </c>
      <c r="P6" s="13">
        <v>12</v>
      </c>
      <c r="Q6" s="13">
        <v>0</v>
      </c>
      <c r="R6" s="13" t="str">
        <v>145 - CHOCOLATE</v>
      </c>
      <c r="S6" s="13">
        <v>7</v>
      </c>
      <c r="T6" s="13">
        <v>213</v>
      </c>
      <c r="U6" s="5">
        <f t="shared" si="3"/>
        <v>3.2863849765258218E-2</v>
      </c>
    </row>
    <row r="7" spans="1:21" x14ac:dyDescent="0.25">
      <c r="A7" s="93"/>
      <c r="B7">
        <v>16</v>
      </c>
      <c r="C7" s="13" t="str">
        <f>+AVANCE!B4</f>
        <v>16 - GOMEZ MATÍAS</v>
      </c>
      <c r="D7" s="22">
        <f t="shared" si="0"/>
        <v>0.20202020202020202</v>
      </c>
      <c r="E7" s="13">
        <v>81</v>
      </c>
      <c r="F7" s="12">
        <f t="shared" si="1"/>
        <v>-41</v>
      </c>
      <c r="G7" s="13">
        <f>VLOOKUP(B7,'Base Cobertura'!$A:$C,3,FALSE)</f>
        <v>198</v>
      </c>
      <c r="H7" s="13">
        <f>VLOOKUP(B7,'Base Cobertura'!$A:$C,2,FALSE)</f>
        <v>40</v>
      </c>
      <c r="I7" s="17">
        <f t="shared" si="2"/>
        <v>128.29999999999998</v>
      </c>
      <c r="J7" t="s">
        <v>58</v>
      </c>
      <c r="K7" t="s">
        <v>58</v>
      </c>
      <c r="P7" s="13">
        <v>12</v>
      </c>
      <c r="Q7" s="13">
        <v>0</v>
      </c>
      <c r="R7" s="13" t="str">
        <v>145 - GALLETITAS</v>
      </c>
      <c r="S7" s="13">
        <v>19</v>
      </c>
      <c r="T7" s="13">
        <v>213</v>
      </c>
      <c r="U7" s="5">
        <f t="shared" si="3"/>
        <v>8.9201877934272297E-2</v>
      </c>
    </row>
    <row r="8" spans="1:21" x14ac:dyDescent="0.25">
      <c r="A8" s="93"/>
      <c r="B8">
        <v>12</v>
      </c>
      <c r="C8" s="13" t="str">
        <f>+AVANCE!B5</f>
        <v>12 - GUTIERREZ MARCOS DAVID</v>
      </c>
      <c r="D8" s="22">
        <f t="shared" si="0"/>
        <v>0.22535211267605634</v>
      </c>
      <c r="E8" s="13">
        <v>89</v>
      </c>
      <c r="F8" s="12">
        <f t="shared" si="1"/>
        <v>-41</v>
      </c>
      <c r="G8" s="13">
        <f>VLOOKUP(B8,'Base Cobertura'!$A:$C,3,FALSE)</f>
        <v>213</v>
      </c>
      <c r="H8" s="13">
        <f>VLOOKUP(B8,'Base Cobertura'!$A:$C,2,FALSE)</f>
        <v>48</v>
      </c>
      <c r="I8" s="17">
        <f t="shared" si="2"/>
        <v>133.04999999999998</v>
      </c>
      <c r="J8" t="s">
        <v>55</v>
      </c>
      <c r="K8" t="s">
        <v>58</v>
      </c>
      <c r="N8" s="29"/>
      <c r="P8" s="13">
        <v>12</v>
      </c>
      <c r="Q8" s="13">
        <v>0</v>
      </c>
      <c r="R8" s="13" t="str">
        <v>145 - GOLOSINAS</v>
      </c>
      <c r="S8" s="13">
        <v>18</v>
      </c>
      <c r="T8" s="13">
        <v>213</v>
      </c>
      <c r="U8" s="5">
        <f t="shared" si="3"/>
        <v>8.4507042253521125E-2</v>
      </c>
    </row>
    <row r="9" spans="1:21" x14ac:dyDescent="0.25">
      <c r="A9" s="93"/>
      <c r="B9">
        <v>11</v>
      </c>
      <c r="C9" s="30" t="str">
        <f>+AVANCE!B6</f>
        <v>11 - SANCHEZ RICARDO</v>
      </c>
      <c r="D9" s="22">
        <f>H9/G9</f>
        <v>0.21818181818181817</v>
      </c>
      <c r="E9" s="13">
        <v>92</v>
      </c>
      <c r="F9" s="12">
        <f t="shared" si="1"/>
        <v>-56</v>
      </c>
      <c r="G9" s="13">
        <f>VLOOKUP(B9,'Base Cobertura'!$A:$C,3,FALSE)</f>
        <v>165</v>
      </c>
      <c r="H9" s="13">
        <f>VLOOKUP(B9,'Base Cobertura'!$A:$C,2,FALSE)</f>
        <v>36</v>
      </c>
      <c r="I9" s="17">
        <f t="shared" si="2"/>
        <v>104.25</v>
      </c>
      <c r="J9" t="s">
        <v>55</v>
      </c>
      <c r="K9" t="s">
        <v>65</v>
      </c>
      <c r="P9" s="13">
        <v>12</v>
      </c>
      <c r="Q9" s="13">
        <v>0</v>
      </c>
      <c r="R9" s="13" t="str">
        <v>145 - MASCOTAS</v>
      </c>
      <c r="S9" s="13">
        <v>7</v>
      </c>
      <c r="T9" s="13">
        <v>213</v>
      </c>
      <c r="U9" s="5">
        <f t="shared" si="3"/>
        <v>3.2863849765258218E-2</v>
      </c>
    </row>
    <row r="10" spans="1:21" x14ac:dyDescent="0.25">
      <c r="A10" s="93"/>
      <c r="B10">
        <v>8</v>
      </c>
      <c r="C10" s="13" t="str">
        <f>+AVANCE!B7</f>
        <v>8 - RAVAROTTO EMANUEL</v>
      </c>
      <c r="D10" s="22">
        <f t="shared" si="0"/>
        <v>0.15979381443298968</v>
      </c>
      <c r="E10" s="13">
        <v>64</v>
      </c>
      <c r="F10" s="12">
        <f t="shared" si="1"/>
        <v>-33</v>
      </c>
      <c r="G10" s="13">
        <f>VLOOKUP(B10,'Base Cobertura'!$A:$C,3,FALSE)</f>
        <v>194</v>
      </c>
      <c r="H10" s="13">
        <f>VLOOKUP(B10,'Base Cobertura'!$A:$C,2,FALSE)</f>
        <v>31</v>
      </c>
      <c r="I10" s="17">
        <f t="shared" si="2"/>
        <v>133.9</v>
      </c>
      <c r="J10" t="s">
        <v>58</v>
      </c>
      <c r="K10" t="s">
        <v>58</v>
      </c>
      <c r="P10" s="13">
        <v>12</v>
      </c>
      <c r="Q10" s="13">
        <v>0</v>
      </c>
      <c r="R10" s="13" t="str">
        <v>145 - NO PERECEDEROS</v>
      </c>
      <c r="S10" s="13">
        <v>2</v>
      </c>
      <c r="T10" s="13">
        <v>213</v>
      </c>
      <c r="U10" s="5">
        <f t="shared" si="3"/>
        <v>9.3896713615023476E-3</v>
      </c>
    </row>
    <row r="11" spans="1:21" x14ac:dyDescent="0.25">
      <c r="A11" s="93"/>
      <c r="B11">
        <v>52</v>
      </c>
      <c r="C11" s="31" t="str">
        <f>+AVANCE!B14</f>
        <v>52 - MARSALL NICOLAS</v>
      </c>
      <c r="D11" s="32">
        <f t="shared" si="0"/>
        <v>7.9207920792079209E-2</v>
      </c>
      <c r="E11" s="31">
        <v>19</v>
      </c>
      <c r="F11" s="33">
        <f t="shared" si="1"/>
        <v>-11</v>
      </c>
      <c r="G11" s="13">
        <f>VLOOKUP(B11,'Base Cobertura'!$A:$C,3,FALSE)</f>
        <v>101</v>
      </c>
      <c r="H11" s="13">
        <f>VLOOKUP(B11,'Base Cobertura'!$A:$C,2,FALSE)</f>
        <v>8</v>
      </c>
      <c r="I11" s="34">
        <f t="shared" si="2"/>
        <v>77.849999999999994</v>
      </c>
      <c r="J11" t="s">
        <v>59</v>
      </c>
      <c r="P11" s="13">
        <v>12</v>
      </c>
      <c r="Q11" s="13">
        <v>0</v>
      </c>
      <c r="R11" s="13" t="str">
        <v>145 - PILAS</v>
      </c>
      <c r="S11" s="13">
        <v>3</v>
      </c>
      <c r="T11" s="13">
        <v>213</v>
      </c>
      <c r="U11" s="5">
        <f t="shared" si="3"/>
        <v>1.4084507042253521E-2</v>
      </c>
    </row>
    <row r="12" spans="1:21" x14ac:dyDescent="0.25">
      <c r="A12" s="93"/>
      <c r="B12">
        <v>53</v>
      </c>
      <c r="C12" s="31" t="str">
        <f>+AVANCE!B15</f>
        <v>53 - SANDOVAL RODRIGO</v>
      </c>
      <c r="D12" s="32">
        <f t="shared" si="0"/>
        <v>7.6190476190476197E-2</v>
      </c>
      <c r="E12" s="31">
        <v>24</v>
      </c>
      <c r="F12" s="33">
        <f t="shared" si="1"/>
        <v>-16</v>
      </c>
      <c r="G12" s="13">
        <f>VLOOKUP(B12,'Base Cobertura'!$A:$C,3,FALSE)</f>
        <v>105</v>
      </c>
      <c r="H12" s="13">
        <f>VLOOKUP(B12,'Base Cobertura'!$A:$C,2,FALSE)</f>
        <v>8</v>
      </c>
      <c r="I12" s="34">
        <f t="shared" si="2"/>
        <v>81.25</v>
      </c>
      <c r="J12" t="s">
        <v>59</v>
      </c>
    </row>
    <row r="13" spans="1:21" x14ac:dyDescent="0.25">
      <c r="A13" s="93"/>
      <c r="B13">
        <v>5</v>
      </c>
      <c r="C13" s="13" t="str">
        <f>+AVANCE!B8</f>
        <v>5 - SCHELOVER RAUL</v>
      </c>
      <c r="D13" s="22">
        <f t="shared" si="0"/>
        <v>0.20384615384615384</v>
      </c>
      <c r="E13" s="13">
        <v>144</v>
      </c>
      <c r="F13" s="12">
        <f t="shared" si="1"/>
        <v>-91</v>
      </c>
      <c r="G13" s="13">
        <f>VLOOKUP(B13,'Base Cobertura'!$A:$C,3,FALSE)</f>
        <v>260</v>
      </c>
      <c r="H13" s="13">
        <f>VLOOKUP(B13,'Base Cobertura'!$A:$C,2,FALSE)</f>
        <v>53</v>
      </c>
      <c r="I13" s="17">
        <f t="shared" si="2"/>
        <v>168</v>
      </c>
      <c r="J13" t="s">
        <v>57</v>
      </c>
      <c r="K13" t="s">
        <v>64</v>
      </c>
    </row>
    <row r="14" spans="1:21" ht="15.75" thickBot="1" x14ac:dyDescent="0.3">
      <c r="A14" s="93"/>
      <c r="B14">
        <v>4</v>
      </c>
      <c r="C14" s="10" t="str">
        <f>+AVANCE!B9</f>
        <v>4 - TUR SPRINGER FERNANDO</v>
      </c>
      <c r="D14" s="22">
        <f t="shared" si="0"/>
        <v>0.21978021978021978</v>
      </c>
      <c r="E14" s="13">
        <v>85</v>
      </c>
      <c r="F14" s="12">
        <f t="shared" si="1"/>
        <v>-45</v>
      </c>
      <c r="G14" s="13">
        <f>VLOOKUP(B14,'Base Cobertura'!$A:$C,3,FALSE)</f>
        <v>182</v>
      </c>
      <c r="H14" s="13">
        <f>VLOOKUP(B14,'Base Cobertura'!$A:$C,2,FALSE)</f>
        <v>40</v>
      </c>
      <c r="I14" s="17">
        <f t="shared" si="2"/>
        <v>114.69999999999999</v>
      </c>
      <c r="J14" t="s">
        <v>55</v>
      </c>
      <c r="K14" t="s">
        <v>64</v>
      </c>
    </row>
    <row r="15" spans="1:21" ht="15.75" thickBot="1" x14ac:dyDescent="0.3">
      <c r="A15" s="94"/>
      <c r="C15" s="9"/>
      <c r="D15" s="23"/>
      <c r="E15" s="14"/>
      <c r="F15" s="16">
        <f>+SUM(F2:F14)</f>
        <v>-415</v>
      </c>
      <c r="G15" s="8">
        <f>+SUM(G2:G14)</f>
        <v>2228</v>
      </c>
      <c r="H15" s="8">
        <f>+SUM(H2:H14)</f>
        <v>464</v>
      </c>
      <c r="I15" s="8"/>
    </row>
    <row r="16" spans="1:21" x14ac:dyDescent="0.25">
      <c r="A16" s="95" t="s">
        <v>38</v>
      </c>
      <c r="B16">
        <v>31</v>
      </c>
      <c r="C16" s="12" t="str">
        <f>+AVANCE!B22</f>
        <v>31 - BARTSCHAT EMILIANO NAHUEL</v>
      </c>
      <c r="D16" s="22">
        <f t="shared" si="0"/>
        <v>0.29813664596273293</v>
      </c>
      <c r="E16" s="13">
        <v>90</v>
      </c>
      <c r="F16" s="12">
        <f t="shared" si="1"/>
        <v>-42</v>
      </c>
      <c r="G16" s="13">
        <f>VLOOKUP(B16,'Base Cobertura'!$A:$C,3,FALSE)</f>
        <v>161</v>
      </c>
      <c r="H16" s="13">
        <f>VLOOKUP(B16,'Base Cobertura'!$A:$C,2,FALSE)</f>
        <v>48</v>
      </c>
      <c r="I16" s="17">
        <f t="shared" si="2"/>
        <v>88.85</v>
      </c>
      <c r="J16" t="s">
        <v>55</v>
      </c>
      <c r="K16" t="s">
        <v>55</v>
      </c>
    </row>
    <row r="17" spans="1:11" x14ac:dyDescent="0.25">
      <c r="A17" s="93"/>
      <c r="B17">
        <v>54</v>
      </c>
      <c r="C17" s="13" t="str">
        <f>+AVANCE!B24</f>
        <v>54 - CAÑETE DIEGO</v>
      </c>
      <c r="D17" s="22">
        <f t="shared" si="0"/>
        <v>0.22277227722772278</v>
      </c>
      <c r="E17" s="13">
        <v>92</v>
      </c>
      <c r="F17" s="12">
        <f t="shared" si="1"/>
        <v>-47</v>
      </c>
      <c r="G17" s="13">
        <f>VLOOKUP(B17,'Base Cobertura'!$A:$C,3,FALSE)</f>
        <v>202</v>
      </c>
      <c r="H17" s="13">
        <f>VLOOKUP(B17,'Base Cobertura'!$A:$C,2,FALSE)</f>
        <v>45</v>
      </c>
      <c r="I17" s="17">
        <f t="shared" si="2"/>
        <v>126.69999999999999</v>
      </c>
      <c r="J17" t="s">
        <v>55</v>
      </c>
      <c r="K17" t="s">
        <v>63</v>
      </c>
    </row>
    <row r="18" spans="1:11" x14ac:dyDescent="0.25">
      <c r="A18" s="93"/>
      <c r="B18">
        <v>21</v>
      </c>
      <c r="C18" s="13" t="str">
        <f>+AVANCE!B20</f>
        <v>21 - CATAN MATIAS</v>
      </c>
      <c r="D18" s="22">
        <f t="shared" si="0"/>
        <v>0.3</v>
      </c>
      <c r="E18" s="13">
        <v>88</v>
      </c>
      <c r="F18" s="12">
        <f t="shared" si="1"/>
        <v>-37</v>
      </c>
      <c r="G18" s="13">
        <f>VLOOKUP(B18,'Base Cobertura'!$A:$C,3,FALSE)</f>
        <v>170</v>
      </c>
      <c r="H18" s="13">
        <f>VLOOKUP(B18,'Base Cobertura'!$A:$C,2,FALSE)</f>
        <v>51</v>
      </c>
      <c r="I18" s="17">
        <f t="shared" si="2"/>
        <v>93.5</v>
      </c>
      <c r="J18" t="s">
        <v>58</v>
      </c>
      <c r="K18" t="s">
        <v>55</v>
      </c>
    </row>
    <row r="19" spans="1:11" x14ac:dyDescent="0.25">
      <c r="A19" s="93"/>
      <c r="B19">
        <v>23</v>
      </c>
      <c r="C19" s="13" t="str">
        <f>+AVANCE!B21</f>
        <v>23 - DELGADO JOSÉ</v>
      </c>
      <c r="D19" s="22">
        <f t="shared" si="0"/>
        <v>0.33750000000000002</v>
      </c>
      <c r="E19" s="13">
        <v>95</v>
      </c>
      <c r="F19" s="12">
        <f t="shared" si="1"/>
        <v>-41</v>
      </c>
      <c r="G19" s="13">
        <f>VLOOKUP(B19,'Base Cobertura'!$A:$C,3,FALSE)</f>
        <v>160</v>
      </c>
      <c r="H19" s="13">
        <f>VLOOKUP(B19,'Base Cobertura'!$A:$C,2,FALSE)</f>
        <v>54</v>
      </c>
      <c r="I19" s="17">
        <f t="shared" si="2"/>
        <v>82</v>
      </c>
      <c r="J19" t="s">
        <v>58</v>
      </c>
      <c r="K19" t="s">
        <v>64</v>
      </c>
    </row>
    <row r="20" spans="1:11" x14ac:dyDescent="0.25">
      <c r="A20" s="93"/>
      <c r="B20">
        <v>18</v>
      </c>
      <c r="C20" s="13" t="str">
        <f>+AVANCE!B19</f>
        <v>18 - HERRERA PABLO</v>
      </c>
      <c r="D20" s="22">
        <f t="shared" si="0"/>
        <v>0.2824858757062147</v>
      </c>
      <c r="E20" s="13">
        <v>83</v>
      </c>
      <c r="F20" s="12">
        <f t="shared" si="1"/>
        <v>-33</v>
      </c>
      <c r="G20" s="13">
        <f>VLOOKUP(B20,'Base Cobertura'!$A:$C,3,FALSE)</f>
        <v>177</v>
      </c>
      <c r="H20" s="13">
        <f>VLOOKUP(B20,'Base Cobertura'!$A:$C,2,FALSE)</f>
        <v>50</v>
      </c>
      <c r="I20" s="17">
        <f t="shared" si="2"/>
        <v>100.44999999999999</v>
      </c>
      <c r="J20" t="s">
        <v>55</v>
      </c>
      <c r="K20" t="s">
        <v>55</v>
      </c>
    </row>
    <row r="21" spans="1:11" x14ac:dyDescent="0.25">
      <c r="A21" s="93"/>
      <c r="B21">
        <v>44</v>
      </c>
      <c r="C21" s="13" t="str">
        <f>+AVANCE!B23</f>
        <v>44 - MONGES CESAR LUIS</v>
      </c>
      <c r="D21" s="22">
        <f t="shared" si="0"/>
        <v>0.30769230769230771</v>
      </c>
      <c r="E21" s="13">
        <v>64</v>
      </c>
      <c r="F21" s="12">
        <f t="shared" si="1"/>
        <v>-12</v>
      </c>
      <c r="G21" s="13">
        <f>VLOOKUP(B21,'Base Cobertura'!$A:$C,3,FALSE)</f>
        <v>169</v>
      </c>
      <c r="H21" s="13">
        <f>VLOOKUP(B21,'Base Cobertura'!$A:$C,2,FALSE)</f>
        <v>52</v>
      </c>
      <c r="I21" s="17">
        <f t="shared" si="2"/>
        <v>91.65</v>
      </c>
      <c r="J21" t="s">
        <v>58</v>
      </c>
      <c r="K21" t="s">
        <v>64</v>
      </c>
    </row>
    <row r="22" spans="1:11" x14ac:dyDescent="0.25">
      <c r="A22" s="93"/>
      <c r="B22">
        <v>56</v>
      </c>
      <c r="C22" s="13" t="str">
        <f>+AVANCE!B25</f>
        <v>56 - JUAN ANDRES SANCHEZ</v>
      </c>
      <c r="D22" s="22">
        <f t="shared" si="0"/>
        <v>0</v>
      </c>
      <c r="E22" s="13">
        <v>66</v>
      </c>
      <c r="F22" s="12">
        <f t="shared" si="1"/>
        <v>-66</v>
      </c>
      <c r="G22" s="13">
        <f>VLOOKUP(B22,'Base Cobertura'!$A:$C,3,FALSE)</f>
        <v>198</v>
      </c>
      <c r="H22" s="13">
        <f>VLOOKUP(B22,'Base Cobertura'!$A:$C,2,FALSE)</f>
        <v>0</v>
      </c>
      <c r="I22" s="17">
        <f t="shared" si="2"/>
        <v>168.29999999999998</v>
      </c>
      <c r="J22" t="s">
        <v>58</v>
      </c>
      <c r="K22" t="s">
        <v>66</v>
      </c>
    </row>
    <row r="23" spans="1:11" x14ac:dyDescent="0.25">
      <c r="A23" s="93"/>
      <c r="B23">
        <v>2</v>
      </c>
      <c r="C23" s="13" t="str">
        <f>+AVANCE!B17</f>
        <v>2 - OJEDA NORBERTO</v>
      </c>
      <c r="D23" s="22">
        <f t="shared" si="0"/>
        <v>0.20289855072463769</v>
      </c>
      <c r="E23" s="13">
        <v>70</v>
      </c>
      <c r="F23" s="12">
        <f t="shared" si="1"/>
        <v>-42</v>
      </c>
      <c r="G23" s="13">
        <f>VLOOKUP(B23,'Base Cobertura'!$A:$C,3,FALSE)</f>
        <v>138</v>
      </c>
      <c r="H23" s="13">
        <f>VLOOKUP(B23,'Base Cobertura'!$A:$C,2,FALSE)</f>
        <v>28</v>
      </c>
      <c r="I23" s="17">
        <f t="shared" si="2"/>
        <v>89.3</v>
      </c>
      <c r="J23" t="s">
        <v>58</v>
      </c>
      <c r="K23" t="s">
        <v>67</v>
      </c>
    </row>
    <row r="24" spans="1:11" ht="15.75" thickBot="1" x14ac:dyDescent="0.3">
      <c r="A24" s="93"/>
      <c r="B24">
        <v>3</v>
      </c>
      <c r="C24" s="10" t="str">
        <f>+AVANCE!B18</f>
        <v>3 - VIDAL NAHUEL</v>
      </c>
      <c r="D24" s="22">
        <f t="shared" si="0"/>
        <v>0.22941176470588234</v>
      </c>
      <c r="E24" s="13">
        <v>79</v>
      </c>
      <c r="F24" s="12">
        <f t="shared" si="1"/>
        <v>-40</v>
      </c>
      <c r="G24" s="13">
        <f>VLOOKUP(B24,'Base Cobertura'!$A:$C,3,FALSE)</f>
        <v>170</v>
      </c>
      <c r="H24" s="13">
        <f>VLOOKUP(B24,'Base Cobertura'!$A:$C,2,FALSE)</f>
        <v>39</v>
      </c>
      <c r="I24" s="17">
        <f t="shared" si="2"/>
        <v>105.5</v>
      </c>
      <c r="J24" t="s">
        <v>60</v>
      </c>
      <c r="K24" t="s">
        <v>64</v>
      </c>
    </row>
    <row r="25" spans="1:11" ht="15.75" thickBot="1" x14ac:dyDescent="0.3">
      <c r="A25" s="94"/>
      <c r="C25" s="9"/>
      <c r="D25" s="23"/>
      <c r="E25" s="14"/>
      <c r="F25" s="16">
        <f>+SUM(F16:F24)</f>
        <v>-360</v>
      </c>
      <c r="G25" s="8">
        <f>+SUM(G16:G24)</f>
        <v>1545</v>
      </c>
      <c r="H25" s="8">
        <f>+SUM(H16:H24)</f>
        <v>367</v>
      </c>
      <c r="I25" s="8"/>
    </row>
    <row r="26" spans="1:11" x14ac:dyDescent="0.25">
      <c r="A26" s="95" t="s">
        <v>218</v>
      </c>
      <c r="B26">
        <v>32</v>
      </c>
      <c r="C26" s="12" t="str">
        <f>+AVANCE!B27</f>
        <v>32 - CABRAL GONZALO</v>
      </c>
      <c r="D26" s="22">
        <f t="shared" si="0"/>
        <v>0.14285714285714285</v>
      </c>
      <c r="E26" s="13">
        <v>20</v>
      </c>
      <c r="F26" s="12">
        <f>+H26-E26</f>
        <v>-12</v>
      </c>
      <c r="G26" s="13">
        <f>VLOOKUP(B26,'Base Cobertura'!$A:$C,3,FALSE)</f>
        <v>56</v>
      </c>
      <c r="H26" s="13">
        <f>VLOOKUP(B26,'Base Cobertura'!$A:$C,2,FALSE)</f>
        <v>8</v>
      </c>
      <c r="I26" s="17">
        <f t="shared" si="2"/>
        <v>39.6</v>
      </c>
      <c r="J26" t="s">
        <v>55</v>
      </c>
      <c r="K26" t="s">
        <v>67</v>
      </c>
    </row>
    <row r="27" spans="1:11" x14ac:dyDescent="0.25">
      <c r="A27" s="93"/>
      <c r="B27">
        <v>36</v>
      </c>
      <c r="C27" s="12" t="str">
        <f>+AVANCE!B28</f>
        <v>36 - COSARINSKI DIEGO</v>
      </c>
      <c r="D27" s="22">
        <f t="shared" si="0"/>
        <v>0.21153846153846154</v>
      </c>
      <c r="E27" s="13">
        <v>68</v>
      </c>
      <c r="F27" s="12">
        <f t="shared" si="1"/>
        <v>-35</v>
      </c>
      <c r="G27" s="13">
        <f>VLOOKUP(B27,'Base Cobertura'!$A:$C,3,FALSE)</f>
        <v>156</v>
      </c>
      <c r="H27" s="13">
        <f>VLOOKUP(B27,'Base Cobertura'!$A:$C,2,FALSE)</f>
        <v>33</v>
      </c>
      <c r="I27" s="17">
        <f t="shared" si="2"/>
        <v>99.6</v>
      </c>
      <c r="J27" t="s">
        <v>58</v>
      </c>
      <c r="K27" t="s">
        <v>67</v>
      </c>
    </row>
    <row r="28" spans="1:11" x14ac:dyDescent="0.25">
      <c r="A28" s="93"/>
      <c r="B28">
        <v>9</v>
      </c>
      <c r="C28" s="12" t="str">
        <f>+AVANCE!B29</f>
        <v>9 - ESTIGARRIBIA DAVID</v>
      </c>
      <c r="D28" s="22">
        <f t="shared" si="0"/>
        <v>0.21739130434782608</v>
      </c>
      <c r="E28" s="13">
        <v>80</v>
      </c>
      <c r="F28" s="12">
        <f t="shared" si="1"/>
        <v>-45</v>
      </c>
      <c r="G28" s="13">
        <f>VLOOKUP(B28,'Base Cobertura'!$A:$C,3,FALSE)</f>
        <v>161</v>
      </c>
      <c r="H28" s="13">
        <f>VLOOKUP(B28,'Base Cobertura'!$A:$C,2,FALSE)</f>
        <v>35</v>
      </c>
      <c r="I28" s="17">
        <f t="shared" si="2"/>
        <v>101.85</v>
      </c>
      <c r="J28" t="s">
        <v>58</v>
      </c>
      <c r="K28" t="s">
        <v>55</v>
      </c>
    </row>
    <row r="29" spans="1:11" x14ac:dyDescent="0.25">
      <c r="A29" s="93"/>
      <c r="B29">
        <v>40</v>
      </c>
      <c r="C29" s="12" t="str">
        <f>+AVANCE!B30</f>
        <v>40 - IBARROLA JORGE</v>
      </c>
      <c r="D29" s="22">
        <f t="shared" si="0"/>
        <v>0.10441767068273092</v>
      </c>
      <c r="E29" s="13">
        <v>68</v>
      </c>
      <c r="F29" s="12">
        <f t="shared" si="1"/>
        <v>-42</v>
      </c>
      <c r="G29" s="13">
        <f>VLOOKUP(B29,'Base Cobertura'!$A:$C,3,FALSE)</f>
        <v>249</v>
      </c>
      <c r="H29" s="13">
        <f>VLOOKUP(B29,'Base Cobertura'!$A:$C,2,FALSE)</f>
        <v>26</v>
      </c>
      <c r="I29" s="17">
        <f t="shared" si="2"/>
        <v>185.65</v>
      </c>
      <c r="J29" t="s">
        <v>58</v>
      </c>
      <c r="K29" t="s">
        <v>67</v>
      </c>
    </row>
    <row r="30" spans="1:11" x14ac:dyDescent="0.25">
      <c r="A30" s="93"/>
      <c r="B30">
        <v>27</v>
      </c>
      <c r="C30" s="12" t="str">
        <f>+AVANCE!B31</f>
        <v>27 - GOMEZ ADRIÁN</v>
      </c>
      <c r="D30" s="22">
        <f t="shared" si="0"/>
        <v>0.23571428571428571</v>
      </c>
      <c r="E30" s="13">
        <v>73</v>
      </c>
      <c r="F30" s="12">
        <f t="shared" si="1"/>
        <v>-40</v>
      </c>
      <c r="G30" s="13">
        <f>VLOOKUP(B30,'Base Cobertura'!$A:$C,3,FALSE)</f>
        <v>140</v>
      </c>
      <c r="H30" s="13">
        <f>VLOOKUP(B30,'Base Cobertura'!$A:$C,2,FALSE)</f>
        <v>33</v>
      </c>
      <c r="I30" s="17">
        <f t="shared" si="2"/>
        <v>86</v>
      </c>
      <c r="J30" t="s">
        <v>55</v>
      </c>
      <c r="K30" t="s">
        <v>67</v>
      </c>
    </row>
    <row r="31" spans="1:11" x14ac:dyDescent="0.25">
      <c r="A31" s="93"/>
      <c r="B31">
        <v>10</v>
      </c>
      <c r="C31" s="12" t="str">
        <f>+AVANCE!B32</f>
        <v>10 - BRITEZ EMMANUEL</v>
      </c>
      <c r="D31" s="22">
        <f t="shared" si="0"/>
        <v>0.17679558011049723</v>
      </c>
      <c r="E31" s="13">
        <v>40</v>
      </c>
      <c r="F31" s="12">
        <f t="shared" si="1"/>
        <v>-8</v>
      </c>
      <c r="G31" s="13">
        <f>VLOOKUP(B31,'Base Cobertura'!$A:$C,3,FALSE)</f>
        <v>181</v>
      </c>
      <c r="H31" s="13">
        <f>VLOOKUP(B31,'Base Cobertura'!$A:$C,2,FALSE)</f>
        <v>32</v>
      </c>
      <c r="I31" s="17">
        <f t="shared" si="2"/>
        <v>121.85</v>
      </c>
      <c r="J31" t="s">
        <v>58</v>
      </c>
      <c r="K31" t="s">
        <v>67</v>
      </c>
    </row>
    <row r="32" spans="1:11" x14ac:dyDescent="0.25">
      <c r="A32" s="93"/>
      <c r="B32">
        <v>28</v>
      </c>
      <c r="C32" s="12" t="str">
        <f>+AVANCE!B33</f>
        <v>28 - GOMEZ PABLO</v>
      </c>
      <c r="D32" s="22">
        <f t="shared" si="0"/>
        <v>0.21428571428571427</v>
      </c>
      <c r="E32" s="13">
        <v>67</v>
      </c>
      <c r="F32" s="12">
        <f t="shared" si="1"/>
        <v>-31</v>
      </c>
      <c r="G32" s="13">
        <f>VLOOKUP(B32,'Base Cobertura'!$A:$C,3,FALSE)</f>
        <v>168</v>
      </c>
      <c r="H32" s="13">
        <f>VLOOKUP(B32,'Base Cobertura'!$A:$C,2,FALSE)</f>
        <v>36</v>
      </c>
      <c r="I32" s="17">
        <f t="shared" si="2"/>
        <v>106.79999999999998</v>
      </c>
      <c r="J32" t="s">
        <v>58</v>
      </c>
      <c r="K32" t="s">
        <v>67</v>
      </c>
    </row>
    <row r="33" spans="1:12" x14ac:dyDescent="0.25">
      <c r="A33" s="93"/>
      <c r="B33">
        <v>33</v>
      </c>
      <c r="C33" s="12" t="str">
        <f>+AVANCE!B34</f>
        <v>33 - NICOLAS AZULA</v>
      </c>
      <c r="D33" s="22">
        <f t="shared" si="0"/>
        <v>0.23837209302325582</v>
      </c>
      <c r="E33" s="13">
        <v>66</v>
      </c>
      <c r="F33" s="12">
        <f t="shared" si="1"/>
        <v>-25</v>
      </c>
      <c r="G33" s="13">
        <f>VLOOKUP(B33,'Base Cobertura'!$A:$C,3,FALSE)</f>
        <v>172</v>
      </c>
      <c r="H33" s="13">
        <f>VLOOKUP(B33,'Base Cobertura'!$A:$C,2,FALSE)</f>
        <v>41</v>
      </c>
      <c r="I33" s="17">
        <f t="shared" si="2"/>
        <v>105.19999999999999</v>
      </c>
      <c r="J33" t="s">
        <v>58</v>
      </c>
      <c r="K33" t="s">
        <v>67</v>
      </c>
    </row>
    <row r="34" spans="1:12" x14ac:dyDescent="0.25">
      <c r="A34" s="93"/>
      <c r="B34">
        <v>37</v>
      </c>
      <c r="C34" s="12" t="str">
        <f>+AVANCE!B35</f>
        <v>37 - PEREZ ESQUIVEL BRUNO NICOLAS</v>
      </c>
      <c r="D34" s="22">
        <f t="shared" si="0"/>
        <v>9.2198581560283682E-2</v>
      </c>
      <c r="E34" s="13">
        <v>82</v>
      </c>
      <c r="F34" s="12">
        <f t="shared" si="1"/>
        <v>-69</v>
      </c>
      <c r="G34" s="13">
        <f>VLOOKUP(B34,'Base Cobertura'!$A:$C,3,FALSE)</f>
        <v>141</v>
      </c>
      <c r="H34" s="13">
        <f>VLOOKUP(B34,'Base Cobertura'!$A:$C,2,FALSE)</f>
        <v>13</v>
      </c>
      <c r="I34" s="17">
        <f t="shared" si="2"/>
        <v>106.85</v>
      </c>
      <c r="J34" t="s">
        <v>55</v>
      </c>
      <c r="K34" t="s">
        <v>67</v>
      </c>
    </row>
    <row r="35" spans="1:12" x14ac:dyDescent="0.25">
      <c r="A35" s="93"/>
      <c r="B35">
        <v>24</v>
      </c>
      <c r="C35" s="12" t="str">
        <f>+AVANCE!B36</f>
        <v>24 - MARTINEZ JORGE NICOLAS</v>
      </c>
      <c r="D35" s="22">
        <f t="shared" si="0"/>
        <v>0.17415730337078653</v>
      </c>
      <c r="E35" s="13">
        <v>81</v>
      </c>
      <c r="F35" s="12">
        <f t="shared" si="1"/>
        <v>-50</v>
      </c>
      <c r="G35" s="13">
        <f>VLOOKUP(B35,'Base Cobertura'!$A:$C,3,FALSE)</f>
        <v>178</v>
      </c>
      <c r="H35" s="13">
        <f>VLOOKUP(B35,'Base Cobertura'!$A:$C,2,FALSE)</f>
        <v>31</v>
      </c>
      <c r="I35" s="17">
        <f t="shared" si="2"/>
        <v>120.29999999999998</v>
      </c>
      <c r="J35" t="s">
        <v>58</v>
      </c>
      <c r="K35" t="s">
        <v>67</v>
      </c>
    </row>
    <row r="36" spans="1:12" x14ac:dyDescent="0.25">
      <c r="A36" s="93"/>
      <c r="B36">
        <v>7</v>
      </c>
      <c r="C36" s="12" t="str">
        <f>+AVANCE!B37</f>
        <v>7 - VALLEJOS EDUARDO</v>
      </c>
      <c r="D36" s="22">
        <f t="shared" si="0"/>
        <v>8.8495575221238937E-3</v>
      </c>
      <c r="E36" s="13">
        <v>0</v>
      </c>
      <c r="F36" s="12">
        <f t="shared" si="1"/>
        <v>1</v>
      </c>
      <c r="G36" s="13">
        <f>VLOOKUP(B36,'Base Cobertura'!$A:$C,3,FALSE)</f>
        <v>113</v>
      </c>
      <c r="H36" s="13">
        <f>VLOOKUP(B36,'Base Cobertura'!$A:$C,2,FALSE)</f>
        <v>1</v>
      </c>
      <c r="I36" s="17">
        <f t="shared" si="2"/>
        <v>95.05</v>
      </c>
      <c r="J36" t="s">
        <v>58</v>
      </c>
    </row>
    <row r="37" spans="1:12" x14ac:dyDescent="0.25">
      <c r="A37" s="93"/>
      <c r="B37">
        <v>57</v>
      </c>
      <c r="C37" s="12" t="str">
        <f>+AVANCE!B38</f>
        <v>57 - ROUBINEAU SEBASTIAN</v>
      </c>
      <c r="D37" s="22">
        <f t="shared" si="0"/>
        <v>9.7087378640776691E-3</v>
      </c>
      <c r="E37" s="13">
        <v>17</v>
      </c>
      <c r="F37" s="12">
        <f t="shared" si="1"/>
        <v>-16</v>
      </c>
      <c r="G37" s="13">
        <f>VLOOKUP(B37,'Base Cobertura'!$A:$C,3,FALSE)</f>
        <v>103</v>
      </c>
      <c r="H37" s="13">
        <f>VLOOKUP(B37,'Base Cobertura'!$A:$C,2,FALSE)</f>
        <v>1</v>
      </c>
      <c r="I37" s="17">
        <f t="shared" si="2"/>
        <v>86.55</v>
      </c>
      <c r="J37" t="s">
        <v>59</v>
      </c>
    </row>
    <row r="38" spans="1:12" ht="15.75" thickBot="1" x14ac:dyDescent="0.3">
      <c r="A38" s="93"/>
      <c r="B38">
        <v>1</v>
      </c>
      <c r="C38" s="12" t="str">
        <f>+AVANCE!B39</f>
        <v>1 - VERA ERNESTO</v>
      </c>
      <c r="D38" s="22">
        <f t="shared" si="0"/>
        <v>0.29133858267716534</v>
      </c>
      <c r="E38" s="13">
        <v>60</v>
      </c>
      <c r="F38" s="12">
        <f t="shared" si="1"/>
        <v>-23</v>
      </c>
      <c r="G38" s="13">
        <f>VLOOKUP(B38,'Base Cobertura'!$A:$C,3,FALSE)</f>
        <v>127</v>
      </c>
      <c r="H38" s="13">
        <f>VLOOKUP(B38,'Base Cobertura'!$A:$C,2,FALSE)</f>
        <v>37</v>
      </c>
      <c r="I38" s="17">
        <f t="shared" si="2"/>
        <v>70.95</v>
      </c>
      <c r="J38" t="s">
        <v>55</v>
      </c>
      <c r="K38" t="s">
        <v>55</v>
      </c>
    </row>
    <row r="39" spans="1:12" ht="15.75" thickBot="1" x14ac:dyDescent="0.3">
      <c r="A39" s="94"/>
      <c r="C39" s="9"/>
      <c r="D39" s="23"/>
      <c r="E39" s="14"/>
      <c r="F39" s="8">
        <f>+SUM(F26:F38)</f>
        <v>-395</v>
      </c>
      <c r="G39" s="8">
        <f>+SUM(G26:G38)</f>
        <v>1945</v>
      </c>
      <c r="H39" s="8">
        <f>+SUM(H26:H38)</f>
        <v>327</v>
      </c>
      <c r="I39" s="8"/>
      <c r="L39" t="s">
        <v>68</v>
      </c>
    </row>
    <row r="40" spans="1:12" x14ac:dyDescent="0.25">
      <c r="A40" s="11" t="s">
        <v>42</v>
      </c>
      <c r="C40" s="11"/>
      <c r="D40" s="24"/>
      <c r="E40" s="6"/>
      <c r="F40" s="8">
        <f>+SUM(F39+F25+F15)</f>
        <v>-1170</v>
      </c>
      <c r="G40" s="8">
        <f>+G15+G25+G39</f>
        <v>5718</v>
      </c>
      <c r="H40" s="8">
        <f>+H15+H25+H39</f>
        <v>1158</v>
      </c>
      <c r="I40" s="8"/>
      <c r="L40" s="1">
        <f>+H40/G40</f>
        <v>0.20251836306400839</v>
      </c>
    </row>
    <row r="41" spans="1:12" x14ac:dyDescent="0.25">
      <c r="B41">
        <v>58</v>
      </c>
      <c r="C41" s="13" t="str">
        <f>+AVANCE!B43</f>
        <v>58 - BLADIMIR LEZCANO</v>
      </c>
      <c r="D41" s="22">
        <f t="shared" ref="D41:D42" si="4">H41/G41</f>
        <v>0</v>
      </c>
      <c r="E41" s="13">
        <v>60</v>
      </c>
      <c r="F41" s="12">
        <f t="shared" ref="F41:F42" si="5">+H41-E41</f>
        <v>-60</v>
      </c>
      <c r="G41" s="13">
        <f>VLOOKUP(B41,'Base Cobertura'!$A:$C,3,FALSE)</f>
        <v>120</v>
      </c>
      <c r="H41" s="13">
        <f>VLOOKUP(B41,'Base Cobertura'!$A:$C,2,FALSE)</f>
        <v>0</v>
      </c>
      <c r="I41" s="17">
        <f t="shared" ref="I41:I42" si="6">(+G41*$M$2)-H41</f>
        <v>102</v>
      </c>
    </row>
    <row r="42" spans="1:12" x14ac:dyDescent="0.25">
      <c r="B42">
        <v>59</v>
      </c>
      <c r="C42" s="13" t="str">
        <f>+AVANCE!B44</f>
        <v>59 - LEIVA SILVIO</v>
      </c>
      <c r="D42" s="22">
        <f t="shared" si="4"/>
        <v>0</v>
      </c>
      <c r="E42" s="13">
        <v>60</v>
      </c>
      <c r="F42" s="12">
        <f t="shared" si="5"/>
        <v>-60</v>
      </c>
      <c r="G42" s="13">
        <f>VLOOKUP(B42,'Base Cobertura'!$A:$C,3,FALSE)</f>
        <v>119</v>
      </c>
      <c r="H42" s="13">
        <f>VLOOKUP(B42,'Base Cobertura'!$A:$C,2,FALSE)</f>
        <v>0</v>
      </c>
      <c r="I42" s="17">
        <f t="shared" si="6"/>
        <v>101.14999999999999</v>
      </c>
    </row>
  </sheetData>
  <autoFilter ref="C1:N40" xr:uid="{00000000-0001-0000-0500-000000000000}"/>
  <mergeCells count="3">
    <mergeCell ref="A2:A15"/>
    <mergeCell ref="A16:A25"/>
    <mergeCell ref="A26:A39"/>
  </mergeCells>
  <conditionalFormatting sqref="D2:D14">
    <cfRule type="iconSet" priority="6">
      <iconSet iconSet="3Arrows">
        <cfvo type="percent" val="0"/>
        <cfvo type="percent" val="33"/>
        <cfvo type="percent" val="67"/>
      </iconSet>
    </cfRule>
  </conditionalFormatting>
  <conditionalFormatting sqref="D16:D24">
    <cfRule type="iconSet" priority="3">
      <iconSet iconSet="3Arrows">
        <cfvo type="percent" val="0"/>
        <cfvo type="percent" val="33"/>
        <cfvo type="percent" val="67"/>
      </iconSet>
    </cfRule>
  </conditionalFormatting>
  <conditionalFormatting sqref="D26:D38">
    <cfRule type="iconSet" priority="2">
      <iconSet iconSet="3Arrows">
        <cfvo type="percent" val="0"/>
        <cfvo type="percent" val="33"/>
        <cfvo type="percent" val="67"/>
      </iconSet>
    </cfRule>
  </conditionalFormatting>
  <conditionalFormatting sqref="D41:D42">
    <cfRule type="iconSet" priority="1">
      <iconSet iconSet="3Arrows">
        <cfvo type="percent" val="0"/>
        <cfvo type="percent" val="33"/>
        <cfvo type="percent" val="67"/>
      </iconSet>
    </cfRule>
  </conditionalFormatting>
  <dataValidations count="1">
    <dataValidation type="list" allowBlank="1" showInputMessage="1" showErrorMessage="1" sqref="P2" xr:uid="{5194BFE1-80DD-4D0E-B7F8-7B3CCE97CF1A}">
      <formula1>$B:$B</formula1>
    </dataValidation>
  </dataValidations>
  <pageMargins left="0.7" right="0.7" top="0.75" bottom="0.75" header="0.3" footer="0.3"/>
  <pageSetup orientation="portrait" r:id="rId1"/>
  <ignoredErrors>
    <ignoredError sqref="F15 F25" formula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8266A7-E820-4ED8-B174-FEA4C003CCEA}">
  <dimension ref="A1:C41"/>
  <sheetViews>
    <sheetView topLeftCell="B1" zoomScale="80" zoomScaleNormal="80" workbookViewId="0">
      <selection activeCell="B39" sqref="B39"/>
    </sheetView>
  </sheetViews>
  <sheetFormatPr baseColWidth="10" defaultRowHeight="15" x14ac:dyDescent="0.25"/>
  <cols>
    <col min="1" max="1" width="0" hidden="1" customWidth="1"/>
    <col min="2" max="2" width="47.85546875" bestFit="1" customWidth="1"/>
    <col min="3" max="3" width="29.7109375" style="45" bestFit="1" customWidth="1"/>
  </cols>
  <sheetData>
    <row r="1" spans="1:3" ht="15.75" thickBot="1" x14ac:dyDescent="0.3">
      <c r="B1" s="43" t="s">
        <v>30</v>
      </c>
      <c r="C1" s="49" t="s">
        <v>138</v>
      </c>
    </row>
    <row r="2" spans="1:3" ht="16.5" thickBot="1" x14ac:dyDescent="0.3">
      <c r="A2">
        <v>20</v>
      </c>
      <c r="B2" s="36" t="s">
        <v>95</v>
      </c>
      <c r="C2" s="46">
        <f>IFERROR(VLOOKUP(A2,'Base venta C'!$E:$P,12,FALSE),"0")*1</f>
        <v>343887.46</v>
      </c>
    </row>
    <row r="3" spans="1:3" ht="16.5" thickBot="1" x14ac:dyDescent="0.3">
      <c r="A3">
        <v>19</v>
      </c>
      <c r="B3" s="36" t="s">
        <v>94</v>
      </c>
      <c r="C3" s="46">
        <f>IFERROR(VLOOKUP(A3,'Base venta C'!$E:$P,12,FALSE),"0")*1</f>
        <v>365262.82</v>
      </c>
    </row>
    <row r="4" spans="1:3" ht="16.5" thickBot="1" x14ac:dyDescent="0.3">
      <c r="A4">
        <v>16</v>
      </c>
      <c r="B4" s="36" t="s">
        <v>92</v>
      </c>
      <c r="C4" s="46">
        <f>IFERROR(VLOOKUP(A4,'Base venta C'!$E:$P,12,FALSE),"0")*1</f>
        <v>271002.40000000002</v>
      </c>
    </row>
    <row r="5" spans="1:3" ht="16.5" thickBot="1" x14ac:dyDescent="0.3">
      <c r="A5">
        <v>12</v>
      </c>
      <c r="B5" s="36" t="s">
        <v>90</v>
      </c>
      <c r="C5" s="46">
        <f>IFERROR(VLOOKUP(A5,'Base venta C'!$E:$P,12,FALSE),"0")*1</f>
        <v>284624.48</v>
      </c>
    </row>
    <row r="6" spans="1:3" ht="16.5" thickBot="1" x14ac:dyDescent="0.3">
      <c r="A6">
        <v>11</v>
      </c>
      <c r="B6" s="36" t="s">
        <v>89</v>
      </c>
      <c r="C6" s="46">
        <f>IFERROR(VLOOKUP(A6,'Base venta C'!$E:$P,12,FALSE),"0")*1</f>
        <v>166886.04999999999</v>
      </c>
    </row>
    <row r="7" spans="1:3" ht="16.5" thickBot="1" x14ac:dyDescent="0.3">
      <c r="A7">
        <v>8</v>
      </c>
      <c r="B7" s="36" t="s">
        <v>86</v>
      </c>
      <c r="C7" s="46">
        <f>IFERROR(VLOOKUP(A7,'Base venta C'!$E:$P,12,FALSE),"0")*1</f>
        <v>284846.64</v>
      </c>
    </row>
    <row r="8" spans="1:3" ht="16.5" thickBot="1" x14ac:dyDescent="0.3">
      <c r="A8">
        <v>5</v>
      </c>
      <c r="B8" s="36" t="s">
        <v>85</v>
      </c>
      <c r="C8" s="46">
        <f>IFERROR(VLOOKUP(A8,'Base venta C'!$E:$P,12,FALSE),"0")*1</f>
        <v>322216.7</v>
      </c>
    </row>
    <row r="9" spans="1:3" ht="15.75" x14ac:dyDescent="0.25">
      <c r="A9">
        <v>4</v>
      </c>
      <c r="B9" s="36" t="s">
        <v>84</v>
      </c>
      <c r="C9" s="46">
        <f>IFERROR(VLOOKUP(A9,'Base venta C'!$E:$P,12,FALSE),"0")*1</f>
        <v>875228.78</v>
      </c>
    </row>
    <row r="10" spans="1:3" ht="16.5" thickBot="1" x14ac:dyDescent="0.3">
      <c r="B10" s="18" t="s">
        <v>51</v>
      </c>
      <c r="C10" s="50"/>
    </row>
    <row r="11" spans="1:3" ht="16.5" thickBot="1" x14ac:dyDescent="0.3">
      <c r="A11">
        <v>22</v>
      </c>
      <c r="B11" s="36" t="s">
        <v>97</v>
      </c>
      <c r="C11" s="46">
        <f>IFERROR(VLOOKUP(A11,'Base venta C'!$E:$P,12,FALSE),"0")*1</f>
        <v>270784.37</v>
      </c>
    </row>
    <row r="12" spans="1:3" ht="16.5" thickBot="1" x14ac:dyDescent="0.3">
      <c r="A12">
        <v>49</v>
      </c>
      <c r="B12" s="36" t="s">
        <v>107</v>
      </c>
      <c r="C12" s="46">
        <f>IFERROR(VLOOKUP(A12,'Base venta C'!$E:$P,12,FALSE),"0")*1</f>
        <v>76349.440000000002</v>
      </c>
    </row>
    <row r="13" spans="1:3" ht="16.5" thickBot="1" x14ac:dyDescent="0.3">
      <c r="A13">
        <v>15</v>
      </c>
      <c r="B13" s="36" t="s">
        <v>91</v>
      </c>
      <c r="C13" s="46">
        <f>IFERROR(VLOOKUP(A13,'Base venta C'!$E:$P,12,FALSE),"0")*1</f>
        <v>1329007.27</v>
      </c>
    </row>
    <row r="14" spans="1:3" ht="16.5" thickBot="1" x14ac:dyDescent="0.3">
      <c r="A14">
        <v>52</v>
      </c>
      <c r="B14" s="36" t="s">
        <v>112</v>
      </c>
      <c r="C14" s="46">
        <f>IFERROR(VLOOKUP(A14,'Base venta C'!$E:$P,12,FALSE),"0")*1</f>
        <v>155315.73000000001</v>
      </c>
    </row>
    <row r="15" spans="1:3" ht="15.75" x14ac:dyDescent="0.25">
      <c r="A15">
        <v>53</v>
      </c>
      <c r="B15" s="36" t="s">
        <v>108</v>
      </c>
      <c r="C15" s="46">
        <f>IFERROR(VLOOKUP(A15,'Base venta C'!$E:$P,12,FALSE),"0")*1</f>
        <v>833691.44</v>
      </c>
    </row>
    <row r="16" spans="1:3" ht="16.5" thickBot="1" x14ac:dyDescent="0.3">
      <c r="B16" s="18" t="s">
        <v>52</v>
      </c>
      <c r="C16" s="50"/>
    </row>
    <row r="17" spans="1:3" ht="16.5" thickBot="1" x14ac:dyDescent="0.3">
      <c r="A17">
        <v>2</v>
      </c>
      <c r="B17" s="19" t="s">
        <v>82</v>
      </c>
      <c r="C17" s="46">
        <f>IFERROR(VLOOKUP(A17,'Base venta C'!$E:$P,12,FALSE),"0")*1</f>
        <v>355809.05</v>
      </c>
    </row>
    <row r="18" spans="1:3" ht="16.5" thickBot="1" x14ac:dyDescent="0.3">
      <c r="A18">
        <v>3</v>
      </c>
      <c r="B18" s="19" t="s">
        <v>83</v>
      </c>
      <c r="C18" s="46">
        <f>IFERROR(VLOOKUP(A18,'Base venta C'!$E:$P,12,FALSE),"0")*1</f>
        <v>461503.95</v>
      </c>
    </row>
    <row r="19" spans="1:3" ht="16.5" thickBot="1" x14ac:dyDescent="0.3">
      <c r="A19">
        <v>18</v>
      </c>
      <c r="B19" s="19" t="s">
        <v>93</v>
      </c>
      <c r="C19" s="46">
        <f>IFERROR(VLOOKUP(A19,'Base venta C'!$E:$P,12,FALSE),"0")*1</f>
        <v>465462.81</v>
      </c>
    </row>
    <row r="20" spans="1:3" ht="16.5" thickBot="1" x14ac:dyDescent="0.3">
      <c r="A20">
        <v>21</v>
      </c>
      <c r="B20" s="19" t="s">
        <v>96</v>
      </c>
      <c r="C20" s="46">
        <f>IFERROR(VLOOKUP(A20,'Base venta C'!$E:$P,12,FALSE),"0")*1</f>
        <v>300786.17</v>
      </c>
    </row>
    <row r="21" spans="1:3" ht="16.5" thickBot="1" x14ac:dyDescent="0.3">
      <c r="A21">
        <v>23</v>
      </c>
      <c r="B21" s="19" t="s">
        <v>98</v>
      </c>
      <c r="C21" s="46">
        <f>IFERROR(VLOOKUP(A21,'Base venta C'!$E:$P,12,FALSE),"0")*1</f>
        <v>517438.51</v>
      </c>
    </row>
    <row r="22" spans="1:3" ht="16.5" thickBot="1" x14ac:dyDescent="0.3">
      <c r="A22">
        <v>31</v>
      </c>
      <c r="B22" s="19" t="s">
        <v>101</v>
      </c>
      <c r="C22" s="46">
        <f>IFERROR(VLOOKUP(A22,'Base venta C'!$E:$P,12,FALSE),"0")*1</f>
        <v>346898.23</v>
      </c>
    </row>
    <row r="23" spans="1:3" ht="16.5" thickBot="1" x14ac:dyDescent="0.3">
      <c r="A23">
        <v>44</v>
      </c>
      <c r="B23" s="19" t="s">
        <v>106</v>
      </c>
      <c r="C23" s="46">
        <f>IFERROR(VLOOKUP(A23,'Base venta C'!$E:$P,12,FALSE),"0")*1</f>
        <v>475747.4</v>
      </c>
    </row>
    <row r="24" spans="1:3" ht="16.5" thickBot="1" x14ac:dyDescent="0.3">
      <c r="A24">
        <v>54</v>
      </c>
      <c r="B24" s="19" t="s">
        <v>109</v>
      </c>
      <c r="C24" s="46">
        <f>IFERROR(VLOOKUP(A24,'Base venta C'!$E:$P,12,FALSE),"0")*1</f>
        <v>394891.73</v>
      </c>
    </row>
    <row r="25" spans="1:3" ht="15.75" x14ac:dyDescent="0.25">
      <c r="A25">
        <v>56</v>
      </c>
      <c r="B25" s="19" t="s">
        <v>140</v>
      </c>
      <c r="C25" s="46">
        <f>IFERROR(VLOOKUP(A25,'Base venta C'!$E:$P,12,FALSE),"0")*1</f>
        <v>254599.35</v>
      </c>
    </row>
    <row r="26" spans="1:3" ht="16.5" thickBot="1" x14ac:dyDescent="0.3">
      <c r="B26" s="20" t="s">
        <v>38</v>
      </c>
      <c r="C26" s="50"/>
    </row>
    <row r="27" spans="1:3" ht="16.5" thickBot="1" x14ac:dyDescent="0.3">
      <c r="A27">
        <v>32</v>
      </c>
      <c r="B27" s="37" t="s">
        <v>102</v>
      </c>
      <c r="C27" s="46">
        <f>IFERROR(VLOOKUP(A27,'Base venta C'!$E:$P,12,FALSE),"0")*1</f>
        <v>357064.39</v>
      </c>
    </row>
    <row r="28" spans="1:3" ht="16.5" thickBot="1" x14ac:dyDescent="0.3">
      <c r="A28">
        <v>36</v>
      </c>
      <c r="B28" s="36" t="s">
        <v>103</v>
      </c>
      <c r="C28" s="46">
        <f>IFERROR(VLOOKUP(A28,'Base venta C'!$E:$P,12,FALSE),"0")*1</f>
        <v>228911.14</v>
      </c>
    </row>
    <row r="29" spans="1:3" ht="16.5" thickBot="1" x14ac:dyDescent="0.3">
      <c r="A29">
        <v>9</v>
      </c>
      <c r="B29" s="36" t="s">
        <v>87</v>
      </c>
      <c r="C29" s="46">
        <f>IFERROR(VLOOKUP(A29,'Base venta C'!$E:$P,12,FALSE),"0")*1</f>
        <v>449396.93</v>
      </c>
    </row>
    <row r="30" spans="1:3" ht="16.5" thickBot="1" x14ac:dyDescent="0.3">
      <c r="A30">
        <v>40</v>
      </c>
      <c r="B30" s="36" t="s">
        <v>105</v>
      </c>
      <c r="C30" s="46">
        <f>IFERROR(VLOOKUP(A30,'Base venta C'!$E:$P,12,FALSE),"0")*1</f>
        <v>259074.86</v>
      </c>
    </row>
    <row r="31" spans="1:3" ht="16.5" thickBot="1" x14ac:dyDescent="0.3">
      <c r="A31">
        <v>27</v>
      </c>
      <c r="B31" s="36" t="s">
        <v>99</v>
      </c>
      <c r="C31" s="46">
        <f>IFERROR(VLOOKUP(A31,'Base venta C'!$E:$P,12,FALSE),"0")*1</f>
        <v>315929.46999999997</v>
      </c>
    </row>
    <row r="32" spans="1:3" ht="16.5" thickBot="1" x14ac:dyDescent="0.3">
      <c r="A32">
        <v>10</v>
      </c>
      <c r="B32" s="36" t="s">
        <v>88</v>
      </c>
      <c r="C32" s="46">
        <f>IFERROR(VLOOKUP(A32,'Base venta C'!$E:$P,12,FALSE),"0")*1</f>
        <v>385757.33</v>
      </c>
    </row>
    <row r="33" spans="1:3" ht="16.5" thickBot="1" x14ac:dyDescent="0.3">
      <c r="A33">
        <v>28</v>
      </c>
      <c r="B33" s="36" t="s">
        <v>100</v>
      </c>
      <c r="C33" s="46">
        <f>IFERROR(VLOOKUP(A33,'Base venta C'!$E:$P,12,FALSE),"0")*1</f>
        <v>216785.26</v>
      </c>
    </row>
    <row r="34" spans="1:3" ht="16.5" thickBot="1" x14ac:dyDescent="0.3">
      <c r="A34">
        <v>33</v>
      </c>
      <c r="B34" s="36" t="s">
        <v>139</v>
      </c>
      <c r="C34" s="46">
        <f>IFERROR(VLOOKUP(A34,'Base venta C'!$E:$P,12,FALSE),"0")*1</f>
        <v>218111.24</v>
      </c>
    </row>
    <row r="35" spans="1:3" ht="16.5" thickBot="1" x14ac:dyDescent="0.3">
      <c r="A35">
        <v>37</v>
      </c>
      <c r="B35" s="19" t="s">
        <v>104</v>
      </c>
      <c r="C35" s="46">
        <f>IFERROR(VLOOKUP(A35,'Base venta C'!$E:$P,12,FALSE),"0")*1</f>
        <v>160532.76</v>
      </c>
    </row>
    <row r="36" spans="1:3" ht="16.5" thickBot="1" x14ac:dyDescent="0.3">
      <c r="A36">
        <v>24</v>
      </c>
      <c r="B36" s="36" t="s">
        <v>113</v>
      </c>
      <c r="C36" s="46">
        <f>IFERROR(VLOOKUP(A36,'Base venta C'!$E:$P,12,FALSE),"0")*1</f>
        <v>294217.65999999997</v>
      </c>
    </row>
    <row r="37" spans="1:3" ht="16.5" thickBot="1" x14ac:dyDescent="0.3">
      <c r="A37">
        <v>7</v>
      </c>
      <c r="B37" s="36" t="s">
        <v>111</v>
      </c>
      <c r="C37" s="46">
        <f>IFERROR(VLOOKUP(A37,'Base venta C'!$E:$P,12,FALSE),"0")*1</f>
        <v>264122.84999999998</v>
      </c>
    </row>
    <row r="38" spans="1:3" ht="16.5" thickBot="1" x14ac:dyDescent="0.3">
      <c r="A38">
        <v>57</v>
      </c>
      <c r="B38" s="36" t="s">
        <v>110</v>
      </c>
      <c r="C38" s="46">
        <f>IFERROR(VLOOKUP(A38,'Base venta C'!$E:$P,12,FALSE),"0")*1</f>
        <v>62179.29</v>
      </c>
    </row>
    <row r="39" spans="1:3" ht="15.75" x14ac:dyDescent="0.25">
      <c r="A39">
        <v>1</v>
      </c>
      <c r="B39" s="36" t="s">
        <v>81</v>
      </c>
      <c r="C39" s="46">
        <f>IFERROR(VLOOKUP(A39,'Base venta C'!$E:$P,12,FALSE),"0")*1</f>
        <v>1671221.44</v>
      </c>
    </row>
    <row r="40" spans="1:3" ht="16.5" thickBot="1" x14ac:dyDescent="0.3">
      <c r="B40" s="3" t="s">
        <v>218</v>
      </c>
      <c r="C40" s="44"/>
    </row>
    <row r="41" spans="1:3" ht="15.75" x14ac:dyDescent="0.25">
      <c r="B41" s="48" t="s">
        <v>42</v>
      </c>
      <c r="C41" s="47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E1D482-9307-4314-B956-19CB7F4A5E07}">
  <dimension ref="A1:I407"/>
  <sheetViews>
    <sheetView workbookViewId="0">
      <selection activeCell="F2" sqref="F2:I407"/>
    </sheetView>
  </sheetViews>
  <sheetFormatPr baseColWidth="10" defaultRowHeight="15" x14ac:dyDescent="0.25"/>
  <cols>
    <col min="1" max="1" width="23.7109375" bestFit="1" customWidth="1"/>
    <col min="6" max="6" width="29.42578125" bestFit="1" customWidth="1"/>
  </cols>
  <sheetData>
    <row r="1" spans="1:9" x14ac:dyDescent="0.25">
      <c r="A1" t="s">
        <v>141</v>
      </c>
      <c r="F1" t="s">
        <v>142</v>
      </c>
    </row>
    <row r="2" spans="1:9" x14ac:dyDescent="0.25">
      <c r="A2" t="s">
        <v>77</v>
      </c>
      <c r="B2" t="s">
        <v>78</v>
      </c>
      <c r="C2" t="s">
        <v>79</v>
      </c>
      <c r="F2" t="s">
        <v>77</v>
      </c>
      <c r="G2" t="s">
        <v>74</v>
      </c>
      <c r="H2" t="s">
        <v>78</v>
      </c>
      <c r="I2" t="s">
        <v>79</v>
      </c>
    </row>
    <row r="3" spans="1:9" x14ac:dyDescent="0.25">
      <c r="B3" s="51">
        <v>1</v>
      </c>
      <c r="C3" s="51">
        <v>3408</v>
      </c>
      <c r="G3" t="s">
        <v>222</v>
      </c>
      <c r="H3" s="51"/>
      <c r="I3" s="51">
        <v>3408</v>
      </c>
    </row>
    <row r="4" spans="1:9" x14ac:dyDescent="0.25">
      <c r="A4">
        <v>1</v>
      </c>
      <c r="B4" s="51">
        <v>37</v>
      </c>
      <c r="C4" s="51">
        <v>127</v>
      </c>
      <c r="G4" t="s">
        <v>223</v>
      </c>
      <c r="I4" s="51">
        <v>3408</v>
      </c>
    </row>
    <row r="5" spans="1:9" x14ac:dyDescent="0.25">
      <c r="A5">
        <v>10</v>
      </c>
      <c r="B5" s="51">
        <v>32</v>
      </c>
      <c r="C5" s="51">
        <v>181</v>
      </c>
      <c r="G5" t="s">
        <v>224</v>
      </c>
      <c r="H5" s="51"/>
      <c r="I5" s="51">
        <v>3408</v>
      </c>
    </row>
    <row r="6" spans="1:9" x14ac:dyDescent="0.25">
      <c r="A6">
        <v>100</v>
      </c>
      <c r="B6" s="51">
        <v>16</v>
      </c>
      <c r="C6" s="51">
        <v>2024</v>
      </c>
      <c r="G6" t="s">
        <v>225</v>
      </c>
      <c r="H6" s="51"/>
      <c r="I6" s="51">
        <v>3408</v>
      </c>
    </row>
    <row r="7" spans="1:9" x14ac:dyDescent="0.25">
      <c r="A7">
        <v>11</v>
      </c>
      <c r="B7" s="51">
        <v>36</v>
      </c>
      <c r="C7" s="51">
        <v>165</v>
      </c>
      <c r="G7" t="s">
        <v>226</v>
      </c>
      <c r="H7" s="51"/>
      <c r="I7" s="51">
        <v>3408</v>
      </c>
    </row>
    <row r="8" spans="1:9" x14ac:dyDescent="0.25">
      <c r="A8">
        <v>12</v>
      </c>
      <c r="B8" s="51">
        <v>48</v>
      </c>
      <c r="C8" s="51">
        <v>213</v>
      </c>
      <c r="G8" t="s">
        <v>227</v>
      </c>
      <c r="H8" s="51">
        <v>1</v>
      </c>
      <c r="I8" s="51">
        <v>3408</v>
      </c>
    </row>
    <row r="9" spans="1:9" x14ac:dyDescent="0.25">
      <c r="A9">
        <v>123</v>
      </c>
      <c r="B9" s="51">
        <v>15</v>
      </c>
      <c r="C9" s="51">
        <v>489</v>
      </c>
      <c r="G9" t="s">
        <v>228</v>
      </c>
      <c r="H9" s="51"/>
      <c r="I9" s="51">
        <v>3408</v>
      </c>
    </row>
    <row r="10" spans="1:9" x14ac:dyDescent="0.25">
      <c r="A10">
        <v>15</v>
      </c>
      <c r="B10" s="51">
        <v>12</v>
      </c>
      <c r="C10" s="51">
        <v>65</v>
      </c>
      <c r="G10" t="s">
        <v>229</v>
      </c>
      <c r="I10" s="51">
        <v>3408</v>
      </c>
    </row>
    <row r="11" spans="1:9" x14ac:dyDescent="0.25">
      <c r="A11">
        <v>16</v>
      </c>
      <c r="B11" s="51">
        <v>40</v>
      </c>
      <c r="C11" s="51">
        <v>198</v>
      </c>
      <c r="G11" t="s">
        <v>230</v>
      </c>
      <c r="H11" s="51"/>
      <c r="I11" s="51">
        <v>3408</v>
      </c>
    </row>
    <row r="12" spans="1:9" x14ac:dyDescent="0.25">
      <c r="A12">
        <v>18</v>
      </c>
      <c r="B12" s="51">
        <v>50</v>
      </c>
      <c r="C12" s="51">
        <v>177</v>
      </c>
      <c r="E12">
        <f>+F12</f>
        <v>1</v>
      </c>
      <c r="F12">
        <v>1</v>
      </c>
      <c r="G12" t="s">
        <v>222</v>
      </c>
      <c r="H12">
        <v>14</v>
      </c>
      <c r="I12" s="51">
        <v>127</v>
      </c>
    </row>
    <row r="13" spans="1:9" x14ac:dyDescent="0.25">
      <c r="A13">
        <v>19</v>
      </c>
      <c r="B13" s="51">
        <v>59</v>
      </c>
      <c r="C13" s="51">
        <v>207</v>
      </c>
      <c r="E13">
        <f>+$E$12</f>
        <v>1</v>
      </c>
      <c r="G13" t="s">
        <v>223</v>
      </c>
      <c r="H13" s="51">
        <v>8</v>
      </c>
      <c r="I13" s="51">
        <v>127</v>
      </c>
    </row>
    <row r="14" spans="1:9" x14ac:dyDescent="0.25">
      <c r="A14">
        <v>2</v>
      </c>
      <c r="B14" s="51">
        <v>28</v>
      </c>
      <c r="C14" s="51">
        <v>138</v>
      </c>
      <c r="E14">
        <f t="shared" ref="E14:E20" si="0">+$E$12</f>
        <v>1</v>
      </c>
      <c r="G14" t="s">
        <v>224</v>
      </c>
      <c r="H14" s="51">
        <v>20</v>
      </c>
      <c r="I14" s="51">
        <v>127</v>
      </c>
    </row>
    <row r="15" spans="1:9" x14ac:dyDescent="0.25">
      <c r="A15">
        <v>20</v>
      </c>
      <c r="B15" s="51">
        <v>58</v>
      </c>
      <c r="C15" s="51">
        <v>227</v>
      </c>
      <c r="E15">
        <f t="shared" si="0"/>
        <v>1</v>
      </c>
      <c r="G15" t="s">
        <v>225</v>
      </c>
      <c r="H15" s="51">
        <v>11</v>
      </c>
      <c r="I15" s="51">
        <v>127</v>
      </c>
    </row>
    <row r="16" spans="1:9" x14ac:dyDescent="0.25">
      <c r="A16">
        <v>21</v>
      </c>
      <c r="B16" s="51">
        <v>51</v>
      </c>
      <c r="C16" s="51">
        <v>170</v>
      </c>
      <c r="E16">
        <f t="shared" si="0"/>
        <v>1</v>
      </c>
      <c r="G16" t="s">
        <v>226</v>
      </c>
      <c r="H16" s="51">
        <v>24</v>
      </c>
      <c r="I16" s="51">
        <v>127</v>
      </c>
    </row>
    <row r="17" spans="1:9" x14ac:dyDescent="0.25">
      <c r="A17">
        <v>22</v>
      </c>
      <c r="B17" s="51">
        <v>16</v>
      </c>
      <c r="C17" s="51">
        <v>72</v>
      </c>
      <c r="E17">
        <f t="shared" si="0"/>
        <v>1</v>
      </c>
      <c r="G17" t="s">
        <v>227</v>
      </c>
      <c r="H17" s="51">
        <v>20</v>
      </c>
      <c r="I17" s="51">
        <v>127</v>
      </c>
    </row>
    <row r="18" spans="1:9" x14ac:dyDescent="0.25">
      <c r="A18">
        <v>23</v>
      </c>
      <c r="B18" s="51">
        <v>54</v>
      </c>
      <c r="C18" s="51">
        <v>160</v>
      </c>
      <c r="E18">
        <f t="shared" si="0"/>
        <v>1</v>
      </c>
      <c r="G18" t="s">
        <v>228</v>
      </c>
      <c r="H18" s="51">
        <v>6</v>
      </c>
      <c r="I18" s="51">
        <v>127</v>
      </c>
    </row>
    <row r="19" spans="1:9" x14ac:dyDescent="0.25">
      <c r="A19">
        <v>24</v>
      </c>
      <c r="B19" s="51">
        <v>31</v>
      </c>
      <c r="C19" s="51">
        <v>178</v>
      </c>
      <c r="E19">
        <f t="shared" si="0"/>
        <v>1</v>
      </c>
      <c r="G19" t="s">
        <v>229</v>
      </c>
      <c r="H19" s="51">
        <v>9</v>
      </c>
      <c r="I19" s="51">
        <v>127</v>
      </c>
    </row>
    <row r="20" spans="1:9" x14ac:dyDescent="0.25">
      <c r="A20">
        <v>25</v>
      </c>
      <c r="B20" s="51">
        <v>15</v>
      </c>
      <c r="C20" s="51">
        <v>172</v>
      </c>
      <c r="E20">
        <f t="shared" si="0"/>
        <v>1</v>
      </c>
      <c r="G20" t="s">
        <v>230</v>
      </c>
      <c r="H20">
        <v>8</v>
      </c>
      <c r="I20" s="51">
        <v>127</v>
      </c>
    </row>
    <row r="21" spans="1:9" x14ac:dyDescent="0.25">
      <c r="A21">
        <v>26</v>
      </c>
      <c r="B21" s="51">
        <v>32</v>
      </c>
      <c r="C21" s="51">
        <v>162</v>
      </c>
      <c r="E21">
        <f>+$F$21</f>
        <v>10</v>
      </c>
      <c r="F21">
        <v>10</v>
      </c>
      <c r="G21" t="s">
        <v>222</v>
      </c>
      <c r="H21" s="51">
        <v>7</v>
      </c>
      <c r="I21" s="51">
        <v>181</v>
      </c>
    </row>
    <row r="22" spans="1:9" x14ac:dyDescent="0.25">
      <c r="A22">
        <v>27</v>
      </c>
      <c r="B22" s="51">
        <v>33</v>
      </c>
      <c r="C22" s="51">
        <v>140</v>
      </c>
      <c r="E22">
        <f t="shared" ref="E22:E29" si="1">+$F$21</f>
        <v>10</v>
      </c>
      <c r="G22" t="s">
        <v>223</v>
      </c>
      <c r="H22" s="51">
        <v>1</v>
      </c>
      <c r="I22" s="51">
        <v>181</v>
      </c>
    </row>
    <row r="23" spans="1:9" x14ac:dyDescent="0.25">
      <c r="A23">
        <v>28</v>
      </c>
      <c r="B23" s="51">
        <v>36</v>
      </c>
      <c r="C23" s="51">
        <v>168</v>
      </c>
      <c r="E23">
        <f t="shared" si="1"/>
        <v>10</v>
      </c>
      <c r="G23" t="s">
        <v>224</v>
      </c>
      <c r="H23" s="51">
        <v>12</v>
      </c>
      <c r="I23" s="51">
        <v>181</v>
      </c>
    </row>
    <row r="24" spans="1:9" x14ac:dyDescent="0.25">
      <c r="A24">
        <v>3</v>
      </c>
      <c r="B24" s="51">
        <v>39</v>
      </c>
      <c r="C24" s="51">
        <v>170</v>
      </c>
      <c r="E24">
        <f t="shared" si="1"/>
        <v>10</v>
      </c>
      <c r="G24" t="s">
        <v>225</v>
      </c>
      <c r="H24" s="51">
        <v>6</v>
      </c>
      <c r="I24" s="51">
        <v>181</v>
      </c>
    </row>
    <row r="25" spans="1:9" x14ac:dyDescent="0.25">
      <c r="A25">
        <v>30</v>
      </c>
      <c r="B25" s="51">
        <v>2</v>
      </c>
      <c r="C25" s="51">
        <v>138</v>
      </c>
      <c r="E25">
        <f t="shared" si="1"/>
        <v>10</v>
      </c>
      <c r="G25" t="s">
        <v>226</v>
      </c>
      <c r="H25" s="51">
        <v>13</v>
      </c>
      <c r="I25" s="51">
        <v>181</v>
      </c>
    </row>
    <row r="26" spans="1:9" x14ac:dyDescent="0.25">
      <c r="A26">
        <v>31</v>
      </c>
      <c r="B26" s="51">
        <v>48</v>
      </c>
      <c r="C26" s="51">
        <v>161</v>
      </c>
      <c r="E26">
        <f t="shared" si="1"/>
        <v>10</v>
      </c>
      <c r="G26" t="s">
        <v>227</v>
      </c>
      <c r="H26" s="51">
        <v>6</v>
      </c>
      <c r="I26" s="51">
        <v>181</v>
      </c>
    </row>
    <row r="27" spans="1:9" x14ac:dyDescent="0.25">
      <c r="A27">
        <v>32</v>
      </c>
      <c r="B27" s="51">
        <v>8</v>
      </c>
      <c r="C27" s="51">
        <v>56</v>
      </c>
      <c r="E27">
        <f t="shared" si="1"/>
        <v>10</v>
      </c>
      <c r="G27" t="s">
        <v>228</v>
      </c>
      <c r="H27" s="51">
        <v>1</v>
      </c>
      <c r="I27" s="51">
        <v>181</v>
      </c>
    </row>
    <row r="28" spans="1:9" x14ac:dyDescent="0.25">
      <c r="A28">
        <v>33</v>
      </c>
      <c r="B28" s="51">
        <v>41</v>
      </c>
      <c r="C28" s="51">
        <v>172</v>
      </c>
      <c r="E28">
        <f t="shared" si="1"/>
        <v>10</v>
      </c>
      <c r="G28" t="s">
        <v>229</v>
      </c>
      <c r="H28" s="51">
        <v>1</v>
      </c>
      <c r="I28" s="51">
        <v>181</v>
      </c>
    </row>
    <row r="29" spans="1:9" x14ac:dyDescent="0.25">
      <c r="A29">
        <v>36</v>
      </c>
      <c r="B29" s="51">
        <v>33</v>
      </c>
      <c r="C29" s="51">
        <v>156</v>
      </c>
      <c r="E29">
        <f t="shared" si="1"/>
        <v>10</v>
      </c>
      <c r="G29" t="s">
        <v>230</v>
      </c>
      <c r="H29" s="51"/>
      <c r="I29" s="51">
        <v>181</v>
      </c>
    </row>
    <row r="30" spans="1:9" x14ac:dyDescent="0.25">
      <c r="A30">
        <v>37</v>
      </c>
      <c r="B30" s="51">
        <v>13</v>
      </c>
      <c r="C30" s="51">
        <v>141</v>
      </c>
      <c r="E30">
        <f>+$F$30</f>
        <v>100</v>
      </c>
      <c r="F30">
        <v>100</v>
      </c>
      <c r="G30" t="s">
        <v>222</v>
      </c>
      <c r="H30" s="51">
        <v>6</v>
      </c>
      <c r="I30" s="51">
        <v>2024</v>
      </c>
    </row>
    <row r="31" spans="1:9" x14ac:dyDescent="0.25">
      <c r="A31">
        <v>4</v>
      </c>
      <c r="B31" s="51">
        <v>40</v>
      </c>
      <c r="C31" s="51">
        <v>182</v>
      </c>
      <c r="E31">
        <f t="shared" ref="E31:E38" si="2">+$F$30</f>
        <v>100</v>
      </c>
      <c r="G31" t="s">
        <v>223</v>
      </c>
      <c r="H31" s="51">
        <v>2</v>
      </c>
      <c r="I31" s="51">
        <v>2024</v>
      </c>
    </row>
    <row r="32" spans="1:9" x14ac:dyDescent="0.25">
      <c r="A32">
        <v>40</v>
      </c>
      <c r="B32" s="51">
        <v>26</v>
      </c>
      <c r="C32" s="51">
        <v>249</v>
      </c>
      <c r="E32">
        <f t="shared" si="2"/>
        <v>100</v>
      </c>
      <c r="G32" t="s">
        <v>224</v>
      </c>
      <c r="H32" s="51">
        <v>4</v>
      </c>
      <c r="I32" s="51">
        <v>2024</v>
      </c>
    </row>
    <row r="33" spans="1:9" x14ac:dyDescent="0.25">
      <c r="A33">
        <v>42</v>
      </c>
      <c r="B33" s="51"/>
      <c r="C33" s="51">
        <v>52</v>
      </c>
      <c r="E33">
        <f t="shared" si="2"/>
        <v>100</v>
      </c>
      <c r="G33" t="s">
        <v>225</v>
      </c>
      <c r="H33" s="51">
        <v>3</v>
      </c>
      <c r="I33" s="51">
        <v>2024</v>
      </c>
    </row>
    <row r="34" spans="1:9" x14ac:dyDescent="0.25">
      <c r="A34">
        <v>43</v>
      </c>
      <c r="B34" s="51"/>
      <c r="C34" s="51">
        <v>93</v>
      </c>
      <c r="E34">
        <f t="shared" si="2"/>
        <v>100</v>
      </c>
      <c r="G34" t="s">
        <v>226</v>
      </c>
      <c r="H34" s="51">
        <v>7</v>
      </c>
      <c r="I34" s="51">
        <v>2024</v>
      </c>
    </row>
    <row r="35" spans="1:9" x14ac:dyDescent="0.25">
      <c r="A35">
        <v>44</v>
      </c>
      <c r="B35" s="51">
        <v>52</v>
      </c>
      <c r="C35" s="51">
        <v>169</v>
      </c>
      <c r="E35">
        <f t="shared" si="2"/>
        <v>100</v>
      </c>
      <c r="G35" t="s">
        <v>227</v>
      </c>
      <c r="H35" s="51">
        <v>5</v>
      </c>
      <c r="I35" s="51">
        <v>2024</v>
      </c>
    </row>
    <row r="36" spans="1:9" x14ac:dyDescent="0.25">
      <c r="A36">
        <v>49</v>
      </c>
      <c r="B36" s="51">
        <v>55</v>
      </c>
      <c r="C36" s="51">
        <v>239</v>
      </c>
      <c r="E36">
        <f t="shared" si="2"/>
        <v>100</v>
      </c>
      <c r="G36" t="s">
        <v>228</v>
      </c>
      <c r="H36" s="51">
        <v>7</v>
      </c>
      <c r="I36" s="51">
        <v>2024</v>
      </c>
    </row>
    <row r="37" spans="1:9" x14ac:dyDescent="0.25">
      <c r="A37">
        <v>5</v>
      </c>
      <c r="B37" s="51">
        <v>53</v>
      </c>
      <c r="C37" s="51">
        <v>260</v>
      </c>
      <c r="E37">
        <f t="shared" si="2"/>
        <v>100</v>
      </c>
      <c r="G37" t="s">
        <v>229</v>
      </c>
      <c r="H37" s="51">
        <v>3</v>
      </c>
      <c r="I37" s="51">
        <v>2024</v>
      </c>
    </row>
    <row r="38" spans="1:9" x14ac:dyDescent="0.25">
      <c r="A38">
        <v>52</v>
      </c>
      <c r="B38" s="51">
        <v>8</v>
      </c>
      <c r="C38" s="51">
        <v>101</v>
      </c>
      <c r="E38">
        <f t="shared" si="2"/>
        <v>100</v>
      </c>
      <c r="G38" t="s">
        <v>230</v>
      </c>
      <c r="H38" s="51"/>
      <c r="I38" s="51">
        <v>2024</v>
      </c>
    </row>
    <row r="39" spans="1:9" x14ac:dyDescent="0.25">
      <c r="A39">
        <v>53</v>
      </c>
      <c r="B39" s="51">
        <v>8</v>
      </c>
      <c r="C39" s="51">
        <v>105</v>
      </c>
      <c r="E39">
        <f>+$F$39</f>
        <v>11</v>
      </c>
      <c r="F39">
        <v>11</v>
      </c>
      <c r="G39" t="s">
        <v>222</v>
      </c>
      <c r="H39" s="51">
        <v>6</v>
      </c>
      <c r="I39" s="51">
        <v>165</v>
      </c>
    </row>
    <row r="40" spans="1:9" x14ac:dyDescent="0.25">
      <c r="A40">
        <v>54</v>
      </c>
      <c r="B40" s="51">
        <v>45</v>
      </c>
      <c r="C40" s="51">
        <v>202</v>
      </c>
      <c r="E40">
        <f t="shared" ref="E40:E47" si="3">+$F$39</f>
        <v>11</v>
      </c>
      <c r="G40" t="s">
        <v>223</v>
      </c>
      <c r="H40" s="51"/>
      <c r="I40" s="51">
        <v>165</v>
      </c>
    </row>
    <row r="41" spans="1:9" x14ac:dyDescent="0.25">
      <c r="A41">
        <v>56</v>
      </c>
      <c r="C41" s="51">
        <v>198</v>
      </c>
      <c r="E41">
        <f t="shared" si="3"/>
        <v>11</v>
      </c>
      <c r="G41" t="s">
        <v>224</v>
      </c>
      <c r="H41" s="51">
        <v>12</v>
      </c>
      <c r="I41" s="51">
        <v>165</v>
      </c>
    </row>
    <row r="42" spans="1:9" x14ac:dyDescent="0.25">
      <c r="A42">
        <v>57</v>
      </c>
      <c r="B42" s="51">
        <v>1</v>
      </c>
      <c r="C42" s="51">
        <v>103</v>
      </c>
      <c r="E42">
        <f t="shared" si="3"/>
        <v>11</v>
      </c>
      <c r="G42" t="s">
        <v>225</v>
      </c>
      <c r="H42" s="51">
        <v>13</v>
      </c>
      <c r="I42" s="51">
        <v>165</v>
      </c>
    </row>
    <row r="43" spans="1:9" x14ac:dyDescent="0.25">
      <c r="A43">
        <v>58</v>
      </c>
      <c r="B43" s="51"/>
      <c r="C43" s="51">
        <v>120</v>
      </c>
      <c r="E43">
        <f t="shared" si="3"/>
        <v>11</v>
      </c>
      <c r="G43" t="s">
        <v>226</v>
      </c>
      <c r="H43" s="51">
        <v>18</v>
      </c>
      <c r="I43" s="51">
        <v>165</v>
      </c>
    </row>
    <row r="44" spans="1:9" x14ac:dyDescent="0.25">
      <c r="A44">
        <v>59</v>
      </c>
      <c r="B44" s="51"/>
      <c r="C44" s="51">
        <v>119</v>
      </c>
      <c r="E44">
        <f t="shared" si="3"/>
        <v>11</v>
      </c>
      <c r="G44" t="s">
        <v>227</v>
      </c>
      <c r="H44" s="51">
        <v>13</v>
      </c>
      <c r="I44" s="51">
        <v>165</v>
      </c>
    </row>
    <row r="45" spans="1:9" x14ac:dyDescent="0.25">
      <c r="A45">
        <v>7</v>
      </c>
      <c r="B45" s="51">
        <v>1</v>
      </c>
      <c r="C45" s="51">
        <v>113</v>
      </c>
      <c r="E45">
        <f t="shared" si="3"/>
        <v>11</v>
      </c>
      <c r="G45" t="s">
        <v>228</v>
      </c>
      <c r="H45" s="51">
        <v>1</v>
      </c>
      <c r="I45" s="51">
        <v>165</v>
      </c>
    </row>
    <row r="46" spans="1:9" x14ac:dyDescent="0.25">
      <c r="A46">
        <v>8</v>
      </c>
      <c r="B46" s="51">
        <v>31</v>
      </c>
      <c r="C46" s="51">
        <v>194</v>
      </c>
      <c r="E46">
        <f t="shared" si="3"/>
        <v>11</v>
      </c>
      <c r="G46" t="s">
        <v>229</v>
      </c>
      <c r="H46" s="51">
        <v>6</v>
      </c>
      <c r="I46" s="51">
        <v>165</v>
      </c>
    </row>
    <row r="47" spans="1:9" x14ac:dyDescent="0.25">
      <c r="A47">
        <v>9</v>
      </c>
      <c r="B47" s="51">
        <v>35</v>
      </c>
      <c r="C47" s="51">
        <v>161</v>
      </c>
      <c r="E47">
        <f t="shared" si="3"/>
        <v>11</v>
      </c>
      <c r="G47" t="s">
        <v>230</v>
      </c>
      <c r="H47" s="51">
        <v>4</v>
      </c>
      <c r="I47" s="51">
        <v>165</v>
      </c>
    </row>
    <row r="48" spans="1:9" x14ac:dyDescent="0.25">
      <c r="B48" s="51"/>
      <c r="C48" s="51"/>
      <c r="E48">
        <f>+$F$48</f>
        <v>12</v>
      </c>
      <c r="F48">
        <v>12</v>
      </c>
      <c r="G48" t="s">
        <v>222</v>
      </c>
      <c r="H48" s="51">
        <v>15</v>
      </c>
      <c r="I48" s="51">
        <v>213</v>
      </c>
    </row>
    <row r="49" spans="2:9" x14ac:dyDescent="0.25">
      <c r="B49" s="35"/>
      <c r="C49" s="35"/>
      <c r="E49">
        <f t="shared" ref="E49:E56" si="4">+$F$48</f>
        <v>12</v>
      </c>
      <c r="G49" t="s">
        <v>223</v>
      </c>
      <c r="H49" s="51">
        <v>7</v>
      </c>
      <c r="I49" s="51">
        <v>213</v>
      </c>
    </row>
    <row r="50" spans="2:9" x14ac:dyDescent="0.25">
      <c r="E50">
        <f t="shared" si="4"/>
        <v>12</v>
      </c>
      <c r="G50" t="s">
        <v>224</v>
      </c>
      <c r="H50" s="51">
        <v>11</v>
      </c>
      <c r="I50" s="51">
        <v>213</v>
      </c>
    </row>
    <row r="51" spans="2:9" x14ac:dyDescent="0.25">
      <c r="E51">
        <f t="shared" si="4"/>
        <v>12</v>
      </c>
      <c r="G51" t="s">
        <v>225</v>
      </c>
      <c r="H51" s="51">
        <v>7</v>
      </c>
      <c r="I51" s="51">
        <v>213</v>
      </c>
    </row>
    <row r="52" spans="2:9" x14ac:dyDescent="0.25">
      <c r="E52">
        <f t="shared" si="4"/>
        <v>12</v>
      </c>
      <c r="G52" t="s">
        <v>226</v>
      </c>
      <c r="H52" s="51">
        <v>19</v>
      </c>
      <c r="I52" s="51">
        <v>213</v>
      </c>
    </row>
    <row r="53" spans="2:9" x14ac:dyDescent="0.25">
      <c r="E53">
        <f t="shared" si="4"/>
        <v>12</v>
      </c>
      <c r="G53" t="s">
        <v>227</v>
      </c>
      <c r="H53" s="51">
        <v>18</v>
      </c>
      <c r="I53" s="51">
        <v>213</v>
      </c>
    </row>
    <row r="54" spans="2:9" x14ac:dyDescent="0.25">
      <c r="E54">
        <f t="shared" si="4"/>
        <v>12</v>
      </c>
      <c r="G54" t="s">
        <v>228</v>
      </c>
      <c r="H54" s="51">
        <v>7</v>
      </c>
      <c r="I54" s="51">
        <v>213</v>
      </c>
    </row>
    <row r="55" spans="2:9" x14ac:dyDescent="0.25">
      <c r="E55">
        <f t="shared" si="4"/>
        <v>12</v>
      </c>
      <c r="G55" t="s">
        <v>229</v>
      </c>
      <c r="H55" s="51">
        <v>2</v>
      </c>
      <c r="I55" s="51">
        <v>213</v>
      </c>
    </row>
    <row r="56" spans="2:9" x14ac:dyDescent="0.25">
      <c r="E56">
        <f t="shared" si="4"/>
        <v>12</v>
      </c>
      <c r="G56" t="s">
        <v>230</v>
      </c>
      <c r="H56" s="51">
        <v>3</v>
      </c>
      <c r="I56" s="51">
        <v>213</v>
      </c>
    </row>
    <row r="57" spans="2:9" x14ac:dyDescent="0.25">
      <c r="E57">
        <f>+$F$57</f>
        <v>123</v>
      </c>
      <c r="F57">
        <v>123</v>
      </c>
      <c r="G57" t="s">
        <v>222</v>
      </c>
      <c r="H57" s="51">
        <v>8</v>
      </c>
      <c r="I57" s="51">
        <v>489</v>
      </c>
    </row>
    <row r="58" spans="2:9" x14ac:dyDescent="0.25">
      <c r="E58">
        <f t="shared" ref="E58:E65" si="5">+$F$57</f>
        <v>123</v>
      </c>
      <c r="G58" t="s">
        <v>223</v>
      </c>
      <c r="H58" s="51">
        <v>4</v>
      </c>
      <c r="I58" s="51">
        <v>489</v>
      </c>
    </row>
    <row r="59" spans="2:9" x14ac:dyDescent="0.25">
      <c r="E59">
        <f t="shared" si="5"/>
        <v>123</v>
      </c>
      <c r="G59" t="s">
        <v>224</v>
      </c>
      <c r="H59" s="51">
        <v>3</v>
      </c>
      <c r="I59" s="51">
        <v>489</v>
      </c>
    </row>
    <row r="60" spans="2:9" x14ac:dyDescent="0.25">
      <c r="E60">
        <f t="shared" si="5"/>
        <v>123</v>
      </c>
      <c r="G60" t="s">
        <v>225</v>
      </c>
      <c r="H60" s="51"/>
      <c r="I60" s="51">
        <v>489</v>
      </c>
    </row>
    <row r="61" spans="2:9" x14ac:dyDescent="0.25">
      <c r="E61">
        <f t="shared" si="5"/>
        <v>123</v>
      </c>
      <c r="G61" t="s">
        <v>226</v>
      </c>
      <c r="H61" s="51">
        <v>9</v>
      </c>
      <c r="I61" s="51">
        <v>489</v>
      </c>
    </row>
    <row r="62" spans="2:9" x14ac:dyDescent="0.25">
      <c r="E62">
        <f t="shared" si="5"/>
        <v>123</v>
      </c>
      <c r="G62" t="s">
        <v>227</v>
      </c>
      <c r="H62" s="51"/>
      <c r="I62" s="51">
        <v>489</v>
      </c>
    </row>
    <row r="63" spans="2:9" x14ac:dyDescent="0.25">
      <c r="E63">
        <f t="shared" si="5"/>
        <v>123</v>
      </c>
      <c r="G63" t="s">
        <v>228</v>
      </c>
      <c r="H63" s="51">
        <v>7</v>
      </c>
      <c r="I63" s="51">
        <v>489</v>
      </c>
    </row>
    <row r="64" spans="2:9" x14ac:dyDescent="0.25">
      <c r="E64">
        <f t="shared" si="5"/>
        <v>123</v>
      </c>
      <c r="G64" t="s">
        <v>229</v>
      </c>
      <c r="H64" s="51"/>
      <c r="I64" s="51">
        <v>489</v>
      </c>
    </row>
    <row r="65" spans="5:9" x14ac:dyDescent="0.25">
      <c r="E65">
        <f t="shared" si="5"/>
        <v>123</v>
      </c>
      <c r="G65" t="s">
        <v>230</v>
      </c>
      <c r="H65" s="51"/>
      <c r="I65" s="51">
        <v>489</v>
      </c>
    </row>
    <row r="66" spans="5:9" x14ac:dyDescent="0.25">
      <c r="E66">
        <f>+$F$66</f>
        <v>15</v>
      </c>
      <c r="F66">
        <v>15</v>
      </c>
      <c r="G66" t="s">
        <v>222</v>
      </c>
      <c r="H66" s="51">
        <v>7</v>
      </c>
      <c r="I66" s="51">
        <v>65</v>
      </c>
    </row>
    <row r="67" spans="5:9" x14ac:dyDescent="0.25">
      <c r="E67">
        <f t="shared" ref="E67:E74" si="6">+$F$66</f>
        <v>15</v>
      </c>
      <c r="G67" t="s">
        <v>223</v>
      </c>
      <c r="H67" s="51">
        <v>4</v>
      </c>
      <c r="I67" s="51">
        <v>65</v>
      </c>
    </row>
    <row r="68" spans="5:9" x14ac:dyDescent="0.25">
      <c r="E68">
        <f t="shared" si="6"/>
        <v>15</v>
      </c>
      <c r="G68" t="s">
        <v>224</v>
      </c>
      <c r="H68" s="51">
        <v>3</v>
      </c>
      <c r="I68" s="51">
        <v>65</v>
      </c>
    </row>
    <row r="69" spans="5:9" x14ac:dyDescent="0.25">
      <c r="E69">
        <f t="shared" si="6"/>
        <v>15</v>
      </c>
      <c r="G69" t="s">
        <v>225</v>
      </c>
      <c r="H69" s="51">
        <v>5</v>
      </c>
      <c r="I69" s="51">
        <v>65</v>
      </c>
    </row>
    <row r="70" spans="5:9" x14ac:dyDescent="0.25">
      <c r="E70">
        <f t="shared" si="6"/>
        <v>15</v>
      </c>
      <c r="G70" t="s">
        <v>226</v>
      </c>
      <c r="H70" s="51">
        <v>7</v>
      </c>
      <c r="I70" s="51">
        <v>65</v>
      </c>
    </row>
    <row r="71" spans="5:9" x14ac:dyDescent="0.25">
      <c r="E71">
        <f t="shared" si="6"/>
        <v>15</v>
      </c>
      <c r="G71" t="s">
        <v>227</v>
      </c>
      <c r="H71" s="51">
        <v>3</v>
      </c>
      <c r="I71" s="51">
        <v>65</v>
      </c>
    </row>
    <row r="72" spans="5:9" x14ac:dyDescent="0.25">
      <c r="E72">
        <f t="shared" si="6"/>
        <v>15</v>
      </c>
      <c r="G72" t="s">
        <v>228</v>
      </c>
      <c r="H72" s="51">
        <v>7</v>
      </c>
      <c r="I72" s="51">
        <v>65</v>
      </c>
    </row>
    <row r="73" spans="5:9" x14ac:dyDescent="0.25">
      <c r="E73">
        <f t="shared" si="6"/>
        <v>15</v>
      </c>
      <c r="G73" t="s">
        <v>229</v>
      </c>
      <c r="H73" s="51">
        <v>2</v>
      </c>
      <c r="I73" s="51">
        <v>65</v>
      </c>
    </row>
    <row r="74" spans="5:9" x14ac:dyDescent="0.25">
      <c r="E74">
        <f t="shared" si="6"/>
        <v>15</v>
      </c>
      <c r="G74" t="s">
        <v>230</v>
      </c>
      <c r="H74" s="51">
        <v>4</v>
      </c>
      <c r="I74" s="51">
        <v>65</v>
      </c>
    </row>
    <row r="75" spans="5:9" x14ac:dyDescent="0.25">
      <c r="E75">
        <f>+$F$75</f>
        <v>16</v>
      </c>
      <c r="F75">
        <v>16</v>
      </c>
      <c r="G75" t="s">
        <v>222</v>
      </c>
      <c r="H75" s="51">
        <v>7</v>
      </c>
      <c r="I75" s="51">
        <v>198</v>
      </c>
    </row>
    <row r="76" spans="5:9" x14ac:dyDescent="0.25">
      <c r="E76">
        <f t="shared" ref="E76:E83" si="7">+$F$75</f>
        <v>16</v>
      </c>
      <c r="G76" t="s">
        <v>223</v>
      </c>
      <c r="H76">
        <v>2</v>
      </c>
      <c r="I76" s="51">
        <v>198</v>
      </c>
    </row>
    <row r="77" spans="5:9" x14ac:dyDescent="0.25">
      <c r="E77">
        <f t="shared" si="7"/>
        <v>16</v>
      </c>
      <c r="G77" t="s">
        <v>224</v>
      </c>
      <c r="H77" s="51">
        <v>9</v>
      </c>
      <c r="I77" s="51">
        <v>198</v>
      </c>
    </row>
    <row r="78" spans="5:9" x14ac:dyDescent="0.25">
      <c r="E78">
        <f t="shared" si="7"/>
        <v>16</v>
      </c>
      <c r="G78" t="s">
        <v>225</v>
      </c>
      <c r="H78" s="51">
        <v>5</v>
      </c>
      <c r="I78" s="51">
        <v>198</v>
      </c>
    </row>
    <row r="79" spans="5:9" x14ac:dyDescent="0.25">
      <c r="E79">
        <f t="shared" si="7"/>
        <v>16</v>
      </c>
      <c r="G79" t="s">
        <v>226</v>
      </c>
      <c r="H79" s="51">
        <v>20</v>
      </c>
      <c r="I79" s="51">
        <v>198</v>
      </c>
    </row>
    <row r="80" spans="5:9" x14ac:dyDescent="0.25">
      <c r="E80">
        <f t="shared" si="7"/>
        <v>16</v>
      </c>
      <c r="G80" t="s">
        <v>227</v>
      </c>
      <c r="H80" s="51">
        <v>14</v>
      </c>
      <c r="I80" s="51">
        <v>198</v>
      </c>
    </row>
    <row r="81" spans="5:9" x14ac:dyDescent="0.25">
      <c r="E81">
        <f t="shared" si="7"/>
        <v>16</v>
      </c>
      <c r="G81" t="s">
        <v>228</v>
      </c>
      <c r="H81" s="51">
        <v>1</v>
      </c>
      <c r="I81" s="51">
        <v>198</v>
      </c>
    </row>
    <row r="82" spans="5:9" x14ac:dyDescent="0.25">
      <c r="E82">
        <f t="shared" si="7"/>
        <v>16</v>
      </c>
      <c r="G82" t="s">
        <v>229</v>
      </c>
      <c r="H82" s="51">
        <v>5</v>
      </c>
      <c r="I82" s="51">
        <v>198</v>
      </c>
    </row>
    <row r="83" spans="5:9" x14ac:dyDescent="0.25">
      <c r="E83">
        <f t="shared" si="7"/>
        <v>16</v>
      </c>
      <c r="G83" t="s">
        <v>230</v>
      </c>
      <c r="H83" s="51">
        <v>4</v>
      </c>
      <c r="I83" s="51">
        <v>198</v>
      </c>
    </row>
    <row r="84" spans="5:9" x14ac:dyDescent="0.25">
      <c r="E84">
        <f>+$F$84</f>
        <v>18</v>
      </c>
      <c r="F84">
        <v>18</v>
      </c>
      <c r="G84" t="s">
        <v>222</v>
      </c>
      <c r="H84" s="51">
        <v>13</v>
      </c>
      <c r="I84" s="51">
        <v>177</v>
      </c>
    </row>
    <row r="85" spans="5:9" x14ac:dyDescent="0.25">
      <c r="E85">
        <f t="shared" ref="E85:E92" si="8">+$F$84</f>
        <v>18</v>
      </c>
      <c r="G85" t="s">
        <v>223</v>
      </c>
      <c r="H85" s="51">
        <v>9</v>
      </c>
      <c r="I85" s="51">
        <v>177</v>
      </c>
    </row>
    <row r="86" spans="5:9" x14ac:dyDescent="0.25">
      <c r="E86">
        <f t="shared" si="8"/>
        <v>18</v>
      </c>
      <c r="G86" t="s">
        <v>224</v>
      </c>
      <c r="H86" s="51">
        <v>10</v>
      </c>
      <c r="I86" s="51">
        <v>177</v>
      </c>
    </row>
    <row r="87" spans="5:9" x14ac:dyDescent="0.25">
      <c r="E87">
        <f t="shared" si="8"/>
        <v>18</v>
      </c>
      <c r="G87" t="s">
        <v>225</v>
      </c>
      <c r="H87" s="51">
        <v>11</v>
      </c>
      <c r="I87" s="51">
        <v>177</v>
      </c>
    </row>
    <row r="88" spans="5:9" x14ac:dyDescent="0.25">
      <c r="E88">
        <f t="shared" si="8"/>
        <v>18</v>
      </c>
      <c r="G88" t="s">
        <v>226</v>
      </c>
      <c r="H88" s="51">
        <v>22</v>
      </c>
      <c r="I88" s="51">
        <v>177</v>
      </c>
    </row>
    <row r="89" spans="5:9" x14ac:dyDescent="0.25">
      <c r="E89">
        <f t="shared" si="8"/>
        <v>18</v>
      </c>
      <c r="G89" t="s">
        <v>227</v>
      </c>
      <c r="H89" s="51">
        <v>18</v>
      </c>
      <c r="I89" s="51">
        <v>177</v>
      </c>
    </row>
    <row r="90" spans="5:9" x14ac:dyDescent="0.25">
      <c r="E90">
        <f t="shared" si="8"/>
        <v>18</v>
      </c>
      <c r="G90" t="s">
        <v>228</v>
      </c>
      <c r="H90" s="51">
        <v>7</v>
      </c>
      <c r="I90" s="51">
        <v>177</v>
      </c>
    </row>
    <row r="91" spans="5:9" x14ac:dyDescent="0.25">
      <c r="E91">
        <f t="shared" si="8"/>
        <v>18</v>
      </c>
      <c r="G91" t="s">
        <v>229</v>
      </c>
      <c r="H91" s="51">
        <v>5</v>
      </c>
      <c r="I91" s="51">
        <v>177</v>
      </c>
    </row>
    <row r="92" spans="5:9" x14ac:dyDescent="0.25">
      <c r="E92">
        <f t="shared" si="8"/>
        <v>18</v>
      </c>
      <c r="G92" t="s">
        <v>230</v>
      </c>
      <c r="H92" s="51">
        <v>7</v>
      </c>
      <c r="I92" s="51">
        <v>177</v>
      </c>
    </row>
    <row r="93" spans="5:9" x14ac:dyDescent="0.25">
      <c r="E93">
        <f>+$F$93</f>
        <v>19</v>
      </c>
      <c r="F93">
        <v>19</v>
      </c>
      <c r="G93" t="s">
        <v>222</v>
      </c>
      <c r="H93" s="51">
        <v>13</v>
      </c>
      <c r="I93" s="51">
        <v>207</v>
      </c>
    </row>
    <row r="94" spans="5:9" x14ac:dyDescent="0.25">
      <c r="E94">
        <f t="shared" ref="E94:E101" si="9">+$F$93</f>
        <v>19</v>
      </c>
      <c r="G94" t="s">
        <v>223</v>
      </c>
      <c r="H94" s="51">
        <v>6</v>
      </c>
      <c r="I94" s="51">
        <v>207</v>
      </c>
    </row>
    <row r="95" spans="5:9" x14ac:dyDescent="0.25">
      <c r="E95">
        <f t="shared" si="9"/>
        <v>19</v>
      </c>
      <c r="G95" t="s">
        <v>224</v>
      </c>
      <c r="H95" s="51">
        <v>19</v>
      </c>
      <c r="I95" s="51">
        <v>207</v>
      </c>
    </row>
    <row r="96" spans="5:9" x14ac:dyDescent="0.25">
      <c r="E96">
        <f t="shared" si="9"/>
        <v>19</v>
      </c>
      <c r="G96" t="s">
        <v>225</v>
      </c>
      <c r="H96" s="51">
        <v>12</v>
      </c>
      <c r="I96" s="51">
        <v>207</v>
      </c>
    </row>
    <row r="97" spans="5:9" x14ac:dyDescent="0.25">
      <c r="E97">
        <f t="shared" si="9"/>
        <v>19</v>
      </c>
      <c r="G97" t="s">
        <v>226</v>
      </c>
      <c r="H97" s="51">
        <v>40</v>
      </c>
      <c r="I97" s="51">
        <v>207</v>
      </c>
    </row>
    <row r="98" spans="5:9" x14ac:dyDescent="0.25">
      <c r="E98">
        <f t="shared" si="9"/>
        <v>19</v>
      </c>
      <c r="G98" t="s">
        <v>227</v>
      </c>
      <c r="H98" s="51">
        <v>18</v>
      </c>
      <c r="I98" s="51">
        <v>207</v>
      </c>
    </row>
    <row r="99" spans="5:9" x14ac:dyDescent="0.25">
      <c r="E99">
        <f t="shared" si="9"/>
        <v>19</v>
      </c>
      <c r="G99" t="s">
        <v>228</v>
      </c>
      <c r="H99" s="51"/>
      <c r="I99" s="51">
        <v>207</v>
      </c>
    </row>
    <row r="100" spans="5:9" x14ac:dyDescent="0.25">
      <c r="E100">
        <f t="shared" si="9"/>
        <v>19</v>
      </c>
      <c r="G100" t="s">
        <v>229</v>
      </c>
      <c r="H100" s="51">
        <v>4</v>
      </c>
      <c r="I100" s="51">
        <v>207</v>
      </c>
    </row>
    <row r="101" spans="5:9" x14ac:dyDescent="0.25">
      <c r="E101">
        <f t="shared" si="9"/>
        <v>19</v>
      </c>
      <c r="G101" t="s">
        <v>230</v>
      </c>
      <c r="H101" s="51">
        <v>2</v>
      </c>
      <c r="I101" s="51">
        <v>207</v>
      </c>
    </row>
    <row r="102" spans="5:9" x14ac:dyDescent="0.25">
      <c r="E102">
        <f>+$F$102</f>
        <v>2</v>
      </c>
      <c r="F102">
        <v>2</v>
      </c>
      <c r="G102" t="s">
        <v>222</v>
      </c>
      <c r="H102" s="51">
        <v>2</v>
      </c>
      <c r="I102" s="51">
        <v>138</v>
      </c>
    </row>
    <row r="103" spans="5:9" x14ac:dyDescent="0.25">
      <c r="E103">
        <f t="shared" ref="E103:E110" si="10">+$F$102</f>
        <v>2</v>
      </c>
      <c r="G103" t="s">
        <v>223</v>
      </c>
      <c r="H103" s="51">
        <v>5</v>
      </c>
      <c r="I103" s="51">
        <v>138</v>
      </c>
    </row>
    <row r="104" spans="5:9" x14ac:dyDescent="0.25">
      <c r="E104">
        <f t="shared" si="10"/>
        <v>2</v>
      </c>
      <c r="G104" t="s">
        <v>224</v>
      </c>
      <c r="H104" s="51">
        <v>5</v>
      </c>
      <c r="I104" s="51">
        <v>138</v>
      </c>
    </row>
    <row r="105" spans="5:9" x14ac:dyDescent="0.25">
      <c r="E105">
        <f t="shared" si="10"/>
        <v>2</v>
      </c>
      <c r="G105" t="s">
        <v>225</v>
      </c>
      <c r="H105" s="51">
        <v>6</v>
      </c>
      <c r="I105" s="51">
        <v>138</v>
      </c>
    </row>
    <row r="106" spans="5:9" x14ac:dyDescent="0.25">
      <c r="E106">
        <f t="shared" si="10"/>
        <v>2</v>
      </c>
      <c r="G106" t="s">
        <v>226</v>
      </c>
      <c r="H106" s="51">
        <v>9</v>
      </c>
      <c r="I106" s="51">
        <v>138</v>
      </c>
    </row>
    <row r="107" spans="5:9" x14ac:dyDescent="0.25">
      <c r="E107">
        <f t="shared" si="10"/>
        <v>2</v>
      </c>
      <c r="G107" t="s">
        <v>227</v>
      </c>
      <c r="H107" s="51">
        <v>7</v>
      </c>
      <c r="I107" s="51">
        <v>138</v>
      </c>
    </row>
    <row r="108" spans="5:9" x14ac:dyDescent="0.25">
      <c r="E108">
        <f t="shared" si="10"/>
        <v>2</v>
      </c>
      <c r="G108" t="s">
        <v>228</v>
      </c>
      <c r="H108" s="51">
        <v>4</v>
      </c>
      <c r="I108" s="51">
        <v>138</v>
      </c>
    </row>
    <row r="109" spans="5:9" x14ac:dyDescent="0.25">
      <c r="E109">
        <f t="shared" si="10"/>
        <v>2</v>
      </c>
      <c r="G109" t="s">
        <v>229</v>
      </c>
      <c r="H109" s="51">
        <v>2</v>
      </c>
      <c r="I109" s="51">
        <v>138</v>
      </c>
    </row>
    <row r="110" spans="5:9" x14ac:dyDescent="0.25">
      <c r="E110">
        <f t="shared" si="10"/>
        <v>2</v>
      </c>
      <c r="G110" t="s">
        <v>230</v>
      </c>
      <c r="H110" s="51">
        <v>5</v>
      </c>
      <c r="I110" s="51">
        <v>138</v>
      </c>
    </row>
    <row r="111" spans="5:9" x14ac:dyDescent="0.25">
      <c r="E111">
        <f>+$F$111</f>
        <v>20</v>
      </c>
      <c r="F111">
        <v>20</v>
      </c>
      <c r="G111" t="s">
        <v>222</v>
      </c>
      <c r="H111" s="51">
        <v>13</v>
      </c>
      <c r="I111" s="51">
        <v>227</v>
      </c>
    </row>
    <row r="112" spans="5:9" x14ac:dyDescent="0.25">
      <c r="E112">
        <f t="shared" ref="E112:E119" si="11">+$F$111</f>
        <v>20</v>
      </c>
      <c r="G112" t="s">
        <v>223</v>
      </c>
      <c r="H112" s="51">
        <v>9</v>
      </c>
      <c r="I112" s="51">
        <v>227</v>
      </c>
    </row>
    <row r="113" spans="5:9" x14ac:dyDescent="0.25">
      <c r="E113">
        <f t="shared" si="11"/>
        <v>20</v>
      </c>
      <c r="G113" t="s">
        <v>224</v>
      </c>
      <c r="H113" s="51">
        <v>17</v>
      </c>
      <c r="I113" s="51">
        <v>227</v>
      </c>
    </row>
    <row r="114" spans="5:9" x14ac:dyDescent="0.25">
      <c r="E114">
        <f t="shared" si="11"/>
        <v>20</v>
      </c>
      <c r="G114" t="s">
        <v>225</v>
      </c>
      <c r="H114" s="51">
        <v>13</v>
      </c>
      <c r="I114" s="51">
        <v>227</v>
      </c>
    </row>
    <row r="115" spans="5:9" x14ac:dyDescent="0.25">
      <c r="E115">
        <f t="shared" si="11"/>
        <v>20</v>
      </c>
      <c r="G115" t="s">
        <v>226</v>
      </c>
      <c r="H115" s="51">
        <v>28</v>
      </c>
      <c r="I115" s="51">
        <v>227</v>
      </c>
    </row>
    <row r="116" spans="5:9" x14ac:dyDescent="0.25">
      <c r="E116">
        <f t="shared" si="11"/>
        <v>20</v>
      </c>
      <c r="G116" t="s">
        <v>227</v>
      </c>
      <c r="H116">
        <v>20</v>
      </c>
      <c r="I116" s="51">
        <v>227</v>
      </c>
    </row>
    <row r="117" spans="5:9" x14ac:dyDescent="0.25">
      <c r="E117">
        <f t="shared" si="11"/>
        <v>20</v>
      </c>
      <c r="G117" t="s">
        <v>228</v>
      </c>
      <c r="H117" s="51">
        <v>6</v>
      </c>
      <c r="I117" s="51">
        <v>227</v>
      </c>
    </row>
    <row r="118" spans="5:9" x14ac:dyDescent="0.25">
      <c r="E118">
        <f t="shared" si="11"/>
        <v>20</v>
      </c>
      <c r="G118" t="s">
        <v>229</v>
      </c>
      <c r="H118" s="51">
        <v>2</v>
      </c>
      <c r="I118" s="51">
        <v>227</v>
      </c>
    </row>
    <row r="119" spans="5:9" x14ac:dyDescent="0.25">
      <c r="E119">
        <f t="shared" si="11"/>
        <v>20</v>
      </c>
      <c r="G119" t="s">
        <v>230</v>
      </c>
      <c r="H119" s="51">
        <v>3</v>
      </c>
      <c r="I119" s="51">
        <v>227</v>
      </c>
    </row>
    <row r="120" spans="5:9" x14ac:dyDescent="0.25">
      <c r="E120">
        <f>+$F$120</f>
        <v>21</v>
      </c>
      <c r="F120">
        <v>21</v>
      </c>
      <c r="G120" t="s">
        <v>222</v>
      </c>
      <c r="H120" s="51">
        <v>12</v>
      </c>
      <c r="I120" s="51">
        <v>170</v>
      </c>
    </row>
    <row r="121" spans="5:9" x14ac:dyDescent="0.25">
      <c r="E121">
        <f t="shared" ref="E121:E128" si="12">+$F$120</f>
        <v>21</v>
      </c>
      <c r="G121" t="s">
        <v>223</v>
      </c>
      <c r="H121" s="51">
        <v>9</v>
      </c>
      <c r="I121" s="51">
        <v>170</v>
      </c>
    </row>
    <row r="122" spans="5:9" x14ac:dyDescent="0.25">
      <c r="E122">
        <f t="shared" si="12"/>
        <v>21</v>
      </c>
      <c r="G122" t="s">
        <v>224</v>
      </c>
      <c r="H122" s="51">
        <v>26</v>
      </c>
      <c r="I122" s="51">
        <v>170</v>
      </c>
    </row>
    <row r="123" spans="5:9" x14ac:dyDescent="0.25">
      <c r="E123">
        <f t="shared" si="12"/>
        <v>21</v>
      </c>
      <c r="G123" t="s">
        <v>225</v>
      </c>
      <c r="H123" s="51">
        <v>13</v>
      </c>
      <c r="I123" s="51">
        <v>170</v>
      </c>
    </row>
    <row r="124" spans="5:9" x14ac:dyDescent="0.25">
      <c r="E124">
        <f t="shared" si="12"/>
        <v>21</v>
      </c>
      <c r="G124" t="s">
        <v>226</v>
      </c>
      <c r="H124">
        <v>34</v>
      </c>
      <c r="I124" s="51">
        <v>170</v>
      </c>
    </row>
    <row r="125" spans="5:9" x14ac:dyDescent="0.25">
      <c r="E125">
        <f t="shared" si="12"/>
        <v>21</v>
      </c>
      <c r="G125" t="s">
        <v>227</v>
      </c>
      <c r="H125" s="51">
        <v>22</v>
      </c>
      <c r="I125" s="51">
        <v>170</v>
      </c>
    </row>
    <row r="126" spans="5:9" x14ac:dyDescent="0.25">
      <c r="E126">
        <f t="shared" si="12"/>
        <v>21</v>
      </c>
      <c r="G126" t="s">
        <v>228</v>
      </c>
      <c r="H126" s="51">
        <v>5</v>
      </c>
      <c r="I126" s="51">
        <v>170</v>
      </c>
    </row>
    <row r="127" spans="5:9" x14ac:dyDescent="0.25">
      <c r="E127">
        <f t="shared" si="12"/>
        <v>21</v>
      </c>
      <c r="G127" t="s">
        <v>229</v>
      </c>
      <c r="H127" s="51">
        <v>5</v>
      </c>
      <c r="I127" s="51">
        <v>170</v>
      </c>
    </row>
    <row r="128" spans="5:9" x14ac:dyDescent="0.25">
      <c r="E128">
        <f t="shared" si="12"/>
        <v>21</v>
      </c>
      <c r="G128" t="s">
        <v>230</v>
      </c>
      <c r="H128" s="51">
        <v>1</v>
      </c>
      <c r="I128" s="51">
        <v>170</v>
      </c>
    </row>
    <row r="129" spans="5:9" x14ac:dyDescent="0.25">
      <c r="E129">
        <f>+$F$129</f>
        <v>22</v>
      </c>
      <c r="F129">
        <v>22</v>
      </c>
      <c r="G129" t="s">
        <v>222</v>
      </c>
      <c r="H129" s="51">
        <v>10</v>
      </c>
      <c r="I129" s="51">
        <v>72</v>
      </c>
    </row>
    <row r="130" spans="5:9" x14ac:dyDescent="0.25">
      <c r="E130">
        <f t="shared" ref="E130:E137" si="13">+$F$129</f>
        <v>22</v>
      </c>
      <c r="G130" t="s">
        <v>223</v>
      </c>
      <c r="H130" s="51">
        <v>5</v>
      </c>
      <c r="I130" s="51">
        <v>72</v>
      </c>
    </row>
    <row r="131" spans="5:9" x14ac:dyDescent="0.25">
      <c r="E131">
        <f t="shared" si="13"/>
        <v>22</v>
      </c>
      <c r="G131" t="s">
        <v>224</v>
      </c>
      <c r="H131" s="51">
        <v>8</v>
      </c>
      <c r="I131" s="51">
        <v>72</v>
      </c>
    </row>
    <row r="132" spans="5:9" x14ac:dyDescent="0.25">
      <c r="E132">
        <f t="shared" si="13"/>
        <v>22</v>
      </c>
      <c r="G132" t="s">
        <v>225</v>
      </c>
      <c r="H132" s="51">
        <v>9</v>
      </c>
      <c r="I132" s="51">
        <v>72</v>
      </c>
    </row>
    <row r="133" spans="5:9" x14ac:dyDescent="0.25">
      <c r="E133">
        <f t="shared" si="13"/>
        <v>22</v>
      </c>
      <c r="G133" t="s">
        <v>226</v>
      </c>
      <c r="H133" s="51">
        <v>10</v>
      </c>
      <c r="I133" s="51">
        <v>72</v>
      </c>
    </row>
    <row r="134" spans="5:9" x14ac:dyDescent="0.25">
      <c r="E134">
        <f t="shared" si="13"/>
        <v>22</v>
      </c>
      <c r="G134" t="s">
        <v>227</v>
      </c>
      <c r="H134" s="51">
        <v>9</v>
      </c>
      <c r="I134" s="51">
        <v>72</v>
      </c>
    </row>
    <row r="135" spans="5:9" x14ac:dyDescent="0.25">
      <c r="E135">
        <f t="shared" si="13"/>
        <v>22</v>
      </c>
      <c r="G135" t="s">
        <v>228</v>
      </c>
      <c r="H135" s="51">
        <v>12</v>
      </c>
      <c r="I135" s="51">
        <v>72</v>
      </c>
    </row>
    <row r="136" spans="5:9" x14ac:dyDescent="0.25">
      <c r="E136">
        <f t="shared" si="13"/>
        <v>22</v>
      </c>
      <c r="G136" t="s">
        <v>229</v>
      </c>
      <c r="H136" s="51">
        <v>4</v>
      </c>
      <c r="I136" s="51">
        <v>72</v>
      </c>
    </row>
    <row r="137" spans="5:9" x14ac:dyDescent="0.25">
      <c r="E137">
        <f t="shared" si="13"/>
        <v>22</v>
      </c>
      <c r="G137" t="s">
        <v>230</v>
      </c>
      <c r="H137" s="51">
        <v>9</v>
      </c>
      <c r="I137" s="51">
        <v>72</v>
      </c>
    </row>
    <row r="138" spans="5:9" x14ac:dyDescent="0.25">
      <c r="E138">
        <f>+$F$138</f>
        <v>23</v>
      </c>
      <c r="F138">
        <v>23</v>
      </c>
      <c r="G138" t="s">
        <v>222</v>
      </c>
      <c r="H138" s="51">
        <v>8</v>
      </c>
      <c r="I138" s="51">
        <v>160</v>
      </c>
    </row>
    <row r="139" spans="5:9" x14ac:dyDescent="0.25">
      <c r="E139">
        <f t="shared" ref="E139:E146" si="14">+$F$138</f>
        <v>23</v>
      </c>
      <c r="G139" t="s">
        <v>223</v>
      </c>
      <c r="H139" s="51">
        <v>5</v>
      </c>
      <c r="I139" s="51">
        <v>160</v>
      </c>
    </row>
    <row r="140" spans="5:9" x14ac:dyDescent="0.25">
      <c r="E140">
        <f t="shared" si="14"/>
        <v>23</v>
      </c>
      <c r="G140" t="s">
        <v>224</v>
      </c>
      <c r="H140">
        <v>27</v>
      </c>
      <c r="I140" s="51">
        <v>160</v>
      </c>
    </row>
    <row r="141" spans="5:9" x14ac:dyDescent="0.25">
      <c r="E141">
        <f t="shared" si="14"/>
        <v>23</v>
      </c>
      <c r="G141" t="s">
        <v>225</v>
      </c>
      <c r="H141" s="51">
        <v>7</v>
      </c>
      <c r="I141" s="51">
        <v>160</v>
      </c>
    </row>
    <row r="142" spans="5:9" x14ac:dyDescent="0.25">
      <c r="E142">
        <f t="shared" si="14"/>
        <v>23</v>
      </c>
      <c r="G142" t="s">
        <v>226</v>
      </c>
      <c r="H142" s="51">
        <v>38</v>
      </c>
      <c r="I142" s="51">
        <v>160</v>
      </c>
    </row>
    <row r="143" spans="5:9" x14ac:dyDescent="0.25">
      <c r="E143">
        <f t="shared" si="14"/>
        <v>23</v>
      </c>
      <c r="G143" t="s">
        <v>227</v>
      </c>
      <c r="H143" s="51">
        <v>28</v>
      </c>
      <c r="I143" s="51">
        <v>160</v>
      </c>
    </row>
    <row r="144" spans="5:9" x14ac:dyDescent="0.25">
      <c r="E144">
        <f t="shared" si="14"/>
        <v>23</v>
      </c>
      <c r="G144" t="s">
        <v>228</v>
      </c>
      <c r="H144" s="51">
        <v>4</v>
      </c>
      <c r="I144" s="51">
        <v>160</v>
      </c>
    </row>
    <row r="145" spans="5:9" x14ac:dyDescent="0.25">
      <c r="E145">
        <f t="shared" si="14"/>
        <v>23</v>
      </c>
      <c r="G145" t="s">
        <v>229</v>
      </c>
      <c r="H145" s="51">
        <v>6</v>
      </c>
      <c r="I145" s="51">
        <v>160</v>
      </c>
    </row>
    <row r="146" spans="5:9" x14ac:dyDescent="0.25">
      <c r="E146">
        <f t="shared" si="14"/>
        <v>23</v>
      </c>
      <c r="G146" t="s">
        <v>230</v>
      </c>
      <c r="H146" s="51">
        <v>2</v>
      </c>
      <c r="I146" s="51">
        <v>160</v>
      </c>
    </row>
    <row r="147" spans="5:9" x14ac:dyDescent="0.25">
      <c r="E147">
        <f>+$F$147</f>
        <v>24</v>
      </c>
      <c r="F147">
        <v>24</v>
      </c>
      <c r="G147" t="s">
        <v>222</v>
      </c>
      <c r="H147" s="51">
        <v>8</v>
      </c>
      <c r="I147" s="51">
        <v>178</v>
      </c>
    </row>
    <row r="148" spans="5:9" x14ac:dyDescent="0.25">
      <c r="E148">
        <f t="shared" ref="E148:E155" si="15">+$F$147</f>
        <v>24</v>
      </c>
      <c r="G148" t="s">
        <v>223</v>
      </c>
      <c r="H148">
        <v>3</v>
      </c>
      <c r="I148" s="51">
        <v>178</v>
      </c>
    </row>
    <row r="149" spans="5:9" x14ac:dyDescent="0.25">
      <c r="E149">
        <f t="shared" si="15"/>
        <v>24</v>
      </c>
      <c r="G149" t="s">
        <v>224</v>
      </c>
      <c r="H149" s="51">
        <v>18</v>
      </c>
      <c r="I149" s="51">
        <v>178</v>
      </c>
    </row>
    <row r="150" spans="5:9" x14ac:dyDescent="0.25">
      <c r="E150">
        <f t="shared" si="15"/>
        <v>24</v>
      </c>
      <c r="G150" t="s">
        <v>225</v>
      </c>
      <c r="H150" s="51">
        <v>7</v>
      </c>
      <c r="I150" s="51">
        <v>178</v>
      </c>
    </row>
    <row r="151" spans="5:9" x14ac:dyDescent="0.25">
      <c r="E151">
        <f t="shared" si="15"/>
        <v>24</v>
      </c>
      <c r="G151" t="s">
        <v>226</v>
      </c>
      <c r="H151" s="51">
        <v>14</v>
      </c>
      <c r="I151" s="51">
        <v>178</v>
      </c>
    </row>
    <row r="152" spans="5:9" x14ac:dyDescent="0.25">
      <c r="E152">
        <f t="shared" si="15"/>
        <v>24</v>
      </c>
      <c r="G152" t="s">
        <v>227</v>
      </c>
      <c r="H152" s="51">
        <v>11</v>
      </c>
      <c r="I152" s="51">
        <v>178</v>
      </c>
    </row>
    <row r="153" spans="5:9" x14ac:dyDescent="0.25">
      <c r="E153">
        <f t="shared" si="15"/>
        <v>24</v>
      </c>
      <c r="G153" t="s">
        <v>228</v>
      </c>
      <c r="H153" s="51">
        <v>1</v>
      </c>
      <c r="I153" s="51">
        <v>178</v>
      </c>
    </row>
    <row r="154" spans="5:9" x14ac:dyDescent="0.25">
      <c r="E154">
        <f t="shared" si="15"/>
        <v>24</v>
      </c>
      <c r="G154" t="s">
        <v>229</v>
      </c>
      <c r="H154" s="51"/>
      <c r="I154" s="51">
        <v>178</v>
      </c>
    </row>
    <row r="155" spans="5:9" x14ac:dyDescent="0.25">
      <c r="E155">
        <f t="shared" si="15"/>
        <v>24</v>
      </c>
      <c r="G155" t="s">
        <v>230</v>
      </c>
      <c r="H155" s="51">
        <v>1</v>
      </c>
      <c r="I155" s="51">
        <v>178</v>
      </c>
    </row>
    <row r="156" spans="5:9" x14ac:dyDescent="0.25">
      <c r="E156">
        <f>+$F$156</f>
        <v>25</v>
      </c>
      <c r="F156">
        <v>25</v>
      </c>
      <c r="G156" t="s">
        <v>222</v>
      </c>
      <c r="H156" s="51">
        <v>5</v>
      </c>
      <c r="I156" s="51">
        <v>172</v>
      </c>
    </row>
    <row r="157" spans="5:9" x14ac:dyDescent="0.25">
      <c r="E157">
        <f t="shared" ref="E157:E164" si="16">+$F$156</f>
        <v>25</v>
      </c>
      <c r="G157" t="s">
        <v>223</v>
      </c>
      <c r="H157" s="51">
        <v>4</v>
      </c>
      <c r="I157" s="51">
        <v>172</v>
      </c>
    </row>
    <row r="158" spans="5:9" x14ac:dyDescent="0.25">
      <c r="E158">
        <f t="shared" si="16"/>
        <v>25</v>
      </c>
      <c r="G158" t="s">
        <v>224</v>
      </c>
      <c r="H158" s="51">
        <v>8</v>
      </c>
      <c r="I158" s="51">
        <v>172</v>
      </c>
    </row>
    <row r="159" spans="5:9" x14ac:dyDescent="0.25">
      <c r="E159">
        <f t="shared" si="16"/>
        <v>25</v>
      </c>
      <c r="G159" t="s">
        <v>225</v>
      </c>
      <c r="H159" s="51">
        <v>4</v>
      </c>
      <c r="I159" s="51">
        <v>172</v>
      </c>
    </row>
    <row r="160" spans="5:9" x14ac:dyDescent="0.25">
      <c r="E160">
        <f t="shared" si="16"/>
        <v>25</v>
      </c>
      <c r="G160" t="s">
        <v>226</v>
      </c>
      <c r="H160" s="51">
        <v>11</v>
      </c>
      <c r="I160" s="51">
        <v>172</v>
      </c>
    </row>
    <row r="161" spans="5:9" x14ac:dyDescent="0.25">
      <c r="E161">
        <f t="shared" si="16"/>
        <v>25</v>
      </c>
      <c r="G161" t="s">
        <v>227</v>
      </c>
      <c r="H161" s="51">
        <v>6</v>
      </c>
      <c r="I161" s="51">
        <v>172</v>
      </c>
    </row>
    <row r="162" spans="5:9" x14ac:dyDescent="0.25">
      <c r="E162">
        <f t="shared" si="16"/>
        <v>25</v>
      </c>
      <c r="G162" t="s">
        <v>228</v>
      </c>
      <c r="H162" s="51">
        <v>3</v>
      </c>
      <c r="I162" s="51">
        <v>172</v>
      </c>
    </row>
    <row r="163" spans="5:9" x14ac:dyDescent="0.25">
      <c r="E163">
        <f t="shared" si="16"/>
        <v>25</v>
      </c>
      <c r="G163" t="s">
        <v>229</v>
      </c>
      <c r="H163" s="51">
        <v>1</v>
      </c>
      <c r="I163" s="51">
        <v>172</v>
      </c>
    </row>
    <row r="164" spans="5:9" x14ac:dyDescent="0.25">
      <c r="E164">
        <f t="shared" si="16"/>
        <v>25</v>
      </c>
      <c r="G164" t="s">
        <v>230</v>
      </c>
      <c r="H164">
        <v>3</v>
      </c>
      <c r="I164" s="51">
        <v>172</v>
      </c>
    </row>
    <row r="165" spans="5:9" x14ac:dyDescent="0.25">
      <c r="E165">
        <f>+$F$165</f>
        <v>26</v>
      </c>
      <c r="F165">
        <v>26</v>
      </c>
      <c r="G165" t="s">
        <v>222</v>
      </c>
      <c r="H165" s="51">
        <v>12</v>
      </c>
      <c r="I165" s="51">
        <v>162</v>
      </c>
    </row>
    <row r="166" spans="5:9" x14ac:dyDescent="0.25">
      <c r="E166">
        <f t="shared" ref="E166:E173" si="17">+$F$165</f>
        <v>26</v>
      </c>
      <c r="G166" t="s">
        <v>223</v>
      </c>
      <c r="H166" s="51">
        <v>6</v>
      </c>
      <c r="I166" s="51">
        <v>162</v>
      </c>
    </row>
    <row r="167" spans="5:9" x14ac:dyDescent="0.25">
      <c r="E167">
        <f t="shared" si="17"/>
        <v>26</v>
      </c>
      <c r="G167" t="s">
        <v>224</v>
      </c>
      <c r="H167" s="51">
        <v>4</v>
      </c>
      <c r="I167" s="51">
        <v>162</v>
      </c>
    </row>
    <row r="168" spans="5:9" x14ac:dyDescent="0.25">
      <c r="E168">
        <f t="shared" si="17"/>
        <v>26</v>
      </c>
      <c r="G168" t="s">
        <v>225</v>
      </c>
      <c r="H168" s="51">
        <v>15</v>
      </c>
      <c r="I168" s="51">
        <v>162</v>
      </c>
    </row>
    <row r="169" spans="5:9" x14ac:dyDescent="0.25">
      <c r="E169">
        <f t="shared" si="17"/>
        <v>26</v>
      </c>
      <c r="G169" t="s">
        <v>226</v>
      </c>
      <c r="H169" s="51">
        <v>11</v>
      </c>
      <c r="I169" s="51">
        <v>162</v>
      </c>
    </row>
    <row r="170" spans="5:9" x14ac:dyDescent="0.25">
      <c r="E170">
        <f t="shared" si="17"/>
        <v>26</v>
      </c>
      <c r="G170" t="s">
        <v>227</v>
      </c>
      <c r="H170" s="51">
        <v>12</v>
      </c>
      <c r="I170" s="51">
        <v>162</v>
      </c>
    </row>
    <row r="171" spans="5:9" x14ac:dyDescent="0.25">
      <c r="E171">
        <f t="shared" si="17"/>
        <v>26</v>
      </c>
      <c r="G171" t="s">
        <v>228</v>
      </c>
      <c r="H171" s="51">
        <v>17</v>
      </c>
      <c r="I171" s="51">
        <v>162</v>
      </c>
    </row>
    <row r="172" spans="5:9" x14ac:dyDescent="0.25">
      <c r="E172">
        <f t="shared" si="17"/>
        <v>26</v>
      </c>
      <c r="G172" t="s">
        <v>229</v>
      </c>
      <c r="H172" s="51">
        <v>6</v>
      </c>
      <c r="I172" s="51">
        <v>162</v>
      </c>
    </row>
    <row r="173" spans="5:9" x14ac:dyDescent="0.25">
      <c r="E173">
        <f t="shared" si="17"/>
        <v>26</v>
      </c>
      <c r="G173" t="s">
        <v>230</v>
      </c>
      <c r="H173" s="51">
        <v>11</v>
      </c>
      <c r="I173" s="51">
        <v>162</v>
      </c>
    </row>
    <row r="174" spans="5:9" x14ac:dyDescent="0.25">
      <c r="E174">
        <f>+$F$174</f>
        <v>27</v>
      </c>
      <c r="F174">
        <v>27</v>
      </c>
      <c r="G174" t="s">
        <v>222</v>
      </c>
      <c r="H174" s="51">
        <v>11</v>
      </c>
      <c r="I174" s="51">
        <v>140</v>
      </c>
    </row>
    <row r="175" spans="5:9" x14ac:dyDescent="0.25">
      <c r="E175">
        <f t="shared" ref="E175:E182" si="18">+$F$174</f>
        <v>27</v>
      </c>
      <c r="G175" t="s">
        <v>223</v>
      </c>
      <c r="H175" s="51">
        <v>2</v>
      </c>
      <c r="I175" s="51">
        <v>140</v>
      </c>
    </row>
    <row r="176" spans="5:9" x14ac:dyDescent="0.25">
      <c r="E176">
        <f t="shared" si="18"/>
        <v>27</v>
      </c>
      <c r="G176" t="s">
        <v>224</v>
      </c>
      <c r="H176" s="51">
        <v>11</v>
      </c>
      <c r="I176" s="51">
        <v>140</v>
      </c>
    </row>
    <row r="177" spans="5:9" x14ac:dyDescent="0.25">
      <c r="E177">
        <f t="shared" si="18"/>
        <v>27</v>
      </c>
      <c r="G177" t="s">
        <v>225</v>
      </c>
      <c r="H177" s="51">
        <v>7</v>
      </c>
      <c r="I177" s="51">
        <v>140</v>
      </c>
    </row>
    <row r="178" spans="5:9" x14ac:dyDescent="0.25">
      <c r="E178">
        <f t="shared" si="18"/>
        <v>27</v>
      </c>
      <c r="G178" t="s">
        <v>226</v>
      </c>
      <c r="H178" s="51">
        <v>14</v>
      </c>
      <c r="I178" s="51">
        <v>140</v>
      </c>
    </row>
    <row r="179" spans="5:9" x14ac:dyDescent="0.25">
      <c r="E179">
        <f t="shared" si="18"/>
        <v>27</v>
      </c>
      <c r="G179" t="s">
        <v>227</v>
      </c>
      <c r="H179" s="51">
        <v>13</v>
      </c>
      <c r="I179" s="51">
        <v>140</v>
      </c>
    </row>
    <row r="180" spans="5:9" x14ac:dyDescent="0.25">
      <c r="E180">
        <f t="shared" si="18"/>
        <v>27</v>
      </c>
      <c r="G180" t="s">
        <v>228</v>
      </c>
      <c r="H180">
        <v>3</v>
      </c>
      <c r="I180" s="51">
        <v>140</v>
      </c>
    </row>
    <row r="181" spans="5:9" x14ac:dyDescent="0.25">
      <c r="E181">
        <f t="shared" si="18"/>
        <v>27</v>
      </c>
      <c r="G181" t="s">
        <v>229</v>
      </c>
      <c r="H181" s="51">
        <v>6</v>
      </c>
      <c r="I181" s="51">
        <v>140</v>
      </c>
    </row>
    <row r="182" spans="5:9" x14ac:dyDescent="0.25">
      <c r="E182">
        <f t="shared" si="18"/>
        <v>27</v>
      </c>
      <c r="G182" t="s">
        <v>230</v>
      </c>
      <c r="H182" s="51">
        <v>3</v>
      </c>
      <c r="I182" s="51">
        <v>140</v>
      </c>
    </row>
    <row r="183" spans="5:9" x14ac:dyDescent="0.25">
      <c r="E183">
        <f>+$F$183</f>
        <v>28</v>
      </c>
      <c r="F183">
        <v>28</v>
      </c>
      <c r="G183" t="s">
        <v>222</v>
      </c>
      <c r="H183" s="51">
        <v>7</v>
      </c>
      <c r="I183" s="51">
        <v>168</v>
      </c>
    </row>
    <row r="184" spans="5:9" x14ac:dyDescent="0.25">
      <c r="E184">
        <f t="shared" ref="E184:E191" si="19">+$F$183</f>
        <v>28</v>
      </c>
      <c r="G184" t="s">
        <v>223</v>
      </c>
      <c r="H184" s="51">
        <v>2</v>
      </c>
      <c r="I184" s="51">
        <v>168</v>
      </c>
    </row>
    <row r="185" spans="5:9" x14ac:dyDescent="0.25">
      <c r="E185">
        <f t="shared" si="19"/>
        <v>28</v>
      </c>
      <c r="G185" t="s">
        <v>224</v>
      </c>
      <c r="H185" s="51">
        <v>6</v>
      </c>
      <c r="I185" s="51">
        <v>168</v>
      </c>
    </row>
    <row r="186" spans="5:9" x14ac:dyDescent="0.25">
      <c r="E186">
        <f t="shared" si="19"/>
        <v>28</v>
      </c>
      <c r="G186" t="s">
        <v>225</v>
      </c>
      <c r="H186">
        <v>6</v>
      </c>
      <c r="I186" s="51">
        <v>168</v>
      </c>
    </row>
    <row r="187" spans="5:9" x14ac:dyDescent="0.25">
      <c r="E187">
        <f t="shared" si="19"/>
        <v>28</v>
      </c>
      <c r="G187" t="s">
        <v>226</v>
      </c>
      <c r="H187" s="51">
        <v>19</v>
      </c>
      <c r="I187" s="51">
        <v>168</v>
      </c>
    </row>
    <row r="188" spans="5:9" x14ac:dyDescent="0.25">
      <c r="E188">
        <f t="shared" si="19"/>
        <v>28</v>
      </c>
      <c r="G188" t="s">
        <v>227</v>
      </c>
      <c r="H188" s="51">
        <v>15</v>
      </c>
      <c r="I188" s="51">
        <v>168</v>
      </c>
    </row>
    <row r="189" spans="5:9" x14ac:dyDescent="0.25">
      <c r="E189">
        <f t="shared" si="19"/>
        <v>28</v>
      </c>
      <c r="G189" t="s">
        <v>228</v>
      </c>
      <c r="H189" s="51">
        <v>3</v>
      </c>
      <c r="I189" s="51">
        <v>168</v>
      </c>
    </row>
    <row r="190" spans="5:9" x14ac:dyDescent="0.25">
      <c r="E190">
        <f t="shared" si="19"/>
        <v>28</v>
      </c>
      <c r="G190" t="s">
        <v>229</v>
      </c>
      <c r="H190" s="51">
        <v>3</v>
      </c>
      <c r="I190" s="51">
        <v>168</v>
      </c>
    </row>
    <row r="191" spans="5:9" x14ac:dyDescent="0.25">
      <c r="E191">
        <f t="shared" si="19"/>
        <v>28</v>
      </c>
      <c r="G191" t="s">
        <v>230</v>
      </c>
      <c r="H191" s="51">
        <v>2</v>
      </c>
      <c r="I191" s="51">
        <v>168</v>
      </c>
    </row>
    <row r="192" spans="5:9" x14ac:dyDescent="0.25">
      <c r="E192">
        <f>+$F$192</f>
        <v>3</v>
      </c>
      <c r="F192">
        <v>3</v>
      </c>
      <c r="G192" t="s">
        <v>222</v>
      </c>
      <c r="H192" s="51">
        <v>8</v>
      </c>
      <c r="I192" s="51">
        <v>170</v>
      </c>
    </row>
    <row r="193" spans="5:9" x14ac:dyDescent="0.25">
      <c r="E193">
        <f t="shared" ref="E193:E200" si="20">+$F$192</f>
        <v>3</v>
      </c>
      <c r="G193" t="s">
        <v>223</v>
      </c>
      <c r="H193" s="51">
        <v>7</v>
      </c>
      <c r="I193" s="51">
        <v>170</v>
      </c>
    </row>
    <row r="194" spans="5:9" x14ac:dyDescent="0.25">
      <c r="E194">
        <f t="shared" si="20"/>
        <v>3</v>
      </c>
      <c r="G194" t="s">
        <v>224</v>
      </c>
      <c r="H194" s="51">
        <v>14</v>
      </c>
      <c r="I194" s="51">
        <v>170</v>
      </c>
    </row>
    <row r="195" spans="5:9" x14ac:dyDescent="0.25">
      <c r="E195">
        <f t="shared" si="20"/>
        <v>3</v>
      </c>
      <c r="G195" t="s">
        <v>225</v>
      </c>
      <c r="H195" s="51">
        <v>5</v>
      </c>
      <c r="I195" s="51">
        <v>170</v>
      </c>
    </row>
    <row r="196" spans="5:9" x14ac:dyDescent="0.25">
      <c r="E196">
        <f t="shared" si="20"/>
        <v>3</v>
      </c>
      <c r="G196" t="s">
        <v>226</v>
      </c>
      <c r="H196">
        <v>17</v>
      </c>
      <c r="I196" s="51">
        <v>170</v>
      </c>
    </row>
    <row r="197" spans="5:9" x14ac:dyDescent="0.25">
      <c r="E197">
        <f t="shared" si="20"/>
        <v>3</v>
      </c>
      <c r="G197" t="s">
        <v>227</v>
      </c>
      <c r="H197" s="51">
        <v>13</v>
      </c>
      <c r="I197" s="51">
        <v>170</v>
      </c>
    </row>
    <row r="198" spans="5:9" x14ac:dyDescent="0.25">
      <c r="E198">
        <f t="shared" si="20"/>
        <v>3</v>
      </c>
      <c r="G198" t="s">
        <v>228</v>
      </c>
      <c r="H198" s="51">
        <v>5</v>
      </c>
      <c r="I198" s="51">
        <v>170</v>
      </c>
    </row>
    <row r="199" spans="5:9" x14ac:dyDescent="0.25">
      <c r="E199">
        <f t="shared" si="20"/>
        <v>3</v>
      </c>
      <c r="G199" t="s">
        <v>229</v>
      </c>
      <c r="H199" s="51">
        <v>7</v>
      </c>
      <c r="I199" s="51">
        <v>170</v>
      </c>
    </row>
    <row r="200" spans="5:9" x14ac:dyDescent="0.25">
      <c r="E200">
        <f t="shared" si="20"/>
        <v>3</v>
      </c>
      <c r="G200" t="s">
        <v>230</v>
      </c>
      <c r="H200" s="51">
        <v>3</v>
      </c>
      <c r="I200" s="51">
        <v>170</v>
      </c>
    </row>
    <row r="201" spans="5:9" x14ac:dyDescent="0.25">
      <c r="E201">
        <f>+$F$201</f>
        <v>30</v>
      </c>
      <c r="F201">
        <v>30</v>
      </c>
      <c r="G201" t="s">
        <v>222</v>
      </c>
      <c r="H201" s="51">
        <v>2</v>
      </c>
      <c r="I201" s="51">
        <v>138</v>
      </c>
    </row>
    <row r="202" spans="5:9" x14ac:dyDescent="0.25">
      <c r="E202">
        <f t="shared" ref="E202:E209" si="21">+$F$201</f>
        <v>30</v>
      </c>
      <c r="G202" t="s">
        <v>223</v>
      </c>
      <c r="H202" s="51"/>
      <c r="I202" s="51">
        <v>138</v>
      </c>
    </row>
    <row r="203" spans="5:9" x14ac:dyDescent="0.25">
      <c r="E203">
        <f t="shared" si="21"/>
        <v>30</v>
      </c>
      <c r="G203" t="s">
        <v>224</v>
      </c>
      <c r="H203" s="51">
        <v>1</v>
      </c>
      <c r="I203" s="51">
        <v>138</v>
      </c>
    </row>
    <row r="204" spans="5:9" x14ac:dyDescent="0.25">
      <c r="E204">
        <f t="shared" si="21"/>
        <v>30</v>
      </c>
      <c r="G204" t="s">
        <v>225</v>
      </c>
      <c r="H204" s="51"/>
      <c r="I204" s="51">
        <v>138</v>
      </c>
    </row>
    <row r="205" spans="5:9" x14ac:dyDescent="0.25">
      <c r="E205">
        <f t="shared" si="21"/>
        <v>30</v>
      </c>
      <c r="G205" t="s">
        <v>226</v>
      </c>
      <c r="H205" s="51"/>
      <c r="I205" s="51">
        <v>138</v>
      </c>
    </row>
    <row r="206" spans="5:9" x14ac:dyDescent="0.25">
      <c r="E206">
        <f t="shared" si="21"/>
        <v>30</v>
      </c>
      <c r="G206" t="s">
        <v>227</v>
      </c>
      <c r="H206" s="51"/>
      <c r="I206" s="51">
        <v>138</v>
      </c>
    </row>
    <row r="207" spans="5:9" x14ac:dyDescent="0.25">
      <c r="E207">
        <f t="shared" si="21"/>
        <v>30</v>
      </c>
      <c r="G207" t="s">
        <v>228</v>
      </c>
      <c r="H207" s="51"/>
      <c r="I207" s="51">
        <v>138</v>
      </c>
    </row>
    <row r="208" spans="5:9" x14ac:dyDescent="0.25">
      <c r="E208">
        <f t="shared" si="21"/>
        <v>30</v>
      </c>
      <c r="G208" t="s">
        <v>229</v>
      </c>
      <c r="H208" s="51"/>
      <c r="I208" s="51">
        <v>138</v>
      </c>
    </row>
    <row r="209" spans="5:9" x14ac:dyDescent="0.25">
      <c r="E209">
        <f t="shared" si="21"/>
        <v>30</v>
      </c>
      <c r="G209" t="s">
        <v>230</v>
      </c>
      <c r="H209" s="51"/>
      <c r="I209" s="51">
        <v>138</v>
      </c>
    </row>
    <row r="210" spans="5:9" x14ac:dyDescent="0.25">
      <c r="E210">
        <f>+$F$210</f>
        <v>31</v>
      </c>
      <c r="F210">
        <v>31</v>
      </c>
      <c r="G210" t="s">
        <v>222</v>
      </c>
      <c r="H210" s="51">
        <v>15</v>
      </c>
      <c r="I210" s="51">
        <v>161</v>
      </c>
    </row>
    <row r="211" spans="5:9" x14ac:dyDescent="0.25">
      <c r="E211">
        <f t="shared" ref="E211:E218" si="22">+$F$210</f>
        <v>31</v>
      </c>
      <c r="G211" t="s">
        <v>223</v>
      </c>
      <c r="H211" s="51">
        <v>4</v>
      </c>
      <c r="I211" s="51">
        <v>161</v>
      </c>
    </row>
    <row r="212" spans="5:9" x14ac:dyDescent="0.25">
      <c r="E212">
        <f t="shared" si="22"/>
        <v>31</v>
      </c>
      <c r="G212" t="s">
        <v>224</v>
      </c>
      <c r="H212">
        <v>19</v>
      </c>
      <c r="I212" s="51">
        <v>161</v>
      </c>
    </row>
    <row r="213" spans="5:9" x14ac:dyDescent="0.25">
      <c r="E213">
        <f t="shared" si="22"/>
        <v>31</v>
      </c>
      <c r="G213" t="s">
        <v>225</v>
      </c>
      <c r="H213" s="51">
        <v>10</v>
      </c>
      <c r="I213" s="51">
        <v>161</v>
      </c>
    </row>
    <row r="214" spans="5:9" x14ac:dyDescent="0.25">
      <c r="E214">
        <f t="shared" si="22"/>
        <v>31</v>
      </c>
      <c r="G214" t="s">
        <v>226</v>
      </c>
      <c r="H214" s="51">
        <v>37</v>
      </c>
      <c r="I214" s="51">
        <v>161</v>
      </c>
    </row>
    <row r="215" spans="5:9" x14ac:dyDescent="0.25">
      <c r="E215">
        <f t="shared" si="22"/>
        <v>31</v>
      </c>
      <c r="G215" t="s">
        <v>227</v>
      </c>
      <c r="H215" s="51">
        <v>20</v>
      </c>
      <c r="I215" s="51">
        <v>161</v>
      </c>
    </row>
    <row r="216" spans="5:9" x14ac:dyDescent="0.25">
      <c r="E216">
        <f t="shared" si="22"/>
        <v>31</v>
      </c>
      <c r="G216" t="s">
        <v>228</v>
      </c>
      <c r="H216" s="51">
        <v>7</v>
      </c>
      <c r="I216" s="51">
        <v>161</v>
      </c>
    </row>
    <row r="217" spans="5:9" x14ac:dyDescent="0.25">
      <c r="E217">
        <f t="shared" si="22"/>
        <v>31</v>
      </c>
      <c r="G217" t="s">
        <v>229</v>
      </c>
      <c r="H217" s="51">
        <v>5</v>
      </c>
      <c r="I217" s="51">
        <v>161</v>
      </c>
    </row>
    <row r="218" spans="5:9" x14ac:dyDescent="0.25">
      <c r="E218">
        <f t="shared" si="22"/>
        <v>31</v>
      </c>
      <c r="G218" t="s">
        <v>230</v>
      </c>
      <c r="H218" s="51">
        <v>4</v>
      </c>
      <c r="I218" s="51">
        <v>161</v>
      </c>
    </row>
    <row r="219" spans="5:9" x14ac:dyDescent="0.25">
      <c r="E219">
        <f>+$F$219</f>
        <v>32</v>
      </c>
      <c r="F219">
        <v>32</v>
      </c>
      <c r="G219" t="s">
        <v>222</v>
      </c>
      <c r="H219" s="51">
        <v>4</v>
      </c>
      <c r="I219" s="51">
        <v>56</v>
      </c>
    </row>
    <row r="220" spans="5:9" x14ac:dyDescent="0.25">
      <c r="E220">
        <f t="shared" ref="E220:E227" si="23">+$F$219</f>
        <v>32</v>
      </c>
      <c r="G220" t="s">
        <v>223</v>
      </c>
      <c r="H220" s="51">
        <v>1</v>
      </c>
      <c r="I220" s="51">
        <v>56</v>
      </c>
    </row>
    <row r="221" spans="5:9" x14ac:dyDescent="0.25">
      <c r="E221">
        <f t="shared" si="23"/>
        <v>32</v>
      </c>
      <c r="G221" t="s">
        <v>224</v>
      </c>
      <c r="H221" s="51">
        <v>2</v>
      </c>
      <c r="I221" s="51">
        <v>56</v>
      </c>
    </row>
    <row r="222" spans="5:9" x14ac:dyDescent="0.25">
      <c r="E222">
        <f t="shared" si="23"/>
        <v>32</v>
      </c>
      <c r="G222" t="s">
        <v>225</v>
      </c>
      <c r="H222" s="51">
        <v>4</v>
      </c>
      <c r="I222" s="51">
        <v>56</v>
      </c>
    </row>
    <row r="223" spans="5:9" x14ac:dyDescent="0.25">
      <c r="E223">
        <f t="shared" si="23"/>
        <v>32</v>
      </c>
      <c r="G223" t="s">
        <v>226</v>
      </c>
      <c r="H223" s="51">
        <v>7</v>
      </c>
      <c r="I223" s="51">
        <v>56</v>
      </c>
    </row>
    <row r="224" spans="5:9" x14ac:dyDescent="0.25">
      <c r="E224">
        <f t="shared" si="23"/>
        <v>32</v>
      </c>
      <c r="G224" t="s">
        <v>227</v>
      </c>
      <c r="H224" s="51">
        <v>4</v>
      </c>
      <c r="I224" s="51">
        <v>56</v>
      </c>
    </row>
    <row r="225" spans="5:9" x14ac:dyDescent="0.25">
      <c r="E225">
        <f t="shared" si="23"/>
        <v>32</v>
      </c>
      <c r="G225" t="s">
        <v>228</v>
      </c>
      <c r="H225" s="51">
        <v>7</v>
      </c>
      <c r="I225" s="51">
        <v>56</v>
      </c>
    </row>
    <row r="226" spans="5:9" x14ac:dyDescent="0.25">
      <c r="E226">
        <f t="shared" si="23"/>
        <v>32</v>
      </c>
      <c r="G226" t="s">
        <v>229</v>
      </c>
      <c r="H226" s="51">
        <v>5</v>
      </c>
      <c r="I226" s="51">
        <v>56</v>
      </c>
    </row>
    <row r="227" spans="5:9" x14ac:dyDescent="0.25">
      <c r="E227">
        <f t="shared" si="23"/>
        <v>32</v>
      </c>
      <c r="G227" t="s">
        <v>230</v>
      </c>
      <c r="H227" s="51">
        <v>4</v>
      </c>
      <c r="I227" s="51">
        <v>56</v>
      </c>
    </row>
    <row r="228" spans="5:9" x14ac:dyDescent="0.25">
      <c r="E228">
        <f>+$F$228</f>
        <v>33</v>
      </c>
      <c r="F228">
        <v>33</v>
      </c>
      <c r="G228" t="s">
        <v>222</v>
      </c>
      <c r="H228" s="51">
        <v>5</v>
      </c>
      <c r="I228" s="51">
        <v>172</v>
      </c>
    </row>
    <row r="229" spans="5:9" x14ac:dyDescent="0.25">
      <c r="E229">
        <f t="shared" ref="E229:E236" si="24">+$F$228</f>
        <v>33</v>
      </c>
      <c r="G229" t="s">
        <v>223</v>
      </c>
      <c r="H229" s="51">
        <v>13</v>
      </c>
      <c r="I229" s="51">
        <v>172</v>
      </c>
    </row>
    <row r="230" spans="5:9" x14ac:dyDescent="0.25">
      <c r="E230">
        <f t="shared" si="24"/>
        <v>33</v>
      </c>
      <c r="G230" t="s">
        <v>224</v>
      </c>
      <c r="H230" s="51">
        <v>13</v>
      </c>
      <c r="I230" s="51">
        <v>172</v>
      </c>
    </row>
    <row r="231" spans="5:9" x14ac:dyDescent="0.25">
      <c r="E231">
        <f t="shared" si="24"/>
        <v>33</v>
      </c>
      <c r="G231" t="s">
        <v>225</v>
      </c>
      <c r="H231" s="51">
        <v>8</v>
      </c>
      <c r="I231" s="51">
        <v>172</v>
      </c>
    </row>
    <row r="232" spans="5:9" x14ac:dyDescent="0.25">
      <c r="E232">
        <f t="shared" si="24"/>
        <v>33</v>
      </c>
      <c r="G232" t="s">
        <v>226</v>
      </c>
      <c r="H232" s="51">
        <v>16</v>
      </c>
      <c r="I232" s="51">
        <v>172</v>
      </c>
    </row>
    <row r="233" spans="5:9" x14ac:dyDescent="0.25">
      <c r="E233">
        <f t="shared" si="24"/>
        <v>33</v>
      </c>
      <c r="G233" t="s">
        <v>227</v>
      </c>
      <c r="H233" s="51">
        <v>19</v>
      </c>
      <c r="I233" s="51">
        <v>172</v>
      </c>
    </row>
    <row r="234" spans="5:9" x14ac:dyDescent="0.25">
      <c r="E234">
        <f t="shared" si="24"/>
        <v>33</v>
      </c>
      <c r="G234" t="s">
        <v>228</v>
      </c>
      <c r="H234" s="51">
        <v>2</v>
      </c>
      <c r="I234" s="51">
        <v>172</v>
      </c>
    </row>
    <row r="235" spans="5:9" x14ac:dyDescent="0.25">
      <c r="E235">
        <f t="shared" si="24"/>
        <v>33</v>
      </c>
      <c r="G235" t="s">
        <v>229</v>
      </c>
      <c r="H235" s="51">
        <v>2</v>
      </c>
      <c r="I235" s="51">
        <v>172</v>
      </c>
    </row>
    <row r="236" spans="5:9" x14ac:dyDescent="0.25">
      <c r="E236">
        <f t="shared" si="24"/>
        <v>33</v>
      </c>
      <c r="G236" t="s">
        <v>230</v>
      </c>
      <c r="H236">
        <v>2</v>
      </c>
      <c r="I236" s="51">
        <v>172</v>
      </c>
    </row>
    <row r="237" spans="5:9" x14ac:dyDescent="0.25">
      <c r="E237">
        <f>+$F$237</f>
        <v>36</v>
      </c>
      <c r="F237">
        <v>36</v>
      </c>
      <c r="G237" t="s">
        <v>222</v>
      </c>
      <c r="H237" s="51">
        <v>5</v>
      </c>
      <c r="I237" s="51">
        <v>156</v>
      </c>
    </row>
    <row r="238" spans="5:9" x14ac:dyDescent="0.25">
      <c r="E238">
        <f t="shared" ref="E238:E245" si="25">+$F$237</f>
        <v>36</v>
      </c>
      <c r="G238" t="s">
        <v>223</v>
      </c>
      <c r="H238" s="51">
        <v>4</v>
      </c>
      <c r="I238" s="51">
        <v>156</v>
      </c>
    </row>
    <row r="239" spans="5:9" x14ac:dyDescent="0.25">
      <c r="E239">
        <f t="shared" si="25"/>
        <v>36</v>
      </c>
      <c r="G239" t="s">
        <v>224</v>
      </c>
      <c r="H239" s="51">
        <v>9</v>
      </c>
      <c r="I239" s="51">
        <v>156</v>
      </c>
    </row>
    <row r="240" spans="5:9" x14ac:dyDescent="0.25">
      <c r="E240">
        <f t="shared" si="25"/>
        <v>36</v>
      </c>
      <c r="G240" t="s">
        <v>225</v>
      </c>
      <c r="H240" s="51">
        <v>11</v>
      </c>
      <c r="I240" s="51">
        <v>156</v>
      </c>
    </row>
    <row r="241" spans="5:9" x14ac:dyDescent="0.25">
      <c r="E241">
        <f t="shared" si="25"/>
        <v>36</v>
      </c>
      <c r="G241" t="s">
        <v>226</v>
      </c>
      <c r="H241" s="51">
        <v>20</v>
      </c>
      <c r="I241" s="51">
        <v>156</v>
      </c>
    </row>
    <row r="242" spans="5:9" x14ac:dyDescent="0.25">
      <c r="E242">
        <f t="shared" si="25"/>
        <v>36</v>
      </c>
      <c r="G242" t="s">
        <v>227</v>
      </c>
      <c r="H242" s="51">
        <v>6</v>
      </c>
      <c r="I242" s="51">
        <v>156</v>
      </c>
    </row>
    <row r="243" spans="5:9" x14ac:dyDescent="0.25">
      <c r="E243">
        <f t="shared" si="25"/>
        <v>36</v>
      </c>
      <c r="G243" t="s">
        <v>228</v>
      </c>
      <c r="H243" s="51">
        <v>4</v>
      </c>
      <c r="I243" s="51">
        <v>156</v>
      </c>
    </row>
    <row r="244" spans="5:9" x14ac:dyDescent="0.25">
      <c r="E244">
        <f t="shared" si="25"/>
        <v>36</v>
      </c>
      <c r="G244" t="s">
        <v>229</v>
      </c>
      <c r="H244">
        <v>1</v>
      </c>
      <c r="I244" s="51">
        <v>156</v>
      </c>
    </row>
    <row r="245" spans="5:9" x14ac:dyDescent="0.25">
      <c r="E245">
        <f t="shared" si="25"/>
        <v>36</v>
      </c>
      <c r="G245" t="s">
        <v>230</v>
      </c>
      <c r="H245" s="51"/>
      <c r="I245" s="51">
        <v>156</v>
      </c>
    </row>
    <row r="246" spans="5:9" x14ac:dyDescent="0.25">
      <c r="E246">
        <f>+$F$246</f>
        <v>37</v>
      </c>
      <c r="F246">
        <v>37</v>
      </c>
      <c r="G246" t="s">
        <v>222</v>
      </c>
      <c r="H246" s="51">
        <v>2</v>
      </c>
      <c r="I246" s="51">
        <v>141</v>
      </c>
    </row>
    <row r="247" spans="5:9" x14ac:dyDescent="0.25">
      <c r="E247">
        <f t="shared" ref="E247:E254" si="26">+$F$246</f>
        <v>37</v>
      </c>
      <c r="G247" t="s">
        <v>223</v>
      </c>
      <c r="H247" s="51"/>
      <c r="I247" s="51">
        <v>141</v>
      </c>
    </row>
    <row r="248" spans="5:9" x14ac:dyDescent="0.25">
      <c r="E248">
        <f t="shared" si="26"/>
        <v>37</v>
      </c>
      <c r="G248" t="s">
        <v>224</v>
      </c>
      <c r="H248" s="51">
        <v>2</v>
      </c>
      <c r="I248" s="51">
        <v>141</v>
      </c>
    </row>
    <row r="249" spans="5:9" x14ac:dyDescent="0.25">
      <c r="E249">
        <f t="shared" si="26"/>
        <v>37</v>
      </c>
      <c r="G249" t="s">
        <v>225</v>
      </c>
      <c r="H249" s="51"/>
      <c r="I249" s="51">
        <v>141</v>
      </c>
    </row>
    <row r="250" spans="5:9" x14ac:dyDescent="0.25">
      <c r="E250">
        <f t="shared" si="26"/>
        <v>37</v>
      </c>
      <c r="G250" t="s">
        <v>226</v>
      </c>
      <c r="H250" s="51">
        <v>7</v>
      </c>
      <c r="I250" s="51">
        <v>141</v>
      </c>
    </row>
    <row r="251" spans="5:9" x14ac:dyDescent="0.25">
      <c r="E251">
        <f t="shared" si="26"/>
        <v>37</v>
      </c>
      <c r="G251" t="s">
        <v>227</v>
      </c>
      <c r="H251" s="51">
        <v>6</v>
      </c>
      <c r="I251" s="51">
        <v>141</v>
      </c>
    </row>
    <row r="252" spans="5:9" x14ac:dyDescent="0.25">
      <c r="E252">
        <f t="shared" si="26"/>
        <v>37</v>
      </c>
      <c r="G252" t="s">
        <v>228</v>
      </c>
      <c r="H252">
        <v>4</v>
      </c>
      <c r="I252" s="51">
        <v>141</v>
      </c>
    </row>
    <row r="253" spans="5:9" x14ac:dyDescent="0.25">
      <c r="E253">
        <f t="shared" si="26"/>
        <v>37</v>
      </c>
      <c r="G253" t="s">
        <v>229</v>
      </c>
      <c r="H253" s="51">
        <v>4</v>
      </c>
      <c r="I253" s="51">
        <v>141</v>
      </c>
    </row>
    <row r="254" spans="5:9" x14ac:dyDescent="0.25">
      <c r="E254">
        <f t="shared" si="26"/>
        <v>37</v>
      </c>
      <c r="G254" t="s">
        <v>230</v>
      </c>
      <c r="H254" s="51"/>
      <c r="I254" s="51">
        <v>141</v>
      </c>
    </row>
    <row r="255" spans="5:9" x14ac:dyDescent="0.25">
      <c r="E255">
        <f>+$F$255</f>
        <v>4</v>
      </c>
      <c r="F255">
        <v>4</v>
      </c>
      <c r="G255" t="s">
        <v>222</v>
      </c>
      <c r="H255" s="51">
        <v>9</v>
      </c>
      <c r="I255" s="51">
        <v>182</v>
      </c>
    </row>
    <row r="256" spans="5:9" x14ac:dyDescent="0.25">
      <c r="E256">
        <f t="shared" ref="E256:E263" si="27">+$F$255</f>
        <v>4</v>
      </c>
      <c r="G256" t="s">
        <v>223</v>
      </c>
      <c r="H256" s="51">
        <v>6</v>
      </c>
      <c r="I256" s="51">
        <v>182</v>
      </c>
    </row>
    <row r="257" spans="5:9" x14ac:dyDescent="0.25">
      <c r="E257">
        <f t="shared" si="27"/>
        <v>4</v>
      </c>
      <c r="G257" t="s">
        <v>224</v>
      </c>
      <c r="H257" s="51">
        <v>11</v>
      </c>
      <c r="I257" s="51">
        <v>182</v>
      </c>
    </row>
    <row r="258" spans="5:9" x14ac:dyDescent="0.25">
      <c r="E258">
        <f t="shared" si="27"/>
        <v>4</v>
      </c>
      <c r="G258" t="s">
        <v>225</v>
      </c>
      <c r="H258">
        <v>12</v>
      </c>
      <c r="I258" s="51">
        <v>182</v>
      </c>
    </row>
    <row r="259" spans="5:9" x14ac:dyDescent="0.25">
      <c r="E259">
        <f t="shared" si="27"/>
        <v>4</v>
      </c>
      <c r="G259" t="s">
        <v>226</v>
      </c>
      <c r="H259" s="51">
        <v>24</v>
      </c>
      <c r="I259" s="51">
        <v>182</v>
      </c>
    </row>
    <row r="260" spans="5:9" x14ac:dyDescent="0.25">
      <c r="E260">
        <f t="shared" si="27"/>
        <v>4</v>
      </c>
      <c r="G260" t="s">
        <v>227</v>
      </c>
      <c r="H260">
        <v>12</v>
      </c>
      <c r="I260" s="51">
        <v>182</v>
      </c>
    </row>
    <row r="261" spans="5:9" x14ac:dyDescent="0.25">
      <c r="E261">
        <f t="shared" si="27"/>
        <v>4</v>
      </c>
      <c r="G261" t="s">
        <v>228</v>
      </c>
      <c r="H261" s="51">
        <v>6</v>
      </c>
      <c r="I261" s="51">
        <v>182</v>
      </c>
    </row>
    <row r="262" spans="5:9" x14ac:dyDescent="0.25">
      <c r="E262">
        <f t="shared" si="27"/>
        <v>4</v>
      </c>
      <c r="G262" t="s">
        <v>229</v>
      </c>
      <c r="H262" s="51">
        <v>4</v>
      </c>
      <c r="I262" s="51">
        <v>182</v>
      </c>
    </row>
    <row r="263" spans="5:9" x14ac:dyDescent="0.25">
      <c r="E263">
        <f t="shared" si="27"/>
        <v>4</v>
      </c>
      <c r="G263" t="s">
        <v>230</v>
      </c>
      <c r="H263" s="51">
        <v>6</v>
      </c>
      <c r="I263" s="51">
        <v>182</v>
      </c>
    </row>
    <row r="264" spans="5:9" x14ac:dyDescent="0.25">
      <c r="E264">
        <f>+$F$264</f>
        <v>40</v>
      </c>
      <c r="F264">
        <v>40</v>
      </c>
      <c r="G264" t="s">
        <v>222</v>
      </c>
      <c r="H264" s="51">
        <v>4</v>
      </c>
      <c r="I264" s="51">
        <v>249</v>
      </c>
    </row>
    <row r="265" spans="5:9" x14ac:dyDescent="0.25">
      <c r="E265">
        <f t="shared" ref="E265:E272" si="28">+$F$264</f>
        <v>40</v>
      </c>
      <c r="G265" t="s">
        <v>223</v>
      </c>
      <c r="H265">
        <v>1</v>
      </c>
      <c r="I265" s="51">
        <v>249</v>
      </c>
    </row>
    <row r="266" spans="5:9" x14ac:dyDescent="0.25">
      <c r="E266">
        <f t="shared" si="28"/>
        <v>40</v>
      </c>
      <c r="G266" t="s">
        <v>224</v>
      </c>
      <c r="H266" s="51">
        <v>7</v>
      </c>
      <c r="I266" s="51">
        <v>249</v>
      </c>
    </row>
    <row r="267" spans="5:9" x14ac:dyDescent="0.25">
      <c r="E267">
        <f t="shared" si="28"/>
        <v>40</v>
      </c>
      <c r="G267" t="s">
        <v>225</v>
      </c>
      <c r="H267" s="51">
        <v>6</v>
      </c>
      <c r="I267" s="51">
        <v>249</v>
      </c>
    </row>
    <row r="268" spans="5:9" x14ac:dyDescent="0.25">
      <c r="E268">
        <f t="shared" si="28"/>
        <v>40</v>
      </c>
      <c r="G268" t="s">
        <v>226</v>
      </c>
      <c r="H268">
        <v>17</v>
      </c>
      <c r="I268" s="51">
        <v>249</v>
      </c>
    </row>
    <row r="269" spans="5:9" x14ac:dyDescent="0.25">
      <c r="E269">
        <f t="shared" si="28"/>
        <v>40</v>
      </c>
      <c r="G269" t="s">
        <v>227</v>
      </c>
      <c r="H269" s="51">
        <v>10</v>
      </c>
      <c r="I269" s="51">
        <v>249</v>
      </c>
    </row>
    <row r="270" spans="5:9" x14ac:dyDescent="0.25">
      <c r="E270">
        <f t="shared" si="28"/>
        <v>40</v>
      </c>
      <c r="G270" t="s">
        <v>228</v>
      </c>
      <c r="H270" s="51">
        <v>7</v>
      </c>
      <c r="I270" s="51">
        <v>249</v>
      </c>
    </row>
    <row r="271" spans="5:9" x14ac:dyDescent="0.25">
      <c r="E271">
        <f t="shared" si="28"/>
        <v>40</v>
      </c>
      <c r="G271" t="s">
        <v>229</v>
      </c>
      <c r="H271" s="51">
        <v>3</v>
      </c>
      <c r="I271" s="51">
        <v>249</v>
      </c>
    </row>
    <row r="272" spans="5:9" x14ac:dyDescent="0.25">
      <c r="E272">
        <f t="shared" si="28"/>
        <v>40</v>
      </c>
      <c r="G272" t="s">
        <v>230</v>
      </c>
      <c r="H272" s="51">
        <v>2</v>
      </c>
      <c r="I272" s="51">
        <v>249</v>
      </c>
    </row>
    <row r="273" spans="5:9" x14ac:dyDescent="0.25">
      <c r="E273">
        <f>+$F$273</f>
        <v>42</v>
      </c>
      <c r="F273">
        <v>42</v>
      </c>
      <c r="G273" t="s">
        <v>222</v>
      </c>
      <c r="H273" s="51"/>
      <c r="I273" s="51">
        <v>52</v>
      </c>
    </row>
    <row r="274" spans="5:9" x14ac:dyDescent="0.25">
      <c r="E274">
        <f t="shared" ref="E274:E281" si="29">+$F$273</f>
        <v>42</v>
      </c>
      <c r="G274" t="s">
        <v>223</v>
      </c>
      <c r="H274" s="51"/>
      <c r="I274" s="51">
        <v>52</v>
      </c>
    </row>
    <row r="275" spans="5:9" x14ac:dyDescent="0.25">
      <c r="E275">
        <f t="shared" si="29"/>
        <v>42</v>
      </c>
      <c r="G275" t="s">
        <v>224</v>
      </c>
      <c r="H275" s="51"/>
      <c r="I275" s="51">
        <v>52</v>
      </c>
    </row>
    <row r="276" spans="5:9" x14ac:dyDescent="0.25">
      <c r="E276">
        <f t="shared" si="29"/>
        <v>42</v>
      </c>
      <c r="G276" t="s">
        <v>225</v>
      </c>
      <c r="I276" s="51">
        <v>52</v>
      </c>
    </row>
    <row r="277" spans="5:9" x14ac:dyDescent="0.25">
      <c r="E277">
        <f t="shared" si="29"/>
        <v>42</v>
      </c>
      <c r="G277" t="s">
        <v>226</v>
      </c>
      <c r="H277" s="51"/>
      <c r="I277" s="51">
        <v>52</v>
      </c>
    </row>
    <row r="278" spans="5:9" x14ac:dyDescent="0.25">
      <c r="E278">
        <f t="shared" si="29"/>
        <v>42</v>
      </c>
      <c r="G278" t="s">
        <v>227</v>
      </c>
      <c r="H278" s="51"/>
      <c r="I278" s="51">
        <v>52</v>
      </c>
    </row>
    <row r="279" spans="5:9" x14ac:dyDescent="0.25">
      <c r="E279">
        <f t="shared" si="29"/>
        <v>42</v>
      </c>
      <c r="G279" t="s">
        <v>228</v>
      </c>
      <c r="H279" s="51"/>
      <c r="I279" s="51">
        <v>52</v>
      </c>
    </row>
    <row r="280" spans="5:9" x14ac:dyDescent="0.25">
      <c r="E280">
        <f t="shared" si="29"/>
        <v>42</v>
      </c>
      <c r="G280" t="s">
        <v>229</v>
      </c>
      <c r="H280" s="51"/>
      <c r="I280" s="51">
        <v>52</v>
      </c>
    </row>
    <row r="281" spans="5:9" x14ac:dyDescent="0.25">
      <c r="E281">
        <f t="shared" si="29"/>
        <v>42</v>
      </c>
      <c r="G281" t="s">
        <v>230</v>
      </c>
      <c r="H281" s="51"/>
      <c r="I281" s="51">
        <v>52</v>
      </c>
    </row>
    <row r="282" spans="5:9" x14ac:dyDescent="0.25">
      <c r="E282">
        <f>+$F$282</f>
        <v>43</v>
      </c>
      <c r="F282">
        <v>43</v>
      </c>
      <c r="G282" t="s">
        <v>222</v>
      </c>
      <c r="H282" s="51"/>
      <c r="I282" s="51">
        <v>93</v>
      </c>
    </row>
    <row r="283" spans="5:9" x14ac:dyDescent="0.25">
      <c r="E283">
        <f t="shared" ref="E283:E290" si="30">+$F$282</f>
        <v>43</v>
      </c>
      <c r="G283" t="s">
        <v>223</v>
      </c>
      <c r="H283" s="51"/>
      <c r="I283" s="51">
        <v>93</v>
      </c>
    </row>
    <row r="284" spans="5:9" x14ac:dyDescent="0.25">
      <c r="E284">
        <f t="shared" si="30"/>
        <v>43</v>
      </c>
      <c r="G284" t="s">
        <v>224</v>
      </c>
      <c r="I284" s="51">
        <v>93</v>
      </c>
    </row>
    <row r="285" spans="5:9" x14ac:dyDescent="0.25">
      <c r="E285">
        <f t="shared" si="30"/>
        <v>43</v>
      </c>
      <c r="G285" t="s">
        <v>225</v>
      </c>
      <c r="I285" s="51">
        <v>93</v>
      </c>
    </row>
    <row r="286" spans="5:9" x14ac:dyDescent="0.25">
      <c r="E286">
        <f t="shared" si="30"/>
        <v>43</v>
      </c>
      <c r="G286" t="s">
        <v>226</v>
      </c>
      <c r="I286" s="51">
        <v>93</v>
      </c>
    </row>
    <row r="287" spans="5:9" x14ac:dyDescent="0.25">
      <c r="E287">
        <f t="shared" si="30"/>
        <v>43</v>
      </c>
      <c r="G287" t="s">
        <v>227</v>
      </c>
      <c r="I287" s="51">
        <v>93</v>
      </c>
    </row>
    <row r="288" spans="5:9" x14ac:dyDescent="0.25">
      <c r="E288">
        <f t="shared" si="30"/>
        <v>43</v>
      </c>
      <c r="G288" t="s">
        <v>228</v>
      </c>
      <c r="I288" s="51">
        <v>93</v>
      </c>
    </row>
    <row r="289" spans="5:9" x14ac:dyDescent="0.25">
      <c r="E289">
        <f t="shared" si="30"/>
        <v>43</v>
      </c>
      <c r="G289" t="s">
        <v>229</v>
      </c>
      <c r="H289" s="51"/>
      <c r="I289" s="51">
        <v>93</v>
      </c>
    </row>
    <row r="290" spans="5:9" x14ac:dyDescent="0.25">
      <c r="E290">
        <f t="shared" si="30"/>
        <v>43</v>
      </c>
      <c r="G290" t="s">
        <v>230</v>
      </c>
      <c r="I290" s="51">
        <v>93</v>
      </c>
    </row>
    <row r="291" spans="5:9" x14ac:dyDescent="0.25">
      <c r="E291">
        <f>+$F$291</f>
        <v>44</v>
      </c>
      <c r="F291">
        <v>44</v>
      </c>
      <c r="G291" t="s">
        <v>222</v>
      </c>
      <c r="H291">
        <v>6</v>
      </c>
      <c r="I291" s="51">
        <v>169</v>
      </c>
    </row>
    <row r="292" spans="5:9" x14ac:dyDescent="0.25">
      <c r="E292">
        <f t="shared" ref="E292:E299" si="31">+$F$291</f>
        <v>44</v>
      </c>
      <c r="G292" t="s">
        <v>223</v>
      </c>
      <c r="H292">
        <v>6</v>
      </c>
      <c r="I292" s="51">
        <v>169</v>
      </c>
    </row>
    <row r="293" spans="5:9" x14ac:dyDescent="0.25">
      <c r="E293">
        <f t="shared" si="31"/>
        <v>44</v>
      </c>
      <c r="G293" t="s">
        <v>224</v>
      </c>
      <c r="H293">
        <v>20</v>
      </c>
      <c r="I293" s="51">
        <v>169</v>
      </c>
    </row>
    <row r="294" spans="5:9" x14ac:dyDescent="0.25">
      <c r="E294">
        <f t="shared" si="31"/>
        <v>44</v>
      </c>
      <c r="G294" t="s">
        <v>225</v>
      </c>
      <c r="H294">
        <v>6</v>
      </c>
      <c r="I294" s="51">
        <v>169</v>
      </c>
    </row>
    <row r="295" spans="5:9" x14ac:dyDescent="0.25">
      <c r="E295">
        <f t="shared" si="31"/>
        <v>44</v>
      </c>
      <c r="G295" t="s">
        <v>226</v>
      </c>
      <c r="H295">
        <v>29</v>
      </c>
      <c r="I295" s="51">
        <v>169</v>
      </c>
    </row>
    <row r="296" spans="5:9" x14ac:dyDescent="0.25">
      <c r="E296">
        <f t="shared" si="31"/>
        <v>44</v>
      </c>
      <c r="G296" t="s">
        <v>227</v>
      </c>
      <c r="H296">
        <v>27</v>
      </c>
      <c r="I296" s="51">
        <v>169</v>
      </c>
    </row>
    <row r="297" spans="5:9" x14ac:dyDescent="0.25">
      <c r="E297">
        <f t="shared" si="31"/>
        <v>44</v>
      </c>
      <c r="G297" t="s">
        <v>228</v>
      </c>
      <c r="H297" s="51">
        <v>5</v>
      </c>
      <c r="I297" s="51">
        <v>169</v>
      </c>
    </row>
    <row r="298" spans="5:9" x14ac:dyDescent="0.25">
      <c r="E298">
        <f t="shared" si="31"/>
        <v>44</v>
      </c>
      <c r="G298" t="s">
        <v>229</v>
      </c>
      <c r="H298">
        <v>5</v>
      </c>
      <c r="I298" s="51">
        <v>169</v>
      </c>
    </row>
    <row r="299" spans="5:9" x14ac:dyDescent="0.25">
      <c r="E299">
        <f t="shared" si="31"/>
        <v>44</v>
      </c>
      <c r="G299" t="s">
        <v>230</v>
      </c>
      <c r="H299" s="51">
        <v>2</v>
      </c>
      <c r="I299" s="51">
        <v>169</v>
      </c>
    </row>
    <row r="300" spans="5:9" x14ac:dyDescent="0.25">
      <c r="E300">
        <f>+$F$300</f>
        <v>49</v>
      </c>
      <c r="F300">
        <v>49</v>
      </c>
      <c r="G300" t="s">
        <v>222</v>
      </c>
      <c r="H300" s="51">
        <v>8</v>
      </c>
      <c r="I300" s="51">
        <v>239</v>
      </c>
    </row>
    <row r="301" spans="5:9" x14ac:dyDescent="0.25">
      <c r="E301">
        <f t="shared" ref="E301:E308" si="32">+$F$300</f>
        <v>49</v>
      </c>
      <c r="G301" t="s">
        <v>223</v>
      </c>
      <c r="H301" s="51">
        <v>8</v>
      </c>
      <c r="I301" s="51">
        <v>239</v>
      </c>
    </row>
    <row r="302" spans="5:9" x14ac:dyDescent="0.25">
      <c r="E302">
        <f t="shared" si="32"/>
        <v>49</v>
      </c>
      <c r="G302" t="s">
        <v>224</v>
      </c>
      <c r="H302" s="51">
        <v>26</v>
      </c>
      <c r="I302" s="51">
        <v>239</v>
      </c>
    </row>
    <row r="303" spans="5:9" x14ac:dyDescent="0.25">
      <c r="E303">
        <f t="shared" si="32"/>
        <v>49</v>
      </c>
      <c r="G303" t="s">
        <v>225</v>
      </c>
      <c r="H303" s="51">
        <v>6</v>
      </c>
      <c r="I303" s="51">
        <v>239</v>
      </c>
    </row>
    <row r="304" spans="5:9" x14ac:dyDescent="0.25">
      <c r="E304">
        <f t="shared" si="32"/>
        <v>49</v>
      </c>
      <c r="G304" t="s">
        <v>226</v>
      </c>
      <c r="H304" s="51">
        <v>20</v>
      </c>
      <c r="I304" s="51">
        <v>239</v>
      </c>
    </row>
    <row r="305" spans="5:9" x14ac:dyDescent="0.25">
      <c r="E305">
        <f t="shared" si="32"/>
        <v>49</v>
      </c>
      <c r="G305" t="s">
        <v>227</v>
      </c>
      <c r="H305" s="51">
        <v>11</v>
      </c>
      <c r="I305" s="51">
        <v>239</v>
      </c>
    </row>
    <row r="306" spans="5:9" x14ac:dyDescent="0.25">
      <c r="E306">
        <f t="shared" si="32"/>
        <v>49</v>
      </c>
      <c r="G306" t="s">
        <v>228</v>
      </c>
      <c r="H306" s="51">
        <v>19</v>
      </c>
      <c r="I306" s="51">
        <v>239</v>
      </c>
    </row>
    <row r="307" spans="5:9" x14ac:dyDescent="0.25">
      <c r="E307">
        <f t="shared" si="32"/>
        <v>49</v>
      </c>
      <c r="G307" t="s">
        <v>229</v>
      </c>
      <c r="H307">
        <v>7</v>
      </c>
      <c r="I307" s="51">
        <v>239</v>
      </c>
    </row>
    <row r="308" spans="5:9" x14ac:dyDescent="0.25">
      <c r="E308">
        <f t="shared" si="32"/>
        <v>49</v>
      </c>
      <c r="G308" t="s">
        <v>230</v>
      </c>
      <c r="H308">
        <v>8</v>
      </c>
      <c r="I308" s="51">
        <v>239</v>
      </c>
    </row>
    <row r="309" spans="5:9" x14ac:dyDescent="0.25">
      <c r="E309">
        <f>+$F$309</f>
        <v>5</v>
      </c>
      <c r="F309">
        <v>5</v>
      </c>
      <c r="G309" t="s">
        <v>222</v>
      </c>
      <c r="H309">
        <v>10</v>
      </c>
      <c r="I309" s="51">
        <v>260</v>
      </c>
    </row>
    <row r="310" spans="5:9" x14ac:dyDescent="0.25">
      <c r="E310">
        <f t="shared" ref="E310:E317" si="33">+$F$309</f>
        <v>5</v>
      </c>
      <c r="G310" t="s">
        <v>223</v>
      </c>
      <c r="H310">
        <v>4</v>
      </c>
      <c r="I310" s="51">
        <v>260</v>
      </c>
    </row>
    <row r="311" spans="5:9" x14ac:dyDescent="0.25">
      <c r="E311">
        <f t="shared" si="33"/>
        <v>5</v>
      </c>
      <c r="G311" t="s">
        <v>224</v>
      </c>
      <c r="H311">
        <v>20</v>
      </c>
      <c r="I311" s="51">
        <v>260</v>
      </c>
    </row>
    <row r="312" spans="5:9" x14ac:dyDescent="0.25">
      <c r="E312">
        <f t="shared" si="33"/>
        <v>5</v>
      </c>
      <c r="G312" t="s">
        <v>225</v>
      </c>
      <c r="H312">
        <v>7</v>
      </c>
      <c r="I312" s="51">
        <v>260</v>
      </c>
    </row>
    <row r="313" spans="5:9" x14ac:dyDescent="0.25">
      <c r="E313">
        <f t="shared" si="33"/>
        <v>5</v>
      </c>
      <c r="G313" t="s">
        <v>226</v>
      </c>
      <c r="H313">
        <v>29</v>
      </c>
      <c r="I313" s="51">
        <v>260</v>
      </c>
    </row>
    <row r="314" spans="5:9" x14ac:dyDescent="0.25">
      <c r="E314">
        <f t="shared" si="33"/>
        <v>5</v>
      </c>
      <c r="G314" t="s">
        <v>227</v>
      </c>
      <c r="H314">
        <v>18</v>
      </c>
      <c r="I314" s="51">
        <v>260</v>
      </c>
    </row>
    <row r="315" spans="5:9" x14ac:dyDescent="0.25">
      <c r="E315">
        <f t="shared" si="33"/>
        <v>5</v>
      </c>
      <c r="G315" t="s">
        <v>228</v>
      </c>
      <c r="H315" s="51">
        <v>9</v>
      </c>
      <c r="I315" s="51">
        <v>260</v>
      </c>
    </row>
    <row r="316" spans="5:9" x14ac:dyDescent="0.25">
      <c r="E316">
        <f t="shared" si="33"/>
        <v>5</v>
      </c>
      <c r="G316" t="s">
        <v>229</v>
      </c>
      <c r="H316">
        <v>5</v>
      </c>
      <c r="I316" s="51">
        <v>260</v>
      </c>
    </row>
    <row r="317" spans="5:9" x14ac:dyDescent="0.25">
      <c r="E317">
        <f t="shared" si="33"/>
        <v>5</v>
      </c>
      <c r="G317" t="s">
        <v>230</v>
      </c>
      <c r="H317" s="51">
        <v>4</v>
      </c>
      <c r="I317" s="51">
        <v>260</v>
      </c>
    </row>
    <row r="318" spans="5:9" x14ac:dyDescent="0.25">
      <c r="E318">
        <f>+$F$318</f>
        <v>52</v>
      </c>
      <c r="F318">
        <v>52</v>
      </c>
      <c r="G318" t="s">
        <v>222</v>
      </c>
      <c r="H318" s="51">
        <v>1</v>
      </c>
      <c r="I318" s="51">
        <v>101</v>
      </c>
    </row>
    <row r="319" spans="5:9" x14ac:dyDescent="0.25">
      <c r="E319">
        <f t="shared" ref="E319:E326" si="34">+$F$318</f>
        <v>52</v>
      </c>
      <c r="G319" t="s">
        <v>223</v>
      </c>
      <c r="H319" s="51"/>
      <c r="I319" s="51">
        <v>101</v>
      </c>
    </row>
    <row r="320" spans="5:9" x14ac:dyDescent="0.25">
      <c r="E320">
        <f t="shared" si="34"/>
        <v>52</v>
      </c>
      <c r="G320" t="s">
        <v>224</v>
      </c>
      <c r="H320" s="51"/>
      <c r="I320" s="51">
        <v>101</v>
      </c>
    </row>
    <row r="321" spans="5:9" x14ac:dyDescent="0.25">
      <c r="E321">
        <f t="shared" si="34"/>
        <v>52</v>
      </c>
      <c r="G321" t="s">
        <v>225</v>
      </c>
      <c r="H321" s="51"/>
      <c r="I321" s="51">
        <v>101</v>
      </c>
    </row>
    <row r="322" spans="5:9" x14ac:dyDescent="0.25">
      <c r="E322">
        <f t="shared" si="34"/>
        <v>52</v>
      </c>
      <c r="G322" t="s">
        <v>226</v>
      </c>
      <c r="H322" s="51"/>
      <c r="I322" s="51">
        <v>101</v>
      </c>
    </row>
    <row r="323" spans="5:9" x14ac:dyDescent="0.25">
      <c r="E323">
        <f t="shared" si="34"/>
        <v>52</v>
      </c>
      <c r="G323" t="s">
        <v>227</v>
      </c>
      <c r="I323" s="51">
        <v>101</v>
      </c>
    </row>
    <row r="324" spans="5:9" x14ac:dyDescent="0.25">
      <c r="E324">
        <f t="shared" si="34"/>
        <v>52</v>
      </c>
      <c r="G324" t="s">
        <v>228</v>
      </c>
      <c r="H324" s="51">
        <v>8</v>
      </c>
      <c r="I324" s="51">
        <v>101</v>
      </c>
    </row>
    <row r="325" spans="5:9" x14ac:dyDescent="0.25">
      <c r="E325">
        <f t="shared" si="34"/>
        <v>52</v>
      </c>
      <c r="G325" t="s">
        <v>229</v>
      </c>
      <c r="H325" s="51"/>
      <c r="I325" s="51">
        <v>101</v>
      </c>
    </row>
    <row r="326" spans="5:9" x14ac:dyDescent="0.25">
      <c r="E326">
        <f t="shared" si="34"/>
        <v>52</v>
      </c>
      <c r="G326" t="s">
        <v>230</v>
      </c>
      <c r="H326" s="51"/>
      <c r="I326" s="51">
        <v>101</v>
      </c>
    </row>
    <row r="327" spans="5:9" x14ac:dyDescent="0.25">
      <c r="E327">
        <f>+$F$327</f>
        <v>53</v>
      </c>
      <c r="F327">
        <v>53</v>
      </c>
      <c r="G327" t="s">
        <v>222</v>
      </c>
      <c r="I327" s="51">
        <v>105</v>
      </c>
    </row>
    <row r="328" spans="5:9" x14ac:dyDescent="0.25">
      <c r="E328">
        <f t="shared" ref="E328:E335" si="35">+$F$327</f>
        <v>53</v>
      </c>
      <c r="G328" t="s">
        <v>223</v>
      </c>
      <c r="I328" s="51">
        <v>105</v>
      </c>
    </row>
    <row r="329" spans="5:9" x14ac:dyDescent="0.25">
      <c r="E329">
        <f t="shared" si="35"/>
        <v>53</v>
      </c>
      <c r="G329" t="s">
        <v>224</v>
      </c>
      <c r="H329" s="51"/>
      <c r="I329" s="51">
        <v>105</v>
      </c>
    </row>
    <row r="330" spans="5:9" x14ac:dyDescent="0.25">
      <c r="E330">
        <f t="shared" si="35"/>
        <v>53</v>
      </c>
      <c r="G330" t="s">
        <v>225</v>
      </c>
      <c r="I330" s="51">
        <v>105</v>
      </c>
    </row>
    <row r="331" spans="5:9" x14ac:dyDescent="0.25">
      <c r="E331">
        <f t="shared" si="35"/>
        <v>53</v>
      </c>
      <c r="G331" t="s">
        <v>226</v>
      </c>
      <c r="H331" s="51"/>
      <c r="I331" s="51">
        <v>105</v>
      </c>
    </row>
    <row r="332" spans="5:9" x14ac:dyDescent="0.25">
      <c r="E332">
        <f t="shared" si="35"/>
        <v>53</v>
      </c>
      <c r="G332" t="s">
        <v>227</v>
      </c>
      <c r="I332" s="51">
        <v>105</v>
      </c>
    </row>
    <row r="333" spans="5:9" x14ac:dyDescent="0.25">
      <c r="E333">
        <f t="shared" si="35"/>
        <v>53</v>
      </c>
      <c r="G333" t="s">
        <v>228</v>
      </c>
      <c r="H333" s="51">
        <v>8</v>
      </c>
      <c r="I333" s="51">
        <v>105</v>
      </c>
    </row>
    <row r="334" spans="5:9" x14ac:dyDescent="0.25">
      <c r="E334">
        <f t="shared" si="35"/>
        <v>53</v>
      </c>
      <c r="G334" t="s">
        <v>229</v>
      </c>
      <c r="H334" s="51"/>
      <c r="I334" s="51">
        <v>105</v>
      </c>
    </row>
    <row r="335" spans="5:9" x14ac:dyDescent="0.25">
      <c r="E335">
        <f t="shared" si="35"/>
        <v>53</v>
      </c>
      <c r="G335" t="s">
        <v>230</v>
      </c>
      <c r="H335" s="51"/>
      <c r="I335" s="51">
        <v>105</v>
      </c>
    </row>
    <row r="336" spans="5:9" x14ac:dyDescent="0.25">
      <c r="E336">
        <f>+$F$336</f>
        <v>54</v>
      </c>
      <c r="F336">
        <v>54</v>
      </c>
      <c r="G336" t="s">
        <v>222</v>
      </c>
      <c r="H336" s="51">
        <v>8</v>
      </c>
      <c r="I336" s="51">
        <v>202</v>
      </c>
    </row>
    <row r="337" spans="5:9" x14ac:dyDescent="0.25">
      <c r="E337">
        <f t="shared" ref="E337:E344" si="36">+$F$336</f>
        <v>54</v>
      </c>
      <c r="G337" t="s">
        <v>223</v>
      </c>
      <c r="H337" s="51">
        <v>7</v>
      </c>
      <c r="I337" s="51">
        <v>202</v>
      </c>
    </row>
    <row r="338" spans="5:9" x14ac:dyDescent="0.25">
      <c r="E338">
        <f t="shared" si="36"/>
        <v>54</v>
      </c>
      <c r="G338" t="s">
        <v>224</v>
      </c>
      <c r="H338" s="51">
        <v>20</v>
      </c>
      <c r="I338" s="51">
        <v>202</v>
      </c>
    </row>
    <row r="339" spans="5:9" x14ac:dyDescent="0.25">
      <c r="E339">
        <f t="shared" si="36"/>
        <v>54</v>
      </c>
      <c r="G339" t="s">
        <v>225</v>
      </c>
      <c r="H339" s="51">
        <v>17</v>
      </c>
      <c r="I339" s="51">
        <v>202</v>
      </c>
    </row>
    <row r="340" spans="5:9" x14ac:dyDescent="0.25">
      <c r="E340">
        <f t="shared" si="36"/>
        <v>54</v>
      </c>
      <c r="G340" t="s">
        <v>226</v>
      </c>
      <c r="H340">
        <v>25</v>
      </c>
      <c r="I340" s="51">
        <v>202</v>
      </c>
    </row>
    <row r="341" spans="5:9" x14ac:dyDescent="0.25">
      <c r="E341">
        <f t="shared" si="36"/>
        <v>54</v>
      </c>
      <c r="G341" t="s">
        <v>227</v>
      </c>
      <c r="H341" s="51">
        <v>22</v>
      </c>
      <c r="I341" s="51">
        <v>202</v>
      </c>
    </row>
    <row r="342" spans="5:9" x14ac:dyDescent="0.25">
      <c r="E342">
        <f t="shared" si="36"/>
        <v>54</v>
      </c>
      <c r="G342" t="s">
        <v>228</v>
      </c>
      <c r="H342" s="51">
        <v>4</v>
      </c>
      <c r="I342" s="51">
        <v>202</v>
      </c>
    </row>
    <row r="343" spans="5:9" x14ac:dyDescent="0.25">
      <c r="E343">
        <f t="shared" si="36"/>
        <v>54</v>
      </c>
      <c r="G343" t="s">
        <v>229</v>
      </c>
      <c r="H343" s="51">
        <v>3</v>
      </c>
      <c r="I343" s="51">
        <v>202</v>
      </c>
    </row>
    <row r="344" spans="5:9" x14ac:dyDescent="0.25">
      <c r="E344">
        <f t="shared" si="36"/>
        <v>54</v>
      </c>
      <c r="G344" t="s">
        <v>230</v>
      </c>
      <c r="H344" s="51">
        <v>7</v>
      </c>
      <c r="I344" s="51">
        <v>202</v>
      </c>
    </row>
    <row r="345" spans="5:9" x14ac:dyDescent="0.25">
      <c r="E345">
        <f>+$F$345</f>
        <v>56</v>
      </c>
      <c r="F345">
        <v>56</v>
      </c>
      <c r="G345" t="s">
        <v>222</v>
      </c>
      <c r="I345" s="51">
        <v>198</v>
      </c>
    </row>
    <row r="346" spans="5:9" x14ac:dyDescent="0.25">
      <c r="E346">
        <f t="shared" ref="E346:E353" si="37">+$F$345</f>
        <v>56</v>
      </c>
      <c r="G346" t="s">
        <v>223</v>
      </c>
      <c r="H346" s="51"/>
      <c r="I346" s="51">
        <v>198</v>
      </c>
    </row>
    <row r="347" spans="5:9" x14ac:dyDescent="0.25">
      <c r="E347">
        <f t="shared" si="37"/>
        <v>56</v>
      </c>
      <c r="G347" t="s">
        <v>224</v>
      </c>
      <c r="H347" s="51"/>
      <c r="I347" s="51">
        <v>198</v>
      </c>
    </row>
    <row r="348" spans="5:9" x14ac:dyDescent="0.25">
      <c r="E348">
        <f t="shared" si="37"/>
        <v>56</v>
      </c>
      <c r="G348" t="s">
        <v>225</v>
      </c>
      <c r="I348" s="51">
        <v>198</v>
      </c>
    </row>
    <row r="349" spans="5:9" x14ac:dyDescent="0.25">
      <c r="E349">
        <f t="shared" si="37"/>
        <v>56</v>
      </c>
      <c r="G349" t="s">
        <v>226</v>
      </c>
      <c r="H349" s="51"/>
      <c r="I349" s="51">
        <v>198</v>
      </c>
    </row>
    <row r="350" spans="5:9" x14ac:dyDescent="0.25">
      <c r="E350">
        <f t="shared" si="37"/>
        <v>56</v>
      </c>
      <c r="G350" t="s">
        <v>227</v>
      </c>
      <c r="H350" s="51"/>
      <c r="I350" s="51">
        <v>198</v>
      </c>
    </row>
    <row r="351" spans="5:9" x14ac:dyDescent="0.25">
      <c r="E351">
        <f t="shared" si="37"/>
        <v>56</v>
      </c>
      <c r="G351" t="s">
        <v>228</v>
      </c>
      <c r="H351" s="51"/>
      <c r="I351" s="51">
        <v>198</v>
      </c>
    </row>
    <row r="352" spans="5:9" x14ac:dyDescent="0.25">
      <c r="E352">
        <f t="shared" si="37"/>
        <v>56</v>
      </c>
      <c r="G352" t="s">
        <v>229</v>
      </c>
      <c r="I352" s="51">
        <v>198</v>
      </c>
    </row>
    <row r="353" spans="5:9" x14ac:dyDescent="0.25">
      <c r="E353">
        <f t="shared" si="37"/>
        <v>56</v>
      </c>
      <c r="G353" t="s">
        <v>230</v>
      </c>
      <c r="H353" s="51"/>
      <c r="I353" s="51">
        <v>198</v>
      </c>
    </row>
    <row r="354" spans="5:9" x14ac:dyDescent="0.25">
      <c r="E354">
        <f>+$F$354</f>
        <v>57</v>
      </c>
      <c r="F354">
        <v>57</v>
      </c>
      <c r="G354" t="s">
        <v>222</v>
      </c>
      <c r="H354" s="51"/>
      <c r="I354" s="51">
        <v>103</v>
      </c>
    </row>
    <row r="355" spans="5:9" x14ac:dyDescent="0.25">
      <c r="E355">
        <f t="shared" ref="E355:E362" si="38">+$F$354</f>
        <v>57</v>
      </c>
      <c r="G355" t="s">
        <v>223</v>
      </c>
      <c r="H355" s="51"/>
      <c r="I355" s="51">
        <v>103</v>
      </c>
    </row>
    <row r="356" spans="5:9" x14ac:dyDescent="0.25">
      <c r="E356">
        <f t="shared" si="38"/>
        <v>57</v>
      </c>
      <c r="G356" t="s">
        <v>224</v>
      </c>
      <c r="H356" s="51"/>
      <c r="I356" s="51">
        <v>103</v>
      </c>
    </row>
    <row r="357" spans="5:9" x14ac:dyDescent="0.25">
      <c r="E357">
        <f t="shared" si="38"/>
        <v>57</v>
      </c>
      <c r="G357" t="s">
        <v>225</v>
      </c>
      <c r="H357" s="51"/>
      <c r="I357" s="51">
        <v>103</v>
      </c>
    </row>
    <row r="358" spans="5:9" x14ac:dyDescent="0.25">
      <c r="E358">
        <f t="shared" si="38"/>
        <v>57</v>
      </c>
      <c r="G358" t="s">
        <v>226</v>
      </c>
      <c r="H358" s="51"/>
      <c r="I358" s="51">
        <v>103</v>
      </c>
    </row>
    <row r="359" spans="5:9" x14ac:dyDescent="0.25">
      <c r="E359">
        <f t="shared" si="38"/>
        <v>57</v>
      </c>
      <c r="G359" t="s">
        <v>227</v>
      </c>
      <c r="H359" s="51"/>
      <c r="I359" s="51">
        <v>103</v>
      </c>
    </row>
    <row r="360" spans="5:9" x14ac:dyDescent="0.25">
      <c r="E360">
        <f t="shared" si="38"/>
        <v>57</v>
      </c>
      <c r="G360" t="s">
        <v>228</v>
      </c>
      <c r="H360" s="51">
        <v>1</v>
      </c>
      <c r="I360" s="51">
        <v>103</v>
      </c>
    </row>
    <row r="361" spans="5:9" x14ac:dyDescent="0.25">
      <c r="E361">
        <f t="shared" si="38"/>
        <v>57</v>
      </c>
      <c r="G361" t="s">
        <v>229</v>
      </c>
      <c r="H361" s="51"/>
      <c r="I361" s="51">
        <v>103</v>
      </c>
    </row>
    <row r="362" spans="5:9" x14ac:dyDescent="0.25">
      <c r="E362">
        <f t="shared" si="38"/>
        <v>57</v>
      </c>
      <c r="G362" t="s">
        <v>230</v>
      </c>
      <c r="H362" s="51"/>
      <c r="I362" s="51">
        <v>103</v>
      </c>
    </row>
    <row r="363" spans="5:9" x14ac:dyDescent="0.25">
      <c r="E363">
        <f>+$F$363</f>
        <v>58</v>
      </c>
      <c r="F363">
        <v>58</v>
      </c>
      <c r="G363" t="s">
        <v>222</v>
      </c>
      <c r="H363" s="51"/>
      <c r="I363" s="51">
        <v>120</v>
      </c>
    </row>
    <row r="364" spans="5:9" x14ac:dyDescent="0.25">
      <c r="E364">
        <f t="shared" ref="E364:E371" si="39">+$F$363</f>
        <v>58</v>
      </c>
      <c r="G364" t="s">
        <v>223</v>
      </c>
      <c r="H364" s="51"/>
      <c r="I364" s="51">
        <v>120</v>
      </c>
    </row>
    <row r="365" spans="5:9" x14ac:dyDescent="0.25">
      <c r="E365">
        <f t="shared" si="39"/>
        <v>58</v>
      </c>
      <c r="G365" t="s">
        <v>224</v>
      </c>
      <c r="H365" s="51"/>
      <c r="I365" s="51">
        <v>120</v>
      </c>
    </row>
    <row r="366" spans="5:9" x14ac:dyDescent="0.25">
      <c r="E366">
        <f t="shared" si="39"/>
        <v>58</v>
      </c>
      <c r="G366" t="s">
        <v>225</v>
      </c>
      <c r="H366" s="51"/>
      <c r="I366" s="51">
        <v>120</v>
      </c>
    </row>
    <row r="367" spans="5:9" x14ac:dyDescent="0.25">
      <c r="E367">
        <f t="shared" si="39"/>
        <v>58</v>
      </c>
      <c r="G367" t="s">
        <v>226</v>
      </c>
      <c r="H367" s="51"/>
      <c r="I367" s="51">
        <v>120</v>
      </c>
    </row>
    <row r="368" spans="5:9" x14ac:dyDescent="0.25">
      <c r="E368">
        <f t="shared" si="39"/>
        <v>58</v>
      </c>
      <c r="G368" t="s">
        <v>227</v>
      </c>
      <c r="H368" s="51"/>
      <c r="I368" s="51">
        <v>120</v>
      </c>
    </row>
    <row r="369" spans="5:9" x14ac:dyDescent="0.25">
      <c r="E369">
        <f t="shared" si="39"/>
        <v>58</v>
      </c>
      <c r="G369" t="s">
        <v>228</v>
      </c>
      <c r="H369" s="51"/>
      <c r="I369" s="51">
        <v>120</v>
      </c>
    </row>
    <row r="370" spans="5:9" x14ac:dyDescent="0.25">
      <c r="E370">
        <f t="shared" si="39"/>
        <v>58</v>
      </c>
      <c r="G370" t="s">
        <v>229</v>
      </c>
      <c r="H370" s="51"/>
      <c r="I370" s="51">
        <v>120</v>
      </c>
    </row>
    <row r="371" spans="5:9" x14ac:dyDescent="0.25">
      <c r="E371">
        <f t="shared" si="39"/>
        <v>58</v>
      </c>
      <c r="G371" t="s">
        <v>230</v>
      </c>
      <c r="H371" s="35"/>
      <c r="I371" s="35">
        <v>120</v>
      </c>
    </row>
    <row r="372" spans="5:9" x14ac:dyDescent="0.25">
      <c r="E372">
        <f>+$F$372</f>
        <v>59</v>
      </c>
      <c r="F372">
        <v>59</v>
      </c>
      <c r="G372" t="s">
        <v>222</v>
      </c>
      <c r="I372">
        <v>119</v>
      </c>
    </row>
    <row r="373" spans="5:9" x14ac:dyDescent="0.25">
      <c r="E373">
        <f t="shared" ref="E373:E380" si="40">+$F$372</f>
        <v>59</v>
      </c>
      <c r="G373" t="s">
        <v>223</v>
      </c>
      <c r="I373">
        <v>119</v>
      </c>
    </row>
    <row r="374" spans="5:9" x14ac:dyDescent="0.25">
      <c r="E374">
        <f t="shared" si="40"/>
        <v>59</v>
      </c>
      <c r="G374" t="s">
        <v>224</v>
      </c>
      <c r="I374">
        <v>119</v>
      </c>
    </row>
    <row r="375" spans="5:9" x14ac:dyDescent="0.25">
      <c r="E375">
        <f t="shared" si="40"/>
        <v>59</v>
      </c>
      <c r="G375" t="s">
        <v>225</v>
      </c>
      <c r="I375">
        <v>119</v>
      </c>
    </row>
    <row r="376" spans="5:9" x14ac:dyDescent="0.25">
      <c r="E376">
        <f t="shared" si="40"/>
        <v>59</v>
      </c>
      <c r="G376" t="s">
        <v>226</v>
      </c>
      <c r="I376">
        <v>119</v>
      </c>
    </row>
    <row r="377" spans="5:9" x14ac:dyDescent="0.25">
      <c r="E377">
        <f t="shared" si="40"/>
        <v>59</v>
      </c>
      <c r="G377" t="s">
        <v>227</v>
      </c>
      <c r="I377">
        <v>119</v>
      </c>
    </row>
    <row r="378" spans="5:9" x14ac:dyDescent="0.25">
      <c r="E378">
        <f t="shared" si="40"/>
        <v>59</v>
      </c>
      <c r="G378" t="s">
        <v>228</v>
      </c>
      <c r="I378">
        <v>119</v>
      </c>
    </row>
    <row r="379" spans="5:9" x14ac:dyDescent="0.25">
      <c r="E379">
        <f t="shared" si="40"/>
        <v>59</v>
      </c>
      <c r="G379" t="s">
        <v>229</v>
      </c>
      <c r="I379">
        <v>119</v>
      </c>
    </row>
    <row r="380" spans="5:9" x14ac:dyDescent="0.25">
      <c r="E380">
        <f t="shared" si="40"/>
        <v>59</v>
      </c>
      <c r="G380" t="s">
        <v>230</v>
      </c>
      <c r="I380">
        <v>119</v>
      </c>
    </row>
    <row r="381" spans="5:9" x14ac:dyDescent="0.25">
      <c r="E381">
        <f>+$F$381</f>
        <v>7</v>
      </c>
      <c r="F381">
        <v>7</v>
      </c>
      <c r="G381" t="s">
        <v>222</v>
      </c>
      <c r="H381">
        <v>1</v>
      </c>
      <c r="I381">
        <v>113</v>
      </c>
    </row>
    <row r="382" spans="5:9" x14ac:dyDescent="0.25">
      <c r="E382">
        <f t="shared" ref="E382:E389" si="41">+$F$381</f>
        <v>7</v>
      </c>
      <c r="G382" t="s">
        <v>223</v>
      </c>
      <c r="I382">
        <v>113</v>
      </c>
    </row>
    <row r="383" spans="5:9" x14ac:dyDescent="0.25">
      <c r="E383">
        <f t="shared" si="41"/>
        <v>7</v>
      </c>
      <c r="G383" t="s">
        <v>224</v>
      </c>
      <c r="H383">
        <v>1</v>
      </c>
      <c r="I383">
        <v>113</v>
      </c>
    </row>
    <row r="384" spans="5:9" x14ac:dyDescent="0.25">
      <c r="E384">
        <f t="shared" si="41"/>
        <v>7</v>
      </c>
      <c r="G384" t="s">
        <v>225</v>
      </c>
      <c r="I384">
        <v>113</v>
      </c>
    </row>
    <row r="385" spans="5:9" x14ac:dyDescent="0.25">
      <c r="E385">
        <f t="shared" si="41"/>
        <v>7</v>
      </c>
      <c r="G385" t="s">
        <v>226</v>
      </c>
      <c r="H385">
        <v>1</v>
      </c>
      <c r="I385">
        <v>113</v>
      </c>
    </row>
    <row r="386" spans="5:9" x14ac:dyDescent="0.25">
      <c r="E386">
        <f t="shared" si="41"/>
        <v>7</v>
      </c>
      <c r="G386" t="s">
        <v>227</v>
      </c>
      <c r="I386">
        <v>113</v>
      </c>
    </row>
    <row r="387" spans="5:9" x14ac:dyDescent="0.25">
      <c r="E387">
        <f t="shared" si="41"/>
        <v>7</v>
      </c>
      <c r="G387" t="s">
        <v>228</v>
      </c>
      <c r="H387">
        <v>1</v>
      </c>
      <c r="I387">
        <v>113</v>
      </c>
    </row>
    <row r="388" spans="5:9" x14ac:dyDescent="0.25">
      <c r="E388">
        <f t="shared" si="41"/>
        <v>7</v>
      </c>
      <c r="G388" t="s">
        <v>229</v>
      </c>
      <c r="I388">
        <v>113</v>
      </c>
    </row>
    <row r="389" spans="5:9" x14ac:dyDescent="0.25">
      <c r="E389">
        <f t="shared" si="41"/>
        <v>7</v>
      </c>
      <c r="G389" t="s">
        <v>230</v>
      </c>
      <c r="I389">
        <v>113</v>
      </c>
    </row>
    <row r="390" spans="5:9" x14ac:dyDescent="0.25">
      <c r="E390">
        <f>+$F$390</f>
        <v>8</v>
      </c>
      <c r="F390">
        <v>8</v>
      </c>
      <c r="G390" t="s">
        <v>222</v>
      </c>
      <c r="H390">
        <v>9</v>
      </c>
      <c r="I390">
        <v>194</v>
      </c>
    </row>
    <row r="391" spans="5:9" x14ac:dyDescent="0.25">
      <c r="E391">
        <f t="shared" ref="E391:E398" si="42">+$F$390</f>
        <v>8</v>
      </c>
      <c r="G391" t="s">
        <v>223</v>
      </c>
      <c r="I391">
        <v>194</v>
      </c>
    </row>
    <row r="392" spans="5:9" x14ac:dyDescent="0.25">
      <c r="E392">
        <f t="shared" si="42"/>
        <v>8</v>
      </c>
      <c r="G392" t="s">
        <v>224</v>
      </c>
      <c r="H392">
        <v>8</v>
      </c>
      <c r="I392">
        <v>194</v>
      </c>
    </row>
    <row r="393" spans="5:9" x14ac:dyDescent="0.25">
      <c r="E393">
        <f t="shared" si="42"/>
        <v>8</v>
      </c>
      <c r="G393" t="s">
        <v>225</v>
      </c>
      <c r="H393">
        <v>3</v>
      </c>
      <c r="I393">
        <v>194</v>
      </c>
    </row>
    <row r="394" spans="5:9" x14ac:dyDescent="0.25">
      <c r="E394">
        <f t="shared" si="42"/>
        <v>8</v>
      </c>
      <c r="G394" t="s">
        <v>226</v>
      </c>
      <c r="H394">
        <v>13</v>
      </c>
      <c r="I394">
        <v>194</v>
      </c>
    </row>
    <row r="395" spans="5:9" x14ac:dyDescent="0.25">
      <c r="E395">
        <f t="shared" si="42"/>
        <v>8</v>
      </c>
      <c r="G395" t="s">
        <v>227</v>
      </c>
      <c r="H395">
        <v>9</v>
      </c>
      <c r="I395">
        <v>194</v>
      </c>
    </row>
    <row r="396" spans="5:9" x14ac:dyDescent="0.25">
      <c r="E396">
        <f t="shared" si="42"/>
        <v>8</v>
      </c>
      <c r="G396" t="s">
        <v>228</v>
      </c>
      <c r="H396">
        <v>5</v>
      </c>
      <c r="I396">
        <v>194</v>
      </c>
    </row>
    <row r="397" spans="5:9" x14ac:dyDescent="0.25">
      <c r="E397">
        <f t="shared" si="42"/>
        <v>8</v>
      </c>
      <c r="G397" t="s">
        <v>229</v>
      </c>
      <c r="H397">
        <v>4</v>
      </c>
      <c r="I397">
        <v>194</v>
      </c>
    </row>
    <row r="398" spans="5:9" x14ac:dyDescent="0.25">
      <c r="E398">
        <f t="shared" si="42"/>
        <v>8</v>
      </c>
      <c r="G398" t="s">
        <v>230</v>
      </c>
      <c r="H398">
        <v>5</v>
      </c>
      <c r="I398">
        <v>194</v>
      </c>
    </row>
    <row r="399" spans="5:9" x14ac:dyDescent="0.25">
      <c r="E399">
        <f>+$F$399</f>
        <v>9</v>
      </c>
      <c r="F399">
        <v>9</v>
      </c>
      <c r="G399" t="s">
        <v>222</v>
      </c>
      <c r="H399">
        <v>8</v>
      </c>
      <c r="I399">
        <v>161</v>
      </c>
    </row>
    <row r="400" spans="5:9" x14ac:dyDescent="0.25">
      <c r="E400">
        <f t="shared" ref="E400:E407" si="43">+$F$399</f>
        <v>9</v>
      </c>
      <c r="G400" t="s">
        <v>223</v>
      </c>
      <c r="H400">
        <v>12</v>
      </c>
      <c r="I400">
        <v>161</v>
      </c>
    </row>
    <row r="401" spans="5:9" x14ac:dyDescent="0.25">
      <c r="E401">
        <f t="shared" si="43"/>
        <v>9</v>
      </c>
      <c r="G401" t="s">
        <v>224</v>
      </c>
      <c r="H401">
        <v>10</v>
      </c>
      <c r="I401">
        <v>161</v>
      </c>
    </row>
    <row r="402" spans="5:9" x14ac:dyDescent="0.25">
      <c r="E402">
        <f t="shared" si="43"/>
        <v>9</v>
      </c>
      <c r="G402" t="s">
        <v>225</v>
      </c>
      <c r="H402">
        <v>8</v>
      </c>
      <c r="I402">
        <v>161</v>
      </c>
    </row>
    <row r="403" spans="5:9" x14ac:dyDescent="0.25">
      <c r="E403">
        <f t="shared" si="43"/>
        <v>9</v>
      </c>
      <c r="G403" t="s">
        <v>226</v>
      </c>
      <c r="H403">
        <v>15</v>
      </c>
      <c r="I403">
        <v>161</v>
      </c>
    </row>
    <row r="404" spans="5:9" x14ac:dyDescent="0.25">
      <c r="E404">
        <f t="shared" si="43"/>
        <v>9</v>
      </c>
      <c r="G404" t="s">
        <v>227</v>
      </c>
      <c r="H404">
        <v>17</v>
      </c>
      <c r="I404">
        <v>161</v>
      </c>
    </row>
    <row r="405" spans="5:9" x14ac:dyDescent="0.25">
      <c r="E405">
        <f t="shared" si="43"/>
        <v>9</v>
      </c>
      <c r="G405" t="s">
        <v>228</v>
      </c>
      <c r="H405">
        <v>2</v>
      </c>
      <c r="I405">
        <v>161</v>
      </c>
    </row>
    <row r="406" spans="5:9" x14ac:dyDescent="0.25">
      <c r="E406">
        <f t="shared" si="43"/>
        <v>9</v>
      </c>
      <c r="G406" t="s">
        <v>229</v>
      </c>
      <c r="H406">
        <v>4</v>
      </c>
      <c r="I406">
        <v>161</v>
      </c>
    </row>
    <row r="407" spans="5:9" x14ac:dyDescent="0.25">
      <c r="E407">
        <f t="shared" si="43"/>
        <v>9</v>
      </c>
      <c r="G407" t="s">
        <v>230</v>
      </c>
      <c r="H407">
        <v>3</v>
      </c>
      <c r="I407">
        <v>161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C7CD1B-7040-4EDB-BDA4-36A2CA347871}">
  <dimension ref="A1:T45"/>
  <sheetViews>
    <sheetView workbookViewId="0">
      <selection sqref="A1:T45"/>
    </sheetView>
  </sheetViews>
  <sheetFormatPr baseColWidth="10" defaultRowHeight="15" x14ac:dyDescent="0.25"/>
  <cols>
    <col min="9" max="9" width="11.140625" customWidth="1"/>
  </cols>
  <sheetData>
    <row r="1" spans="1:20" x14ac:dyDescent="0.25">
      <c r="A1" t="s">
        <v>117</v>
      </c>
      <c r="B1" t="s">
        <v>118</v>
      </c>
      <c r="C1" t="s">
        <v>119</v>
      </c>
      <c r="D1" t="s">
        <v>120</v>
      </c>
      <c r="E1" t="s">
        <v>121</v>
      </c>
      <c r="F1" t="s">
        <v>122</v>
      </c>
      <c r="G1" t="s">
        <v>123</v>
      </c>
      <c r="H1" t="s">
        <v>121</v>
      </c>
      <c r="I1" t="s">
        <v>122</v>
      </c>
      <c r="J1" t="s">
        <v>124</v>
      </c>
      <c r="K1" t="s">
        <v>125</v>
      </c>
      <c r="L1" t="s">
        <v>126</v>
      </c>
      <c r="M1" t="s">
        <v>127</v>
      </c>
      <c r="N1" t="s">
        <v>128</v>
      </c>
      <c r="O1" t="s">
        <v>129</v>
      </c>
      <c r="P1" t="s">
        <v>130</v>
      </c>
      <c r="Q1" t="s">
        <v>131</v>
      </c>
      <c r="R1" t="s">
        <v>132</v>
      </c>
      <c r="S1" t="s">
        <v>133</v>
      </c>
      <c r="T1" t="s">
        <v>134</v>
      </c>
    </row>
    <row r="2" spans="1:20" x14ac:dyDescent="0.25">
      <c r="A2" t="s">
        <v>205</v>
      </c>
      <c r="B2">
        <v>1</v>
      </c>
      <c r="C2" s="52">
        <v>46082</v>
      </c>
      <c r="D2" t="s">
        <v>157</v>
      </c>
      <c r="E2">
        <v>1</v>
      </c>
      <c r="F2" t="s">
        <v>14</v>
      </c>
      <c r="G2" t="s">
        <v>143</v>
      </c>
      <c r="H2">
        <v>1382</v>
      </c>
      <c r="I2" t="s">
        <v>144</v>
      </c>
      <c r="J2">
        <v>98746.145000000004</v>
      </c>
      <c r="K2">
        <v>122432.8</v>
      </c>
      <c r="L2">
        <v>14.2607</v>
      </c>
      <c r="M2">
        <v>2.6637</v>
      </c>
      <c r="N2">
        <v>16.924399999999999</v>
      </c>
      <c r="O2">
        <v>0</v>
      </c>
      <c r="P2">
        <v>1671221.44</v>
      </c>
      <c r="Q2">
        <v>2072104.38</v>
      </c>
      <c r="R2">
        <v>128</v>
      </c>
      <c r="S2">
        <v>0.13</v>
      </c>
      <c r="T2">
        <v>0</v>
      </c>
    </row>
    <row r="3" spans="1:20" x14ac:dyDescent="0.25">
      <c r="A3" t="s">
        <v>205</v>
      </c>
      <c r="B3">
        <v>1</v>
      </c>
      <c r="C3" s="52">
        <v>46082</v>
      </c>
      <c r="D3" t="s">
        <v>181</v>
      </c>
      <c r="E3">
        <v>2</v>
      </c>
      <c r="F3" t="s">
        <v>7</v>
      </c>
      <c r="G3" t="s">
        <v>143</v>
      </c>
      <c r="H3">
        <v>1382</v>
      </c>
      <c r="I3" t="s">
        <v>144</v>
      </c>
      <c r="J3">
        <v>11815.421</v>
      </c>
      <c r="K3">
        <v>14554.453</v>
      </c>
      <c r="L3">
        <v>25.549800000000001</v>
      </c>
      <c r="M3">
        <v>4.5641999999999996</v>
      </c>
      <c r="N3">
        <v>30.114000000000001</v>
      </c>
      <c r="O3">
        <v>0</v>
      </c>
      <c r="P3">
        <v>355809.05</v>
      </c>
      <c r="Q3">
        <v>438292.15</v>
      </c>
      <c r="R3">
        <v>73</v>
      </c>
      <c r="S3">
        <v>0.41</v>
      </c>
      <c r="T3">
        <v>0</v>
      </c>
    </row>
    <row r="4" spans="1:20" x14ac:dyDescent="0.25">
      <c r="A4" t="s">
        <v>205</v>
      </c>
      <c r="B4">
        <v>1</v>
      </c>
      <c r="C4" s="52">
        <v>46082</v>
      </c>
      <c r="D4" t="s">
        <v>158</v>
      </c>
      <c r="E4">
        <v>3</v>
      </c>
      <c r="F4" t="s">
        <v>4</v>
      </c>
      <c r="G4" t="s">
        <v>143</v>
      </c>
      <c r="H4">
        <v>1382</v>
      </c>
      <c r="I4" t="s">
        <v>144</v>
      </c>
      <c r="J4">
        <v>12029.634</v>
      </c>
      <c r="K4">
        <v>14825.838</v>
      </c>
      <c r="L4">
        <v>27.373100000000001</v>
      </c>
      <c r="M4">
        <v>10.9908</v>
      </c>
      <c r="N4">
        <v>38.363900000000001</v>
      </c>
      <c r="O4">
        <v>0</v>
      </c>
      <c r="P4">
        <v>461503.95</v>
      </c>
      <c r="Q4">
        <v>568777.28</v>
      </c>
      <c r="R4">
        <v>79</v>
      </c>
      <c r="S4">
        <v>0.49</v>
      </c>
      <c r="T4">
        <v>0</v>
      </c>
    </row>
    <row r="5" spans="1:20" x14ac:dyDescent="0.25">
      <c r="A5" t="s">
        <v>205</v>
      </c>
      <c r="B5">
        <v>1</v>
      </c>
      <c r="C5" s="52">
        <v>46082</v>
      </c>
      <c r="D5" t="s">
        <v>163</v>
      </c>
      <c r="E5">
        <v>4</v>
      </c>
      <c r="F5" t="s">
        <v>19</v>
      </c>
      <c r="G5" t="s">
        <v>143</v>
      </c>
      <c r="H5">
        <v>1382</v>
      </c>
      <c r="I5" t="s">
        <v>144</v>
      </c>
      <c r="J5">
        <v>17624.901999999998</v>
      </c>
      <c r="K5">
        <v>21774.702000000001</v>
      </c>
      <c r="L5">
        <v>44.352899999999998</v>
      </c>
      <c r="M5">
        <v>5.3057999999999996</v>
      </c>
      <c r="N5">
        <v>49.6586</v>
      </c>
      <c r="O5">
        <v>0</v>
      </c>
      <c r="P5">
        <v>875228.78</v>
      </c>
      <c r="Q5">
        <v>1081302.23</v>
      </c>
      <c r="R5">
        <v>100</v>
      </c>
      <c r="S5">
        <v>0.5</v>
      </c>
      <c r="T5">
        <v>0</v>
      </c>
    </row>
    <row r="6" spans="1:20" x14ac:dyDescent="0.25">
      <c r="A6" t="s">
        <v>205</v>
      </c>
      <c r="B6">
        <v>1</v>
      </c>
      <c r="C6" s="52">
        <v>46082</v>
      </c>
      <c r="D6" t="s">
        <v>164</v>
      </c>
      <c r="E6">
        <v>5</v>
      </c>
      <c r="F6" t="s">
        <v>71</v>
      </c>
      <c r="G6" t="s">
        <v>143</v>
      </c>
      <c r="H6">
        <v>1382</v>
      </c>
      <c r="I6" t="s">
        <v>144</v>
      </c>
      <c r="J6">
        <v>26707.909</v>
      </c>
      <c r="K6">
        <v>32656.222000000002</v>
      </c>
      <c r="L6">
        <v>7.0171999999999999</v>
      </c>
      <c r="M6">
        <v>5.0472000000000001</v>
      </c>
      <c r="N6">
        <v>12.064500000000001</v>
      </c>
      <c r="O6">
        <v>0</v>
      </c>
      <c r="P6">
        <v>322216.7</v>
      </c>
      <c r="Q6">
        <v>393979.93</v>
      </c>
      <c r="R6">
        <v>70</v>
      </c>
      <c r="S6">
        <v>0.17</v>
      </c>
      <c r="T6">
        <v>0</v>
      </c>
    </row>
    <row r="7" spans="1:20" x14ac:dyDescent="0.25">
      <c r="A7" t="s">
        <v>205</v>
      </c>
      <c r="B7">
        <v>1</v>
      </c>
      <c r="C7" s="52">
        <v>46082</v>
      </c>
      <c r="D7" t="s">
        <v>198</v>
      </c>
      <c r="E7">
        <v>7</v>
      </c>
      <c r="F7" t="s">
        <v>10</v>
      </c>
      <c r="G7" t="s">
        <v>143</v>
      </c>
      <c r="H7">
        <v>1382</v>
      </c>
      <c r="I7" t="s">
        <v>144</v>
      </c>
      <c r="J7">
        <v>6772.3810000000003</v>
      </c>
      <c r="K7">
        <v>8382.7170000000006</v>
      </c>
      <c r="L7">
        <v>39</v>
      </c>
      <c r="M7">
        <v>0</v>
      </c>
      <c r="N7">
        <v>39</v>
      </c>
      <c r="O7">
        <v>0</v>
      </c>
      <c r="P7">
        <v>264122.84999999998</v>
      </c>
      <c r="Q7">
        <v>326925.96999999997</v>
      </c>
      <c r="R7">
        <v>1</v>
      </c>
      <c r="S7">
        <v>39</v>
      </c>
      <c r="T7">
        <v>0</v>
      </c>
    </row>
    <row r="8" spans="1:20" x14ac:dyDescent="0.25">
      <c r="A8" t="s">
        <v>205</v>
      </c>
      <c r="B8">
        <v>1</v>
      </c>
      <c r="C8" s="52">
        <v>46082</v>
      </c>
      <c r="D8" t="s">
        <v>159</v>
      </c>
      <c r="E8">
        <v>8</v>
      </c>
      <c r="F8" t="s">
        <v>6</v>
      </c>
      <c r="G8" t="s">
        <v>143</v>
      </c>
      <c r="H8">
        <v>1382</v>
      </c>
      <c r="I8" t="s">
        <v>144</v>
      </c>
      <c r="J8">
        <v>18047.967000000001</v>
      </c>
      <c r="K8">
        <v>22290.442999999999</v>
      </c>
      <c r="L8">
        <v>8.0508000000000006</v>
      </c>
      <c r="M8">
        <v>7.7319000000000004</v>
      </c>
      <c r="N8">
        <v>15.7828</v>
      </c>
      <c r="O8">
        <v>0</v>
      </c>
      <c r="P8">
        <v>284846.64</v>
      </c>
      <c r="Q8">
        <v>351804.59</v>
      </c>
      <c r="R8">
        <v>61</v>
      </c>
      <c r="S8">
        <v>0.26</v>
      </c>
      <c r="T8">
        <v>0</v>
      </c>
    </row>
    <row r="9" spans="1:20" x14ac:dyDescent="0.25">
      <c r="A9" t="s">
        <v>205</v>
      </c>
      <c r="B9">
        <v>1</v>
      </c>
      <c r="C9" s="52">
        <v>46082</v>
      </c>
      <c r="D9" t="s">
        <v>135</v>
      </c>
      <c r="E9">
        <v>9</v>
      </c>
      <c r="F9" t="s">
        <v>8</v>
      </c>
      <c r="G9" t="s">
        <v>143</v>
      </c>
      <c r="H9">
        <v>1382</v>
      </c>
      <c r="I9" t="s">
        <v>144</v>
      </c>
      <c r="J9">
        <v>9288.0779999999995</v>
      </c>
      <c r="K9">
        <v>11426.612999999999</v>
      </c>
      <c r="L9">
        <v>40.548999999999999</v>
      </c>
      <c r="M9">
        <v>7.8353000000000002</v>
      </c>
      <c r="N9">
        <v>48.384300000000003</v>
      </c>
      <c r="O9">
        <v>0</v>
      </c>
      <c r="P9">
        <v>449396.93</v>
      </c>
      <c r="Q9">
        <v>552868.39</v>
      </c>
      <c r="R9">
        <v>85</v>
      </c>
      <c r="S9">
        <v>0.56999999999999995</v>
      </c>
      <c r="T9">
        <v>0</v>
      </c>
    </row>
    <row r="10" spans="1:20" x14ac:dyDescent="0.25">
      <c r="A10" t="s">
        <v>205</v>
      </c>
      <c r="B10">
        <v>1</v>
      </c>
      <c r="C10" s="52">
        <v>46082</v>
      </c>
      <c r="D10" t="s">
        <v>165</v>
      </c>
      <c r="E10">
        <v>10</v>
      </c>
      <c r="F10" t="s">
        <v>62</v>
      </c>
      <c r="G10" t="s">
        <v>143</v>
      </c>
      <c r="H10">
        <v>1382</v>
      </c>
      <c r="I10" t="s">
        <v>144</v>
      </c>
      <c r="J10">
        <v>19423.101999999999</v>
      </c>
      <c r="K10">
        <v>23755.08</v>
      </c>
      <c r="L10">
        <v>16.260000000000002</v>
      </c>
      <c r="M10">
        <v>3.6008</v>
      </c>
      <c r="N10">
        <v>19.860700000000001</v>
      </c>
      <c r="O10">
        <v>0</v>
      </c>
      <c r="P10">
        <v>385757.33</v>
      </c>
      <c r="Q10">
        <v>471793.64</v>
      </c>
      <c r="R10">
        <v>61</v>
      </c>
      <c r="S10">
        <v>0.33</v>
      </c>
      <c r="T10">
        <v>0</v>
      </c>
    </row>
    <row r="11" spans="1:20" x14ac:dyDescent="0.25">
      <c r="A11" t="s">
        <v>205</v>
      </c>
      <c r="B11">
        <v>1</v>
      </c>
      <c r="C11" s="52">
        <v>46082</v>
      </c>
      <c r="D11" t="s">
        <v>166</v>
      </c>
      <c r="E11">
        <v>11</v>
      </c>
      <c r="F11" t="s">
        <v>80</v>
      </c>
      <c r="G11" t="s">
        <v>143</v>
      </c>
      <c r="H11">
        <v>1382</v>
      </c>
      <c r="I11" t="s">
        <v>144</v>
      </c>
      <c r="J11">
        <v>19880.77</v>
      </c>
      <c r="K11">
        <v>24580.662</v>
      </c>
      <c r="L11">
        <v>6.2249999999999996</v>
      </c>
      <c r="M11">
        <v>2.1692999999999998</v>
      </c>
      <c r="N11">
        <v>8.3942999999999994</v>
      </c>
      <c r="O11">
        <v>0</v>
      </c>
      <c r="P11">
        <v>166886.04999999999</v>
      </c>
      <c r="Q11">
        <v>206338.57</v>
      </c>
      <c r="R11">
        <v>53</v>
      </c>
      <c r="S11">
        <v>0.16</v>
      </c>
      <c r="T11">
        <v>0</v>
      </c>
    </row>
    <row r="12" spans="1:20" x14ac:dyDescent="0.25">
      <c r="A12" t="s">
        <v>205</v>
      </c>
      <c r="B12">
        <v>1</v>
      </c>
      <c r="C12" s="52">
        <v>46082</v>
      </c>
      <c r="D12" t="s">
        <v>182</v>
      </c>
      <c r="E12">
        <v>12</v>
      </c>
      <c r="F12" t="s">
        <v>12</v>
      </c>
      <c r="G12" t="s">
        <v>143</v>
      </c>
      <c r="H12">
        <v>1382</v>
      </c>
      <c r="I12" t="s">
        <v>144</v>
      </c>
      <c r="J12">
        <v>21003.651000000002</v>
      </c>
      <c r="K12">
        <v>25910.202000000001</v>
      </c>
      <c r="L12">
        <v>6.2832999999999997</v>
      </c>
      <c r="M12">
        <v>7.2679</v>
      </c>
      <c r="N12">
        <v>13.5512</v>
      </c>
      <c r="O12">
        <v>0</v>
      </c>
      <c r="P12">
        <v>284624.48</v>
      </c>
      <c r="Q12">
        <v>351114.08</v>
      </c>
      <c r="R12">
        <v>65</v>
      </c>
      <c r="S12">
        <v>0.21</v>
      </c>
      <c r="T12">
        <v>0</v>
      </c>
    </row>
    <row r="13" spans="1:20" x14ac:dyDescent="0.25">
      <c r="A13" t="s">
        <v>205</v>
      </c>
      <c r="B13">
        <v>1</v>
      </c>
      <c r="C13" s="52">
        <v>46082</v>
      </c>
      <c r="D13" t="s">
        <v>203</v>
      </c>
      <c r="E13">
        <v>15</v>
      </c>
      <c r="F13" t="s">
        <v>13</v>
      </c>
      <c r="G13" t="s">
        <v>143</v>
      </c>
      <c r="H13">
        <v>1382</v>
      </c>
      <c r="I13" t="s">
        <v>144</v>
      </c>
      <c r="J13">
        <v>39203.754000000001</v>
      </c>
      <c r="K13">
        <v>49427.271000000001</v>
      </c>
      <c r="L13">
        <v>33.666699999999999</v>
      </c>
      <c r="M13">
        <v>0.23330000000000001</v>
      </c>
      <c r="N13">
        <v>33.9</v>
      </c>
      <c r="O13">
        <v>0</v>
      </c>
      <c r="P13">
        <v>1329007.27</v>
      </c>
      <c r="Q13">
        <v>1675584.49</v>
      </c>
      <c r="R13">
        <v>10</v>
      </c>
      <c r="S13">
        <v>3.39</v>
      </c>
      <c r="T13">
        <v>0</v>
      </c>
    </row>
    <row r="14" spans="1:20" x14ac:dyDescent="0.25">
      <c r="A14" t="s">
        <v>205</v>
      </c>
      <c r="B14">
        <v>1</v>
      </c>
      <c r="C14" s="52">
        <v>46082</v>
      </c>
      <c r="D14" t="s">
        <v>167</v>
      </c>
      <c r="E14">
        <v>16</v>
      </c>
      <c r="F14" t="s">
        <v>21</v>
      </c>
      <c r="G14" t="s">
        <v>143</v>
      </c>
      <c r="H14">
        <v>1382</v>
      </c>
      <c r="I14" t="s">
        <v>144</v>
      </c>
      <c r="J14">
        <v>14326.343999999999</v>
      </c>
      <c r="K14">
        <v>17577.612000000001</v>
      </c>
      <c r="L14">
        <v>8.6333000000000002</v>
      </c>
      <c r="M14">
        <v>10.282999999999999</v>
      </c>
      <c r="N14">
        <v>18.916399999999999</v>
      </c>
      <c r="O14">
        <v>0</v>
      </c>
      <c r="P14">
        <v>271002.40000000002</v>
      </c>
      <c r="Q14">
        <v>332504.59000000003</v>
      </c>
      <c r="R14">
        <v>64</v>
      </c>
      <c r="S14">
        <v>0.3</v>
      </c>
      <c r="T14">
        <v>0</v>
      </c>
    </row>
    <row r="15" spans="1:20" x14ac:dyDescent="0.25">
      <c r="A15" t="s">
        <v>205</v>
      </c>
      <c r="B15">
        <v>1</v>
      </c>
      <c r="C15" s="52">
        <v>46082</v>
      </c>
      <c r="D15" t="s">
        <v>168</v>
      </c>
      <c r="E15">
        <v>18</v>
      </c>
      <c r="F15" t="s">
        <v>11</v>
      </c>
      <c r="G15" t="s">
        <v>143</v>
      </c>
      <c r="H15">
        <v>1382</v>
      </c>
      <c r="I15" t="s">
        <v>144</v>
      </c>
      <c r="J15">
        <v>47544.817000000003</v>
      </c>
      <c r="K15">
        <v>58104.665999999997</v>
      </c>
      <c r="L15">
        <v>7.1306000000000003</v>
      </c>
      <c r="M15">
        <v>2.6594000000000002</v>
      </c>
      <c r="N15">
        <v>9.7899999999999991</v>
      </c>
      <c r="O15">
        <v>0</v>
      </c>
      <c r="P15">
        <v>465462.81</v>
      </c>
      <c r="Q15">
        <v>568843.53</v>
      </c>
      <c r="R15">
        <v>66</v>
      </c>
      <c r="S15">
        <v>0.15</v>
      </c>
      <c r="T15">
        <v>0</v>
      </c>
    </row>
    <row r="16" spans="1:20" x14ac:dyDescent="0.25">
      <c r="A16" t="s">
        <v>205</v>
      </c>
      <c r="B16">
        <v>1</v>
      </c>
      <c r="C16" s="52">
        <v>46082</v>
      </c>
      <c r="D16" t="s">
        <v>183</v>
      </c>
      <c r="E16">
        <v>19</v>
      </c>
      <c r="F16" t="s">
        <v>73</v>
      </c>
      <c r="G16" t="s">
        <v>143</v>
      </c>
      <c r="H16">
        <v>1382</v>
      </c>
      <c r="I16" t="s">
        <v>144</v>
      </c>
      <c r="J16">
        <v>29959.673999999999</v>
      </c>
      <c r="K16">
        <v>36445.453999999998</v>
      </c>
      <c r="L16">
        <v>6.3691000000000004</v>
      </c>
      <c r="M16">
        <v>5.8227000000000002</v>
      </c>
      <c r="N16">
        <v>12.191800000000001</v>
      </c>
      <c r="O16">
        <v>0</v>
      </c>
      <c r="P16">
        <v>365262.82</v>
      </c>
      <c r="Q16">
        <v>444336.25</v>
      </c>
      <c r="R16">
        <v>68</v>
      </c>
      <c r="S16">
        <v>0.18</v>
      </c>
      <c r="T16">
        <v>0</v>
      </c>
    </row>
    <row r="17" spans="1:20" x14ac:dyDescent="0.25">
      <c r="A17" t="s">
        <v>205</v>
      </c>
      <c r="B17">
        <v>1</v>
      </c>
      <c r="C17" s="52">
        <v>46082</v>
      </c>
      <c r="D17" t="s">
        <v>169</v>
      </c>
      <c r="E17">
        <v>20</v>
      </c>
      <c r="F17" t="s">
        <v>20</v>
      </c>
      <c r="G17" t="s">
        <v>143</v>
      </c>
      <c r="H17">
        <v>1382</v>
      </c>
      <c r="I17" t="s">
        <v>144</v>
      </c>
      <c r="J17">
        <v>14553.7</v>
      </c>
      <c r="K17">
        <v>17790.960999999999</v>
      </c>
      <c r="L17">
        <v>15.525</v>
      </c>
      <c r="M17">
        <v>8.1038999999999994</v>
      </c>
      <c r="N17">
        <v>23.628900000000002</v>
      </c>
      <c r="O17">
        <v>0</v>
      </c>
      <c r="P17">
        <v>343887.46</v>
      </c>
      <c r="Q17">
        <v>420380.3</v>
      </c>
      <c r="R17">
        <v>101</v>
      </c>
      <c r="S17">
        <v>0.23</v>
      </c>
      <c r="T17">
        <v>0</v>
      </c>
    </row>
    <row r="18" spans="1:20" x14ac:dyDescent="0.25">
      <c r="A18" t="s">
        <v>205</v>
      </c>
      <c r="B18">
        <v>1</v>
      </c>
      <c r="C18" s="52">
        <v>46082</v>
      </c>
      <c r="D18" t="s">
        <v>136</v>
      </c>
      <c r="E18">
        <v>21</v>
      </c>
      <c r="F18" t="s">
        <v>17</v>
      </c>
      <c r="G18" t="s">
        <v>143</v>
      </c>
      <c r="H18">
        <v>1382</v>
      </c>
      <c r="I18" t="s">
        <v>144</v>
      </c>
      <c r="J18">
        <v>23359.303</v>
      </c>
      <c r="K18">
        <v>28731.166000000001</v>
      </c>
      <c r="L18">
        <v>5.8674999999999997</v>
      </c>
      <c r="M18">
        <v>7.0090000000000003</v>
      </c>
      <c r="N18">
        <v>12.8765</v>
      </c>
      <c r="O18">
        <v>0</v>
      </c>
      <c r="P18">
        <v>300786.17</v>
      </c>
      <c r="Q18">
        <v>369957</v>
      </c>
      <c r="R18">
        <v>81</v>
      </c>
      <c r="S18">
        <v>0.16</v>
      </c>
      <c r="T18">
        <v>0</v>
      </c>
    </row>
    <row r="19" spans="1:20" x14ac:dyDescent="0.25">
      <c r="A19" t="s">
        <v>205</v>
      </c>
      <c r="B19">
        <v>1</v>
      </c>
      <c r="C19" s="52">
        <v>46082</v>
      </c>
      <c r="D19" t="s">
        <v>199</v>
      </c>
      <c r="E19">
        <v>22</v>
      </c>
      <c r="F19" t="s">
        <v>23</v>
      </c>
      <c r="G19" t="s">
        <v>143</v>
      </c>
      <c r="H19">
        <v>1382</v>
      </c>
      <c r="I19" t="s">
        <v>144</v>
      </c>
      <c r="J19">
        <v>72204.706999999995</v>
      </c>
      <c r="K19">
        <v>89368.476999999999</v>
      </c>
      <c r="L19">
        <v>3.3626999999999998</v>
      </c>
      <c r="M19">
        <v>0.38750000000000001</v>
      </c>
      <c r="N19">
        <v>3.7502</v>
      </c>
      <c r="O19">
        <v>0</v>
      </c>
      <c r="P19">
        <v>270784.37</v>
      </c>
      <c r="Q19">
        <v>335152.46999999997</v>
      </c>
      <c r="R19">
        <v>15</v>
      </c>
      <c r="S19">
        <v>0.25</v>
      </c>
      <c r="T19">
        <v>0</v>
      </c>
    </row>
    <row r="20" spans="1:20" x14ac:dyDescent="0.25">
      <c r="A20" t="s">
        <v>205</v>
      </c>
      <c r="B20">
        <v>1</v>
      </c>
      <c r="C20" s="52">
        <v>46082</v>
      </c>
      <c r="D20" t="s">
        <v>160</v>
      </c>
      <c r="E20">
        <v>23</v>
      </c>
      <c r="F20" t="s">
        <v>22</v>
      </c>
      <c r="G20" t="s">
        <v>143</v>
      </c>
      <c r="H20">
        <v>1382</v>
      </c>
      <c r="I20" t="s">
        <v>144</v>
      </c>
      <c r="J20">
        <v>20368.519</v>
      </c>
      <c r="K20">
        <v>24979.891</v>
      </c>
      <c r="L20">
        <v>16.326899999999998</v>
      </c>
      <c r="M20">
        <v>9.077</v>
      </c>
      <c r="N20">
        <v>25.4038</v>
      </c>
      <c r="O20">
        <v>0</v>
      </c>
      <c r="P20">
        <v>517438.51</v>
      </c>
      <c r="Q20">
        <v>634585.06000000006</v>
      </c>
      <c r="R20">
        <v>94</v>
      </c>
      <c r="S20">
        <v>0.27</v>
      </c>
      <c r="T20">
        <v>0</v>
      </c>
    </row>
    <row r="21" spans="1:20" x14ac:dyDescent="0.25">
      <c r="A21" t="s">
        <v>205</v>
      </c>
      <c r="B21">
        <v>1</v>
      </c>
      <c r="C21" s="52">
        <v>46082</v>
      </c>
      <c r="D21" t="s">
        <v>137</v>
      </c>
      <c r="E21">
        <v>24</v>
      </c>
      <c r="F21" t="s">
        <v>75</v>
      </c>
      <c r="G21" t="s">
        <v>143</v>
      </c>
      <c r="H21">
        <v>1382</v>
      </c>
      <c r="I21" t="s">
        <v>144</v>
      </c>
      <c r="J21">
        <v>15470.788</v>
      </c>
      <c r="K21">
        <v>19101.392</v>
      </c>
      <c r="L21">
        <v>6.9164000000000003</v>
      </c>
      <c r="M21">
        <v>12.1012</v>
      </c>
      <c r="N21">
        <v>19.017600000000002</v>
      </c>
      <c r="O21">
        <v>0</v>
      </c>
      <c r="P21">
        <v>294217.65999999997</v>
      </c>
      <c r="Q21">
        <v>363263.13</v>
      </c>
      <c r="R21">
        <v>63</v>
      </c>
      <c r="S21">
        <v>0.3</v>
      </c>
      <c r="T21">
        <v>0</v>
      </c>
    </row>
    <row r="22" spans="1:20" x14ac:dyDescent="0.25">
      <c r="A22" t="s">
        <v>205</v>
      </c>
      <c r="B22">
        <v>1</v>
      </c>
      <c r="C22" s="52">
        <v>46082</v>
      </c>
      <c r="D22" t="s">
        <v>170</v>
      </c>
      <c r="E22">
        <v>25</v>
      </c>
      <c r="F22" t="s">
        <v>18</v>
      </c>
      <c r="G22" t="s">
        <v>143</v>
      </c>
      <c r="H22">
        <v>1382</v>
      </c>
      <c r="I22" t="s">
        <v>144</v>
      </c>
      <c r="J22">
        <v>17401.135999999999</v>
      </c>
      <c r="K22">
        <v>21711.321</v>
      </c>
      <c r="L22">
        <v>29.747</v>
      </c>
      <c r="M22">
        <v>6.5793999999999997</v>
      </c>
      <c r="N22">
        <v>36.3264</v>
      </c>
      <c r="O22">
        <v>0</v>
      </c>
      <c r="P22">
        <v>632119.85</v>
      </c>
      <c r="Q22">
        <v>788693.16</v>
      </c>
      <c r="R22">
        <v>49</v>
      </c>
      <c r="S22">
        <v>0.74</v>
      </c>
      <c r="T22">
        <v>0</v>
      </c>
    </row>
    <row r="23" spans="1:20" x14ac:dyDescent="0.25">
      <c r="A23" t="s">
        <v>205</v>
      </c>
      <c r="B23">
        <v>1</v>
      </c>
      <c r="C23" s="52">
        <v>46082</v>
      </c>
      <c r="D23" t="s">
        <v>171</v>
      </c>
      <c r="E23">
        <v>26</v>
      </c>
      <c r="F23" t="s">
        <v>16</v>
      </c>
      <c r="G23" t="s">
        <v>143</v>
      </c>
      <c r="H23">
        <v>1382</v>
      </c>
      <c r="I23" t="s">
        <v>144</v>
      </c>
      <c r="J23">
        <v>13033.684999999999</v>
      </c>
      <c r="K23">
        <v>16156.763000000001</v>
      </c>
      <c r="L23">
        <v>3.5832999999999999</v>
      </c>
      <c r="M23">
        <v>6.6794000000000002</v>
      </c>
      <c r="N23">
        <v>10.262700000000001</v>
      </c>
      <c r="O23">
        <v>0</v>
      </c>
      <c r="P23">
        <v>133760.78</v>
      </c>
      <c r="Q23">
        <v>165811.99</v>
      </c>
      <c r="R23">
        <v>29</v>
      </c>
      <c r="S23">
        <v>0.35</v>
      </c>
      <c r="T23">
        <v>0</v>
      </c>
    </row>
    <row r="24" spans="1:20" x14ac:dyDescent="0.25">
      <c r="A24" t="s">
        <v>205</v>
      </c>
      <c r="B24">
        <v>1</v>
      </c>
      <c r="C24" s="52">
        <v>46082</v>
      </c>
      <c r="D24" t="s">
        <v>172</v>
      </c>
      <c r="E24">
        <v>27</v>
      </c>
      <c r="F24" t="s">
        <v>26</v>
      </c>
      <c r="G24" t="s">
        <v>143</v>
      </c>
      <c r="H24">
        <v>1382</v>
      </c>
      <c r="I24" t="s">
        <v>144</v>
      </c>
      <c r="J24">
        <v>16815.141</v>
      </c>
      <c r="K24">
        <v>20603.353999999999</v>
      </c>
      <c r="L24">
        <v>15.783300000000001</v>
      </c>
      <c r="M24">
        <v>3.0051000000000001</v>
      </c>
      <c r="N24">
        <v>18.788399999999999</v>
      </c>
      <c r="O24">
        <v>0</v>
      </c>
      <c r="P24">
        <v>315929.46999999997</v>
      </c>
      <c r="Q24">
        <v>387103.91</v>
      </c>
      <c r="R24">
        <v>58</v>
      </c>
      <c r="S24">
        <v>0.32</v>
      </c>
      <c r="T24">
        <v>0</v>
      </c>
    </row>
    <row r="25" spans="1:20" x14ac:dyDescent="0.25">
      <c r="A25" t="s">
        <v>205</v>
      </c>
      <c r="B25">
        <v>1</v>
      </c>
      <c r="C25" s="52">
        <v>46082</v>
      </c>
      <c r="D25" t="s">
        <v>173</v>
      </c>
      <c r="E25">
        <v>28</v>
      </c>
      <c r="F25" t="s">
        <v>1</v>
      </c>
      <c r="G25" t="s">
        <v>143</v>
      </c>
      <c r="H25">
        <v>1382</v>
      </c>
      <c r="I25" t="s">
        <v>144</v>
      </c>
      <c r="J25">
        <v>7344.9750000000004</v>
      </c>
      <c r="K25">
        <v>8959.3690000000006</v>
      </c>
      <c r="L25">
        <v>21.935199999999998</v>
      </c>
      <c r="M25">
        <v>7.5796000000000001</v>
      </c>
      <c r="N25">
        <v>29.514800000000001</v>
      </c>
      <c r="O25">
        <v>0</v>
      </c>
      <c r="P25">
        <v>216785.26</v>
      </c>
      <c r="Q25">
        <v>264433.74</v>
      </c>
      <c r="R25">
        <v>82</v>
      </c>
      <c r="S25">
        <v>0.36</v>
      </c>
      <c r="T25">
        <v>0</v>
      </c>
    </row>
    <row r="26" spans="1:20" x14ac:dyDescent="0.25">
      <c r="A26" t="s">
        <v>205</v>
      </c>
      <c r="B26">
        <v>1</v>
      </c>
      <c r="C26" s="52">
        <v>46082</v>
      </c>
      <c r="D26" t="s">
        <v>189</v>
      </c>
      <c r="E26">
        <v>30</v>
      </c>
      <c r="F26" t="s">
        <v>0</v>
      </c>
      <c r="G26" t="s">
        <v>143</v>
      </c>
      <c r="H26">
        <v>1382</v>
      </c>
      <c r="I26" t="s">
        <v>144</v>
      </c>
      <c r="J26">
        <v>47918.364000000001</v>
      </c>
      <c r="K26">
        <v>60837.553</v>
      </c>
      <c r="L26">
        <v>12.55</v>
      </c>
      <c r="M26">
        <v>0</v>
      </c>
      <c r="N26">
        <v>12.55</v>
      </c>
      <c r="O26">
        <v>0</v>
      </c>
      <c r="P26">
        <v>601375.47</v>
      </c>
      <c r="Q26">
        <v>763511.29</v>
      </c>
      <c r="R26">
        <v>3</v>
      </c>
      <c r="S26">
        <v>4.18</v>
      </c>
      <c r="T26">
        <v>0</v>
      </c>
    </row>
    <row r="27" spans="1:20" x14ac:dyDescent="0.25">
      <c r="A27" t="s">
        <v>205</v>
      </c>
      <c r="B27">
        <v>1</v>
      </c>
      <c r="C27" s="52">
        <v>46082</v>
      </c>
      <c r="D27" t="s">
        <v>174</v>
      </c>
      <c r="E27">
        <v>31</v>
      </c>
      <c r="F27" t="s">
        <v>3</v>
      </c>
      <c r="G27" t="s">
        <v>143</v>
      </c>
      <c r="H27">
        <v>1382</v>
      </c>
      <c r="I27" t="s">
        <v>144</v>
      </c>
      <c r="J27">
        <v>27205.694</v>
      </c>
      <c r="K27">
        <v>33519.57</v>
      </c>
      <c r="L27">
        <v>6.1969000000000003</v>
      </c>
      <c r="M27">
        <v>6.5541</v>
      </c>
      <c r="N27">
        <v>12.7509</v>
      </c>
      <c r="O27">
        <v>0</v>
      </c>
      <c r="P27">
        <v>346898.23</v>
      </c>
      <c r="Q27">
        <v>427406.11</v>
      </c>
      <c r="R27">
        <v>66</v>
      </c>
      <c r="S27">
        <v>0.19</v>
      </c>
      <c r="T27">
        <v>0</v>
      </c>
    </row>
    <row r="28" spans="1:20" x14ac:dyDescent="0.25">
      <c r="A28" t="s">
        <v>205</v>
      </c>
      <c r="B28">
        <v>1</v>
      </c>
      <c r="C28" s="52">
        <v>46082</v>
      </c>
      <c r="D28" t="s">
        <v>190</v>
      </c>
      <c r="E28">
        <v>32</v>
      </c>
      <c r="F28" t="s">
        <v>28</v>
      </c>
      <c r="G28" t="s">
        <v>143</v>
      </c>
      <c r="H28">
        <v>1382</v>
      </c>
      <c r="I28" t="s">
        <v>144</v>
      </c>
      <c r="J28">
        <v>58256.595999999998</v>
      </c>
      <c r="K28">
        <v>72004.615999999995</v>
      </c>
      <c r="L28">
        <v>4.6417000000000002</v>
      </c>
      <c r="M28">
        <v>1.4875</v>
      </c>
      <c r="N28">
        <v>6.1292</v>
      </c>
      <c r="O28">
        <v>0</v>
      </c>
      <c r="P28">
        <v>357064.39</v>
      </c>
      <c r="Q28">
        <v>441328.29</v>
      </c>
      <c r="R28">
        <v>19</v>
      </c>
      <c r="S28">
        <v>0.32</v>
      </c>
      <c r="T28">
        <v>0</v>
      </c>
    </row>
    <row r="29" spans="1:20" x14ac:dyDescent="0.25">
      <c r="A29" t="s">
        <v>205</v>
      </c>
      <c r="B29">
        <v>1</v>
      </c>
      <c r="C29" s="52">
        <v>46082</v>
      </c>
      <c r="D29" t="s">
        <v>175</v>
      </c>
      <c r="E29">
        <v>33</v>
      </c>
      <c r="F29" t="s">
        <v>176</v>
      </c>
      <c r="G29" t="s">
        <v>143</v>
      </c>
      <c r="H29">
        <v>1382</v>
      </c>
      <c r="I29" t="s">
        <v>144</v>
      </c>
      <c r="J29">
        <v>8085.0420000000004</v>
      </c>
      <c r="K29">
        <v>9944.9529999999995</v>
      </c>
      <c r="L29">
        <v>19.932300000000001</v>
      </c>
      <c r="M29">
        <v>7.0448000000000004</v>
      </c>
      <c r="N29">
        <v>26.9771</v>
      </c>
      <c r="O29">
        <v>0</v>
      </c>
      <c r="P29">
        <v>218111.24</v>
      </c>
      <c r="Q29">
        <v>268286.33</v>
      </c>
      <c r="R29">
        <v>72</v>
      </c>
      <c r="S29">
        <v>0.37</v>
      </c>
      <c r="T29">
        <v>0</v>
      </c>
    </row>
    <row r="30" spans="1:20" x14ac:dyDescent="0.25">
      <c r="A30" t="s">
        <v>205</v>
      </c>
      <c r="B30">
        <v>1</v>
      </c>
      <c r="C30" s="52">
        <v>46082</v>
      </c>
      <c r="D30" t="s">
        <v>184</v>
      </c>
      <c r="E30">
        <v>36</v>
      </c>
      <c r="F30" t="s">
        <v>185</v>
      </c>
      <c r="G30" t="s">
        <v>143</v>
      </c>
      <c r="H30">
        <v>1382</v>
      </c>
      <c r="I30" t="s">
        <v>144</v>
      </c>
      <c r="J30">
        <v>15927.221</v>
      </c>
      <c r="K30">
        <v>19503.672999999999</v>
      </c>
      <c r="L30">
        <v>11.0924</v>
      </c>
      <c r="M30">
        <v>3.28</v>
      </c>
      <c r="N30">
        <v>14.372299999999999</v>
      </c>
      <c r="O30">
        <v>0</v>
      </c>
      <c r="P30">
        <v>228911.14</v>
      </c>
      <c r="Q30">
        <v>280313.05</v>
      </c>
      <c r="R30">
        <v>59</v>
      </c>
      <c r="S30">
        <v>0.24</v>
      </c>
      <c r="T30">
        <v>0</v>
      </c>
    </row>
    <row r="31" spans="1:20" x14ac:dyDescent="0.25">
      <c r="A31" t="s">
        <v>205</v>
      </c>
      <c r="B31">
        <v>1</v>
      </c>
      <c r="C31" s="52">
        <v>46082</v>
      </c>
      <c r="D31" t="s">
        <v>177</v>
      </c>
      <c r="E31">
        <v>37</v>
      </c>
      <c r="F31" t="s">
        <v>25</v>
      </c>
      <c r="G31" t="s">
        <v>143</v>
      </c>
      <c r="H31">
        <v>1382</v>
      </c>
      <c r="I31" t="s">
        <v>144</v>
      </c>
      <c r="J31">
        <v>6704.7730000000001</v>
      </c>
      <c r="K31">
        <v>8224</v>
      </c>
      <c r="L31">
        <v>15.316700000000001</v>
      </c>
      <c r="M31">
        <v>8.6264000000000003</v>
      </c>
      <c r="N31">
        <v>23.943100000000001</v>
      </c>
      <c r="O31">
        <v>0</v>
      </c>
      <c r="P31">
        <v>160532.76</v>
      </c>
      <c r="Q31">
        <v>196907.69</v>
      </c>
      <c r="R31">
        <v>46</v>
      </c>
      <c r="S31">
        <v>0.52</v>
      </c>
      <c r="T31">
        <v>0</v>
      </c>
    </row>
    <row r="32" spans="1:20" x14ac:dyDescent="0.25">
      <c r="A32" t="s">
        <v>205</v>
      </c>
      <c r="B32">
        <v>1</v>
      </c>
      <c r="C32" s="52">
        <v>46082</v>
      </c>
      <c r="D32" t="s">
        <v>161</v>
      </c>
      <c r="E32">
        <v>40</v>
      </c>
      <c r="F32" t="s">
        <v>69</v>
      </c>
      <c r="G32" t="s">
        <v>143</v>
      </c>
      <c r="H32">
        <v>1382</v>
      </c>
      <c r="I32" t="s">
        <v>144</v>
      </c>
      <c r="J32">
        <v>10358.124</v>
      </c>
      <c r="K32">
        <v>12673.079</v>
      </c>
      <c r="L32">
        <v>18.282299999999999</v>
      </c>
      <c r="M32">
        <v>6.7294999999999998</v>
      </c>
      <c r="N32">
        <v>25.011800000000001</v>
      </c>
      <c r="O32">
        <v>0</v>
      </c>
      <c r="P32">
        <v>259074.86</v>
      </c>
      <c r="Q32">
        <v>316975.96000000002</v>
      </c>
      <c r="R32">
        <v>76</v>
      </c>
      <c r="S32">
        <v>0.33</v>
      </c>
      <c r="T32">
        <v>0</v>
      </c>
    </row>
    <row r="33" spans="1:20" x14ac:dyDescent="0.25">
      <c r="A33" t="s">
        <v>205</v>
      </c>
      <c r="B33">
        <v>1</v>
      </c>
      <c r="C33" s="52">
        <v>46082</v>
      </c>
      <c r="D33" t="s">
        <v>201</v>
      </c>
      <c r="E33">
        <v>42</v>
      </c>
      <c r="F33" t="s">
        <v>29</v>
      </c>
      <c r="G33" t="s">
        <v>143</v>
      </c>
      <c r="H33">
        <v>1382</v>
      </c>
      <c r="I33" t="s">
        <v>144</v>
      </c>
      <c r="J33">
        <v>33671.682000000001</v>
      </c>
      <c r="K33">
        <v>41247.811000000002</v>
      </c>
      <c r="L33">
        <v>1</v>
      </c>
      <c r="M33">
        <v>4.8599999999999997E-2</v>
      </c>
      <c r="N33">
        <v>1.0486</v>
      </c>
      <c r="O33">
        <v>0</v>
      </c>
      <c r="P33">
        <v>35308.5</v>
      </c>
      <c r="Q33">
        <v>43252.91</v>
      </c>
      <c r="R33">
        <v>3</v>
      </c>
      <c r="S33">
        <v>0.35</v>
      </c>
      <c r="T33">
        <v>0</v>
      </c>
    </row>
    <row r="34" spans="1:20" x14ac:dyDescent="0.25">
      <c r="A34" t="s">
        <v>205</v>
      </c>
      <c r="B34">
        <v>1</v>
      </c>
      <c r="C34" s="52">
        <v>46082</v>
      </c>
      <c r="D34" t="s">
        <v>204</v>
      </c>
      <c r="E34">
        <v>43</v>
      </c>
      <c r="F34" t="s">
        <v>5</v>
      </c>
      <c r="G34" t="s">
        <v>143</v>
      </c>
      <c r="H34">
        <v>1382</v>
      </c>
      <c r="I34" t="s">
        <v>144</v>
      </c>
      <c r="J34">
        <v>29461.72</v>
      </c>
      <c r="K34">
        <v>36090.608</v>
      </c>
      <c r="L34">
        <v>0.29170000000000001</v>
      </c>
      <c r="M34">
        <v>0.75</v>
      </c>
      <c r="N34">
        <v>1.0417000000000001</v>
      </c>
      <c r="O34">
        <v>0</v>
      </c>
      <c r="P34">
        <v>30689.29</v>
      </c>
      <c r="Q34">
        <v>37594.379999999997</v>
      </c>
      <c r="R34">
        <v>3</v>
      </c>
      <c r="S34">
        <v>0.35</v>
      </c>
      <c r="T34">
        <v>0</v>
      </c>
    </row>
    <row r="35" spans="1:20" x14ac:dyDescent="0.25">
      <c r="A35" t="s">
        <v>205</v>
      </c>
      <c r="B35">
        <v>1</v>
      </c>
      <c r="C35" s="52">
        <v>46082</v>
      </c>
      <c r="D35" t="s">
        <v>178</v>
      </c>
      <c r="E35">
        <v>44</v>
      </c>
      <c r="F35" t="s">
        <v>72</v>
      </c>
      <c r="G35" t="s">
        <v>143</v>
      </c>
      <c r="H35">
        <v>1382</v>
      </c>
      <c r="I35" t="s">
        <v>144</v>
      </c>
      <c r="J35">
        <v>33037.103999999999</v>
      </c>
      <c r="K35">
        <v>40836.677000000003</v>
      </c>
      <c r="L35">
        <v>10.6167</v>
      </c>
      <c r="M35">
        <v>3.7837000000000001</v>
      </c>
      <c r="N35">
        <v>14.400399999999999</v>
      </c>
      <c r="O35">
        <v>0</v>
      </c>
      <c r="P35">
        <v>475747.4</v>
      </c>
      <c r="Q35">
        <v>588064.36</v>
      </c>
      <c r="R35">
        <v>88</v>
      </c>
      <c r="S35">
        <v>0.16</v>
      </c>
      <c r="T35">
        <v>0</v>
      </c>
    </row>
    <row r="36" spans="1:20" x14ac:dyDescent="0.25">
      <c r="A36" t="s">
        <v>205</v>
      </c>
      <c r="B36">
        <v>1</v>
      </c>
      <c r="C36" s="52">
        <v>46082</v>
      </c>
      <c r="D36" t="s">
        <v>200</v>
      </c>
      <c r="E36">
        <v>49</v>
      </c>
      <c r="F36" t="s">
        <v>15</v>
      </c>
      <c r="G36" t="s">
        <v>143</v>
      </c>
      <c r="H36">
        <v>1382</v>
      </c>
      <c r="I36" t="s">
        <v>144</v>
      </c>
      <c r="J36">
        <v>20651.596000000001</v>
      </c>
      <c r="K36">
        <v>25607.98</v>
      </c>
      <c r="L36">
        <v>1.5417000000000001</v>
      </c>
      <c r="M36">
        <v>2.1554000000000002</v>
      </c>
      <c r="N36">
        <v>3.6970000000000001</v>
      </c>
      <c r="O36">
        <v>0</v>
      </c>
      <c r="P36">
        <v>76349.440000000002</v>
      </c>
      <c r="Q36">
        <v>94673.31</v>
      </c>
      <c r="R36">
        <v>28</v>
      </c>
      <c r="S36">
        <v>0.13</v>
      </c>
      <c r="T36">
        <v>0</v>
      </c>
    </row>
    <row r="37" spans="1:20" x14ac:dyDescent="0.25">
      <c r="A37" t="s">
        <v>205</v>
      </c>
      <c r="B37">
        <v>1</v>
      </c>
      <c r="C37" s="52">
        <v>46082</v>
      </c>
      <c r="D37" t="s">
        <v>191</v>
      </c>
      <c r="E37">
        <v>52</v>
      </c>
      <c r="F37" t="s">
        <v>192</v>
      </c>
      <c r="G37" t="s">
        <v>143</v>
      </c>
      <c r="H37">
        <v>1382</v>
      </c>
      <c r="I37" t="s">
        <v>144</v>
      </c>
      <c r="J37">
        <v>25885.955000000002</v>
      </c>
      <c r="K37">
        <v>31322.006000000001</v>
      </c>
      <c r="L37">
        <v>6</v>
      </c>
      <c r="M37">
        <v>0</v>
      </c>
      <c r="N37">
        <v>6</v>
      </c>
      <c r="O37">
        <v>0</v>
      </c>
      <c r="P37">
        <v>155315.73000000001</v>
      </c>
      <c r="Q37">
        <v>187932.03</v>
      </c>
      <c r="R37">
        <v>3</v>
      </c>
      <c r="S37">
        <v>2</v>
      </c>
      <c r="T37">
        <v>0</v>
      </c>
    </row>
    <row r="38" spans="1:20" x14ac:dyDescent="0.25">
      <c r="A38" t="s">
        <v>205</v>
      </c>
      <c r="B38">
        <v>1</v>
      </c>
      <c r="C38" s="52">
        <v>46082</v>
      </c>
      <c r="D38" t="s">
        <v>193</v>
      </c>
      <c r="E38">
        <v>53</v>
      </c>
      <c r="F38" t="s">
        <v>9</v>
      </c>
      <c r="G38" t="s">
        <v>143</v>
      </c>
      <c r="H38">
        <v>1382</v>
      </c>
      <c r="I38" t="s">
        <v>144</v>
      </c>
      <c r="J38">
        <v>18869.559000000001</v>
      </c>
      <c r="K38">
        <v>22919.346000000001</v>
      </c>
      <c r="L38">
        <v>43.545499999999997</v>
      </c>
      <c r="M38">
        <v>0.63639999999999997</v>
      </c>
      <c r="N38">
        <v>44.181800000000003</v>
      </c>
      <c r="O38">
        <v>0</v>
      </c>
      <c r="P38">
        <v>833691.44</v>
      </c>
      <c r="Q38">
        <v>1012618.39</v>
      </c>
      <c r="R38">
        <v>13</v>
      </c>
      <c r="S38">
        <v>3.4</v>
      </c>
      <c r="T38">
        <v>0</v>
      </c>
    </row>
    <row r="39" spans="1:20" x14ac:dyDescent="0.25">
      <c r="A39" t="s">
        <v>205</v>
      </c>
      <c r="B39">
        <v>1</v>
      </c>
      <c r="C39" s="52">
        <v>46082</v>
      </c>
      <c r="D39" t="s">
        <v>179</v>
      </c>
      <c r="E39">
        <v>54</v>
      </c>
      <c r="F39" t="s">
        <v>24</v>
      </c>
      <c r="G39" t="s">
        <v>143</v>
      </c>
      <c r="H39">
        <v>1382</v>
      </c>
      <c r="I39" t="s">
        <v>144</v>
      </c>
      <c r="J39">
        <v>29242.68</v>
      </c>
      <c r="K39">
        <v>36034.220999999998</v>
      </c>
      <c r="L39">
        <v>8.5006000000000004</v>
      </c>
      <c r="M39">
        <v>5.0034000000000001</v>
      </c>
      <c r="N39">
        <v>13.504</v>
      </c>
      <c r="O39">
        <v>0</v>
      </c>
      <c r="P39">
        <v>394891.73</v>
      </c>
      <c r="Q39">
        <v>486604.38</v>
      </c>
      <c r="R39">
        <v>77</v>
      </c>
      <c r="S39">
        <v>0.18</v>
      </c>
      <c r="T39">
        <v>0</v>
      </c>
    </row>
    <row r="40" spans="1:20" x14ac:dyDescent="0.25">
      <c r="A40" t="s">
        <v>205</v>
      </c>
      <c r="B40">
        <v>1</v>
      </c>
      <c r="C40" s="52">
        <v>46082</v>
      </c>
      <c r="D40" t="s">
        <v>186</v>
      </c>
      <c r="E40">
        <v>56</v>
      </c>
      <c r="F40" t="s">
        <v>187</v>
      </c>
      <c r="G40" t="s">
        <v>143</v>
      </c>
      <c r="H40">
        <v>1382</v>
      </c>
      <c r="I40" t="s">
        <v>144</v>
      </c>
      <c r="J40">
        <v>24707.873</v>
      </c>
      <c r="K40">
        <v>30279.046999999999</v>
      </c>
      <c r="L40">
        <v>6.5091000000000001</v>
      </c>
      <c r="M40">
        <v>3.7951999999999999</v>
      </c>
      <c r="N40">
        <v>10.304399999999999</v>
      </c>
      <c r="O40">
        <v>0</v>
      </c>
      <c r="P40">
        <v>254599.35</v>
      </c>
      <c r="Q40">
        <v>312006.86</v>
      </c>
      <c r="R40">
        <v>31</v>
      </c>
      <c r="S40">
        <v>0.33</v>
      </c>
      <c r="T40">
        <v>0</v>
      </c>
    </row>
    <row r="41" spans="1:20" x14ac:dyDescent="0.25">
      <c r="A41" t="s">
        <v>205</v>
      </c>
      <c r="B41">
        <v>1</v>
      </c>
      <c r="C41" s="52">
        <v>46082</v>
      </c>
      <c r="D41" t="s">
        <v>202</v>
      </c>
      <c r="E41">
        <v>57</v>
      </c>
      <c r="F41" t="s">
        <v>27</v>
      </c>
      <c r="G41" t="s">
        <v>143</v>
      </c>
      <c r="H41">
        <v>1382</v>
      </c>
      <c r="I41" t="s">
        <v>144</v>
      </c>
      <c r="J41">
        <v>2186.33</v>
      </c>
      <c r="K41">
        <v>2678.2550000000001</v>
      </c>
      <c r="L41">
        <v>1.1818</v>
      </c>
      <c r="M41">
        <v>27.258199999999999</v>
      </c>
      <c r="N41">
        <v>28.44</v>
      </c>
      <c r="O41">
        <v>0</v>
      </c>
      <c r="P41">
        <v>62179.29</v>
      </c>
      <c r="Q41">
        <v>76169.63</v>
      </c>
      <c r="R41">
        <v>10</v>
      </c>
      <c r="S41">
        <v>2.84</v>
      </c>
      <c r="T41">
        <v>0</v>
      </c>
    </row>
    <row r="42" spans="1:20" x14ac:dyDescent="0.25">
      <c r="A42" t="s">
        <v>205</v>
      </c>
      <c r="B42">
        <v>1</v>
      </c>
      <c r="C42" s="52">
        <v>46082</v>
      </c>
      <c r="D42" t="s">
        <v>194</v>
      </c>
      <c r="E42">
        <v>58</v>
      </c>
      <c r="F42" t="s">
        <v>195</v>
      </c>
      <c r="G42" t="s">
        <v>143</v>
      </c>
      <c r="H42">
        <v>1382</v>
      </c>
      <c r="I42" t="s">
        <v>144</v>
      </c>
      <c r="J42">
        <v>103950.592</v>
      </c>
      <c r="K42">
        <v>128510.251</v>
      </c>
      <c r="L42">
        <v>4.9798999999999998</v>
      </c>
      <c r="M42">
        <v>0.56599999999999995</v>
      </c>
      <c r="N42">
        <v>5.5457999999999998</v>
      </c>
      <c r="O42">
        <v>0</v>
      </c>
      <c r="P42">
        <v>576492.66</v>
      </c>
      <c r="Q42">
        <v>712696.43</v>
      </c>
      <c r="R42">
        <v>26</v>
      </c>
      <c r="S42">
        <v>0.21</v>
      </c>
      <c r="T42">
        <v>0</v>
      </c>
    </row>
    <row r="43" spans="1:20" x14ac:dyDescent="0.25">
      <c r="A43" t="s">
        <v>205</v>
      </c>
      <c r="B43">
        <v>1</v>
      </c>
      <c r="C43" s="52">
        <v>46082</v>
      </c>
      <c r="D43" t="s">
        <v>196</v>
      </c>
      <c r="E43">
        <v>59</v>
      </c>
      <c r="F43" t="s">
        <v>197</v>
      </c>
      <c r="G43" t="s">
        <v>143</v>
      </c>
      <c r="H43">
        <v>1382</v>
      </c>
      <c r="I43" t="s">
        <v>144</v>
      </c>
      <c r="J43">
        <v>22557.902999999998</v>
      </c>
      <c r="K43">
        <v>27572.455999999998</v>
      </c>
      <c r="L43">
        <v>5.6822999999999997</v>
      </c>
      <c r="M43">
        <v>0.92710000000000004</v>
      </c>
      <c r="N43">
        <v>6.6093999999999999</v>
      </c>
      <c r="O43">
        <v>0</v>
      </c>
      <c r="P43">
        <v>149093.64000000001</v>
      </c>
      <c r="Q43">
        <v>182236.7</v>
      </c>
      <c r="R43">
        <v>25</v>
      </c>
      <c r="S43">
        <v>0.26</v>
      </c>
      <c r="T43">
        <v>0</v>
      </c>
    </row>
    <row r="44" spans="1:20" x14ac:dyDescent="0.25">
      <c r="A44" t="s">
        <v>205</v>
      </c>
      <c r="B44">
        <v>1</v>
      </c>
      <c r="C44" s="52">
        <v>46082</v>
      </c>
      <c r="D44" t="s">
        <v>180</v>
      </c>
      <c r="E44">
        <v>100</v>
      </c>
      <c r="F44" t="s">
        <v>70</v>
      </c>
      <c r="G44" t="s">
        <v>143</v>
      </c>
      <c r="H44">
        <v>1382</v>
      </c>
      <c r="I44" t="s">
        <v>144</v>
      </c>
      <c r="J44">
        <v>-52821.15</v>
      </c>
      <c r="K44">
        <v>-75368.879000000001</v>
      </c>
      <c r="L44">
        <v>1.3069999999999999</v>
      </c>
      <c r="M44">
        <v>1.3569</v>
      </c>
      <c r="N44">
        <v>2.6638999999999999</v>
      </c>
      <c r="O44">
        <v>0</v>
      </c>
      <c r="P44">
        <v>-140710.54999999999</v>
      </c>
      <c r="Q44">
        <v>-200775.56</v>
      </c>
      <c r="R44">
        <v>52</v>
      </c>
      <c r="S44">
        <v>0.05</v>
      </c>
      <c r="T44">
        <v>0</v>
      </c>
    </row>
    <row r="45" spans="1:20" x14ac:dyDescent="0.25">
      <c r="A45" t="s">
        <v>205</v>
      </c>
      <c r="B45">
        <v>1</v>
      </c>
      <c r="C45" s="52">
        <v>46082</v>
      </c>
      <c r="D45" t="s">
        <v>188</v>
      </c>
      <c r="E45">
        <v>123</v>
      </c>
      <c r="F45" t="s">
        <v>2</v>
      </c>
      <c r="G45" t="s">
        <v>143</v>
      </c>
      <c r="H45">
        <v>1382</v>
      </c>
      <c r="I45" t="s">
        <v>144</v>
      </c>
      <c r="J45">
        <v>52587.591999999997</v>
      </c>
      <c r="K45">
        <v>64949.010999999999</v>
      </c>
      <c r="L45">
        <v>26.324999999999999</v>
      </c>
      <c r="M45">
        <v>0.16669999999999999</v>
      </c>
      <c r="N45">
        <v>26.491700000000002</v>
      </c>
      <c r="O45">
        <v>0</v>
      </c>
      <c r="P45">
        <v>1393132.95</v>
      </c>
      <c r="Q45">
        <v>1720607.56</v>
      </c>
      <c r="R45">
        <v>13</v>
      </c>
      <c r="S45">
        <v>2.04</v>
      </c>
      <c r="T45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6</vt:i4>
      </vt:variant>
    </vt:vector>
  </HeadingPairs>
  <TitlesOfParts>
    <vt:vector size="6" baseType="lpstr">
      <vt:lpstr>COMISIONES</vt:lpstr>
      <vt:lpstr>AVANCE</vt:lpstr>
      <vt:lpstr>COBERTURA</vt:lpstr>
      <vt:lpstr>Venta C</vt:lpstr>
      <vt:lpstr>Base Cobertura</vt:lpstr>
      <vt:lpstr>Base venta 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Usuario</dc:creator>
  <cp:lastModifiedBy>Cesar Brixner</cp:lastModifiedBy>
  <dcterms:created xsi:type="dcterms:W3CDTF">2025-06-05T14:03:20Z</dcterms:created>
  <dcterms:modified xsi:type="dcterms:W3CDTF">2026-06-03T17:49:57Z</dcterms:modified>
</cp:coreProperties>
</file>