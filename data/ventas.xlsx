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DE81802B-425A-45B1-9121-0E0DB3801FF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<sst xmlns="http://schemas.openxmlformats.org/spreadsheetml/2006/main" count="902" uniqueCount="235">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</sst>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36360.698065472701</v>
      </c>
      <c r="D2" s="96">
        <v>189518.4324835093</v>
      </c>
      <c r="E2" s="96">
        <v>594107844.49346352</v>
      </c>
      <c r="F2" s="96">
        <v>0</v>
      </c>
      <c r="G2" s="96">
        <v>297915.18096689001</v>
      </c>
      <c r="H2" s="96">
        <v>297915.34000000003</v>
      </c>
    </row>
    <row r="3" spans="1:8" x14ac:dyDescent="0.25">
      <c r="A3" s="96" t="s">
        <v>81</v>
      </c>
      <c r="B3" s="96">
        <v>1</v>
      </c>
      <c r="C3" s="96">
        <v>442.75209694799997</v>
      </c>
      <c r="D3" s="96">
        <v>813.20675760330005</v>
      </c>
      <c r="E3" s="96">
        <v>9930506.0322296303</v>
      </c>
      <c r="F3" s="96">
        <v>0</v>
      </c>
      <c r="G3" s="96">
        <v>297915.18096689001</v>
      </c>
      <c r="H3" s="96">
        <v>297915.34000000003</v>
      </c>
    </row>
    <row r="4" spans="1:8" x14ac:dyDescent="0.25">
      <c r="A4" s="96" t="s">
        <v>82</v>
      </c>
      <c r="B4" s="96">
        <v>1</v>
      </c>
      <c r="C4" s="96">
        <v>268.42818253809997</v>
      </c>
      <c r="D4" s="96">
        <v>484.74910714139997</v>
      </c>
      <c r="E4" s="96">
        <v>7416441.7657084363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357.47226190290002</v>
      </c>
      <c r="D5" s="96">
        <v>1231.5221071393</v>
      </c>
      <c r="E5" s="96">
        <v>8097618.1083014421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806.83978174499998</v>
      </c>
      <c r="D6" s="96">
        <v>2090.7614881134</v>
      </c>
      <c r="E6" s="96">
        <v>15645728.431611888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699.55609920439997</v>
      </c>
      <c r="D7" s="96">
        <v>2280.2210119055999</v>
      </c>
      <c r="E7" s="96">
        <v>13226460.381280242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2271.2782407408999</v>
      </c>
      <c r="D8" s="96">
        <v>2665.9464768541998</v>
      </c>
      <c r="E8" s="96">
        <v>28457978.498885799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407.30359126960002</v>
      </c>
      <c r="D9" s="96">
        <v>1735.8554166650999</v>
      </c>
      <c r="E9" s="96">
        <v>7404424.1934615131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258.18834325389997</v>
      </c>
      <c r="D10" s="96">
        <v>1001.6023979274</v>
      </c>
      <c r="E10" s="96">
        <v>8509221.7116328403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290.60501190309998</v>
      </c>
      <c r="D11" s="96">
        <v>922.06959523789999</v>
      </c>
      <c r="E11" s="96">
        <v>5611548.663038048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642.36189682300005</v>
      </c>
      <c r="D12" s="96">
        <v>3208.0478690399</v>
      </c>
      <c r="E12" s="96">
        <v>10222287.133025508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524.17395237999995</v>
      </c>
      <c r="D13" s="96">
        <v>1740.8193690511</v>
      </c>
      <c r="E13" s="96">
        <v>11920566.462441558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3301.3271825398001</v>
      </c>
      <c r="D14" s="96">
        <v>32008.832499996799</v>
      </c>
      <c r="E14" s="96">
        <v>54947546.702784903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653.42529761749995</v>
      </c>
      <c r="D15" s="96">
        <v>2323.3916666609998</v>
      </c>
      <c r="E15" s="96">
        <v>11854719.440338746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351.44507936330001</v>
      </c>
      <c r="D16" s="96">
        <v>1753.0385119133</v>
      </c>
      <c r="E16" s="96">
        <v>9015875.5390208997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723.14480158490005</v>
      </c>
      <c r="D17" s="96">
        <v>1961.8446190520999</v>
      </c>
      <c r="E17" s="96">
        <v>14059558.299505398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902.89089285620003</v>
      </c>
      <c r="D18" s="96">
        <v>3941.1758690411002</v>
      </c>
      <c r="E18" s="96">
        <v>17439906.551381622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813.47657407259999</v>
      </c>
      <c r="D19" s="96">
        <v>2893.2247261999</v>
      </c>
      <c r="E19" s="96">
        <v>15820251.940252023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2976.6077182544</v>
      </c>
      <c r="D20" s="96">
        <v>13411.3243333307</v>
      </c>
      <c r="E20" s="96">
        <v>41338677.54260511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377.26049602939997</v>
      </c>
      <c r="D21" s="96">
        <v>1435.7342142929001</v>
      </c>
      <c r="E21" s="96">
        <v>8244716.2501042979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318.46501190359999</v>
      </c>
      <c r="D22" s="96">
        <v>1015.5265238078</v>
      </c>
      <c r="E22" s="96">
        <v>5567175.7313747797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963.42337301489999</v>
      </c>
      <c r="D23" s="96">
        <v>6410.1771547587996</v>
      </c>
      <c r="E23" s="96">
        <v>20358292.590482842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1862.3525793652</v>
      </c>
      <c r="D24" s="96">
        <v>15300.7601488083</v>
      </c>
      <c r="E24" s="96">
        <v>32533139.2798471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457.83190476089999</v>
      </c>
      <c r="D25" s="96">
        <v>1735.0420833439</v>
      </c>
      <c r="E25" s="96">
        <v>8331163.463863492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312.9566071415</v>
      </c>
      <c r="D26" s="96">
        <v>884.78791666810002</v>
      </c>
      <c r="E26" s="96">
        <v>5482149.478754703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3686.5</v>
      </c>
      <c r="D27" s="96">
        <v>15335.54</v>
      </c>
      <c r="E27" s="96">
        <v>38194190.065520003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233</v>
      </c>
      <c r="B28" s="96">
        <v>1</v>
      </c>
      <c r="C28" s="96">
        <v>666.16360780230002</v>
      </c>
      <c r="D28" s="96">
        <v>2898.6280878054999</v>
      </c>
      <c r="E28" s="96">
        <v>13022386.541284554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2331.5627380954002</v>
      </c>
      <c r="D29" s="96">
        <v>6328.3620833379</v>
      </c>
      <c r="E29" s="96">
        <v>30033987.082212482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228.48978174600001</v>
      </c>
      <c r="D30" s="96">
        <v>951.225833341</v>
      </c>
      <c r="E30" s="96">
        <v>4657516.3901073569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308.55198412530001</v>
      </c>
      <c r="D31" s="96">
        <v>696.84250000010002</v>
      </c>
      <c r="E31" s="96">
        <v>5212708.9840588067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167.07162698400001</v>
      </c>
      <c r="D32" s="96">
        <v>587.41874999870004</v>
      </c>
      <c r="E32" s="96">
        <v>3564392.4785372978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399.29178571360001</v>
      </c>
      <c r="D33" s="96">
        <v>1439.6110000041999</v>
      </c>
      <c r="E33" s="96">
        <v>7023786.2862272449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25.288194444399998</v>
      </c>
      <c r="D34" s="96">
        <v>354.02</v>
      </c>
      <c r="E34" s="96">
        <v>715253.15687714703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148</v>
      </c>
      <c r="D35" s="96">
        <v>292.8</v>
      </c>
      <c r="E35" s="96">
        <v>2013486.1534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660.91938491940004</v>
      </c>
      <c r="D36" s="96">
        <v>1829.4147023833</v>
      </c>
      <c r="E36" s="96">
        <v>11034688.327347409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644.06299603219998</v>
      </c>
      <c r="D37" s="96">
        <v>3989.6771547639</v>
      </c>
      <c r="E37" s="96">
        <v>12726652.901956733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465.39242424230002</v>
      </c>
      <c r="D38" s="96">
        <v>5421.5099999988997</v>
      </c>
      <c r="E38" s="96">
        <v>10126859.110729419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1099.0833333333001</v>
      </c>
      <c r="D39" s="96">
        <v>13338.5399999982</v>
      </c>
      <c r="E39" s="96">
        <v>23985001.331072558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234</v>
      </c>
      <c r="B40" s="96">
        <v>1</v>
      </c>
      <c r="C40" s="96">
        <v>806.41085978859996</v>
      </c>
      <c r="D40" s="96">
        <v>4559.2816415463003</v>
      </c>
      <c r="E40" s="96">
        <v>8128233.8339369334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1673.2005158728</v>
      </c>
      <c r="D41" s="96">
        <v>9762.1595238119007</v>
      </c>
      <c r="E41" s="96">
        <v>19638670.354043003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112.0611111111</v>
      </c>
      <c r="D42" s="96">
        <v>1639.5799999999001</v>
      </c>
      <c r="E42" s="96">
        <v>2767832.4172995184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227.30500992079999</v>
      </c>
      <c r="D43" s="96">
        <v>1095.8402098199001</v>
      </c>
      <c r="E43" s="96">
        <v>6840893.5633781236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1046.7694444448</v>
      </c>
      <c r="D44" s="96">
        <v>12465.4199404748</v>
      </c>
      <c r="E44" s="96">
        <v>14127537.863605659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359.1312896833</v>
      </c>
      <c r="D45" s="96">
        <v>3307.8991916711002</v>
      </c>
      <c r="E45" s="96">
        <v>7281079.6085403729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321.875</v>
      </c>
      <c r="D46" s="96">
        <v>-24.9999999996</v>
      </c>
      <c r="E46" s="96">
        <v>1576733.851396092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N3" sqref="N3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17439906.551381622</v>
      </c>
      <c r="E2" s="59">
        <v>16024694.976201845</v>
      </c>
      <c r="F2" s="59">
        <f t="shared" ref="F2:F9" si="0">+D2-E2</f>
        <v>1415211.5751797762</v>
      </c>
      <c r="G2" s="60">
        <f t="shared" ref="G2:G41" si="1">+D2/C2</f>
        <v>0.54028517441280544</v>
      </c>
      <c r="H2" s="59">
        <f>+D2/$N$3*$N$4</f>
        <v>46506417.470350988</v>
      </c>
      <c r="I2" s="60">
        <f t="shared" ref="I2:I41" si="2">+H2/C2</f>
        <v>1.4407604651008143</v>
      </c>
      <c r="J2" s="59">
        <f>+D2/$N$3</f>
        <v>1937767.3945979578</v>
      </c>
      <c r="K2" s="59">
        <f t="shared" ref="K2:K41" si="3">+(C2-D2)/$N$2</f>
        <v>989278.00579127541</v>
      </c>
      <c r="L2" s="61" cm="1">
        <f t="array" ref="L2">+_xlfn.IFS(I2&gt;114%,H2*0.02,I2&gt;109%,H2*0.015,I2&gt;104%,H2*0.0125,I2&gt;99%,H2*0.01,I2&lt;99%,H2*0)</f>
        <v>930128.34940701979</v>
      </c>
      <c r="M2" s="53" t="s">
        <v>36</v>
      </c>
      <c r="N2">
        <v>15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14059558.299505398</v>
      </c>
      <c r="E3" s="4">
        <v>12180676.72377059</v>
      </c>
      <c r="F3" s="4">
        <f t="shared" si="0"/>
        <v>1878881.5757348072</v>
      </c>
      <c r="G3" s="5">
        <f t="shared" si="1"/>
        <v>0.45378696860813894</v>
      </c>
      <c r="H3" s="4">
        <f t="shared" ref="H3:H41" si="4">+D3/$N$3*$N$4</f>
        <v>37492155.46534773</v>
      </c>
      <c r="I3" s="5">
        <f t="shared" si="2"/>
        <v>1.2100985829550372</v>
      </c>
      <c r="J3" s="4">
        <f t="shared" ref="J3:J41" si="5">+D3/$N$3</f>
        <v>1562173.1443894887</v>
      </c>
      <c r="K3" s="4">
        <f t="shared" si="3"/>
        <v>1128211.3252918571</v>
      </c>
      <c r="L3" s="63" cm="1">
        <f t="array" ref="L3">+_xlfn.IFS(I3&gt;114%,H3*0.02,I3&gt;109%,H3*0.015,I3&gt;104%,H3*0.0125,I3&gt;99%,H3*0.01,I3&lt;99%,H3*0)</f>
        <v>749843.10930695466</v>
      </c>
      <c r="M3" s="53" t="s">
        <v>40</v>
      </c>
      <c r="N3">
        <f>N4-N2</f>
        <v>9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11854719.440338746</v>
      </c>
      <c r="E4" s="4">
        <v>9837944.9718231615</v>
      </c>
      <c r="F4" s="4">
        <f t="shared" si="0"/>
        <v>2016774.4685155842</v>
      </c>
      <c r="G4" s="5">
        <f t="shared" si="1"/>
        <v>0.41756626936087565</v>
      </c>
      <c r="H4" s="4">
        <f t="shared" si="4"/>
        <v>31612585.174236655</v>
      </c>
      <c r="I4" s="5">
        <f t="shared" si="2"/>
        <v>1.1135100516290017</v>
      </c>
      <c r="J4" s="4">
        <f t="shared" si="5"/>
        <v>1317191.0489265274</v>
      </c>
      <c r="K4" s="4">
        <f t="shared" si="3"/>
        <v>1102354.1213206339</v>
      </c>
      <c r="L4" s="63" cm="1">
        <f t="array" ref="L4">+_xlfn.IFS(I4&gt;114%,H4*0.02,I4&gt;109%,H4*0.015,I4&gt;104%,H4*0.0125,I4&gt;99%,H4*0.01,I4&lt;99%,H4*0)</f>
        <v>474188.77761354978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11920566.462441558</v>
      </c>
      <c r="E5" s="4">
        <v>10185885.70934353</v>
      </c>
      <c r="F5" s="4">
        <f t="shared" si="0"/>
        <v>1734680.7530980278</v>
      </c>
      <c r="G5" s="5">
        <f t="shared" si="1"/>
        <v>0.41988564060423328</v>
      </c>
      <c r="H5" s="4">
        <f t="shared" si="4"/>
        <v>31788177.233177491</v>
      </c>
      <c r="I5" s="5">
        <f t="shared" si="2"/>
        <v>1.119695041611289</v>
      </c>
      <c r="J5" s="4">
        <f t="shared" si="5"/>
        <v>1324507.3847157287</v>
      </c>
      <c r="K5" s="4">
        <f t="shared" si="3"/>
        <v>1097964.319847113</v>
      </c>
      <c r="L5" s="63" cm="1">
        <f t="array" ref="L5">+_xlfn.IFS(I5&gt;114%,H5*0.02,I5&gt;109%,H5*0.015,I5&gt;104%,H5*0.0125,I5&gt;99%,H5*0.01,I5&lt;99%,H5*0)</f>
        <v>476822.65849766234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10222287.133025508</v>
      </c>
      <c r="E6" s="4">
        <v>8765227.9594276343</v>
      </c>
      <c r="F6" s="4">
        <f t="shared" si="0"/>
        <v>1457059.1735978741</v>
      </c>
      <c r="G6" s="5">
        <f t="shared" si="1"/>
        <v>0.43445989249117684</v>
      </c>
      <c r="H6" s="4">
        <f t="shared" si="4"/>
        <v>27259432.354734689</v>
      </c>
      <c r="I6" s="5">
        <f t="shared" si="2"/>
        <v>1.1585597133098049</v>
      </c>
      <c r="J6" s="4">
        <f t="shared" si="5"/>
        <v>1135809.6814472787</v>
      </c>
      <c r="K6" s="4">
        <f t="shared" si="3"/>
        <v>887095.82696630782</v>
      </c>
      <c r="L6" s="63" cm="1">
        <f t="array" ref="L6">+_xlfn.IFS(I6&gt;114%,H6*0.02,I6&gt;109%,H6*0.015,I6&gt;104%,H6*0.0125,I6&gt;99%,H6*0.01,I6&lt;99%,H6*0)</f>
        <v>545188.64709469373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7404424.1934615131</v>
      </c>
      <c r="E7" s="4">
        <v>5878949.2572204797</v>
      </c>
      <c r="F7" s="4">
        <f t="shared" ref="F7:F8" si="6">+D7-E7</f>
        <v>1525474.9362410335</v>
      </c>
      <c r="G7" s="5">
        <f t="shared" si="1"/>
        <v>0.26690441758568656</v>
      </c>
      <c r="H7" s="4">
        <f t="shared" si="4"/>
        <v>19745131.182564035</v>
      </c>
      <c r="I7" s="5">
        <f t="shared" si="2"/>
        <v>0.7117451135618309</v>
      </c>
      <c r="J7" s="4">
        <f t="shared" si="5"/>
        <v>822713.7992735015</v>
      </c>
      <c r="K7" s="4">
        <f t="shared" si="3"/>
        <v>1355828.8558001996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13226460.381280242</v>
      </c>
      <c r="E8" s="4">
        <v>11328941.073388485</v>
      </c>
      <c r="F8" s="4">
        <f t="shared" si="6"/>
        <v>1897519.3078917563</v>
      </c>
      <c r="G8" s="5">
        <f t="shared" si="1"/>
        <v>0.36913382319445087</v>
      </c>
      <c r="H8" s="4">
        <f t="shared" si="4"/>
        <v>35270561.016747311</v>
      </c>
      <c r="I8" s="5">
        <f t="shared" si="2"/>
        <v>0.98435686185186899</v>
      </c>
      <c r="J8" s="4">
        <f t="shared" si="5"/>
        <v>1469606.7090311379</v>
      </c>
      <c r="K8" s="4">
        <f t="shared" si="3"/>
        <v>1506974.0690424973</v>
      </c>
      <c r="L8" s="63" cm="1">
        <f t="array" ref="L8">+_xlfn.IFS(I8&gt;114%,H8*0.02,I8&gt;109%,H8*0.015,I8&gt;104%,H8*0.0125,I8&gt;99%,H8*0.01,I8&lt;99%,H8*0)</f>
        <v>0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15645728.431611888</v>
      </c>
      <c r="E9" s="4">
        <v>13014610.776669662</v>
      </c>
      <c r="F9" s="4">
        <f t="shared" si="0"/>
        <v>2631117.6549422257</v>
      </c>
      <c r="G9" s="5">
        <f t="shared" si="1"/>
        <v>0.43665254241392093</v>
      </c>
      <c r="H9" s="4">
        <f t="shared" si="4"/>
        <v>41721942.484298371</v>
      </c>
      <c r="I9" s="5">
        <f t="shared" si="2"/>
        <v>1.1644067797704558</v>
      </c>
      <c r="J9" s="4">
        <f t="shared" si="5"/>
        <v>1738414.2701790987</v>
      </c>
      <c r="K9" s="4">
        <f t="shared" si="3"/>
        <v>1345689.5323537211</v>
      </c>
      <c r="L9" s="63" cm="1">
        <f t="array" ref="L9">+_xlfn.IFS(I9&gt;114%,H9*0.02,I9&gt;109%,H9*0.015,I9&gt;104%,H9*0.0125,I9&gt;99%,H9*0.01,I9&lt;99%,H9*0)</f>
        <v>834438.84968596743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101773650.89304647</v>
      </c>
      <c r="E10" s="65">
        <v>87216931.447845384</v>
      </c>
      <c r="F10" s="64">
        <f>+SUM(F2:F9)</f>
        <v>14556719.445201084</v>
      </c>
      <c r="G10" s="66">
        <f t="shared" si="1"/>
        <v>0.41886540549172074</v>
      </c>
      <c r="H10" s="64">
        <f t="shared" si="4"/>
        <v>271396402.38145727</v>
      </c>
      <c r="I10" s="66">
        <f t="shared" si="2"/>
        <v>1.1169744146445888</v>
      </c>
      <c r="J10" s="64">
        <f t="shared" si="5"/>
        <v>11308183.43256072</v>
      </c>
      <c r="K10" s="67">
        <f t="shared" si="3"/>
        <v>9413396.0564136021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41338677.54260511</v>
      </c>
      <c r="E11" s="59">
        <v>37584435.958896145</v>
      </c>
      <c r="F11" s="59">
        <f t="shared" ref="F11:F16" si="7">+D11-E11</f>
        <v>3754241.5837089643</v>
      </c>
      <c r="G11" s="60">
        <f t="shared" si="1"/>
        <v>0.4262952141368222</v>
      </c>
      <c r="H11" s="59">
        <f t="shared" si="4"/>
        <v>110236473.44694695</v>
      </c>
      <c r="I11" s="60">
        <f t="shared" si="2"/>
        <v>1.1367872376981925</v>
      </c>
      <c r="J11" s="59">
        <f t="shared" si="5"/>
        <v>4593186.3936227895</v>
      </c>
      <c r="K11" s="59">
        <f t="shared" si="3"/>
        <v>3708884.7291688267</v>
      </c>
      <c r="L11" s="61" cm="1">
        <f t="array" ref="L11">+_xlfn.IFS(I11&gt;114%,H11*0.0125,I11&gt;109%,H11*0.01,I11&gt;104%,H11*0.0075,I11&gt;99%,H11*0.005,I11&lt;99%,H11*0)</f>
        <v>1102364.7344694694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12726652.901956733</v>
      </c>
      <c r="E12" s="4">
        <v>12982127.936856734</v>
      </c>
      <c r="F12" s="4">
        <f t="shared" si="7"/>
        <v>-255475.03490000032</v>
      </c>
      <c r="G12" s="5">
        <f t="shared" si="1"/>
        <v>0.40234871384857518</v>
      </c>
      <c r="H12" s="4">
        <f t="shared" si="4"/>
        <v>33937741.071884625</v>
      </c>
      <c r="I12" s="5">
        <f t="shared" si="2"/>
        <v>1.0729299035962006</v>
      </c>
      <c r="J12" s="4">
        <f t="shared" si="5"/>
        <v>1414072.5446618593</v>
      </c>
      <c r="K12" s="4">
        <f t="shared" si="3"/>
        <v>1260283.3004406847</v>
      </c>
      <c r="L12" s="63" cm="1">
        <f t="array" ref="L12">+_xlfn.IFS(I12&gt;114%,H12*0.02,I12&gt;109%,H12*0.015,I12&gt;104%,H12*0.0125,I12&gt;99%,H12*0.01,I12&lt;99%,H12*0)</f>
        <v>424221.76339855784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54947546.702784903</v>
      </c>
      <c r="E13" s="4">
        <v>32020542.941609319</v>
      </c>
      <c r="F13" s="4">
        <f t="shared" si="7"/>
        <v>22927003.761175584</v>
      </c>
      <c r="G13" s="5">
        <f t="shared" si="1"/>
        <v>0.4280606916887833</v>
      </c>
      <c r="H13" s="4">
        <f t="shared" si="4"/>
        <v>146526791.20742643</v>
      </c>
      <c r="I13" s="5">
        <f t="shared" si="2"/>
        <v>1.1414951778367557</v>
      </c>
      <c r="J13" s="4">
        <f t="shared" si="5"/>
        <v>6105282.9669761006</v>
      </c>
      <c r="K13" s="4">
        <f t="shared" si="3"/>
        <v>4894424.6247893395</v>
      </c>
      <c r="L13" s="63" cm="1">
        <f t="array" ref="L13">+_xlfn.IFS(I13&gt;114%,H13*0.0125,I13&gt;109%,H13*0.01,I13&gt;104%,H13*0.0075,I13&gt;99%,H13*0.005,I13&lt;99%,H13*0)</f>
        <v>1831584.8900928304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10126859.110729419</v>
      </c>
      <c r="E14" s="4">
        <v>10040043.519329419</v>
      </c>
      <c r="F14" s="4">
        <f t="shared" si="7"/>
        <v>86815.591399999335</v>
      </c>
      <c r="G14" s="5">
        <f t="shared" si="1"/>
        <v>0.23856499371710921</v>
      </c>
      <c r="H14" s="4">
        <f t="shared" si="4"/>
        <v>27004957.628611781</v>
      </c>
      <c r="I14" s="5">
        <f t="shared" si="2"/>
        <v>0.63617331657895781</v>
      </c>
      <c r="J14" s="4">
        <f t="shared" si="5"/>
        <v>1125206.5678588243</v>
      </c>
      <c r="K14" s="4">
        <f t="shared" si="3"/>
        <v>2154813.2189497054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23985001.331072558</v>
      </c>
      <c r="E15" s="4">
        <v>20528174.766575135</v>
      </c>
      <c r="F15" s="4">
        <f t="shared" si="7"/>
        <v>3456826.5644974224</v>
      </c>
      <c r="G15" s="5">
        <f t="shared" si="1"/>
        <v>0.56503024573431015</v>
      </c>
      <c r="H15" s="4">
        <f t="shared" si="4"/>
        <v>63960003.549526826</v>
      </c>
      <c r="I15" s="5">
        <f t="shared" si="2"/>
        <v>1.5067473219581604</v>
      </c>
      <c r="J15" s="4">
        <f t="shared" si="5"/>
        <v>2665000.1478969511</v>
      </c>
      <c r="K15" s="4">
        <f t="shared" si="3"/>
        <v>1230937.0709268295</v>
      </c>
      <c r="L15" s="63" cm="1">
        <f t="array" ref="L15">+_xlfn.IFS(I15&gt;109%,H15*0.015,I15&gt;104%,H15*0.0125,I15&gt;99%,H15*0.01,I15&lt;99%,H15*0)</f>
        <v>959400.05324290239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143124737.58914873</v>
      </c>
      <c r="E16" s="65">
        <v>113155325.12326676</v>
      </c>
      <c r="F16" s="64">
        <f t="shared" si="7"/>
        <v>29969412.465881974</v>
      </c>
      <c r="G16" s="66">
        <f t="shared" si="1"/>
        <v>0.41865878956365116</v>
      </c>
      <c r="H16" s="64">
        <f t="shared" si="4"/>
        <v>381665966.90439659</v>
      </c>
      <c r="I16" s="66">
        <f t="shared" si="2"/>
        <v>1.1164234388364029</v>
      </c>
      <c r="J16" s="64">
        <f t="shared" si="5"/>
        <v>15902748.621016525</v>
      </c>
      <c r="K16" s="67">
        <f t="shared" si="3"/>
        <v>13249342.944275385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7416441.7657084363</v>
      </c>
      <c r="E17" s="59">
        <v>6449843.5922434218</v>
      </c>
      <c r="F17" s="59">
        <f t="shared" ref="F17:F40" si="8">+D17-E17</f>
        <v>966598.17346501444</v>
      </c>
      <c r="G17" s="60">
        <f t="shared" si="1"/>
        <v>0.25279286870072071</v>
      </c>
      <c r="H17" s="59">
        <f t="shared" si="4"/>
        <v>19777178.041889161</v>
      </c>
      <c r="I17" s="60">
        <f t="shared" si="2"/>
        <v>0.67411431653525511</v>
      </c>
      <c r="J17" s="59">
        <f t="shared" si="5"/>
        <v>824049.08507871511</v>
      </c>
      <c r="K17" s="59">
        <f t="shared" si="3"/>
        <v>1461438.4244527712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8097618.1083014421</v>
      </c>
      <c r="E18" s="4">
        <v>6596329.3614597432</v>
      </c>
      <c r="F18" s="4">
        <f t="shared" si="8"/>
        <v>1501288.7468416989</v>
      </c>
      <c r="G18" s="5">
        <f t="shared" si="1"/>
        <v>0.32443022473058819</v>
      </c>
      <c r="H18" s="4">
        <f t="shared" si="4"/>
        <v>21593648.288803846</v>
      </c>
      <c r="I18" s="5">
        <f t="shared" si="2"/>
        <v>0.8651472659482351</v>
      </c>
      <c r="J18" s="4">
        <f t="shared" si="5"/>
        <v>899735.34536682686</v>
      </c>
      <c r="K18" s="4">
        <f t="shared" si="3"/>
        <v>1124125.8527799039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9015875.5390208997</v>
      </c>
      <c r="E19" s="4">
        <v>7830460.6488101464</v>
      </c>
      <c r="F19" s="4">
        <f t="shared" si="8"/>
        <v>1185414.8902107533</v>
      </c>
      <c r="G19" s="5">
        <f t="shared" si="1"/>
        <v>0.34868691347538122</v>
      </c>
      <c r="H19" s="4">
        <f t="shared" si="4"/>
        <v>24042334.7707224</v>
      </c>
      <c r="I19" s="5">
        <f t="shared" si="2"/>
        <v>0.92983176926768329</v>
      </c>
      <c r="J19" s="4">
        <f t="shared" si="5"/>
        <v>1001763.9487801</v>
      </c>
      <c r="K19" s="4">
        <f t="shared" si="3"/>
        <v>1122718.3084319399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15820251.940252023</v>
      </c>
      <c r="E20" s="4">
        <v>13898645.433865212</v>
      </c>
      <c r="F20" s="4">
        <f t="shared" si="8"/>
        <v>1921606.5063868109</v>
      </c>
      <c r="G20" s="5">
        <f t="shared" si="1"/>
        <v>0.47156881591468802</v>
      </c>
      <c r="H20" s="4">
        <f t="shared" si="4"/>
        <v>42187338.507338732</v>
      </c>
      <c r="I20" s="5">
        <f t="shared" si="2"/>
        <v>1.2575168424391683</v>
      </c>
      <c r="J20" s="4">
        <f t="shared" si="5"/>
        <v>1757805.7711391137</v>
      </c>
      <c r="K20" s="4">
        <f t="shared" si="3"/>
        <v>1181858.5373165319</v>
      </c>
      <c r="L20" s="63" cm="1">
        <f t="array" ref="L20">+_xlfn.IFS(I20&gt;114%,H20*0.02,I20&gt;109%,H20*0.015,I20&gt;104%,H20*0.0125,I20&gt;99%,H20*0.01,I20&lt;99%,H20*0)</f>
        <v>843746.77014677471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8244716.2501042979</v>
      </c>
      <c r="E21" s="4">
        <v>7188705.5862517217</v>
      </c>
      <c r="F21" s="4">
        <f t="shared" ref="F21:F23" si="9">+D21-E21</f>
        <v>1056010.6638525762</v>
      </c>
      <c r="G21" s="5">
        <f t="shared" si="1"/>
        <v>0.32384912746678018</v>
      </c>
      <c r="H21" s="4">
        <f t="shared" si="4"/>
        <v>21985910.000278126</v>
      </c>
      <c r="I21" s="5">
        <f t="shared" si="2"/>
        <v>0.86359767324474712</v>
      </c>
      <c r="J21" s="4">
        <f t="shared" si="5"/>
        <v>916079.58334492194</v>
      </c>
      <c r="K21" s="4">
        <f t="shared" si="3"/>
        <v>1147586.249993047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91"/>
      <c r="B22" s="19" t="s">
        <v>101</v>
      </c>
      <c r="C22" s="71">
        <v>31742890.200000003</v>
      </c>
      <c r="D22" s="4">
        <f>IFERROR(+VLOOKUP(B22,COMISIONES!A:E,5,FALSE),"0")*1</f>
        <v>0</v>
      </c>
      <c r="E22" s="4">
        <v>12482971.675436357</v>
      </c>
      <c r="F22" s="4">
        <f t="shared" si="9"/>
        <v>-12482971.675436357</v>
      </c>
      <c r="G22" s="5">
        <f t="shared" si="1"/>
        <v>0</v>
      </c>
      <c r="H22" s="4">
        <f t="shared" si="4"/>
        <v>0</v>
      </c>
      <c r="I22" s="5">
        <f t="shared" si="2"/>
        <v>0</v>
      </c>
      <c r="J22" s="4">
        <f t="shared" si="5"/>
        <v>0</v>
      </c>
      <c r="K22" s="4">
        <f t="shared" si="3"/>
        <v>2116192.6800000002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11034688.327347409</v>
      </c>
      <c r="E23" s="4">
        <v>7824662.7877200451</v>
      </c>
      <c r="F23" s="4">
        <f t="shared" si="9"/>
        <v>3210025.5396273639</v>
      </c>
      <c r="G23" s="5">
        <f t="shared" si="1"/>
        <v>0.40219820504245851</v>
      </c>
      <c r="H23" s="4">
        <f t="shared" si="4"/>
        <v>29425835.539593089</v>
      </c>
      <c r="I23" s="5">
        <f t="shared" si="2"/>
        <v>1.0725285467798893</v>
      </c>
      <c r="J23" s="4">
        <f t="shared" si="5"/>
        <v>1226076.4808163787</v>
      </c>
      <c r="K23" s="4">
        <f t="shared" si="3"/>
        <v>1093417.1935101731</v>
      </c>
      <c r="L23" s="63" cm="1">
        <f t="array" ref="L23">+_xlfn.IFS(I23&gt;114%,H23*0.02,I23&gt;109%,H23*0.015,I23&gt;104%,H23*0.0125,I23&gt;99%,H23*0.01,I23&lt;99%,H23*0)</f>
        <v>367822.94424491364</v>
      </c>
    </row>
    <row r="24" spans="1:13" ht="15.75" x14ac:dyDescent="0.25">
      <c r="A24" s="91"/>
      <c r="B24" s="19" t="s">
        <v>109</v>
      </c>
      <c r="C24" s="71">
        <v>33494055</v>
      </c>
      <c r="D24" s="4">
        <f>IFERROR(+VLOOKUP(B24,COMISIONES!A:E,5,FALSE),"0")*1</f>
        <v>0</v>
      </c>
      <c r="E24" s="4">
        <v>7599049.4142421484</v>
      </c>
      <c r="F24" s="4">
        <f t="shared" si="8"/>
        <v>-7599049.4142421484</v>
      </c>
      <c r="G24" s="5">
        <f t="shared" si="1"/>
        <v>0</v>
      </c>
      <c r="H24" s="4">
        <f t="shared" si="4"/>
        <v>0</v>
      </c>
      <c r="I24" s="5">
        <f t="shared" si="2"/>
        <v>0</v>
      </c>
      <c r="J24" s="4">
        <f t="shared" si="5"/>
        <v>0</v>
      </c>
      <c r="K24" s="4">
        <f t="shared" si="3"/>
        <v>2232937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19638670.354043003</v>
      </c>
      <c r="E25" s="4">
        <v>12160822.067982538</v>
      </c>
      <c r="F25" s="4">
        <f t="shared" si="8"/>
        <v>7477848.2860604655</v>
      </c>
      <c r="G25" s="5">
        <f t="shared" si="1"/>
        <v>0.36324216175829638</v>
      </c>
      <c r="H25" s="4">
        <f t="shared" si="4"/>
        <v>52369787.610781342</v>
      </c>
      <c r="I25" s="5">
        <f t="shared" si="2"/>
        <v>0.96864576468879038</v>
      </c>
      <c r="J25" s="4">
        <f t="shared" si="5"/>
        <v>2182074.4837825559</v>
      </c>
      <c r="K25" s="4">
        <f t="shared" si="3"/>
        <v>2295085.500730467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79268262.284777522</v>
      </c>
      <c r="E26" s="65">
        <v>82031490.568011329</v>
      </c>
      <c r="F26" s="67">
        <f>+D26-E26</f>
        <v>-2763228.2832338065</v>
      </c>
      <c r="G26" s="66">
        <f t="shared" si="1"/>
        <v>0.27726000080800778</v>
      </c>
      <c r="H26" s="64">
        <f t="shared" si="4"/>
        <v>211382032.75940672</v>
      </c>
      <c r="I26" s="66">
        <f t="shared" si="2"/>
        <v>0.73936000215468733</v>
      </c>
      <c r="J26" s="64">
        <f t="shared" si="5"/>
        <v>8807584.6983086132</v>
      </c>
      <c r="K26" s="67">
        <f t="shared" si="3"/>
        <v>13775359.747214833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30033987.082212482</v>
      </c>
      <c r="E27" s="59">
        <v>28353385.45531898</v>
      </c>
      <c r="F27" s="59">
        <f t="shared" si="8"/>
        <v>1680601.6268935017</v>
      </c>
      <c r="G27" s="60">
        <f t="shared" si="1"/>
        <v>0.36636776931058668</v>
      </c>
      <c r="H27" s="59">
        <f t="shared" si="4"/>
        <v>80090632.219233289</v>
      </c>
      <c r="I27" s="60">
        <f t="shared" si="2"/>
        <v>0.97698071816156451</v>
      </c>
      <c r="J27" s="59">
        <f t="shared" si="5"/>
        <v>3337109.6758013871</v>
      </c>
      <c r="K27" s="59">
        <f t="shared" si="3"/>
        <v>3462914.1945191682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5212708.9840588067</v>
      </c>
      <c r="E28" s="4">
        <v>4367804.0145924808</v>
      </c>
      <c r="F28" s="4">
        <f t="shared" si="8"/>
        <v>844904.96946632583</v>
      </c>
      <c r="G28" s="5">
        <f t="shared" si="1"/>
        <v>0.24822423733613366</v>
      </c>
      <c r="H28" s="4">
        <f t="shared" si="4"/>
        <v>13900557.290823486</v>
      </c>
      <c r="I28" s="5">
        <f t="shared" si="2"/>
        <v>0.6619312995630231</v>
      </c>
      <c r="J28" s="4">
        <f t="shared" si="5"/>
        <v>579189.88711764524</v>
      </c>
      <c r="K28" s="4">
        <f t="shared" si="3"/>
        <v>1052486.0677294128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8509221.7116328403</v>
      </c>
      <c r="E29" s="4">
        <v>7520013.6941604447</v>
      </c>
      <c r="F29" s="4">
        <f t="shared" si="8"/>
        <v>989208.01747239567</v>
      </c>
      <c r="G29" s="5">
        <f t="shared" si="1"/>
        <v>0.33058744708107868</v>
      </c>
      <c r="H29" s="4">
        <f t="shared" si="4"/>
        <v>22691257.897687573</v>
      </c>
      <c r="I29" s="5">
        <f t="shared" si="2"/>
        <v>0.88156652554954307</v>
      </c>
      <c r="J29" s="4">
        <f t="shared" si="5"/>
        <v>945469.07907031558</v>
      </c>
      <c r="K29" s="4">
        <f t="shared" si="3"/>
        <v>1148698.5525578107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7023786.2862272449</v>
      </c>
      <c r="E30" s="4">
        <v>6348650.0493735028</v>
      </c>
      <c r="F30" s="4">
        <f t="shared" si="8"/>
        <v>675136.23685374204</v>
      </c>
      <c r="G30" s="5">
        <f t="shared" si="1"/>
        <v>0.18370906298932413</v>
      </c>
      <c r="H30" s="4">
        <f t="shared" si="4"/>
        <v>18730096.763272654</v>
      </c>
      <c r="I30" s="5">
        <f t="shared" si="2"/>
        <v>0.48989083463819771</v>
      </c>
      <c r="J30" s="4">
        <f t="shared" si="5"/>
        <v>780420.69846969389</v>
      </c>
      <c r="K30" s="4">
        <f t="shared" si="3"/>
        <v>2080627.9217265618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8331163.463863492</v>
      </c>
      <c r="E31" s="4">
        <v>7212918.424210974</v>
      </c>
      <c r="F31" s="4">
        <f t="shared" si="8"/>
        <v>1118245.039652518</v>
      </c>
      <c r="G31" s="5">
        <f t="shared" si="1"/>
        <v>0.32780175146274348</v>
      </c>
      <c r="H31" s="4">
        <f t="shared" si="4"/>
        <v>22216435.903635979</v>
      </c>
      <c r="I31" s="5">
        <f t="shared" si="2"/>
        <v>0.87413800390064933</v>
      </c>
      <c r="J31" s="4">
        <f t="shared" si="5"/>
        <v>925684.82931816578</v>
      </c>
      <c r="K31" s="4">
        <f t="shared" si="3"/>
        <v>1138939.1024091006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5611548.663038048</v>
      </c>
      <c r="E32" s="4">
        <v>4813267.3862359719</v>
      </c>
      <c r="F32" s="4">
        <f t="shared" si="8"/>
        <v>798281.27680207603</v>
      </c>
      <c r="G32" s="5">
        <f t="shared" si="1"/>
        <v>0.22268050250150984</v>
      </c>
      <c r="H32" s="4">
        <f t="shared" si="4"/>
        <v>14964129.768101461</v>
      </c>
      <c r="I32" s="5">
        <f t="shared" si="2"/>
        <v>0.5938146733373596</v>
      </c>
      <c r="J32" s="4">
        <f t="shared" si="5"/>
        <v>623505.40700422751</v>
      </c>
      <c r="K32" s="4">
        <f t="shared" si="3"/>
        <v>1305896.7557974635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5482149.478754703</v>
      </c>
      <c r="E33" s="4">
        <v>5035112.3818729157</v>
      </c>
      <c r="F33" s="4">
        <f t="shared" si="8"/>
        <v>447037.09688178729</v>
      </c>
      <c r="G33" s="5">
        <f t="shared" si="1"/>
        <v>0.20689893963428357</v>
      </c>
      <c r="H33" s="4">
        <f t="shared" si="4"/>
        <v>14619065.276679207</v>
      </c>
      <c r="I33" s="5">
        <f t="shared" si="2"/>
        <v>0.55173050569142279</v>
      </c>
      <c r="J33" s="4">
        <f t="shared" si="5"/>
        <v>609127.71986163361</v>
      </c>
      <c r="K33" s="4">
        <f t="shared" si="3"/>
        <v>1400973.3680830197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4657516.3901073569</v>
      </c>
      <c r="E34" s="4">
        <v>3805787.6012926684</v>
      </c>
      <c r="F34" s="4">
        <f t="shared" si="8"/>
        <v>851728.78881468857</v>
      </c>
      <c r="G34" s="5">
        <f t="shared" si="1"/>
        <v>0.22178649476701701</v>
      </c>
      <c r="H34" s="4">
        <f t="shared" si="4"/>
        <v>12420043.706952952</v>
      </c>
      <c r="I34" s="5">
        <f t="shared" si="2"/>
        <v>0.59143065271204531</v>
      </c>
      <c r="J34" s="4">
        <f t="shared" si="5"/>
        <v>517501.82112303964</v>
      </c>
      <c r="K34" s="4">
        <f t="shared" si="3"/>
        <v>1089498.9073261763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3564392.4785372978</v>
      </c>
      <c r="E35" s="4">
        <v>3442297.9978710278</v>
      </c>
      <c r="F35" s="4">
        <f t="shared" si="8"/>
        <v>122094.48066627001</v>
      </c>
      <c r="G35" s="5">
        <f t="shared" si="1"/>
        <v>0.14455201428073816</v>
      </c>
      <c r="H35" s="4">
        <f t="shared" si="4"/>
        <v>9505046.6094327942</v>
      </c>
      <c r="I35" s="5">
        <f t="shared" si="2"/>
        <v>0.38547203808196845</v>
      </c>
      <c r="J35" s="4">
        <f t="shared" si="5"/>
        <v>396043.60872636642</v>
      </c>
      <c r="K35" s="4">
        <f t="shared" si="3"/>
        <v>1406253.83476418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5567175.7313747797</v>
      </c>
      <c r="E36" s="4">
        <v>4684076.524209898</v>
      </c>
      <c r="F36" s="4">
        <f t="shared" si="8"/>
        <v>883099.20716488175</v>
      </c>
      <c r="G36" s="5">
        <f t="shared" si="1"/>
        <v>0.2206132645680515</v>
      </c>
      <c r="H36" s="4">
        <f t="shared" si="4"/>
        <v>14845801.950332746</v>
      </c>
      <c r="I36" s="5">
        <f t="shared" si="2"/>
        <v>0.58830203884813737</v>
      </c>
      <c r="J36" s="4">
        <f t="shared" si="5"/>
        <v>618575.08126386441</v>
      </c>
      <c r="K36" s="4">
        <f t="shared" si="3"/>
        <v>1311188.2845750148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28457978.498885799</v>
      </c>
      <c r="E37" s="4">
        <v>28341762.515582383</v>
      </c>
      <c r="F37" s="4">
        <f t="shared" si="8"/>
        <v>116215.98330341652</v>
      </c>
      <c r="G37" s="5">
        <f t="shared" si="1"/>
        <v>0.23323965518801099</v>
      </c>
      <c r="H37" s="4">
        <f t="shared" si="4"/>
        <v>75887942.663695469</v>
      </c>
      <c r="I37" s="5">
        <f t="shared" si="2"/>
        <v>0.62197241383469604</v>
      </c>
      <c r="J37" s="4">
        <f t="shared" si="5"/>
        <v>3161997.6109873112</v>
      </c>
      <c r="K37" s="4">
        <f t="shared" si="3"/>
        <v>6236918.1000742801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2767832.4172995184</v>
      </c>
      <c r="E38" s="4">
        <v>2478634.4092995184</v>
      </c>
      <c r="F38" s="4">
        <f t="shared" ref="F38" si="10">+D38-E38</f>
        <v>289198.00799999991</v>
      </c>
      <c r="G38" s="5">
        <f t="shared" si="1"/>
        <v>7.7530319812311441E-2</v>
      </c>
      <c r="H38" s="4">
        <f t="shared" si="4"/>
        <v>7380886.446132049</v>
      </c>
      <c r="I38" s="5">
        <f t="shared" si="2"/>
        <v>0.20674751949949716</v>
      </c>
      <c r="J38" s="4">
        <f t="shared" si="5"/>
        <v>307536.93525550206</v>
      </c>
      <c r="K38" s="4">
        <f t="shared" si="3"/>
        <v>2195477.8388466989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9930506.0322296303</v>
      </c>
      <c r="E39" s="4">
        <v>8818400.8023845814</v>
      </c>
      <c r="F39" s="4">
        <f t="shared" si="8"/>
        <v>1112105.2298450489</v>
      </c>
      <c r="G39" s="5">
        <f t="shared" si="1"/>
        <v>0.27310550354375979</v>
      </c>
      <c r="H39" s="4">
        <f t="shared" si="4"/>
        <v>26481349.419279017</v>
      </c>
      <c r="I39" s="5">
        <f t="shared" si="2"/>
        <v>0.72828134278335954</v>
      </c>
      <c r="J39" s="4">
        <f t="shared" si="5"/>
        <v>1103389.5591366256</v>
      </c>
      <c r="K39" s="4">
        <f t="shared" si="3"/>
        <v>1762061.4471180246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125149967.21822201</v>
      </c>
      <c r="E40" s="65">
        <v>115222111.25640535</v>
      </c>
      <c r="F40" s="67">
        <f t="shared" si="8"/>
        <v>9927855.9618166536</v>
      </c>
      <c r="G40" s="66">
        <f t="shared" si="1"/>
        <v>0.24586019938834067</v>
      </c>
      <c r="H40" s="64">
        <f t="shared" si="4"/>
        <v>333733245.91525865</v>
      </c>
      <c r="I40" s="66">
        <f t="shared" si="2"/>
        <v>0.65562719836890837</v>
      </c>
      <c r="J40" s="64">
        <f t="shared" si="5"/>
        <v>13905551.913135778</v>
      </c>
      <c r="K40" s="67">
        <f t="shared" si="3"/>
        <v>25591934.375526913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449316617.9851948</v>
      </c>
      <c r="E41" s="82">
        <v>397625858.39552885</v>
      </c>
      <c r="F41" s="81">
        <f>+D41-E41</f>
        <v>51690759.589665949</v>
      </c>
      <c r="G41" s="83">
        <f t="shared" si="1"/>
        <v>0.32564669983033401</v>
      </c>
      <c r="H41" s="81">
        <f t="shared" si="4"/>
        <v>1198177647.9605193</v>
      </c>
      <c r="I41" s="83">
        <f t="shared" si="2"/>
        <v>0.86839119954755728</v>
      </c>
      <c r="J41" s="81">
        <f t="shared" si="5"/>
        <v>49924068.665021643</v>
      </c>
      <c r="K41" s="81">
        <f t="shared" si="3"/>
        <v>62030035.273862749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6840893.5633781236</v>
      </c>
      <c r="E43" s="4">
        <v>8104352.0621971888</v>
      </c>
      <c r="F43" s="4">
        <f t="shared" ref="F43" si="11">+D43-E43</f>
        <v>-1263458.4988190653</v>
      </c>
      <c r="G43" s="5">
        <f>+D43/C43</f>
        <v>0.17102233908445308</v>
      </c>
      <c r="H43" s="4">
        <f t="shared" ref="H43" si="12">+D43/$N$3*$N$4</f>
        <v>18242382.835674997</v>
      </c>
      <c r="I43" s="5">
        <f>+H43/C43</f>
        <v>0.45605957089187493</v>
      </c>
      <c r="J43" s="4">
        <f t="shared" ref="J43" si="13">+D43/$N$3</f>
        <v>760099.28481979156</v>
      </c>
      <c r="K43" s="4">
        <f>+(C43-D43)/$N$2</f>
        <v>2210607.0957747917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14127537.863605659</v>
      </c>
      <c r="E44" s="4">
        <v>14041795.823822808</v>
      </c>
      <c r="F44" s="4">
        <f t="shared" ref="F44" si="14">+D44-E44</f>
        <v>85742.039782851934</v>
      </c>
      <c r="G44" s="5">
        <f>+D44/C44</f>
        <v>0.47091792878685529</v>
      </c>
      <c r="H44" s="4">
        <f t="shared" ref="H44" si="15">+D44/$N$3*$N$4</f>
        <v>37673434.302948423</v>
      </c>
      <c r="I44" s="5">
        <f>+H44/C44</f>
        <v>1.2557811434316142</v>
      </c>
      <c r="J44" s="4">
        <f t="shared" ref="J44" si="16">+D44/$N$3</f>
        <v>1569726.4292895177</v>
      </c>
      <c r="K44" s="4">
        <f>+(C44-D44)/$N$2</f>
        <v>1058164.1424262894</v>
      </c>
      <c r="L44" s="4" cm="1">
        <f t="array" ref="L44">+_xlfn.IFS(I44&gt;114%,H44*0.02,I44&gt;109%,H44*0.015,I44&gt;104%,H44*0.0125,I44&gt;99%,H44*0.01,I44&lt;99%,H44*0)</f>
        <v>753468.68605896842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A40" sqref="A40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0.61643835616438358</v>
      </c>
      <c r="E2" s="13">
        <v>33</v>
      </c>
      <c r="F2" s="12">
        <f>+H2-E2</f>
        <v>12</v>
      </c>
      <c r="G2" s="13">
        <f>VLOOKUP(B2,'Base Cobertura'!$A:$C,3,FALSE)</f>
        <v>73</v>
      </c>
      <c r="H2" s="13">
        <f>VLOOKUP(B2,'Base Cobertura'!$A:$C,2,FALSE)</f>
        <v>45</v>
      </c>
      <c r="I2" s="17">
        <f>(+G2*$M$2)-H2</f>
        <v>17.049999999999997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0.35146443514644349</v>
      </c>
      <c r="E3" s="13">
        <v>1</v>
      </c>
      <c r="F3" s="12">
        <f t="shared" ref="F3:F38" si="1">+H3-E3</f>
        <v>83</v>
      </c>
      <c r="G3" s="13">
        <f>VLOOKUP(B3,'Base Cobertura'!$A:$C,3,FALSE)</f>
        <v>239</v>
      </c>
      <c r="H3" s="13">
        <f>VLOOKUP(B3,'Base Cobertura'!$A:$C,2,FALSE)</f>
        <v>84</v>
      </c>
      <c r="I3" s="17">
        <f t="shared" ref="I3:I38" si="2">(+G3*$M$2)-H3</f>
        <v>119.15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39</v>
      </c>
      <c r="T3" s="12">
        <v>214</v>
      </c>
      <c r="U3" s="41">
        <f>+S3/T3</f>
        <v>0.1822429906542056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0.69162995594713661</v>
      </c>
      <c r="E4" s="13">
        <v>126</v>
      </c>
      <c r="F4" s="12">
        <f t="shared" si="1"/>
        <v>31</v>
      </c>
      <c r="G4" s="13">
        <f>VLOOKUP(B4,'Base Cobertura'!$A:$C,3,FALSE)</f>
        <v>227</v>
      </c>
      <c r="H4" s="13">
        <f>VLOOKUP(B4,'Base Cobertura'!$A:$C,2,FALSE)</f>
        <v>157</v>
      </c>
      <c r="I4" s="17">
        <f t="shared" si="2"/>
        <v>35.949999999999989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22</v>
      </c>
      <c r="T4" s="13">
        <v>214</v>
      </c>
      <c r="U4" s="5">
        <f t="shared" ref="U4:U11" si="3">+S4/T4</f>
        <v>0.10280373831775701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0.58461538461538465</v>
      </c>
      <c r="E5" s="13">
        <v>21</v>
      </c>
      <c r="F5" s="12">
        <f t="shared" si="1"/>
        <v>17</v>
      </c>
      <c r="G5" s="13">
        <f>VLOOKUP(B5,'Base Cobertura'!$A:$C,3,FALSE)</f>
        <v>65</v>
      </c>
      <c r="H5" s="13">
        <f>VLOOKUP(B5,'Base Cobertura'!$A:$C,2,FALSE)</f>
        <v>38</v>
      </c>
      <c r="I5" s="17">
        <f t="shared" si="2"/>
        <v>17.25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50</v>
      </c>
      <c r="T5" s="13">
        <v>214</v>
      </c>
      <c r="U5" s="5">
        <f t="shared" si="3"/>
        <v>0.23364485981308411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0.68599033816425126</v>
      </c>
      <c r="E6" s="13">
        <v>100</v>
      </c>
      <c r="F6" s="12">
        <f t="shared" si="1"/>
        <v>42</v>
      </c>
      <c r="G6" s="13">
        <f>VLOOKUP(B6,'Base Cobertura'!$A:$C,3,FALSE)</f>
        <v>207</v>
      </c>
      <c r="H6" s="13">
        <f>VLOOKUP(B6,'Base Cobertura'!$A:$C,2,FALSE)</f>
        <v>142</v>
      </c>
      <c r="I6" s="17">
        <f t="shared" si="2"/>
        <v>33.949999999999989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24</v>
      </c>
      <c r="T6" s="13">
        <v>214</v>
      </c>
      <c r="U6" s="5">
        <f t="shared" si="3"/>
        <v>0.11214953271028037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0.48989898989898989</v>
      </c>
      <c r="E7" s="13">
        <v>81</v>
      </c>
      <c r="F7" s="12">
        <f t="shared" si="1"/>
        <v>16</v>
      </c>
      <c r="G7" s="13">
        <f>VLOOKUP(B7,'Base Cobertura'!$A:$C,3,FALSE)</f>
        <v>198</v>
      </c>
      <c r="H7" s="13">
        <f>VLOOKUP(B7,'Base Cobertura'!$A:$C,2,FALSE)</f>
        <v>97</v>
      </c>
      <c r="I7" s="17">
        <f t="shared" si="2"/>
        <v>71.299999999999983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59</v>
      </c>
      <c r="T7" s="13">
        <v>214</v>
      </c>
      <c r="U7" s="5">
        <f t="shared" si="3"/>
        <v>0.27570093457943923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0.64485981308411211</v>
      </c>
      <c r="E8" s="13">
        <v>89</v>
      </c>
      <c r="F8" s="12">
        <f t="shared" si="1"/>
        <v>49</v>
      </c>
      <c r="G8" s="13">
        <f>VLOOKUP(B8,'Base Cobertura'!$A:$C,3,FALSE)</f>
        <v>214</v>
      </c>
      <c r="H8" s="13">
        <f>VLOOKUP(B8,'Base Cobertura'!$A:$C,2,FALSE)</f>
        <v>138</v>
      </c>
      <c r="I8" s="17">
        <f t="shared" si="2"/>
        <v>43.900000000000006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51</v>
      </c>
      <c r="T8" s="13">
        <v>214</v>
      </c>
      <c r="U8" s="5">
        <f t="shared" si="3"/>
        <v>0.23831775700934579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0.61728395061728392</v>
      </c>
      <c r="E9" s="13">
        <v>92</v>
      </c>
      <c r="F9" s="12">
        <f t="shared" si="1"/>
        <v>8</v>
      </c>
      <c r="G9" s="13">
        <f>VLOOKUP(B9,'Base Cobertura'!$A:$C,3,FALSE)</f>
        <v>162</v>
      </c>
      <c r="H9" s="13">
        <f>VLOOKUP(B9,'Base Cobertura'!$A:$C,2,FALSE)</f>
        <v>100</v>
      </c>
      <c r="I9" s="17">
        <f t="shared" si="2"/>
        <v>37.699999999999989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12</v>
      </c>
      <c r="T9" s="13">
        <v>214</v>
      </c>
      <c r="U9" s="5">
        <f t="shared" si="3"/>
        <v>5.6074766355140186E-2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0.49230769230769234</v>
      </c>
      <c r="E10" s="13">
        <v>64</v>
      </c>
      <c r="F10" s="12">
        <f t="shared" si="1"/>
        <v>32</v>
      </c>
      <c r="G10" s="13">
        <f>VLOOKUP(B10,'Base Cobertura'!$A:$C,3,FALSE)</f>
        <v>195</v>
      </c>
      <c r="H10" s="13">
        <f>VLOOKUP(B10,'Base Cobertura'!$A:$C,2,FALSE)</f>
        <v>96</v>
      </c>
      <c r="I10" s="17">
        <f t="shared" si="2"/>
        <v>69.75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14</v>
      </c>
      <c r="T10" s="13">
        <v>214</v>
      </c>
      <c r="U10" s="5">
        <f t="shared" si="3"/>
        <v>6.5420560747663545E-2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0.27722772277227725</v>
      </c>
      <c r="E11" s="31">
        <v>19</v>
      </c>
      <c r="F11" s="33">
        <f t="shared" si="1"/>
        <v>9</v>
      </c>
      <c r="G11" s="13">
        <f>VLOOKUP(B11,'Base Cobertura'!$A:$C,3,FALSE)</f>
        <v>101</v>
      </c>
      <c r="H11" s="13">
        <f>VLOOKUP(B11,'Base Cobertura'!$A:$C,2,FALSE)</f>
        <v>28</v>
      </c>
      <c r="I11" s="34">
        <f t="shared" si="2"/>
        <v>57.849999999999994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23</v>
      </c>
      <c r="T11" s="13">
        <v>214</v>
      </c>
      <c r="U11" s="5">
        <f t="shared" si="3"/>
        <v>0.10747663551401869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0.32380952380952382</v>
      </c>
      <c r="E12" s="31">
        <v>24</v>
      </c>
      <c r="F12" s="33">
        <f t="shared" si="1"/>
        <v>10</v>
      </c>
      <c r="G12" s="13">
        <f>VLOOKUP(B12,'Base Cobertura'!$A:$C,3,FALSE)</f>
        <v>105</v>
      </c>
      <c r="H12" s="13">
        <f>VLOOKUP(B12,'Base Cobertura'!$A:$C,2,FALSE)</f>
        <v>34</v>
      </c>
      <c r="I12" s="34">
        <f t="shared" si="2"/>
        <v>55.25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0.62692307692307692</v>
      </c>
      <c r="E13" s="13">
        <v>144</v>
      </c>
      <c r="F13" s="12">
        <f t="shared" si="1"/>
        <v>19</v>
      </c>
      <c r="G13" s="13">
        <f>VLOOKUP(B13,'Base Cobertura'!$A:$C,3,FALSE)</f>
        <v>260</v>
      </c>
      <c r="H13" s="13">
        <f>VLOOKUP(B13,'Base Cobertura'!$A:$C,2,FALSE)</f>
        <v>163</v>
      </c>
      <c r="I13" s="17">
        <f t="shared" si="2"/>
        <v>58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0.52197802197802201</v>
      </c>
      <c r="E14" s="13">
        <v>85</v>
      </c>
      <c r="F14" s="12">
        <f t="shared" si="1"/>
        <v>10</v>
      </c>
      <c r="G14" s="13">
        <f>VLOOKUP(B14,'Base Cobertura'!$A:$C,3,FALSE)</f>
        <v>182</v>
      </c>
      <c r="H14" s="13">
        <f>VLOOKUP(B14,'Base Cobertura'!$A:$C,2,FALSE)</f>
        <v>95</v>
      </c>
      <c r="I14" s="17">
        <f t="shared" si="2"/>
        <v>59.699999999999989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338</v>
      </c>
      <c r="G15" s="8">
        <f>+SUM(G2:G14)</f>
        <v>2228</v>
      </c>
      <c r="H15" s="8">
        <f>+SUM(H2:H14)</f>
        <v>1217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BARTSCHAT EMILIANO NAHUEL</v>
      </c>
      <c r="D16" s="22">
        <f t="shared" si="0"/>
        <v>0.70625000000000004</v>
      </c>
      <c r="E16" s="13">
        <v>90</v>
      </c>
      <c r="F16" s="12">
        <f t="shared" si="1"/>
        <v>23</v>
      </c>
      <c r="G16" s="13">
        <f>VLOOKUP(B16,'Base Cobertura'!$A:$C,3,FALSE)</f>
        <v>160</v>
      </c>
      <c r="H16" s="13">
        <f>VLOOKUP(B16,'Base Cobertura'!$A:$C,2,FALSE)</f>
        <v>113</v>
      </c>
      <c r="I16" s="17">
        <f t="shared" si="2"/>
        <v>23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CAÑETE DIEGO</v>
      </c>
      <c r="D17" s="22">
        <f t="shared" si="0"/>
        <v>0.37128712871287128</v>
      </c>
      <c r="E17" s="13">
        <v>92</v>
      </c>
      <c r="F17" s="12">
        <f t="shared" si="1"/>
        <v>-17</v>
      </c>
      <c r="G17" s="13">
        <f>VLOOKUP(B17,'Base Cobertura'!$A:$C,3,FALSE)</f>
        <v>202</v>
      </c>
      <c r="H17" s="13">
        <f>VLOOKUP(B17,'Base Cobertura'!$A:$C,2,FALSE)</f>
        <v>75</v>
      </c>
      <c r="I17" s="17">
        <f t="shared" si="2"/>
        <v>96.699999999999989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0.71764705882352942</v>
      </c>
      <c r="E18" s="13">
        <v>88</v>
      </c>
      <c r="F18" s="12">
        <f t="shared" si="1"/>
        <v>34</v>
      </c>
      <c r="G18" s="13">
        <f>VLOOKUP(B18,'Base Cobertura'!$A:$C,3,FALSE)</f>
        <v>170</v>
      </c>
      <c r="H18" s="13">
        <f>VLOOKUP(B18,'Base Cobertura'!$A:$C,2,FALSE)</f>
        <v>122</v>
      </c>
      <c r="I18" s="17">
        <f t="shared" si="2"/>
        <v>22.5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0.69480519480519476</v>
      </c>
      <c r="E19" s="13">
        <v>95</v>
      </c>
      <c r="F19" s="12">
        <f t="shared" si="1"/>
        <v>12</v>
      </c>
      <c r="G19" s="13">
        <f>VLOOKUP(B19,'Base Cobertura'!$A:$C,3,FALSE)</f>
        <v>154</v>
      </c>
      <c r="H19" s="13">
        <f>VLOOKUP(B19,'Base Cobertura'!$A:$C,2,FALSE)</f>
        <v>107</v>
      </c>
      <c r="I19" s="17">
        <f t="shared" si="2"/>
        <v>23.900000000000006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0.68926553672316382</v>
      </c>
      <c r="E20" s="13">
        <v>83</v>
      </c>
      <c r="F20" s="12">
        <f t="shared" si="1"/>
        <v>39</v>
      </c>
      <c r="G20" s="13">
        <f>VLOOKUP(B20,'Base Cobertura'!$A:$C,3,FALSE)</f>
        <v>177</v>
      </c>
      <c r="H20" s="13">
        <f>VLOOKUP(B20,'Base Cobertura'!$A:$C,2,FALSE)</f>
        <v>122</v>
      </c>
      <c r="I20" s="17">
        <f t="shared" si="2"/>
        <v>28.449999999999989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0.65088757396449703</v>
      </c>
      <c r="E21" s="13">
        <v>64</v>
      </c>
      <c r="F21" s="12">
        <f t="shared" si="1"/>
        <v>46</v>
      </c>
      <c r="G21" s="13">
        <f>VLOOKUP(B21,'Base Cobertura'!$A:$C,3,FALSE)</f>
        <v>169</v>
      </c>
      <c r="H21" s="13">
        <f>VLOOKUP(B21,'Base Cobertura'!$A:$C,2,FALSE)</f>
        <v>110</v>
      </c>
      <c r="I21" s="17">
        <f t="shared" si="2"/>
        <v>33.650000000000006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0.30303030303030304</v>
      </c>
      <c r="E22" s="13">
        <v>66</v>
      </c>
      <c r="F22" s="12">
        <f t="shared" si="1"/>
        <v>-6</v>
      </c>
      <c r="G22" s="13">
        <f>VLOOKUP(B22,'Base Cobertura'!$A:$C,3,FALSE)</f>
        <v>198</v>
      </c>
      <c r="H22" s="13">
        <f>VLOOKUP(B22,'Base Cobertura'!$A:$C,2,FALSE)</f>
        <v>60</v>
      </c>
      <c r="I22" s="17">
        <f t="shared" si="2"/>
        <v>108.29999999999998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0.57971014492753625</v>
      </c>
      <c r="E23" s="13">
        <v>70</v>
      </c>
      <c r="F23" s="12">
        <f t="shared" si="1"/>
        <v>10</v>
      </c>
      <c r="G23" s="13">
        <f>VLOOKUP(B23,'Base Cobertura'!$A:$C,3,FALSE)</f>
        <v>138</v>
      </c>
      <c r="H23" s="13">
        <f>VLOOKUP(B23,'Base Cobertura'!$A:$C,2,FALSE)</f>
        <v>80</v>
      </c>
      <c r="I23" s="17">
        <f t="shared" si="2"/>
        <v>37.299999999999997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0.62352941176470589</v>
      </c>
      <c r="E24" s="13">
        <v>79</v>
      </c>
      <c r="F24" s="12">
        <f t="shared" si="1"/>
        <v>27</v>
      </c>
      <c r="G24" s="13">
        <f>VLOOKUP(B24,'Base Cobertura'!$A:$C,3,FALSE)</f>
        <v>170</v>
      </c>
      <c r="H24" s="13">
        <f>VLOOKUP(B24,'Base Cobertura'!$A:$C,2,FALSE)</f>
        <v>106</v>
      </c>
      <c r="I24" s="17">
        <f t="shared" si="2"/>
        <v>38.5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168</v>
      </c>
      <c r="G25" s="8">
        <f>+SUM(G16:G24)</f>
        <v>1538</v>
      </c>
      <c r="H25" s="8">
        <f>+SUM(H16:H24)</f>
        <v>895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0.56140350877192979</v>
      </c>
      <c r="E26" s="13">
        <v>20</v>
      </c>
      <c r="F26" s="12">
        <f>+H26-E26</f>
        <v>12</v>
      </c>
      <c r="G26" s="13">
        <f>VLOOKUP(B26,'Base Cobertura'!$A:$C,3,FALSE)</f>
        <v>57</v>
      </c>
      <c r="H26" s="13">
        <f>VLOOKUP(B26,'Base Cobertura'!$A:$C,2,FALSE)</f>
        <v>32</v>
      </c>
      <c r="I26" s="17">
        <f t="shared" si="2"/>
        <v>16.449999999999996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0.57324840764331209</v>
      </c>
      <c r="E27" s="13">
        <v>68</v>
      </c>
      <c r="F27" s="12">
        <f t="shared" si="1"/>
        <v>22</v>
      </c>
      <c r="G27" s="13">
        <f>VLOOKUP(B27,'Base Cobertura'!$A:$C,3,FALSE)</f>
        <v>157</v>
      </c>
      <c r="H27" s="13">
        <f>VLOOKUP(B27,'Base Cobertura'!$A:$C,2,FALSE)</f>
        <v>90</v>
      </c>
      <c r="I27" s="17">
        <f t="shared" si="2"/>
        <v>43.449999999999989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0.63354037267080743</v>
      </c>
      <c r="E28" s="13">
        <v>80</v>
      </c>
      <c r="F28" s="12">
        <f t="shared" si="1"/>
        <v>22</v>
      </c>
      <c r="G28" s="13">
        <f>VLOOKUP(B28,'Base Cobertura'!$A:$C,3,FALSE)</f>
        <v>161</v>
      </c>
      <c r="H28" s="13">
        <f>VLOOKUP(B28,'Base Cobertura'!$A:$C,2,FALSE)</f>
        <v>102</v>
      </c>
      <c r="I28" s="17">
        <f t="shared" si="2"/>
        <v>34.849999999999994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0.3253012048192771</v>
      </c>
      <c r="E29" s="13">
        <v>68</v>
      </c>
      <c r="F29" s="12">
        <f t="shared" si="1"/>
        <v>13</v>
      </c>
      <c r="G29" s="13">
        <f>VLOOKUP(B29,'Base Cobertura'!$A:$C,3,FALSE)</f>
        <v>249</v>
      </c>
      <c r="H29" s="13">
        <f>VLOOKUP(B29,'Base Cobertura'!$A:$C,2,FALSE)</f>
        <v>81</v>
      </c>
      <c r="I29" s="17">
        <f t="shared" si="2"/>
        <v>130.65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0.74820143884892087</v>
      </c>
      <c r="E30" s="13">
        <v>73</v>
      </c>
      <c r="F30" s="12">
        <f t="shared" si="1"/>
        <v>31</v>
      </c>
      <c r="G30" s="13">
        <f>VLOOKUP(B30,'Base Cobertura'!$A:$C,3,FALSE)</f>
        <v>139</v>
      </c>
      <c r="H30" s="13">
        <f>VLOOKUP(B30,'Base Cobertura'!$A:$C,2,FALSE)</f>
        <v>104</v>
      </c>
      <c r="I30" s="17">
        <f t="shared" si="2"/>
        <v>14.149999999999991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0.49171270718232046</v>
      </c>
      <c r="E31" s="13">
        <v>40</v>
      </c>
      <c r="F31" s="12">
        <f t="shared" si="1"/>
        <v>49</v>
      </c>
      <c r="G31" s="13">
        <f>VLOOKUP(B31,'Base Cobertura'!$A:$C,3,FALSE)</f>
        <v>181</v>
      </c>
      <c r="H31" s="13">
        <f>VLOOKUP(B31,'Base Cobertura'!$A:$C,2,FALSE)</f>
        <v>89</v>
      </c>
      <c r="I31" s="17">
        <f t="shared" si="2"/>
        <v>64.849999999999994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0.60119047619047616</v>
      </c>
      <c r="E32" s="13">
        <v>67</v>
      </c>
      <c r="F32" s="12">
        <f t="shared" si="1"/>
        <v>34</v>
      </c>
      <c r="G32" s="13">
        <f>VLOOKUP(B32,'Base Cobertura'!$A:$C,3,FALSE)</f>
        <v>168</v>
      </c>
      <c r="H32" s="13">
        <f>VLOOKUP(B32,'Base Cobertura'!$A:$C,2,FALSE)</f>
        <v>101</v>
      </c>
      <c r="I32" s="17">
        <f t="shared" si="2"/>
        <v>41.799999999999983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0.55952380952380953</v>
      </c>
      <c r="E33" s="13">
        <v>66</v>
      </c>
      <c r="F33" s="12">
        <f t="shared" si="1"/>
        <v>28</v>
      </c>
      <c r="G33" s="13">
        <f>VLOOKUP(B33,'Base Cobertura'!$A:$C,3,FALSE)</f>
        <v>168</v>
      </c>
      <c r="H33" s="13">
        <f>VLOOKUP(B33,'Base Cobertura'!$A:$C,2,FALSE)</f>
        <v>94</v>
      </c>
      <c r="I33" s="17">
        <f t="shared" si="2"/>
        <v>48.799999999999983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0.46478873239436619</v>
      </c>
      <c r="E34" s="13">
        <v>82</v>
      </c>
      <c r="F34" s="12">
        <f t="shared" si="1"/>
        <v>-16</v>
      </c>
      <c r="G34" s="13">
        <f>VLOOKUP(B34,'Base Cobertura'!$A:$C,3,FALSE)</f>
        <v>142</v>
      </c>
      <c r="H34" s="13">
        <f>VLOOKUP(B34,'Base Cobertura'!$A:$C,2,FALSE)</f>
        <v>66</v>
      </c>
      <c r="I34" s="17">
        <f t="shared" si="2"/>
        <v>54.7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0.5449438202247191</v>
      </c>
      <c r="E35" s="13">
        <v>81</v>
      </c>
      <c r="F35" s="12">
        <f t="shared" si="1"/>
        <v>16</v>
      </c>
      <c r="G35" s="13">
        <f>VLOOKUP(B35,'Base Cobertura'!$A:$C,3,FALSE)</f>
        <v>178</v>
      </c>
      <c r="H35" s="13">
        <f>VLOOKUP(B35,'Base Cobertura'!$A:$C,2,FALSE)</f>
        <v>97</v>
      </c>
      <c r="I35" s="17">
        <f t="shared" si="2"/>
        <v>54.299999999999983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4.3859649122807015E-2</v>
      </c>
      <c r="E36" s="13">
        <v>0</v>
      </c>
      <c r="F36" s="12">
        <f t="shared" si="1"/>
        <v>5</v>
      </c>
      <c r="G36" s="13">
        <f>VLOOKUP(B36,'Base Cobertura'!$A:$C,3,FALSE)</f>
        <v>114</v>
      </c>
      <c r="H36" s="13">
        <f>VLOOKUP(B36,'Base Cobertura'!$A:$C,2,FALSE)</f>
        <v>5</v>
      </c>
      <c r="I36" s="17">
        <f t="shared" si="2"/>
        <v>91.899999999999991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0.14423076923076922</v>
      </c>
      <c r="E37" s="13">
        <v>17</v>
      </c>
      <c r="F37" s="12">
        <f t="shared" si="1"/>
        <v>-2</v>
      </c>
      <c r="G37" s="13">
        <f>VLOOKUP(B37,'Base Cobertura'!$A:$C,3,FALSE)</f>
        <v>104</v>
      </c>
      <c r="H37" s="13">
        <f>VLOOKUP(B37,'Base Cobertura'!$A:$C,2,FALSE)</f>
        <v>15</v>
      </c>
      <c r="I37" s="17">
        <f t="shared" si="2"/>
        <v>73.399999999999991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0.61417322834645671</v>
      </c>
      <c r="E38" s="13">
        <v>60</v>
      </c>
      <c r="F38" s="12">
        <f t="shared" si="1"/>
        <v>18</v>
      </c>
      <c r="G38" s="13">
        <f>VLOOKUP(B38,'Base Cobertura'!$A:$C,3,FALSE)</f>
        <v>127</v>
      </c>
      <c r="H38" s="13">
        <f>VLOOKUP(B38,'Base Cobertura'!$A:$C,2,FALSE)</f>
        <v>78</v>
      </c>
      <c r="I38" s="17">
        <f t="shared" si="2"/>
        <v>29.950000000000003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232</v>
      </c>
      <c r="G39" s="8">
        <f>+SUM(G26:G38)</f>
        <v>1945</v>
      </c>
      <c r="H39" s="8">
        <f>+SUM(H26:H38)</f>
        <v>954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738</v>
      </c>
      <c r="G40" s="8">
        <f>+G15+G25+G39</f>
        <v>5711</v>
      </c>
      <c r="H40" s="8">
        <f>+H15+H25+H39</f>
        <v>3066</v>
      </c>
      <c r="I40" s="8"/>
      <c r="L40" s="1">
        <f>+H40/G40</f>
        <v>0.5368586937489056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0.20661157024793389</v>
      </c>
      <c r="E41" s="13">
        <v>60</v>
      </c>
      <c r="F41" s="12">
        <f t="shared" ref="F41:F42" si="5">+H41-E41</f>
        <v>-35</v>
      </c>
      <c r="G41" s="13">
        <f>VLOOKUP(B41,'Base Cobertura'!$A:$C,3,FALSE)</f>
        <v>121</v>
      </c>
      <c r="H41" s="13">
        <f>VLOOKUP(B41,'Base Cobertura'!$A:$C,2,FALSE)</f>
        <v>25</v>
      </c>
      <c r="I41" s="17">
        <f t="shared" ref="I41:I42" si="6">(+G41*$M$2)-H41</f>
        <v>77.849999999999994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0.20491803278688525</v>
      </c>
      <c r="E42" s="13">
        <v>60</v>
      </c>
      <c r="F42" s="12">
        <f t="shared" si="5"/>
        <v>-35</v>
      </c>
      <c r="G42" s="13">
        <f>VLOOKUP(B42,'Base Cobertura'!$A:$C,3,FALSE)</f>
        <v>122</v>
      </c>
      <c r="H42" s="13">
        <f>VLOOKUP(B42,'Base Cobertura'!$A:$C,2,FALSE)</f>
        <v>25</v>
      </c>
      <c r="I42" s="17">
        <f t="shared" si="6"/>
        <v>78.7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3</v>
      </c>
      <c r="C3" s="51">
        <v>3430</v>
      </c>
      <c r="G3" t="s">
        <v>222</v>
      </c>
      <c r="H3" s="51">
        <v>1</v>
      </c>
      <c r="I3" s="51">
        <v>3430</v>
      </c>
    </row>
    <row r="4" spans="1:9" x14ac:dyDescent="0.25">
      <c r="A4">
        <v>1</v>
      </c>
      <c r="B4" s="51">
        <v>78</v>
      </c>
      <c r="C4" s="51">
        <v>127</v>
      </c>
      <c r="G4" t="s">
        <v>223</v>
      </c>
      <c r="H4">
        <v>2</v>
      </c>
      <c r="I4" s="51">
        <v>3430</v>
      </c>
    </row>
    <row r="5" spans="1:9" x14ac:dyDescent="0.25">
      <c r="A5">
        <v>10</v>
      </c>
      <c r="B5" s="51">
        <v>89</v>
      </c>
      <c r="C5" s="51">
        <v>181</v>
      </c>
      <c r="G5" t="s">
        <v>224</v>
      </c>
      <c r="H5" s="51"/>
      <c r="I5" s="51">
        <v>3430</v>
      </c>
    </row>
    <row r="6" spans="1:9" x14ac:dyDescent="0.25">
      <c r="A6">
        <v>100</v>
      </c>
      <c r="B6" s="51">
        <v>29</v>
      </c>
      <c r="C6" s="51">
        <v>2027</v>
      </c>
      <c r="G6" t="s">
        <v>225</v>
      </c>
      <c r="H6" s="51"/>
      <c r="I6" s="51">
        <v>3430</v>
      </c>
    </row>
    <row r="7" spans="1:9" x14ac:dyDescent="0.25">
      <c r="A7">
        <v>11</v>
      </c>
      <c r="B7" s="51">
        <v>100</v>
      </c>
      <c r="C7" s="51">
        <v>162</v>
      </c>
      <c r="G7" t="s">
        <v>226</v>
      </c>
      <c r="H7" s="51">
        <v>2</v>
      </c>
      <c r="I7" s="51">
        <v>3430</v>
      </c>
    </row>
    <row r="8" spans="1:9" x14ac:dyDescent="0.25">
      <c r="A8">
        <v>12</v>
      </c>
      <c r="B8" s="51">
        <v>138</v>
      </c>
      <c r="C8" s="51">
        <v>214</v>
      </c>
      <c r="G8" t="s">
        <v>227</v>
      </c>
      <c r="H8" s="51">
        <v>2</v>
      </c>
      <c r="I8" s="51">
        <v>3430</v>
      </c>
    </row>
    <row r="9" spans="1:9" x14ac:dyDescent="0.25">
      <c r="A9">
        <v>123</v>
      </c>
      <c r="B9" s="51">
        <v>28</v>
      </c>
      <c r="C9" s="51">
        <v>489</v>
      </c>
      <c r="G9" t="s">
        <v>228</v>
      </c>
      <c r="H9" s="51">
        <v>1</v>
      </c>
      <c r="I9" s="51">
        <v>3430</v>
      </c>
    </row>
    <row r="10" spans="1:9" x14ac:dyDescent="0.25">
      <c r="A10">
        <v>15</v>
      </c>
      <c r="B10" s="51">
        <v>38</v>
      </c>
      <c r="C10" s="51">
        <v>65</v>
      </c>
      <c r="G10" t="s">
        <v>229</v>
      </c>
      <c r="H10">
        <v>1</v>
      </c>
      <c r="I10" s="51">
        <v>3430</v>
      </c>
    </row>
    <row r="11" spans="1:9" x14ac:dyDescent="0.25">
      <c r="A11">
        <v>16</v>
      </c>
      <c r="B11" s="51">
        <v>97</v>
      </c>
      <c r="C11" s="51">
        <v>198</v>
      </c>
      <c r="G11" t="s">
        <v>230</v>
      </c>
      <c r="H11" s="51"/>
      <c r="I11" s="51">
        <v>3430</v>
      </c>
    </row>
    <row r="12" spans="1:9" x14ac:dyDescent="0.25">
      <c r="A12">
        <v>18</v>
      </c>
      <c r="B12" s="51">
        <v>122</v>
      </c>
      <c r="C12" s="51">
        <v>177</v>
      </c>
      <c r="E12">
        <f>+F12</f>
        <v>1</v>
      </c>
      <c r="F12">
        <v>1</v>
      </c>
      <c r="G12" t="s">
        <v>222</v>
      </c>
      <c r="H12">
        <v>32</v>
      </c>
      <c r="I12" s="51">
        <v>127</v>
      </c>
    </row>
    <row r="13" spans="1:9" x14ac:dyDescent="0.25">
      <c r="A13">
        <v>19</v>
      </c>
      <c r="B13" s="51">
        <v>142</v>
      </c>
      <c r="C13" s="51">
        <v>207</v>
      </c>
      <c r="E13">
        <f>+$E$12</f>
        <v>1</v>
      </c>
      <c r="G13" t="s">
        <v>223</v>
      </c>
      <c r="H13" s="51">
        <v>26</v>
      </c>
      <c r="I13" s="51">
        <v>127</v>
      </c>
    </row>
    <row r="14" spans="1:9" x14ac:dyDescent="0.25">
      <c r="A14">
        <v>2</v>
      </c>
      <c r="B14" s="51">
        <v>80</v>
      </c>
      <c r="C14" s="51">
        <v>138</v>
      </c>
      <c r="E14">
        <f t="shared" ref="E14:E20" si="0">+$E$12</f>
        <v>1</v>
      </c>
      <c r="G14" t="s">
        <v>224</v>
      </c>
      <c r="H14" s="51">
        <v>46</v>
      </c>
      <c r="I14" s="51">
        <v>127</v>
      </c>
    </row>
    <row r="15" spans="1:9" x14ac:dyDescent="0.25">
      <c r="A15">
        <v>20</v>
      </c>
      <c r="B15" s="51">
        <v>157</v>
      </c>
      <c r="C15" s="51">
        <v>227</v>
      </c>
      <c r="E15">
        <f t="shared" si="0"/>
        <v>1</v>
      </c>
      <c r="G15" t="s">
        <v>225</v>
      </c>
      <c r="H15" s="51">
        <v>28</v>
      </c>
      <c r="I15" s="51">
        <v>127</v>
      </c>
    </row>
    <row r="16" spans="1:9" x14ac:dyDescent="0.25">
      <c r="A16">
        <v>21</v>
      </c>
      <c r="B16" s="51">
        <v>122</v>
      </c>
      <c r="C16" s="51">
        <v>170</v>
      </c>
      <c r="E16">
        <f t="shared" si="0"/>
        <v>1</v>
      </c>
      <c r="G16" t="s">
        <v>226</v>
      </c>
      <c r="H16" s="51">
        <v>51</v>
      </c>
      <c r="I16" s="51">
        <v>127</v>
      </c>
    </row>
    <row r="17" spans="1:9" x14ac:dyDescent="0.25">
      <c r="A17">
        <v>22</v>
      </c>
      <c r="B17" s="51">
        <v>45</v>
      </c>
      <c r="C17" s="51">
        <v>73</v>
      </c>
      <c r="E17">
        <f t="shared" si="0"/>
        <v>1</v>
      </c>
      <c r="G17" t="s">
        <v>227</v>
      </c>
      <c r="H17" s="51">
        <v>47</v>
      </c>
      <c r="I17" s="51">
        <v>127</v>
      </c>
    </row>
    <row r="18" spans="1:9" x14ac:dyDescent="0.25">
      <c r="A18">
        <v>23</v>
      </c>
      <c r="B18" s="51">
        <v>107</v>
      </c>
      <c r="C18" s="51">
        <v>154</v>
      </c>
      <c r="E18">
        <f t="shared" si="0"/>
        <v>1</v>
      </c>
      <c r="G18" t="s">
        <v>228</v>
      </c>
      <c r="H18" s="51">
        <v>17</v>
      </c>
      <c r="I18" s="51">
        <v>127</v>
      </c>
    </row>
    <row r="19" spans="1:9" x14ac:dyDescent="0.25">
      <c r="A19">
        <v>24</v>
      </c>
      <c r="B19" s="51">
        <v>97</v>
      </c>
      <c r="C19" s="51">
        <v>178</v>
      </c>
      <c r="E19">
        <f t="shared" si="0"/>
        <v>1</v>
      </c>
      <c r="G19" t="s">
        <v>229</v>
      </c>
      <c r="H19" s="51">
        <v>17</v>
      </c>
      <c r="I19" s="51">
        <v>127</v>
      </c>
    </row>
    <row r="20" spans="1:9" x14ac:dyDescent="0.25">
      <c r="A20">
        <v>25</v>
      </c>
      <c r="B20" s="51">
        <v>59</v>
      </c>
      <c r="C20" s="51">
        <v>172</v>
      </c>
      <c r="E20">
        <f t="shared" si="0"/>
        <v>1</v>
      </c>
      <c r="G20" t="s">
        <v>230</v>
      </c>
      <c r="H20">
        <v>24</v>
      </c>
      <c r="I20" s="51">
        <v>127</v>
      </c>
    </row>
    <row r="21" spans="1:9" x14ac:dyDescent="0.25">
      <c r="A21">
        <v>26</v>
      </c>
      <c r="B21" s="51">
        <v>57</v>
      </c>
      <c r="C21" s="51">
        <v>165</v>
      </c>
      <c r="E21">
        <f>+$F$21</f>
        <v>10</v>
      </c>
      <c r="F21">
        <v>10</v>
      </c>
      <c r="G21" t="s">
        <v>222</v>
      </c>
      <c r="H21" s="51">
        <v>16</v>
      </c>
      <c r="I21" s="51">
        <v>181</v>
      </c>
    </row>
    <row r="22" spans="1:9" x14ac:dyDescent="0.25">
      <c r="A22">
        <v>27</v>
      </c>
      <c r="B22" s="51">
        <v>104</v>
      </c>
      <c r="C22" s="51">
        <v>139</v>
      </c>
      <c r="E22">
        <f t="shared" ref="E22:E29" si="1">+$F$21</f>
        <v>10</v>
      </c>
      <c r="G22" t="s">
        <v>223</v>
      </c>
      <c r="H22" s="51">
        <v>5</v>
      </c>
      <c r="I22" s="51">
        <v>181</v>
      </c>
    </row>
    <row r="23" spans="1:9" x14ac:dyDescent="0.25">
      <c r="A23">
        <v>28</v>
      </c>
      <c r="B23" s="51">
        <v>101</v>
      </c>
      <c r="C23" s="51">
        <v>168</v>
      </c>
      <c r="E23">
        <f t="shared" si="1"/>
        <v>10</v>
      </c>
      <c r="G23" t="s">
        <v>224</v>
      </c>
      <c r="H23" s="51">
        <v>34</v>
      </c>
      <c r="I23" s="51">
        <v>181</v>
      </c>
    </row>
    <row r="24" spans="1:9" x14ac:dyDescent="0.25">
      <c r="A24">
        <v>3</v>
      </c>
      <c r="B24" s="51">
        <v>106</v>
      </c>
      <c r="C24" s="51">
        <v>170</v>
      </c>
      <c r="E24">
        <f t="shared" si="1"/>
        <v>10</v>
      </c>
      <c r="G24" t="s">
        <v>225</v>
      </c>
      <c r="H24" s="51">
        <v>26</v>
      </c>
      <c r="I24" s="51">
        <v>181</v>
      </c>
    </row>
    <row r="25" spans="1:9" x14ac:dyDescent="0.25">
      <c r="A25">
        <v>30</v>
      </c>
      <c r="B25" s="51">
        <v>13</v>
      </c>
      <c r="C25" s="51">
        <v>139</v>
      </c>
      <c r="E25">
        <f t="shared" si="1"/>
        <v>10</v>
      </c>
      <c r="G25" t="s">
        <v>226</v>
      </c>
      <c r="H25" s="51">
        <v>44</v>
      </c>
      <c r="I25" s="51">
        <v>181</v>
      </c>
    </row>
    <row r="26" spans="1:9" x14ac:dyDescent="0.25">
      <c r="A26">
        <v>31</v>
      </c>
      <c r="B26" s="51">
        <v>113</v>
      </c>
      <c r="C26" s="51">
        <v>160</v>
      </c>
      <c r="E26">
        <f t="shared" si="1"/>
        <v>10</v>
      </c>
      <c r="G26" t="s">
        <v>227</v>
      </c>
      <c r="H26" s="51">
        <v>25</v>
      </c>
      <c r="I26" s="51">
        <v>181</v>
      </c>
    </row>
    <row r="27" spans="1:9" x14ac:dyDescent="0.25">
      <c r="A27">
        <v>32</v>
      </c>
      <c r="B27" s="51">
        <v>32</v>
      </c>
      <c r="C27" s="51">
        <v>57</v>
      </c>
      <c r="E27">
        <f t="shared" si="1"/>
        <v>10</v>
      </c>
      <c r="G27" t="s">
        <v>228</v>
      </c>
      <c r="H27" s="51">
        <v>9</v>
      </c>
      <c r="I27" s="51">
        <v>181</v>
      </c>
    </row>
    <row r="28" spans="1:9" x14ac:dyDescent="0.25">
      <c r="A28">
        <v>33</v>
      </c>
      <c r="B28" s="51">
        <v>94</v>
      </c>
      <c r="C28" s="51">
        <v>168</v>
      </c>
      <c r="E28">
        <f t="shared" si="1"/>
        <v>10</v>
      </c>
      <c r="G28" t="s">
        <v>229</v>
      </c>
      <c r="H28" s="51">
        <v>9</v>
      </c>
      <c r="I28" s="51">
        <v>181</v>
      </c>
    </row>
    <row r="29" spans="1:9" x14ac:dyDescent="0.25">
      <c r="A29">
        <v>36</v>
      </c>
      <c r="B29" s="51">
        <v>90</v>
      </c>
      <c r="C29" s="51">
        <v>157</v>
      </c>
      <c r="E29">
        <f t="shared" si="1"/>
        <v>10</v>
      </c>
      <c r="G29" t="s">
        <v>230</v>
      </c>
      <c r="H29" s="51">
        <v>6</v>
      </c>
      <c r="I29" s="51">
        <v>181</v>
      </c>
    </row>
    <row r="30" spans="1:9" x14ac:dyDescent="0.25">
      <c r="A30">
        <v>37</v>
      </c>
      <c r="B30" s="51">
        <v>66</v>
      </c>
      <c r="C30" s="51">
        <v>142</v>
      </c>
      <c r="E30">
        <f>+$F$30</f>
        <v>100</v>
      </c>
      <c r="F30">
        <v>100</v>
      </c>
      <c r="G30" t="s">
        <v>222</v>
      </c>
      <c r="H30" s="51">
        <v>16</v>
      </c>
      <c r="I30" s="51">
        <v>2027</v>
      </c>
    </row>
    <row r="31" spans="1:9" x14ac:dyDescent="0.25">
      <c r="A31">
        <v>4</v>
      </c>
      <c r="B31" s="51">
        <v>95</v>
      </c>
      <c r="C31" s="51">
        <v>182</v>
      </c>
      <c r="E31">
        <f t="shared" ref="E31:E38" si="2">+$F$30</f>
        <v>100</v>
      </c>
      <c r="G31" t="s">
        <v>223</v>
      </c>
      <c r="H31" s="51">
        <v>10</v>
      </c>
      <c r="I31" s="51">
        <v>2027</v>
      </c>
    </row>
    <row r="32" spans="1:9" x14ac:dyDescent="0.25">
      <c r="A32">
        <v>40</v>
      </c>
      <c r="B32" s="51">
        <v>81</v>
      </c>
      <c r="C32" s="51">
        <v>249</v>
      </c>
      <c r="E32">
        <f t="shared" si="2"/>
        <v>100</v>
      </c>
      <c r="G32" t="s">
        <v>224</v>
      </c>
      <c r="H32" s="51">
        <v>13</v>
      </c>
      <c r="I32" s="51">
        <v>2027</v>
      </c>
    </row>
    <row r="33" spans="1:9" x14ac:dyDescent="0.25">
      <c r="A33">
        <v>42</v>
      </c>
      <c r="B33" s="51">
        <v>4</v>
      </c>
      <c r="C33" s="51">
        <v>52</v>
      </c>
      <c r="E33">
        <f t="shared" si="2"/>
        <v>100</v>
      </c>
      <c r="G33" t="s">
        <v>225</v>
      </c>
      <c r="H33" s="51">
        <v>9</v>
      </c>
      <c r="I33" s="51">
        <v>2027</v>
      </c>
    </row>
    <row r="34" spans="1:9" x14ac:dyDescent="0.25">
      <c r="A34">
        <v>43</v>
      </c>
      <c r="B34" s="51">
        <v>4</v>
      </c>
      <c r="C34" s="51">
        <v>93</v>
      </c>
      <c r="E34">
        <f t="shared" si="2"/>
        <v>100</v>
      </c>
      <c r="G34" t="s">
        <v>226</v>
      </c>
      <c r="H34" s="51">
        <v>16</v>
      </c>
      <c r="I34" s="51">
        <v>2027</v>
      </c>
    </row>
    <row r="35" spans="1:9" x14ac:dyDescent="0.25">
      <c r="A35">
        <v>44</v>
      </c>
      <c r="B35" s="51">
        <v>110</v>
      </c>
      <c r="C35" s="51">
        <v>169</v>
      </c>
      <c r="E35">
        <f t="shared" si="2"/>
        <v>100</v>
      </c>
      <c r="G35" t="s">
        <v>227</v>
      </c>
      <c r="H35" s="51">
        <v>10</v>
      </c>
      <c r="I35" s="51">
        <v>2027</v>
      </c>
    </row>
    <row r="36" spans="1:9" x14ac:dyDescent="0.25">
      <c r="A36">
        <v>49</v>
      </c>
      <c r="B36" s="51">
        <v>84</v>
      </c>
      <c r="C36" s="51">
        <v>239</v>
      </c>
      <c r="E36">
        <f t="shared" si="2"/>
        <v>100</v>
      </c>
      <c r="G36" t="s">
        <v>228</v>
      </c>
      <c r="H36" s="51">
        <v>13</v>
      </c>
      <c r="I36" s="51">
        <v>2027</v>
      </c>
    </row>
    <row r="37" spans="1:9" x14ac:dyDescent="0.25">
      <c r="A37">
        <v>5</v>
      </c>
      <c r="B37" s="51">
        <v>163</v>
      </c>
      <c r="C37" s="51">
        <v>260</v>
      </c>
      <c r="E37">
        <f t="shared" si="2"/>
        <v>100</v>
      </c>
      <c r="G37" t="s">
        <v>229</v>
      </c>
      <c r="H37" s="51">
        <v>5</v>
      </c>
      <c r="I37" s="51">
        <v>2027</v>
      </c>
    </row>
    <row r="38" spans="1:9" x14ac:dyDescent="0.25">
      <c r="A38">
        <v>52</v>
      </c>
      <c r="B38" s="51">
        <v>28</v>
      </c>
      <c r="C38" s="51">
        <v>101</v>
      </c>
      <c r="E38">
        <f t="shared" si="2"/>
        <v>100</v>
      </c>
      <c r="G38" t="s">
        <v>230</v>
      </c>
      <c r="H38" s="51">
        <v>1</v>
      </c>
      <c r="I38" s="51">
        <v>2027</v>
      </c>
    </row>
    <row r="39" spans="1:9" x14ac:dyDescent="0.25">
      <c r="A39">
        <v>53</v>
      </c>
      <c r="B39" s="51">
        <v>34</v>
      </c>
      <c r="C39" s="51">
        <v>105</v>
      </c>
      <c r="E39">
        <f>+$F$39</f>
        <v>11</v>
      </c>
      <c r="F39">
        <v>11</v>
      </c>
      <c r="G39" t="s">
        <v>222</v>
      </c>
      <c r="H39" s="51">
        <v>27</v>
      </c>
      <c r="I39" s="51">
        <v>162</v>
      </c>
    </row>
    <row r="40" spans="1:9" x14ac:dyDescent="0.25">
      <c r="A40">
        <v>54</v>
      </c>
      <c r="B40" s="51">
        <v>75</v>
      </c>
      <c r="C40" s="51">
        <v>202</v>
      </c>
      <c r="E40">
        <f t="shared" ref="E40:E47" si="3">+$F$39</f>
        <v>11</v>
      </c>
      <c r="G40" t="s">
        <v>223</v>
      </c>
      <c r="H40" s="51">
        <v>16</v>
      </c>
      <c r="I40" s="51">
        <v>162</v>
      </c>
    </row>
    <row r="41" spans="1:9" x14ac:dyDescent="0.25">
      <c r="A41">
        <v>56</v>
      </c>
      <c r="B41">
        <v>60</v>
      </c>
      <c r="C41" s="51">
        <v>198</v>
      </c>
      <c r="E41">
        <f t="shared" si="3"/>
        <v>11</v>
      </c>
      <c r="G41" t="s">
        <v>224</v>
      </c>
      <c r="H41" s="51">
        <v>43</v>
      </c>
      <c r="I41" s="51">
        <v>162</v>
      </c>
    </row>
    <row r="42" spans="1:9" x14ac:dyDescent="0.25">
      <c r="A42">
        <v>57</v>
      </c>
      <c r="B42" s="51">
        <v>15</v>
      </c>
      <c r="C42" s="51">
        <v>104</v>
      </c>
      <c r="E42">
        <f t="shared" si="3"/>
        <v>11</v>
      </c>
      <c r="G42" t="s">
        <v>225</v>
      </c>
      <c r="H42" s="51">
        <v>29</v>
      </c>
      <c r="I42" s="51">
        <v>162</v>
      </c>
    </row>
    <row r="43" spans="1:9" x14ac:dyDescent="0.25">
      <c r="A43">
        <v>58</v>
      </c>
      <c r="B43" s="51">
        <v>25</v>
      </c>
      <c r="C43" s="51">
        <v>121</v>
      </c>
      <c r="E43">
        <f t="shared" si="3"/>
        <v>11</v>
      </c>
      <c r="G43" t="s">
        <v>226</v>
      </c>
      <c r="H43" s="51">
        <v>56</v>
      </c>
      <c r="I43" s="51">
        <v>162</v>
      </c>
    </row>
    <row r="44" spans="1:9" x14ac:dyDescent="0.25">
      <c r="A44">
        <v>59</v>
      </c>
      <c r="B44" s="51">
        <v>25</v>
      </c>
      <c r="C44" s="51">
        <v>122</v>
      </c>
      <c r="E44">
        <f t="shared" si="3"/>
        <v>11</v>
      </c>
      <c r="G44" t="s">
        <v>227</v>
      </c>
      <c r="H44" s="51">
        <v>39</v>
      </c>
      <c r="I44" s="51">
        <v>162</v>
      </c>
    </row>
    <row r="45" spans="1:9" x14ac:dyDescent="0.25">
      <c r="A45">
        <v>7</v>
      </c>
      <c r="B45" s="51">
        <v>5</v>
      </c>
      <c r="C45" s="51">
        <v>114</v>
      </c>
      <c r="E45">
        <f t="shared" si="3"/>
        <v>11</v>
      </c>
      <c r="G45" t="s">
        <v>228</v>
      </c>
      <c r="H45" s="51">
        <v>11</v>
      </c>
      <c r="I45" s="51">
        <v>162</v>
      </c>
    </row>
    <row r="46" spans="1:9" x14ac:dyDescent="0.25">
      <c r="A46">
        <v>8</v>
      </c>
      <c r="B46" s="51">
        <v>96</v>
      </c>
      <c r="C46" s="51">
        <v>195</v>
      </c>
      <c r="E46">
        <f t="shared" si="3"/>
        <v>11</v>
      </c>
      <c r="G46" t="s">
        <v>229</v>
      </c>
      <c r="H46" s="51">
        <v>16</v>
      </c>
      <c r="I46" s="51">
        <v>162</v>
      </c>
    </row>
    <row r="47" spans="1:9" x14ac:dyDescent="0.25">
      <c r="A47">
        <v>9</v>
      </c>
      <c r="B47" s="51">
        <v>102</v>
      </c>
      <c r="C47" s="51">
        <v>161</v>
      </c>
      <c r="E47">
        <f t="shared" si="3"/>
        <v>11</v>
      </c>
      <c r="G47" t="s">
        <v>230</v>
      </c>
      <c r="H47" s="51">
        <v>9</v>
      </c>
      <c r="I47" s="51">
        <v>162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39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22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50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24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59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51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12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14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23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18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9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16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17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2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11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2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/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22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10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17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13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21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10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13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8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8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24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13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51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23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55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42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5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18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14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38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24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39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25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82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48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16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19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23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32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21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60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32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99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64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6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21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18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11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38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28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22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44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27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9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12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16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55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40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68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49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88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72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12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19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22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46</v>
      </c>
      <c r="I120" s="51">
        <v>170</v>
      </c>
    </row>
    <row r="121" spans="5:9" x14ac:dyDescent="0.25">
      <c r="E121">
        <f t="shared" ref="E121:E128" si="12">+$F$120</f>
        <v>21</v>
      </c>
      <c r="G121" t="s">
        <v>223</v>
      </c>
      <c r="H121" s="51">
        <v>32</v>
      </c>
      <c r="I121" s="51">
        <v>170</v>
      </c>
    </row>
    <row r="122" spans="5:9" x14ac:dyDescent="0.25">
      <c r="E122">
        <f t="shared" si="12"/>
        <v>21</v>
      </c>
      <c r="G122" t="s">
        <v>224</v>
      </c>
      <c r="H122" s="51">
        <v>59</v>
      </c>
      <c r="I122" s="51">
        <v>170</v>
      </c>
    </row>
    <row r="123" spans="5:9" x14ac:dyDescent="0.25">
      <c r="E123">
        <f t="shared" si="12"/>
        <v>21</v>
      </c>
      <c r="G123" t="s">
        <v>225</v>
      </c>
      <c r="H123" s="51">
        <v>33</v>
      </c>
      <c r="I123" s="51">
        <v>170</v>
      </c>
    </row>
    <row r="124" spans="5:9" x14ac:dyDescent="0.25">
      <c r="E124">
        <f t="shared" si="12"/>
        <v>21</v>
      </c>
      <c r="G124" t="s">
        <v>226</v>
      </c>
      <c r="H124">
        <v>87</v>
      </c>
      <c r="I124" s="51">
        <v>170</v>
      </c>
    </row>
    <row r="125" spans="5:9" x14ac:dyDescent="0.25">
      <c r="E125">
        <f t="shared" si="12"/>
        <v>21</v>
      </c>
      <c r="G125" t="s">
        <v>227</v>
      </c>
      <c r="H125" s="51">
        <v>71</v>
      </c>
      <c r="I125" s="51">
        <v>170</v>
      </c>
    </row>
    <row r="126" spans="5:9" x14ac:dyDescent="0.25">
      <c r="E126">
        <f t="shared" si="12"/>
        <v>21</v>
      </c>
      <c r="G126" t="s">
        <v>228</v>
      </c>
      <c r="H126" s="51">
        <v>18</v>
      </c>
      <c r="I126" s="51">
        <v>170</v>
      </c>
    </row>
    <row r="127" spans="5:9" x14ac:dyDescent="0.25">
      <c r="E127">
        <f t="shared" si="12"/>
        <v>21</v>
      </c>
      <c r="G127" t="s">
        <v>229</v>
      </c>
      <c r="H127" s="51">
        <v>21</v>
      </c>
      <c r="I127" s="51">
        <v>170</v>
      </c>
    </row>
    <row r="128" spans="5:9" x14ac:dyDescent="0.25">
      <c r="E128">
        <f t="shared" si="12"/>
        <v>21</v>
      </c>
      <c r="G128" t="s">
        <v>230</v>
      </c>
      <c r="H128" s="51">
        <v>17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26</v>
      </c>
      <c r="I129" s="51">
        <v>73</v>
      </c>
    </row>
    <row r="130" spans="5:9" x14ac:dyDescent="0.25">
      <c r="E130">
        <f t="shared" ref="E130:E137" si="13">+$F$129</f>
        <v>22</v>
      </c>
      <c r="G130" t="s">
        <v>223</v>
      </c>
      <c r="H130" s="51">
        <v>15</v>
      </c>
      <c r="I130" s="51">
        <v>73</v>
      </c>
    </row>
    <row r="131" spans="5:9" x14ac:dyDescent="0.25">
      <c r="E131">
        <f t="shared" si="13"/>
        <v>22</v>
      </c>
      <c r="G131" t="s">
        <v>224</v>
      </c>
      <c r="H131" s="51">
        <v>28</v>
      </c>
      <c r="I131" s="51">
        <v>73</v>
      </c>
    </row>
    <row r="132" spans="5:9" x14ac:dyDescent="0.25">
      <c r="E132">
        <f t="shared" si="13"/>
        <v>22</v>
      </c>
      <c r="G132" t="s">
        <v>225</v>
      </c>
      <c r="H132" s="51">
        <v>16</v>
      </c>
      <c r="I132" s="51">
        <v>73</v>
      </c>
    </row>
    <row r="133" spans="5:9" x14ac:dyDescent="0.25">
      <c r="E133">
        <f t="shared" si="13"/>
        <v>22</v>
      </c>
      <c r="G133" t="s">
        <v>226</v>
      </c>
      <c r="H133" s="51">
        <v>36</v>
      </c>
      <c r="I133" s="51">
        <v>73</v>
      </c>
    </row>
    <row r="134" spans="5:9" x14ac:dyDescent="0.25">
      <c r="E134">
        <f t="shared" si="13"/>
        <v>22</v>
      </c>
      <c r="G134" t="s">
        <v>227</v>
      </c>
      <c r="H134" s="51">
        <v>20</v>
      </c>
      <c r="I134" s="51">
        <v>73</v>
      </c>
    </row>
    <row r="135" spans="5:9" x14ac:dyDescent="0.25">
      <c r="E135">
        <f t="shared" si="13"/>
        <v>22</v>
      </c>
      <c r="G135" t="s">
        <v>228</v>
      </c>
      <c r="H135" s="51">
        <v>32</v>
      </c>
      <c r="I135" s="51">
        <v>73</v>
      </c>
    </row>
    <row r="136" spans="5:9" x14ac:dyDescent="0.25">
      <c r="E136">
        <f t="shared" si="13"/>
        <v>22</v>
      </c>
      <c r="G136" t="s">
        <v>229</v>
      </c>
      <c r="H136" s="51">
        <v>12</v>
      </c>
      <c r="I136" s="51">
        <v>73</v>
      </c>
    </row>
    <row r="137" spans="5:9" x14ac:dyDescent="0.25">
      <c r="E137">
        <f t="shared" si="13"/>
        <v>22</v>
      </c>
      <c r="G137" t="s">
        <v>230</v>
      </c>
      <c r="H137" s="51">
        <v>19</v>
      </c>
      <c r="I137" s="51">
        <v>73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34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25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57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25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83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53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9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15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11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28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9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60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22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49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34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9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9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3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21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15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17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29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40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33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32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11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10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31</v>
      </c>
      <c r="I165" s="51">
        <v>165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165</v>
      </c>
    </row>
    <row r="167" spans="5:9" x14ac:dyDescent="0.25">
      <c r="E167">
        <f t="shared" si="17"/>
        <v>26</v>
      </c>
      <c r="G167" t="s">
        <v>224</v>
      </c>
      <c r="H167" s="51">
        <v>7</v>
      </c>
      <c r="I167" s="51">
        <v>165</v>
      </c>
    </row>
    <row r="168" spans="5:9" x14ac:dyDescent="0.25">
      <c r="E168">
        <f t="shared" si="17"/>
        <v>26</v>
      </c>
      <c r="G168" t="s">
        <v>225</v>
      </c>
      <c r="H168" s="51">
        <v>22</v>
      </c>
      <c r="I168" s="51">
        <v>165</v>
      </c>
    </row>
    <row r="169" spans="5:9" x14ac:dyDescent="0.25">
      <c r="E169">
        <f t="shared" si="17"/>
        <v>26</v>
      </c>
      <c r="G169" t="s">
        <v>226</v>
      </c>
      <c r="H169" s="51">
        <v>21</v>
      </c>
      <c r="I169" s="51">
        <v>165</v>
      </c>
    </row>
    <row r="170" spans="5:9" x14ac:dyDescent="0.25">
      <c r="E170">
        <f t="shared" si="17"/>
        <v>26</v>
      </c>
      <c r="G170" t="s">
        <v>227</v>
      </c>
      <c r="H170" s="51">
        <v>23</v>
      </c>
      <c r="I170" s="51">
        <v>165</v>
      </c>
    </row>
    <row r="171" spans="5:9" x14ac:dyDescent="0.25">
      <c r="E171">
        <f t="shared" si="17"/>
        <v>26</v>
      </c>
      <c r="G171" t="s">
        <v>228</v>
      </c>
      <c r="H171" s="51">
        <v>27</v>
      </c>
      <c r="I171" s="51">
        <v>165</v>
      </c>
    </row>
    <row r="172" spans="5:9" x14ac:dyDescent="0.25">
      <c r="E172">
        <f t="shared" si="17"/>
        <v>26</v>
      </c>
      <c r="G172" t="s">
        <v>229</v>
      </c>
      <c r="H172" s="51">
        <v>14</v>
      </c>
      <c r="I172" s="51">
        <v>165</v>
      </c>
    </row>
    <row r="173" spans="5:9" x14ac:dyDescent="0.25">
      <c r="E173">
        <f t="shared" si="17"/>
        <v>26</v>
      </c>
      <c r="G173" t="s">
        <v>230</v>
      </c>
      <c r="H173" s="51">
        <v>17</v>
      </c>
      <c r="I173" s="51">
        <v>165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34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13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37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23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60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56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16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18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7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23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9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27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22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56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47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7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13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6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30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20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42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24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69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45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11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19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20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4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1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3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3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9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44</v>
      </c>
      <c r="I210" s="51">
        <v>160</v>
      </c>
    </row>
    <row r="211" spans="5:9" x14ac:dyDescent="0.25">
      <c r="E211">
        <f t="shared" ref="E211:E218" si="22">+$F$210</f>
        <v>31</v>
      </c>
      <c r="G211" t="s">
        <v>223</v>
      </c>
      <c r="H211" s="51">
        <v>20</v>
      </c>
      <c r="I211" s="51">
        <v>160</v>
      </c>
    </row>
    <row r="212" spans="5:9" x14ac:dyDescent="0.25">
      <c r="E212">
        <f t="shared" si="22"/>
        <v>31</v>
      </c>
      <c r="G212" t="s">
        <v>224</v>
      </c>
      <c r="H212">
        <v>53</v>
      </c>
      <c r="I212" s="51">
        <v>160</v>
      </c>
    </row>
    <row r="213" spans="5:9" x14ac:dyDescent="0.25">
      <c r="E213">
        <f t="shared" si="22"/>
        <v>31</v>
      </c>
      <c r="G213" t="s">
        <v>225</v>
      </c>
      <c r="H213" s="51">
        <v>32</v>
      </c>
      <c r="I213" s="51">
        <v>160</v>
      </c>
    </row>
    <row r="214" spans="5:9" x14ac:dyDescent="0.25">
      <c r="E214">
        <f t="shared" si="22"/>
        <v>31</v>
      </c>
      <c r="G214" t="s">
        <v>226</v>
      </c>
      <c r="H214" s="51">
        <v>85</v>
      </c>
      <c r="I214" s="51">
        <v>160</v>
      </c>
    </row>
    <row r="215" spans="5:9" x14ac:dyDescent="0.25">
      <c r="E215">
        <f t="shared" si="22"/>
        <v>31</v>
      </c>
      <c r="G215" t="s">
        <v>227</v>
      </c>
      <c r="H215" s="51">
        <v>58</v>
      </c>
      <c r="I215" s="51">
        <v>160</v>
      </c>
    </row>
    <row r="216" spans="5:9" x14ac:dyDescent="0.25">
      <c r="E216">
        <f t="shared" si="22"/>
        <v>31</v>
      </c>
      <c r="G216" t="s">
        <v>228</v>
      </c>
      <c r="H216" s="51">
        <v>17</v>
      </c>
      <c r="I216" s="51">
        <v>160</v>
      </c>
    </row>
    <row r="217" spans="5:9" x14ac:dyDescent="0.25">
      <c r="E217">
        <f t="shared" si="22"/>
        <v>31</v>
      </c>
      <c r="G217" t="s">
        <v>229</v>
      </c>
      <c r="H217" s="51">
        <v>26</v>
      </c>
      <c r="I217" s="51">
        <v>160</v>
      </c>
    </row>
    <row r="218" spans="5:9" x14ac:dyDescent="0.25">
      <c r="E218">
        <f t="shared" si="22"/>
        <v>31</v>
      </c>
      <c r="G218" t="s">
        <v>230</v>
      </c>
      <c r="H218" s="51">
        <v>11</v>
      </c>
      <c r="I218" s="51">
        <v>160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18</v>
      </c>
      <c r="I219" s="51">
        <v>57</v>
      </c>
    </row>
    <row r="220" spans="5:9" x14ac:dyDescent="0.25">
      <c r="E220">
        <f t="shared" ref="E220:E227" si="23">+$F$219</f>
        <v>32</v>
      </c>
      <c r="G220" t="s">
        <v>223</v>
      </c>
      <c r="H220" s="51">
        <v>8</v>
      </c>
      <c r="I220" s="51">
        <v>57</v>
      </c>
    </row>
    <row r="221" spans="5:9" x14ac:dyDescent="0.25">
      <c r="E221">
        <f t="shared" si="23"/>
        <v>32</v>
      </c>
      <c r="G221" t="s">
        <v>224</v>
      </c>
      <c r="H221" s="51">
        <v>11</v>
      </c>
      <c r="I221" s="51">
        <v>57</v>
      </c>
    </row>
    <row r="222" spans="5:9" x14ac:dyDescent="0.25">
      <c r="E222">
        <f t="shared" si="23"/>
        <v>32</v>
      </c>
      <c r="G222" t="s">
        <v>225</v>
      </c>
      <c r="H222" s="51">
        <v>12</v>
      </c>
      <c r="I222" s="51">
        <v>57</v>
      </c>
    </row>
    <row r="223" spans="5:9" x14ac:dyDescent="0.25">
      <c r="E223">
        <f t="shared" si="23"/>
        <v>32</v>
      </c>
      <c r="G223" t="s">
        <v>226</v>
      </c>
      <c r="H223" s="51">
        <v>25</v>
      </c>
      <c r="I223" s="51">
        <v>57</v>
      </c>
    </row>
    <row r="224" spans="5:9" x14ac:dyDescent="0.25">
      <c r="E224">
        <f t="shared" si="23"/>
        <v>32</v>
      </c>
      <c r="G224" t="s">
        <v>227</v>
      </c>
      <c r="H224" s="51">
        <v>16</v>
      </c>
      <c r="I224" s="51">
        <v>57</v>
      </c>
    </row>
    <row r="225" spans="5:9" x14ac:dyDescent="0.25">
      <c r="E225">
        <f t="shared" si="23"/>
        <v>32</v>
      </c>
      <c r="G225" t="s">
        <v>228</v>
      </c>
      <c r="H225" s="51">
        <v>18</v>
      </c>
      <c r="I225" s="51">
        <v>57</v>
      </c>
    </row>
    <row r="226" spans="5:9" x14ac:dyDescent="0.25">
      <c r="E226">
        <f t="shared" si="23"/>
        <v>32</v>
      </c>
      <c r="G226" t="s">
        <v>229</v>
      </c>
      <c r="H226" s="51">
        <v>9</v>
      </c>
      <c r="I226" s="51">
        <v>57</v>
      </c>
    </row>
    <row r="227" spans="5:9" x14ac:dyDescent="0.25">
      <c r="E227">
        <f t="shared" si="23"/>
        <v>32</v>
      </c>
      <c r="G227" t="s">
        <v>230</v>
      </c>
      <c r="H227" s="51">
        <v>12</v>
      </c>
      <c r="I227" s="51">
        <v>57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28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22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32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23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45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37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9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16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11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19</v>
      </c>
      <c r="I237" s="51">
        <v>157</v>
      </c>
    </row>
    <row r="238" spans="5:9" x14ac:dyDescent="0.25">
      <c r="E238">
        <f t="shared" ref="E238:E245" si="25">+$F$237</f>
        <v>36</v>
      </c>
      <c r="G238" t="s">
        <v>223</v>
      </c>
      <c r="H238" s="51">
        <v>8</v>
      </c>
      <c r="I238" s="51">
        <v>157</v>
      </c>
    </row>
    <row r="239" spans="5:9" x14ac:dyDescent="0.25">
      <c r="E239">
        <f t="shared" si="25"/>
        <v>36</v>
      </c>
      <c r="G239" t="s">
        <v>224</v>
      </c>
      <c r="H239" s="51">
        <v>32</v>
      </c>
      <c r="I239" s="51">
        <v>157</v>
      </c>
    </row>
    <row r="240" spans="5:9" x14ac:dyDescent="0.25">
      <c r="E240">
        <f t="shared" si="25"/>
        <v>36</v>
      </c>
      <c r="G240" t="s">
        <v>225</v>
      </c>
      <c r="H240" s="51">
        <v>26</v>
      </c>
      <c r="I240" s="51">
        <v>157</v>
      </c>
    </row>
    <row r="241" spans="5:9" x14ac:dyDescent="0.25">
      <c r="E241">
        <f t="shared" si="25"/>
        <v>36</v>
      </c>
      <c r="G241" t="s">
        <v>226</v>
      </c>
      <c r="H241" s="51">
        <v>55</v>
      </c>
      <c r="I241" s="51">
        <v>157</v>
      </c>
    </row>
    <row r="242" spans="5:9" x14ac:dyDescent="0.25">
      <c r="E242">
        <f t="shared" si="25"/>
        <v>36</v>
      </c>
      <c r="G242" t="s">
        <v>227</v>
      </c>
      <c r="H242" s="51">
        <v>33</v>
      </c>
      <c r="I242" s="51">
        <v>157</v>
      </c>
    </row>
    <row r="243" spans="5:9" x14ac:dyDescent="0.25">
      <c r="E243">
        <f t="shared" si="25"/>
        <v>36</v>
      </c>
      <c r="G243" t="s">
        <v>228</v>
      </c>
      <c r="H243" s="51">
        <v>12</v>
      </c>
      <c r="I243" s="51">
        <v>157</v>
      </c>
    </row>
    <row r="244" spans="5:9" x14ac:dyDescent="0.25">
      <c r="E244">
        <f t="shared" si="25"/>
        <v>36</v>
      </c>
      <c r="G244" t="s">
        <v>229</v>
      </c>
      <c r="H244">
        <v>8</v>
      </c>
      <c r="I244" s="51">
        <v>157</v>
      </c>
    </row>
    <row r="245" spans="5:9" x14ac:dyDescent="0.25">
      <c r="E245">
        <f t="shared" si="25"/>
        <v>36</v>
      </c>
      <c r="G245" t="s">
        <v>230</v>
      </c>
      <c r="H245" s="51">
        <v>8</v>
      </c>
      <c r="I245" s="51">
        <v>157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13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7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16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15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36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22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12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15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12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20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19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38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32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62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35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11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16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18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16</v>
      </c>
      <c r="I264" s="51">
        <v>249</v>
      </c>
    </row>
    <row r="265" spans="5:9" x14ac:dyDescent="0.25">
      <c r="E265">
        <f t="shared" ref="E265:E272" si="28">+$F$264</f>
        <v>40</v>
      </c>
      <c r="G265" t="s">
        <v>223</v>
      </c>
      <c r="H265">
        <v>3</v>
      </c>
      <c r="I265" s="51">
        <v>249</v>
      </c>
    </row>
    <row r="266" spans="5:9" x14ac:dyDescent="0.25">
      <c r="E266">
        <f t="shared" si="28"/>
        <v>40</v>
      </c>
      <c r="G266" t="s">
        <v>224</v>
      </c>
      <c r="H266" s="51">
        <v>19</v>
      </c>
      <c r="I266" s="51">
        <v>249</v>
      </c>
    </row>
    <row r="267" spans="5:9" x14ac:dyDescent="0.25">
      <c r="E267">
        <f t="shared" si="28"/>
        <v>40</v>
      </c>
      <c r="G267" t="s">
        <v>225</v>
      </c>
      <c r="H267" s="51">
        <v>25</v>
      </c>
      <c r="I267" s="51">
        <v>249</v>
      </c>
    </row>
    <row r="268" spans="5:9" x14ac:dyDescent="0.25">
      <c r="E268">
        <f t="shared" si="28"/>
        <v>40</v>
      </c>
      <c r="G268" t="s">
        <v>226</v>
      </c>
      <c r="H268">
        <v>56</v>
      </c>
      <c r="I268" s="51">
        <v>249</v>
      </c>
    </row>
    <row r="269" spans="5:9" x14ac:dyDescent="0.25">
      <c r="E269">
        <f t="shared" si="28"/>
        <v>40</v>
      </c>
      <c r="G269" t="s">
        <v>227</v>
      </c>
      <c r="H269" s="51">
        <v>38</v>
      </c>
      <c r="I269" s="51">
        <v>249</v>
      </c>
    </row>
    <row r="270" spans="5:9" x14ac:dyDescent="0.25">
      <c r="E270">
        <f t="shared" si="28"/>
        <v>40</v>
      </c>
      <c r="G270" t="s">
        <v>228</v>
      </c>
      <c r="H270" s="51">
        <v>18</v>
      </c>
      <c r="I270" s="51">
        <v>249</v>
      </c>
    </row>
    <row r="271" spans="5:9" x14ac:dyDescent="0.25">
      <c r="E271">
        <f t="shared" si="28"/>
        <v>40</v>
      </c>
      <c r="G271" t="s">
        <v>229</v>
      </c>
      <c r="H271" s="51">
        <v>8</v>
      </c>
      <c r="I271" s="51">
        <v>249</v>
      </c>
    </row>
    <row r="272" spans="5:9" x14ac:dyDescent="0.25">
      <c r="E272">
        <f t="shared" si="28"/>
        <v>40</v>
      </c>
      <c r="G272" t="s">
        <v>230</v>
      </c>
      <c r="H272" s="51">
        <v>7</v>
      </c>
      <c r="I272" s="51">
        <v>249</v>
      </c>
    </row>
    <row r="273" spans="5:9" x14ac:dyDescent="0.25">
      <c r="E273">
        <f>+$F$273</f>
        <v>42</v>
      </c>
      <c r="F273">
        <v>42</v>
      </c>
      <c r="G273" t="s">
        <v>222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/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/>
      <c r="I275" s="51">
        <v>52</v>
      </c>
    </row>
    <row r="276" spans="5:9" x14ac:dyDescent="0.25">
      <c r="E276">
        <f t="shared" si="29"/>
        <v>42</v>
      </c>
      <c r="G276" t="s">
        <v>225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3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4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1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2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3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20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21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55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26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77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57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13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17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14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25</v>
      </c>
      <c r="I300" s="51">
        <v>239</v>
      </c>
    </row>
    <row r="301" spans="5:9" x14ac:dyDescent="0.25">
      <c r="E301">
        <f t="shared" ref="E301:E308" si="32">+$F$300</f>
        <v>49</v>
      </c>
      <c r="G301" t="s">
        <v>223</v>
      </c>
      <c r="H301" s="51">
        <v>12</v>
      </c>
      <c r="I301" s="51">
        <v>239</v>
      </c>
    </row>
    <row r="302" spans="5:9" x14ac:dyDescent="0.25">
      <c r="E302">
        <f t="shared" si="32"/>
        <v>49</v>
      </c>
      <c r="G302" t="s">
        <v>224</v>
      </c>
      <c r="H302" s="51">
        <v>40</v>
      </c>
      <c r="I302" s="51">
        <v>239</v>
      </c>
    </row>
    <row r="303" spans="5:9" x14ac:dyDescent="0.25">
      <c r="E303">
        <f t="shared" si="32"/>
        <v>49</v>
      </c>
      <c r="G303" t="s">
        <v>225</v>
      </c>
      <c r="H303" s="51">
        <v>9</v>
      </c>
      <c r="I303" s="51">
        <v>239</v>
      </c>
    </row>
    <row r="304" spans="5:9" x14ac:dyDescent="0.25">
      <c r="E304">
        <f t="shared" si="32"/>
        <v>49</v>
      </c>
      <c r="G304" t="s">
        <v>226</v>
      </c>
      <c r="H304" s="51">
        <v>29</v>
      </c>
      <c r="I304" s="51">
        <v>239</v>
      </c>
    </row>
    <row r="305" spans="5:9" x14ac:dyDescent="0.25">
      <c r="E305">
        <f t="shared" si="32"/>
        <v>49</v>
      </c>
      <c r="G305" t="s">
        <v>227</v>
      </c>
      <c r="H305" s="51">
        <v>21</v>
      </c>
      <c r="I305" s="51">
        <v>239</v>
      </c>
    </row>
    <row r="306" spans="5:9" x14ac:dyDescent="0.25">
      <c r="E306">
        <f t="shared" si="32"/>
        <v>49</v>
      </c>
      <c r="G306" t="s">
        <v>228</v>
      </c>
      <c r="H306" s="51">
        <v>32</v>
      </c>
      <c r="I306" s="51">
        <v>239</v>
      </c>
    </row>
    <row r="307" spans="5:9" x14ac:dyDescent="0.25">
      <c r="E307">
        <f t="shared" si="32"/>
        <v>49</v>
      </c>
      <c r="G307" t="s">
        <v>229</v>
      </c>
      <c r="H307">
        <v>13</v>
      </c>
      <c r="I307" s="51">
        <v>239</v>
      </c>
    </row>
    <row r="308" spans="5:9" x14ac:dyDescent="0.25">
      <c r="E308">
        <f t="shared" si="32"/>
        <v>49</v>
      </c>
      <c r="G308" t="s">
        <v>230</v>
      </c>
      <c r="H308">
        <v>19</v>
      </c>
      <c r="I308" s="51">
        <v>239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57</v>
      </c>
      <c r="I309" s="51">
        <v>260</v>
      </c>
    </row>
    <row r="310" spans="5:9" x14ac:dyDescent="0.25">
      <c r="E310">
        <f t="shared" ref="E310:E317" si="33">+$F$309</f>
        <v>5</v>
      </c>
      <c r="G310" t="s">
        <v>223</v>
      </c>
      <c r="H310">
        <v>35</v>
      </c>
      <c r="I310" s="51">
        <v>260</v>
      </c>
    </row>
    <row r="311" spans="5:9" x14ac:dyDescent="0.25">
      <c r="E311">
        <f t="shared" si="33"/>
        <v>5</v>
      </c>
      <c r="G311" t="s">
        <v>224</v>
      </c>
      <c r="H311">
        <v>66</v>
      </c>
      <c r="I311" s="51">
        <v>260</v>
      </c>
    </row>
    <row r="312" spans="5:9" x14ac:dyDescent="0.25">
      <c r="E312">
        <f t="shared" si="33"/>
        <v>5</v>
      </c>
      <c r="G312" t="s">
        <v>225</v>
      </c>
      <c r="H312">
        <v>28</v>
      </c>
      <c r="I312" s="51">
        <v>260</v>
      </c>
    </row>
    <row r="313" spans="5:9" x14ac:dyDescent="0.25">
      <c r="E313">
        <f t="shared" si="33"/>
        <v>5</v>
      </c>
      <c r="G313" t="s">
        <v>226</v>
      </c>
      <c r="H313">
        <v>98</v>
      </c>
      <c r="I313" s="51">
        <v>260</v>
      </c>
    </row>
    <row r="314" spans="5:9" x14ac:dyDescent="0.25">
      <c r="E314">
        <f t="shared" si="33"/>
        <v>5</v>
      </c>
      <c r="G314" t="s">
        <v>227</v>
      </c>
      <c r="H314">
        <v>65</v>
      </c>
      <c r="I314" s="51">
        <v>260</v>
      </c>
    </row>
    <row r="315" spans="5:9" x14ac:dyDescent="0.25">
      <c r="E315">
        <f t="shared" si="33"/>
        <v>5</v>
      </c>
      <c r="G315" t="s">
        <v>228</v>
      </c>
      <c r="H315" s="51">
        <v>25</v>
      </c>
      <c r="I315" s="51">
        <v>260</v>
      </c>
    </row>
    <row r="316" spans="5:9" x14ac:dyDescent="0.25">
      <c r="E316">
        <f t="shared" si="33"/>
        <v>5</v>
      </c>
      <c r="G316" t="s">
        <v>229</v>
      </c>
      <c r="H316">
        <v>24</v>
      </c>
      <c r="I316" s="51">
        <v>260</v>
      </c>
    </row>
    <row r="317" spans="5:9" x14ac:dyDescent="0.25">
      <c r="E317">
        <f t="shared" si="33"/>
        <v>5</v>
      </c>
      <c r="G317" t="s">
        <v>230</v>
      </c>
      <c r="H317" s="51">
        <v>19</v>
      </c>
      <c r="I317" s="51">
        <v>260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4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28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6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34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12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10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33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26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43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31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10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8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16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11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9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33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10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24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11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23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5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15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1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9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7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14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17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16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3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2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8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10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6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10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10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10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6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2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2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2</v>
      </c>
      <c r="I381">
        <v>114</v>
      </c>
    </row>
    <row r="382" spans="5:9" x14ac:dyDescent="0.25">
      <c r="E382">
        <f t="shared" ref="E382:E389" si="41">+$F$381</f>
        <v>7</v>
      </c>
      <c r="G382" t="s">
        <v>223</v>
      </c>
      <c r="I382">
        <v>114</v>
      </c>
    </row>
    <row r="383" spans="5:9" x14ac:dyDescent="0.25">
      <c r="E383">
        <f t="shared" si="41"/>
        <v>7</v>
      </c>
      <c r="G383" t="s">
        <v>224</v>
      </c>
      <c r="H383">
        <v>3</v>
      </c>
      <c r="I383">
        <v>114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114</v>
      </c>
    </row>
    <row r="385" spans="5:9" x14ac:dyDescent="0.25">
      <c r="E385">
        <f t="shared" si="41"/>
        <v>7</v>
      </c>
      <c r="G385" t="s">
        <v>226</v>
      </c>
      <c r="H385">
        <v>2</v>
      </c>
      <c r="I385">
        <v>114</v>
      </c>
    </row>
    <row r="386" spans="5:9" x14ac:dyDescent="0.25">
      <c r="E386">
        <f t="shared" si="41"/>
        <v>7</v>
      </c>
      <c r="G386" t="s">
        <v>227</v>
      </c>
      <c r="H386">
        <v>3</v>
      </c>
      <c r="I386">
        <v>114</v>
      </c>
    </row>
    <row r="387" spans="5:9" x14ac:dyDescent="0.25">
      <c r="E387">
        <f t="shared" si="41"/>
        <v>7</v>
      </c>
      <c r="G387" t="s">
        <v>228</v>
      </c>
      <c r="H387">
        <v>2</v>
      </c>
      <c r="I387">
        <v>114</v>
      </c>
    </row>
    <row r="388" spans="5:9" x14ac:dyDescent="0.25">
      <c r="E388">
        <f t="shared" si="41"/>
        <v>7</v>
      </c>
      <c r="G388" t="s">
        <v>229</v>
      </c>
      <c r="H388">
        <v>1</v>
      </c>
      <c r="I388">
        <v>114</v>
      </c>
    </row>
    <row r="389" spans="5:9" x14ac:dyDescent="0.25">
      <c r="E389">
        <f t="shared" si="41"/>
        <v>7</v>
      </c>
      <c r="G389" t="s">
        <v>230</v>
      </c>
      <c r="H389">
        <v>1</v>
      </c>
      <c r="I389">
        <v>114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28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9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42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12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50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42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11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8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17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30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34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30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23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50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47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12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17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16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2026-06-10T17:36:44Z</dcterms:modified>
</cp:coreProperties>
</file>