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6B7F95CC-75A4-4989-8061-4EFEBCB32D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<sst xmlns="http://schemas.openxmlformats.org/spreadsheetml/2006/main" count="902" uniqueCount="233">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</sst>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25611.065696433299</v>
      </c>
      <c r="D2" s="96">
        <v>126133.20713944281</v>
      </c>
      <c r="E2" s="96">
        <v>434907848.11576813</v>
      </c>
      <c r="F2" s="96">
        <v>0</v>
      </c>
      <c r="G2" s="96">
        <v>250001.682277908</v>
      </c>
      <c r="H2" s="96">
        <v>250001.75</v>
      </c>
    </row>
    <row r="3" spans="1:8" x14ac:dyDescent="0.25">
      <c r="A3" s="96" t="s">
        <v>81</v>
      </c>
      <c r="B3" s="96">
        <v>1</v>
      </c>
      <c r="C3" s="96">
        <v>363.88285091659998</v>
      </c>
      <c r="D3" s="96">
        <v>718.55759094129996</v>
      </c>
      <c r="E3" s="96">
        <v>8333389.4092635857</v>
      </c>
      <c r="F3" s="96">
        <v>0</v>
      </c>
      <c r="G3" s="96">
        <v>250001.682277908</v>
      </c>
      <c r="H3" s="96">
        <v>250001.75</v>
      </c>
    </row>
    <row r="4" spans="1:8" x14ac:dyDescent="0.25">
      <c r="A4" s="96" t="s">
        <v>82</v>
      </c>
      <c r="B4" s="96">
        <v>1</v>
      </c>
      <c r="C4" s="96">
        <v>195.03998809379999</v>
      </c>
      <c r="D4" s="96">
        <v>402.48999999900002</v>
      </c>
      <c r="E4" s="96">
        <v>5940437.3079375168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264.28033730039999</v>
      </c>
      <c r="D5" s="96">
        <v>1028.4771071376999</v>
      </c>
      <c r="E5" s="96">
        <v>5899873.0951455031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504.5438492056</v>
      </c>
      <c r="D6" s="96">
        <v>1468.7514881038001</v>
      </c>
      <c r="E6" s="96">
        <v>10378829.479285927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527.00327380809995</v>
      </c>
      <c r="D7" s="96">
        <v>1735.0909999968001</v>
      </c>
      <c r="E7" s="96">
        <v>10363253.207426563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2207.1115740741998</v>
      </c>
      <c r="D8" s="96">
        <v>2600.9464768541998</v>
      </c>
      <c r="E8" s="96">
        <v>26700664.115582384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269.37525793629999</v>
      </c>
      <c r="D9" s="96">
        <v>1238.1587500005</v>
      </c>
      <c r="E9" s="96">
        <v>4840096.3237659615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210.0905059525</v>
      </c>
      <c r="D10" s="96">
        <v>897.42411459009998</v>
      </c>
      <c r="E10" s="96">
        <v>6757662.8877063803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202.59692460209999</v>
      </c>
      <c r="D11" s="96">
        <v>711.06959523729995</v>
      </c>
      <c r="E11" s="96">
        <v>4132620.3846785584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482.02853174410001</v>
      </c>
      <c r="D12" s="96">
        <v>2873.0472023734001</v>
      </c>
      <c r="E12" s="96">
        <v>7873914.9061112888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421.31408730099997</v>
      </c>
      <c r="D13" s="96">
        <v>1365.8715119108999</v>
      </c>
      <c r="E13" s="96">
        <v>8636687.304375954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1339.7132936508001</v>
      </c>
      <c r="D14" s="96">
        <v>8570.2649999973</v>
      </c>
      <c r="E14" s="96">
        <v>25842742.680006113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426.04166666570001</v>
      </c>
      <c r="D15" s="96">
        <v>1430.822499996</v>
      </c>
      <c r="E15" s="96">
        <v>8367738.4832338309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279.93787698279999</v>
      </c>
      <c r="D16" s="96">
        <v>1427.9260119119999</v>
      </c>
      <c r="E16" s="96">
        <v>6987566.4676926713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537.59083333149999</v>
      </c>
      <c r="D17" s="96">
        <v>1554.7785238158999</v>
      </c>
      <c r="E17" s="96">
        <v>10570739.693693133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744.11172619009994</v>
      </c>
      <c r="D18" s="96">
        <v>3288.1152738087999</v>
      </c>
      <c r="E18" s="96">
        <v>14544874.419634702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571.65216931090004</v>
      </c>
      <c r="D19" s="96">
        <v>2198.1381428650998</v>
      </c>
      <c r="E19" s="96">
        <v>11219784.289331133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2555.1168055557</v>
      </c>
      <c r="D20" s="96">
        <v>11598.8506666628</v>
      </c>
      <c r="E20" s="96">
        <v>33209684.287959997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304.63680555370001</v>
      </c>
      <c r="D21" s="96">
        <v>1112.2292142900999</v>
      </c>
      <c r="E21" s="96">
        <v>6572144.8133745482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259.68611111000001</v>
      </c>
      <c r="D22" s="96">
        <v>792.65601190309997</v>
      </c>
      <c r="E22" s="96">
        <v>4306128.2350271344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950.75670634820005</v>
      </c>
      <c r="D23" s="96">
        <v>6242.1771547587996</v>
      </c>
      <c r="E23" s="96">
        <v>20172876.390481945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731.66458333349999</v>
      </c>
      <c r="D24" s="96">
        <v>4795.7219583328997</v>
      </c>
      <c r="E24" s="96">
        <v>13810777.689331688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340.14777777720002</v>
      </c>
      <c r="D25" s="96">
        <v>1173.7395833383</v>
      </c>
      <c r="E25" s="96">
        <v>6235749.7584266458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246.43285714199999</v>
      </c>
      <c r="D26" s="96">
        <v>613.9945833347</v>
      </c>
      <c r="E26" s="96">
        <v>3832290.7361907284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1886.5</v>
      </c>
      <c r="D27" s="96">
        <v>9716.84</v>
      </c>
      <c r="E27" s="96">
        <v>23429640.094719999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101</v>
      </c>
      <c r="B28" s="96">
        <v>1</v>
      </c>
      <c r="C28" s="96">
        <v>579.47321097760005</v>
      </c>
      <c r="D28" s="96">
        <v>2639.4981473278999</v>
      </c>
      <c r="E28" s="96">
        <v>11431823.194593111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1564.5369444447001</v>
      </c>
      <c r="D29" s="96">
        <v>3010.7420833383999</v>
      </c>
      <c r="E29" s="96">
        <v>21388145.925452832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178.7501984129</v>
      </c>
      <c r="D30" s="96">
        <v>688.43916667320002</v>
      </c>
      <c r="E30" s="96">
        <v>3372720.3592291768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224.93710317329999</v>
      </c>
      <c r="D31" s="96">
        <v>479.58999999909997</v>
      </c>
      <c r="E31" s="96">
        <v>3875759.7054576175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88.429761904800003</v>
      </c>
      <c r="D32" s="96">
        <v>549.61125000029995</v>
      </c>
      <c r="E32" s="96">
        <v>2627029.9340391951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344.67829365</v>
      </c>
      <c r="D33" s="96">
        <v>1064.2985000041999</v>
      </c>
      <c r="E33" s="96">
        <v>5871001.8178605409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25.288194444399998</v>
      </c>
      <c r="D34" s="96">
        <v>354.02</v>
      </c>
      <c r="E34" s="96">
        <v>715253.15687714703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148</v>
      </c>
      <c r="D35" s="96">
        <v>292.8</v>
      </c>
      <c r="E35" s="96">
        <v>2013486.1534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347.46670634819998</v>
      </c>
      <c r="D36" s="96">
        <v>1480.9436904767001</v>
      </c>
      <c r="E36" s="96">
        <v>7002297.6074060109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652.08799603219995</v>
      </c>
      <c r="D37" s="96">
        <v>4076.6771547639</v>
      </c>
      <c r="E37" s="96">
        <v>12982127.936856734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316.89242424230002</v>
      </c>
      <c r="D38" s="96">
        <v>3410.1299999989001</v>
      </c>
      <c r="E38" s="96">
        <v>6979221.568329419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903.58333333329995</v>
      </c>
      <c r="D39" s="96">
        <v>10709.479999998801</v>
      </c>
      <c r="E39" s="96">
        <v>19182792.083198067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109</v>
      </c>
      <c r="B40" s="96">
        <v>1</v>
      </c>
      <c r="C40" s="96">
        <v>783.70252645510004</v>
      </c>
      <c r="D40" s="96">
        <v>4461.5912844021996</v>
      </c>
      <c r="E40" s="96">
        <v>7360714.5095196133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911.18134920600005</v>
      </c>
      <c r="D41" s="96">
        <v>6551.529166667</v>
      </c>
      <c r="E41" s="96">
        <v>12160822.067982538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56</v>
      </c>
      <c r="D42" s="96">
        <v>798.04</v>
      </c>
      <c r="E42" s="96">
        <v>1256116.5299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249.55500992079999</v>
      </c>
      <c r="D43" s="96">
        <v>1124.5225014852999</v>
      </c>
      <c r="E43" s="96">
        <v>8104352.0621971888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1041.2170634924</v>
      </c>
      <c r="D44" s="96">
        <v>12428.4199404746</v>
      </c>
      <c r="E44" s="96">
        <v>14041795.823822808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272.1541865085</v>
      </c>
      <c r="D45" s="96">
        <v>2481.7347916711001</v>
      </c>
      <c r="E45" s="96">
        <v>5468726.5718661454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101.875</v>
      </c>
      <c r="D46" s="96">
        <v>-24.9999999996</v>
      </c>
      <c r="E46" s="96">
        <v>113494.647396092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14544874.419634702</v>
      </c>
      <c r="E2" s="59">
        <v>12888810.036315698</v>
      </c>
      <c r="F2" s="59">
        <f t="shared" ref="F2:F9" si="0">+D2-E2</f>
        <v>1656064.3833190035</v>
      </c>
      <c r="G2" s="60">
        <f t="shared" ref="G2:G41" si="1">+D2/C2</f>
        <v>0.45059759864379156</v>
      </c>
      <c r="H2" s="59">
        <f>+D2/$N$3*$N$4</f>
        <v>49868140.867318973</v>
      </c>
      <c r="I2" s="60">
        <f t="shared" ref="I2:I41" si="2">+H2/C2</f>
        <v>1.5449060524929996</v>
      </c>
      <c r="J2" s="59">
        <f>+D2/$N$3</f>
        <v>2077839.2028049573</v>
      </c>
      <c r="K2" s="59">
        <f t="shared" ref="K2:K41" si="3">+(C2-D2)/$N$2</f>
        <v>1043188.3658009443</v>
      </c>
      <c r="L2" s="61" cm="1">
        <f t="array" ref="L2">+_xlfn.IFS(I2&gt;114%,H2*0.02,I2&gt;109%,H2*0.015,I2&gt;104%,H2*0.0125,I2&gt;99%,H2*0.01,I2&lt;99%,H2*0)</f>
        <v>997362.81734637951</v>
      </c>
      <c r="M2" s="53" t="s">
        <v>36</v>
      </c>
      <c r="N2">
        <v>17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10570739.693693133</v>
      </c>
      <c r="E3" s="4">
        <v>10212334.874835599</v>
      </c>
      <c r="F3" s="4">
        <f t="shared" si="0"/>
        <v>358404.81885753386</v>
      </c>
      <c r="G3" s="5">
        <f t="shared" si="1"/>
        <v>0.34118169428661804</v>
      </c>
      <c r="H3" s="4">
        <f t="shared" ref="H3:H41" si="4">+D3/$N$3*$N$4</f>
        <v>36242536.092662171</v>
      </c>
      <c r="I3" s="5">
        <f t="shared" si="2"/>
        <v>1.1697658089826906</v>
      </c>
      <c r="J3" s="4">
        <f t="shared" ref="J3:J41" si="5">+D3/$N$3</f>
        <v>1510105.6705275904</v>
      </c>
      <c r="K3" s="4">
        <f t="shared" si="3"/>
        <v>1200705.2050111836</v>
      </c>
      <c r="L3" s="63" cm="1">
        <f t="array" ref="L3">+_xlfn.IFS(I3&gt;114%,H3*0.02,I3&gt;109%,H3*0.015,I3&gt;104%,H3*0.0125,I3&gt;99%,H3*0.01,I3&lt;99%,H3*0)</f>
        <v>724850.72185324342</v>
      </c>
      <c r="M3" s="53" t="s">
        <v>40</v>
      </c>
      <c r="N3">
        <f>N4-N2</f>
        <v>7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8367738.4832338309</v>
      </c>
      <c r="E4" s="4">
        <v>6977673.3087740811</v>
      </c>
      <c r="F4" s="4">
        <f t="shared" si="0"/>
        <v>1390065.1744597498</v>
      </c>
      <c r="G4" s="5">
        <f t="shared" si="1"/>
        <v>0.29474213700425966</v>
      </c>
      <c r="H4" s="4">
        <f t="shared" si="4"/>
        <v>28689389.085373133</v>
      </c>
      <c r="I4" s="5">
        <f t="shared" si="2"/>
        <v>1.0105444697288901</v>
      </c>
      <c r="J4" s="4">
        <f t="shared" si="5"/>
        <v>1195391.2118905473</v>
      </c>
      <c r="K4" s="4">
        <f t="shared" si="3"/>
        <v>1177781.9280537895</v>
      </c>
      <c r="L4" s="63" cm="1">
        <f t="array" ref="L4">+_xlfn.IFS(I4&gt;114%,H4*0.02,I4&gt;109%,H4*0.015,I4&gt;104%,H4*0.0125,I4&gt;99%,H4*0.01,I4&lt;99%,H4*0)</f>
        <v>286893.89085373137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8636687.304375954</v>
      </c>
      <c r="E5" s="4">
        <v>7646569.2805425785</v>
      </c>
      <c r="F5" s="4">
        <f t="shared" si="0"/>
        <v>990118.02383337542</v>
      </c>
      <c r="G5" s="5">
        <f t="shared" si="1"/>
        <v>0.30421549117839375</v>
      </c>
      <c r="H5" s="4">
        <f t="shared" si="4"/>
        <v>29611499.329288989</v>
      </c>
      <c r="I5" s="5">
        <f t="shared" si="2"/>
        <v>1.0430245411830645</v>
      </c>
      <c r="J5" s="4">
        <f t="shared" si="5"/>
        <v>1233812.4720537078</v>
      </c>
      <c r="K5" s="4">
        <f t="shared" si="3"/>
        <v>1161961.4091630764</v>
      </c>
      <c r="L5" s="63" cm="1">
        <f t="array" ref="L5">+_xlfn.IFS(I5&gt;114%,H5*0.02,I5&gt;109%,H5*0.015,I5&gt;104%,H5*0.0125,I5&gt;99%,H5*0.01,I5&lt;99%,H5*0)</f>
        <v>370143.74161611241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7873914.9061112888</v>
      </c>
      <c r="E6" s="4">
        <v>6728186.3048162535</v>
      </c>
      <c r="F6" s="4">
        <f t="shared" si="0"/>
        <v>1145728.6012950353</v>
      </c>
      <c r="G6" s="5">
        <f t="shared" si="1"/>
        <v>0.33465115771809623</v>
      </c>
      <c r="H6" s="4">
        <f t="shared" si="4"/>
        <v>26996279.678095847</v>
      </c>
      <c r="I6" s="5">
        <f t="shared" si="2"/>
        <v>1.1473753978906158</v>
      </c>
      <c r="J6" s="4">
        <f t="shared" si="5"/>
        <v>1124844.986587327</v>
      </c>
      <c r="K6" s="4">
        <f t="shared" si="3"/>
        <v>920871.15478875511</v>
      </c>
      <c r="L6" s="63" cm="1">
        <f t="array" ref="L6">+_xlfn.IFS(I6&gt;114%,H6*0.02,I6&gt;109%,H6*0.015,I6&gt;104%,H6*0.0125,I6&gt;99%,H6*0.01,I6&lt;99%,H6*0)</f>
        <v>539925.59356191696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4840096.3237659615</v>
      </c>
      <c r="E7" s="4">
        <v>4065628.6784671973</v>
      </c>
      <c r="F7" s="4">
        <f t="shared" ref="F7:F8" si="6">+D7-E7</f>
        <v>774467.64529876411</v>
      </c>
      <c r="G7" s="5">
        <f t="shared" si="1"/>
        <v>0.17446908180843293</v>
      </c>
      <c r="H7" s="4">
        <f t="shared" si="4"/>
        <v>16594615.967197582</v>
      </c>
      <c r="I7" s="5">
        <f t="shared" si="2"/>
        <v>0.5981797090574843</v>
      </c>
      <c r="J7" s="4">
        <f t="shared" si="5"/>
        <v>691442.33196656592</v>
      </c>
      <c r="K7" s="4">
        <f t="shared" si="3"/>
        <v>1347162.3945116792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10363253.207426563</v>
      </c>
      <c r="E8" s="4">
        <v>9117515.4833692927</v>
      </c>
      <c r="F8" s="4">
        <f t="shared" si="6"/>
        <v>1245737.7240572702</v>
      </c>
      <c r="G8" s="5">
        <f t="shared" si="1"/>
        <v>0.28922532309579596</v>
      </c>
      <c r="H8" s="4">
        <f t="shared" si="4"/>
        <v>35531153.854033932</v>
      </c>
      <c r="I8" s="5">
        <f t="shared" si="2"/>
        <v>0.9916296791855862</v>
      </c>
      <c r="J8" s="4">
        <f t="shared" si="5"/>
        <v>1480464.7439180803</v>
      </c>
      <c r="K8" s="4">
        <f t="shared" si="3"/>
        <v>1498106.953499479</v>
      </c>
      <c r="L8" s="63" cm="1">
        <f t="array" ref="L8">+_xlfn.IFS(I8&gt;114%,H8*0.02,I8&gt;109%,H8*0.015,I8&gt;104%,H8*0.0125,I8&gt;99%,H8*0.01,I8&lt;99%,H8*0)</f>
        <v>355311.53854033933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10378829.479285927</v>
      </c>
      <c r="E9" s="4">
        <v>8696250.9292322323</v>
      </c>
      <c r="F9" s="4">
        <f t="shared" si="0"/>
        <v>1682578.5500536952</v>
      </c>
      <c r="G9" s="5">
        <f t="shared" si="1"/>
        <v>0.28966003719290251</v>
      </c>
      <c r="H9" s="4">
        <f t="shared" si="4"/>
        <v>35584558.214694604</v>
      </c>
      <c r="I9" s="5">
        <f t="shared" si="2"/>
        <v>0.99312012751852274</v>
      </c>
      <c r="J9" s="4">
        <f t="shared" si="5"/>
        <v>1482689.9256122753</v>
      </c>
      <c r="K9" s="4">
        <f t="shared" si="3"/>
        <v>1497190.702213634</v>
      </c>
      <c r="L9" s="63" cm="1">
        <f t="array" ref="L9">+_xlfn.IFS(I9&gt;114%,H9*0.02,I9&gt;109%,H9*0.015,I9&gt;104%,H9*0.0125,I9&gt;99%,H9*0.01,I9&lt;99%,H9*0)</f>
        <v>355845.58214694605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75576133.817527354</v>
      </c>
      <c r="E10" s="65">
        <v>66332968.896352932</v>
      </c>
      <c r="F10" s="64">
        <f>+SUM(F2:F9)</f>
        <v>9243164.9211744275</v>
      </c>
      <c r="G10" s="66">
        <f t="shared" si="1"/>
        <v>0.31104541950885256</v>
      </c>
      <c r="H10" s="64">
        <f t="shared" si="4"/>
        <v>259118173.08866525</v>
      </c>
      <c r="I10" s="66">
        <f t="shared" si="2"/>
        <v>1.0664414383160661</v>
      </c>
      <c r="J10" s="64">
        <f t="shared" si="5"/>
        <v>10796590.545361051</v>
      </c>
      <c r="K10" s="67">
        <f t="shared" si="3"/>
        <v>9846968.113042539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33209684.287959997</v>
      </c>
      <c r="E11" s="59">
        <v>27236244.29200922</v>
      </c>
      <c r="F11" s="59">
        <f t="shared" ref="F11:F16" si="7">+D11-E11</f>
        <v>5973439.9959507771</v>
      </c>
      <c r="G11" s="60">
        <f t="shared" si="1"/>
        <v>0.34246691758248254</v>
      </c>
      <c r="H11" s="59">
        <f t="shared" si="4"/>
        <v>113861774.70157713</v>
      </c>
      <c r="I11" s="60">
        <f t="shared" si="2"/>
        <v>1.1741722888542259</v>
      </c>
      <c r="J11" s="59">
        <f t="shared" si="5"/>
        <v>4744240.6125657139</v>
      </c>
      <c r="K11" s="59">
        <f t="shared" si="3"/>
        <v>3750721.4230692657</v>
      </c>
      <c r="L11" s="61" cm="1">
        <f t="array" ref="L11">+_xlfn.IFS(I11&gt;114%,H11*0.0125,I11&gt;109%,H11*0.01,I11&gt;104%,H11*0.0075,I11&gt;99%,H11*0.005,I11&lt;99%,H11*0)</f>
        <v>1423272.1837697141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12982127.936856734</v>
      </c>
      <c r="E12" s="4">
        <v>7342359.2744361712</v>
      </c>
      <c r="F12" s="4">
        <f t="shared" si="7"/>
        <v>5639768.6624205625</v>
      </c>
      <c r="G12" s="5">
        <f t="shared" si="1"/>
        <v>0.41042546839702609</v>
      </c>
      <c r="H12" s="4">
        <f t="shared" si="4"/>
        <v>44510152.926365942</v>
      </c>
      <c r="I12" s="5">
        <f t="shared" si="2"/>
        <v>1.4071730345040894</v>
      </c>
      <c r="J12" s="4">
        <f t="shared" si="5"/>
        <v>1854589.7052652477</v>
      </c>
      <c r="K12" s="4">
        <f t="shared" si="3"/>
        <v>1096986.733630016</v>
      </c>
      <c r="L12" s="63" cm="1">
        <f t="array" ref="L12">+_xlfn.IFS(I12&gt;114%,H12*0.02,I12&gt;109%,H12*0.015,I12&gt;104%,H12*0.0125,I12&gt;99%,H12*0.01,I12&lt;99%,H12*0)</f>
        <v>890203.05852731888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25842742.680006113</v>
      </c>
      <c r="E13" s="4">
        <v>41231894.308746725</v>
      </c>
      <c r="F13" s="4">
        <f t="shared" si="7"/>
        <v>-15389151.628740612</v>
      </c>
      <c r="G13" s="5">
        <f t="shared" si="1"/>
        <v>0.20132404393912623</v>
      </c>
      <c r="H13" s="4">
        <f t="shared" si="4"/>
        <v>88603689.188592389</v>
      </c>
      <c r="I13" s="5">
        <f t="shared" si="2"/>
        <v>0.69025386493414709</v>
      </c>
      <c r="J13" s="4">
        <f t="shared" si="5"/>
        <v>3691820.3828580161</v>
      </c>
      <c r="K13" s="4">
        <f t="shared" si="3"/>
        <v>6030657.2585069919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6979221.568329419</v>
      </c>
      <c r="E14" s="4">
        <v>6878414.3543294193</v>
      </c>
      <c r="F14" s="4">
        <f t="shared" si="7"/>
        <v>100807.21399999969</v>
      </c>
      <c r="G14" s="5">
        <f t="shared" si="1"/>
        <v>0.16441405290557995</v>
      </c>
      <c r="H14" s="4">
        <f t="shared" si="4"/>
        <v>23928759.662843723</v>
      </c>
      <c r="I14" s="5">
        <f t="shared" si="2"/>
        <v>0.5637053242477027</v>
      </c>
      <c r="J14" s="4">
        <f t="shared" si="5"/>
        <v>997031.65261848841</v>
      </c>
      <c r="K14" s="4">
        <f t="shared" si="3"/>
        <v>2086460.930979152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19182792.083198067</v>
      </c>
      <c r="E15" s="4">
        <v>12288523.154902149</v>
      </c>
      <c r="F15" s="4">
        <f t="shared" si="7"/>
        <v>6894268.9282959178</v>
      </c>
      <c r="G15" s="5">
        <f t="shared" si="1"/>
        <v>0.45190148522517892</v>
      </c>
      <c r="H15" s="4">
        <f t="shared" si="4"/>
        <v>65769572.856679089</v>
      </c>
      <c r="I15" s="5">
        <f t="shared" si="2"/>
        <v>1.549376520772042</v>
      </c>
      <c r="J15" s="4">
        <f t="shared" si="5"/>
        <v>2740398.8690282954</v>
      </c>
      <c r="K15" s="4">
        <f t="shared" si="3"/>
        <v>1368603.8418692313</v>
      </c>
      <c r="L15" s="63" cm="1">
        <f t="array" ref="L15">+_xlfn.IFS(I15&gt;109%,H15*0.015,I15&gt;104%,H15*0.0125,I15&gt;99%,H15*0.01,I15&lt;99%,H15*0)</f>
        <v>986543.59285018628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98196568.556350335</v>
      </c>
      <c r="E16" s="65">
        <v>94977435.384423673</v>
      </c>
      <c r="F16" s="64">
        <f t="shared" si="7"/>
        <v>3219133.1719266623</v>
      </c>
      <c r="G16" s="66">
        <f t="shared" si="1"/>
        <v>0.28723795217789533</v>
      </c>
      <c r="H16" s="64">
        <f t="shared" si="4"/>
        <v>336673949.33605826</v>
      </c>
      <c r="I16" s="66">
        <f t="shared" si="2"/>
        <v>0.98481583603849809</v>
      </c>
      <c r="J16" s="64">
        <f t="shared" si="5"/>
        <v>14028081.222335761</v>
      </c>
      <c r="K16" s="67">
        <f t="shared" si="3"/>
        <v>14333430.188054657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5940437.3079375168</v>
      </c>
      <c r="E17" s="59">
        <v>5569721.4797102707</v>
      </c>
      <c r="F17" s="59">
        <f t="shared" ref="F17:F40" si="8">+D17-E17</f>
        <v>370715.82822724618</v>
      </c>
      <c r="G17" s="60">
        <f t="shared" si="1"/>
        <v>0.20248256992372748</v>
      </c>
      <c r="H17" s="59">
        <f t="shared" si="4"/>
        <v>20367213.627214342</v>
      </c>
      <c r="I17" s="60">
        <f t="shared" si="2"/>
        <v>0.6942259540242085</v>
      </c>
      <c r="J17" s="59">
        <f t="shared" si="5"/>
        <v>848633.90113393101</v>
      </c>
      <c r="K17" s="59">
        <f t="shared" si="3"/>
        <v>1376328.2837977933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5899873.0951455031</v>
      </c>
      <c r="E18" s="4">
        <v>5463522.8209966822</v>
      </c>
      <c r="F18" s="4">
        <f t="shared" si="8"/>
        <v>436350.2741488209</v>
      </c>
      <c r="G18" s="5">
        <f t="shared" si="1"/>
        <v>0.23637780005675121</v>
      </c>
      <c r="H18" s="4">
        <f t="shared" si="4"/>
        <v>20228136.326213151</v>
      </c>
      <c r="I18" s="5">
        <f t="shared" si="2"/>
        <v>0.81043817162314702</v>
      </c>
      <c r="J18" s="4">
        <f t="shared" si="5"/>
        <v>842839.01359221467</v>
      </c>
      <c r="K18" s="4">
        <f t="shared" si="3"/>
        <v>1121154.870873794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6987566.4676926713</v>
      </c>
      <c r="E19" s="4">
        <v>5986642.3849513531</v>
      </c>
      <c r="F19" s="4">
        <f t="shared" si="8"/>
        <v>1000924.0827413183</v>
      </c>
      <c r="G19" s="5">
        <f t="shared" si="1"/>
        <v>0.27024252650546504</v>
      </c>
      <c r="H19" s="4">
        <f t="shared" si="4"/>
        <v>23957370.746374875</v>
      </c>
      <c r="I19" s="5">
        <f t="shared" si="2"/>
        <v>0.92654580516159457</v>
      </c>
      <c r="J19" s="4">
        <f t="shared" si="5"/>
        <v>998223.7810989531</v>
      </c>
      <c r="K19" s="4">
        <f t="shared" si="3"/>
        <v>1109946.0998710191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11219784.289331133</v>
      </c>
      <c r="E20" s="4">
        <v>10086924.880174421</v>
      </c>
      <c r="F20" s="4">
        <f t="shared" si="8"/>
        <v>1132859.4091567118</v>
      </c>
      <c r="G20" s="5">
        <f t="shared" si="1"/>
        <v>0.33443844081119073</v>
      </c>
      <c r="H20" s="4">
        <f t="shared" si="4"/>
        <v>38467831.849135309</v>
      </c>
      <c r="I20" s="5">
        <f t="shared" si="2"/>
        <v>1.1466460827812253</v>
      </c>
      <c r="J20" s="4">
        <f t="shared" si="5"/>
        <v>1602826.3270473047</v>
      </c>
      <c r="K20" s="4">
        <f t="shared" si="3"/>
        <v>1313432.1006275807</v>
      </c>
      <c r="L20" s="63" cm="1">
        <f t="array" ref="L20">+_xlfn.IFS(I20&gt;114%,H20*0.02,I20&gt;109%,H20*0.015,I20&gt;104%,H20*0.0125,I20&gt;99%,H20*0.01,I20&lt;99%,H20*0)</f>
        <v>769356.63698270626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6572144.8133745482</v>
      </c>
      <c r="E21" s="4">
        <v>6172988.7852142667</v>
      </c>
      <c r="F21" s="4">
        <f t="shared" ref="F21:F23" si="9">+D21-E21</f>
        <v>399156.02816028148</v>
      </c>
      <c r="G21" s="5">
        <f t="shared" si="1"/>
        <v>0.25815119633374256</v>
      </c>
      <c r="H21" s="4">
        <f t="shared" si="4"/>
        <v>22533067.931569882</v>
      </c>
      <c r="I21" s="5">
        <f t="shared" si="2"/>
        <v>0.88508981600140313</v>
      </c>
      <c r="J21" s="4">
        <f t="shared" si="5"/>
        <v>938877.83048207837</v>
      </c>
      <c r="K21" s="4">
        <f t="shared" si="3"/>
        <v>1110962.6580367913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11431823.194593111</v>
      </c>
      <c r="E22" s="4">
        <v>9510778.0994110405</v>
      </c>
      <c r="F22" s="4">
        <f t="shared" si="9"/>
        <v>1921045.0951820705</v>
      </c>
      <c r="G22" s="5">
        <f t="shared" si="1"/>
        <v>0.36013806942485377</v>
      </c>
      <c r="H22" s="4">
        <f t="shared" si="4"/>
        <v>39194822.381462097</v>
      </c>
      <c r="I22" s="5">
        <f t="shared" si="2"/>
        <v>1.2347590951709273</v>
      </c>
      <c r="J22" s="4">
        <f t="shared" si="5"/>
        <v>1633117.5992275872</v>
      </c>
      <c r="K22" s="4">
        <f t="shared" si="3"/>
        <v>1194768.6473768761</v>
      </c>
      <c r="L22" s="63" cm="1">
        <f t="array" ref="L22">+_xlfn.IFS(I22&gt;114%,H22*0.02,I22&gt;109%,H22*0.015,I22&gt;104%,H22*0.0125,I22&gt;99%,H22*0.01,I22&lt;99%,H22*0)</f>
        <v>783896.44762924197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7002297.6074060109</v>
      </c>
      <c r="E23" s="4">
        <v>6142976.0828060079</v>
      </c>
      <c r="F23" s="4">
        <f t="shared" si="9"/>
        <v>859321.52460000291</v>
      </c>
      <c r="G23" s="5">
        <f t="shared" si="1"/>
        <v>0.25522347757590025</v>
      </c>
      <c r="H23" s="4">
        <f t="shared" si="4"/>
        <v>24007877.511106323</v>
      </c>
      <c r="I23" s="5">
        <f t="shared" si="2"/>
        <v>0.87505192311737223</v>
      </c>
      <c r="J23" s="4">
        <f t="shared" si="5"/>
        <v>1000328.2296294301</v>
      </c>
      <c r="K23" s="4">
        <f t="shared" si="3"/>
        <v>1201979.3307408229</v>
      </c>
      <c r="L23" s="63" cm="1">
        <f t="array" ref="L23">+_xlfn.IFS(I23&gt;114%,H23*0.02,I23&gt;109%,H23*0.015,I23&gt;104%,H23*0.0125,I23&gt;99%,H23*0.01,I23&lt;99%,H23*0)</f>
        <v>0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7360714.5095196133</v>
      </c>
      <c r="E24" s="4">
        <v>7360714.5095196133</v>
      </c>
      <c r="F24" s="4">
        <f t="shared" si="8"/>
        <v>0</v>
      </c>
      <c r="G24" s="5">
        <f t="shared" si="1"/>
        <v>0.21976182070279676</v>
      </c>
      <c r="H24" s="4">
        <f t="shared" si="4"/>
        <v>25236735.461210102</v>
      </c>
      <c r="I24" s="5">
        <f t="shared" si="2"/>
        <v>0.75346909955244601</v>
      </c>
      <c r="J24" s="4">
        <f t="shared" si="5"/>
        <v>1051530.6442170877</v>
      </c>
      <c r="K24" s="4">
        <f t="shared" si="3"/>
        <v>1537255.3229694346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12160822.067982538</v>
      </c>
      <c r="E25" s="4">
        <v>12160822.067982538</v>
      </c>
      <c r="F25" s="4">
        <f t="shared" si="8"/>
        <v>0</v>
      </c>
      <c r="G25" s="5">
        <f t="shared" si="1"/>
        <v>0.22492985610008884</v>
      </c>
      <c r="H25" s="4">
        <f t="shared" si="4"/>
        <v>41694247.090225846</v>
      </c>
      <c r="I25" s="5">
        <f t="shared" si="2"/>
        <v>0.77118807805744749</v>
      </c>
      <c r="J25" s="4">
        <f t="shared" si="5"/>
        <v>1737260.2954260767</v>
      </c>
      <c r="K25" s="4">
        <f t="shared" si="3"/>
        <v>2464948.8704127925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74575463.35298264</v>
      </c>
      <c r="E26" s="65">
        <v>68455091.110766187</v>
      </c>
      <c r="F26" s="67">
        <f>+D26-E26</f>
        <v>6120372.242216453</v>
      </c>
      <c r="G26" s="66">
        <f t="shared" si="1"/>
        <v>0.26084579671019531</v>
      </c>
      <c r="H26" s="64">
        <f t="shared" si="4"/>
        <v>255687302.92451191</v>
      </c>
      <c r="I26" s="66">
        <f t="shared" si="2"/>
        <v>0.89432844586352678</v>
      </c>
      <c r="J26" s="64">
        <f t="shared" si="5"/>
        <v>10653637.621854663</v>
      </c>
      <c r="K26" s="67">
        <f t="shared" si="3"/>
        <v>12430776.184706906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21388145.925452832</v>
      </c>
      <c r="E27" s="59">
        <v>18937147.75616448</v>
      </c>
      <c r="F27" s="59">
        <f t="shared" si="8"/>
        <v>2450998.1692883521</v>
      </c>
      <c r="G27" s="60">
        <f t="shared" si="1"/>
        <v>0.26090200048858203</v>
      </c>
      <c r="H27" s="59">
        <f t="shared" si="4"/>
        <v>73330786.030123994</v>
      </c>
      <c r="I27" s="60">
        <f t="shared" si="2"/>
        <v>0.89452114453228126</v>
      </c>
      <c r="J27" s="59">
        <f t="shared" si="5"/>
        <v>3055449.4179218332</v>
      </c>
      <c r="K27" s="59">
        <f t="shared" si="3"/>
        <v>3564091.4161498337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3875759.7054576175</v>
      </c>
      <c r="E28" s="4">
        <v>3339149.8528803443</v>
      </c>
      <c r="F28" s="4">
        <f t="shared" si="8"/>
        <v>536609.85257727327</v>
      </c>
      <c r="G28" s="5">
        <f t="shared" si="1"/>
        <v>0.18455998597417225</v>
      </c>
      <c r="H28" s="4">
        <f t="shared" si="4"/>
        <v>13288318.990140401</v>
      </c>
      <c r="I28" s="5">
        <f t="shared" si="2"/>
        <v>0.63277709476859056</v>
      </c>
      <c r="J28" s="4">
        <f t="shared" si="5"/>
        <v>553679.95792251674</v>
      </c>
      <c r="K28" s="4">
        <f t="shared" si="3"/>
        <v>1007308.2526201402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6757662.8877063803</v>
      </c>
      <c r="E29" s="4">
        <v>6335712.8592704926</v>
      </c>
      <c r="F29" s="4">
        <f t="shared" si="8"/>
        <v>421950.02843588777</v>
      </c>
      <c r="G29" s="5">
        <f t="shared" si="1"/>
        <v>0.26253852561243451</v>
      </c>
      <c r="H29" s="4">
        <f t="shared" si="4"/>
        <v>23169129.900707588</v>
      </c>
      <c r="I29" s="5">
        <f t="shared" si="2"/>
        <v>0.90013208781406107</v>
      </c>
      <c r="J29" s="4">
        <f t="shared" si="5"/>
        <v>965380.41252948286</v>
      </c>
      <c r="K29" s="4">
        <f t="shared" si="3"/>
        <v>1116590.4183702129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5871001.8178605409</v>
      </c>
      <c r="E30" s="4">
        <v>5102416.1731653139</v>
      </c>
      <c r="F30" s="4">
        <f t="shared" si="8"/>
        <v>768585.64469522703</v>
      </c>
      <c r="G30" s="5">
        <f t="shared" si="1"/>
        <v>0.15355766801770304</v>
      </c>
      <c r="H30" s="4">
        <f t="shared" si="4"/>
        <v>20129149.08980757</v>
      </c>
      <c r="I30" s="5">
        <f t="shared" si="2"/>
        <v>0.52648343320355329</v>
      </c>
      <c r="J30" s="4">
        <f t="shared" si="5"/>
        <v>838714.54540864867</v>
      </c>
      <c r="K30" s="4">
        <f t="shared" si="3"/>
        <v>1903659.0173097136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6235749.7584266458</v>
      </c>
      <c r="E31" s="4">
        <v>5326745.1355416654</v>
      </c>
      <c r="F31" s="4">
        <f t="shared" si="8"/>
        <v>909004.6228849804</v>
      </c>
      <c r="G31" s="5">
        <f t="shared" si="1"/>
        <v>0.24535464960709202</v>
      </c>
      <c r="H31" s="4">
        <f t="shared" si="4"/>
        <v>21379713.457462788</v>
      </c>
      <c r="I31" s="5">
        <f t="shared" si="2"/>
        <v>0.84121594151002987</v>
      </c>
      <c r="J31" s="4">
        <f t="shared" si="5"/>
        <v>890821.39406094945</v>
      </c>
      <c r="K31" s="4">
        <f t="shared" si="3"/>
        <v>1128205.8965631386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4132620.3846785584</v>
      </c>
      <c r="E32" s="4">
        <v>3800655.2343727285</v>
      </c>
      <c r="F32" s="4">
        <f t="shared" si="8"/>
        <v>331965.15030582994</v>
      </c>
      <c r="G32" s="5">
        <f t="shared" si="1"/>
        <v>0.1639928724078793</v>
      </c>
      <c r="H32" s="4">
        <f t="shared" si="4"/>
        <v>14168984.176040772</v>
      </c>
      <c r="I32" s="5">
        <f t="shared" si="2"/>
        <v>0.56226127682701477</v>
      </c>
      <c r="J32" s="4">
        <f t="shared" si="5"/>
        <v>590374.34066836548</v>
      </c>
      <c r="K32" s="4">
        <f t="shared" si="3"/>
        <v>1239257.6244306732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3832290.7361907284</v>
      </c>
      <c r="E33" s="4">
        <v>3355234.3973482912</v>
      </c>
      <c r="F33" s="4">
        <f t="shared" si="8"/>
        <v>477056.33884243714</v>
      </c>
      <c r="G33" s="5">
        <f t="shared" si="1"/>
        <v>0.14463248270790677</v>
      </c>
      <c r="H33" s="4">
        <f t="shared" si="4"/>
        <v>13139282.524082497</v>
      </c>
      <c r="I33" s="5">
        <f t="shared" si="2"/>
        <v>0.49588279785568029</v>
      </c>
      <c r="J33" s="4">
        <f t="shared" si="5"/>
        <v>547470.10517010407</v>
      </c>
      <c r="K33" s="4">
        <f t="shared" si="3"/>
        <v>1333203.4861064276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3372720.3592291768</v>
      </c>
      <c r="E34" s="4">
        <v>2447356.6153951334</v>
      </c>
      <c r="F34" s="4">
        <f t="shared" si="8"/>
        <v>925363.74383404339</v>
      </c>
      <c r="G34" s="5">
        <f t="shared" si="1"/>
        <v>0.16060573139186557</v>
      </c>
      <c r="H34" s="4">
        <f t="shared" si="4"/>
        <v>11563612.66021432</v>
      </c>
      <c r="I34" s="5">
        <f t="shared" si="2"/>
        <v>0.55064822191496765</v>
      </c>
      <c r="J34" s="4">
        <f t="shared" si="5"/>
        <v>481817.1941755967</v>
      </c>
      <c r="K34" s="4">
        <f t="shared" si="3"/>
        <v>1036898.8023982837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2627029.9340391951</v>
      </c>
      <c r="E35" s="4">
        <v>1956633.4710906136</v>
      </c>
      <c r="F35" s="4">
        <f t="shared" si="8"/>
        <v>670396.46294858144</v>
      </c>
      <c r="G35" s="5">
        <f t="shared" si="1"/>
        <v>0.10653778191592229</v>
      </c>
      <c r="H35" s="4">
        <f t="shared" si="4"/>
        <v>9006959.7738486677</v>
      </c>
      <c r="I35" s="5">
        <f t="shared" si="2"/>
        <v>0.36527239514030496</v>
      </c>
      <c r="J35" s="4">
        <f t="shared" si="5"/>
        <v>375289.99057702784</v>
      </c>
      <c r="K35" s="4">
        <f t="shared" si="3"/>
        <v>1295951.1803506357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4306128.2350271344</v>
      </c>
      <c r="E36" s="4">
        <v>3355300.6510111671</v>
      </c>
      <c r="F36" s="4">
        <f t="shared" si="8"/>
        <v>950827.58401596732</v>
      </c>
      <c r="G36" s="5">
        <f t="shared" si="1"/>
        <v>0.17064110303257912</v>
      </c>
      <c r="H36" s="4">
        <f t="shared" si="4"/>
        <v>14763868.234378746</v>
      </c>
      <c r="I36" s="5">
        <f t="shared" si="2"/>
        <v>0.58505521039741415</v>
      </c>
      <c r="J36" s="4">
        <f t="shared" si="5"/>
        <v>615161.17643244774</v>
      </c>
      <c r="K36" s="4">
        <f t="shared" si="3"/>
        <v>1231110.1038219333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26700664.115582384</v>
      </c>
      <c r="E37" s="4">
        <v>26940309.263082385</v>
      </c>
      <c r="F37" s="4">
        <f t="shared" si="8"/>
        <v>-239645.14750000089</v>
      </c>
      <c r="G37" s="5">
        <f t="shared" si="1"/>
        <v>0.2188368260891462</v>
      </c>
      <c r="H37" s="4">
        <f t="shared" si="4"/>
        <v>91545134.110568166</v>
      </c>
      <c r="I37" s="5">
        <f t="shared" si="2"/>
        <v>0.75029768944850117</v>
      </c>
      <c r="J37" s="4">
        <f t="shared" si="5"/>
        <v>3814380.5879403404</v>
      </c>
      <c r="K37" s="4">
        <f t="shared" si="3"/>
        <v>5606534.4637892721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1256116.5299</v>
      </c>
      <c r="E38" s="4">
        <v>1084549.0049000001</v>
      </c>
      <c r="F38" s="4">
        <f t="shared" ref="F38" si="10">+D38-E38</f>
        <v>171567.52499999991</v>
      </c>
      <c r="G38" s="5">
        <f t="shared" si="1"/>
        <v>3.5185336971988793E-2</v>
      </c>
      <c r="H38" s="4">
        <f t="shared" si="4"/>
        <v>4306685.2453714283</v>
      </c>
      <c r="I38" s="5">
        <f t="shared" si="2"/>
        <v>0.12063544104681873</v>
      </c>
      <c r="J38" s="4">
        <f t="shared" si="5"/>
        <v>179445.21855714286</v>
      </c>
      <c r="K38" s="4">
        <f t="shared" si="3"/>
        <v>2026110.7923588236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8333389.4092635857</v>
      </c>
      <c r="E39" s="4">
        <v>7332096.3798651379</v>
      </c>
      <c r="F39" s="4">
        <f t="shared" si="8"/>
        <v>1001293.0293984478</v>
      </c>
      <c r="G39" s="5">
        <f t="shared" si="1"/>
        <v>0.22918212863037507</v>
      </c>
      <c r="H39" s="4">
        <f t="shared" si="4"/>
        <v>28571620.831760861</v>
      </c>
      <c r="I39" s="5">
        <f t="shared" si="2"/>
        <v>0.78576729816128577</v>
      </c>
      <c r="J39" s="4">
        <f t="shared" si="5"/>
        <v>1190484.2013233693</v>
      </c>
      <c r="K39" s="4">
        <f t="shared" si="3"/>
        <v>1648708.1370433185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98689279.798814774</v>
      </c>
      <c r="E40" s="65">
        <v>89313306.794087753</v>
      </c>
      <c r="F40" s="67">
        <f t="shared" si="8"/>
        <v>9375973.0047270209</v>
      </c>
      <c r="G40" s="66">
        <f t="shared" si="1"/>
        <v>0.19387752588476509</v>
      </c>
      <c r="H40" s="64">
        <f t="shared" si="4"/>
        <v>338363245.02450776</v>
      </c>
      <c r="I40" s="66">
        <f t="shared" si="2"/>
        <v>0.66472294589062308</v>
      </c>
      <c r="J40" s="64">
        <f t="shared" si="5"/>
        <v>14098468.542687824</v>
      </c>
      <c r="K40" s="67">
        <f t="shared" si="3"/>
        <v>24137629.591312408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347037445.52567512</v>
      </c>
      <c r="E41" s="82">
        <v>319078802.18563056</v>
      </c>
      <c r="F41" s="81">
        <f>+D41-E41</f>
        <v>27958643.340044558</v>
      </c>
      <c r="G41" s="83">
        <f t="shared" si="1"/>
        <v>0.25151884958038478</v>
      </c>
      <c r="H41" s="81">
        <f t="shared" si="4"/>
        <v>1189842670.3737433</v>
      </c>
      <c r="I41" s="83">
        <f t="shared" si="2"/>
        <v>0.86235034141846212</v>
      </c>
      <c r="J41" s="81">
        <f t="shared" si="5"/>
        <v>49576777.932239302</v>
      </c>
      <c r="K41" s="81">
        <f t="shared" si="3"/>
        <v>60748805.974556528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8104352.0621971888</v>
      </c>
      <c r="E43" s="4">
        <v>8104352.0621971888</v>
      </c>
      <c r="F43" s="4">
        <f t="shared" ref="F43" si="11">+D43-E43</f>
        <v>0</v>
      </c>
      <c r="G43" s="5">
        <f>+D43/C43</f>
        <v>0.20260880155492972</v>
      </c>
      <c r="H43" s="4">
        <f t="shared" ref="H43" si="12">+D43/$N$3*$N$4</f>
        <v>27786349.92753322</v>
      </c>
      <c r="I43" s="5">
        <f>+H43/C43</f>
        <v>0.69465874818833051</v>
      </c>
      <c r="J43" s="4">
        <f t="shared" ref="J43" si="13">+D43/$N$3</f>
        <v>1157764.5803138842</v>
      </c>
      <c r="K43" s="4">
        <f>+(C43-D43)/$N$2</f>
        <v>1876214.5845766359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14041795.823822808</v>
      </c>
      <c r="E44" s="4">
        <v>14041795.823822808</v>
      </c>
      <c r="F44" s="4">
        <f t="shared" ref="F44" si="14">+D44-E44</f>
        <v>0</v>
      </c>
      <c r="G44" s="5">
        <f>+D44/C44</f>
        <v>0.46805986079409356</v>
      </c>
      <c r="H44" s="4">
        <f t="shared" ref="H44" si="15">+D44/$N$3*$N$4</f>
        <v>48143299.967392482</v>
      </c>
      <c r="I44" s="5">
        <f>+H44/C44</f>
        <v>1.6047766655797493</v>
      </c>
      <c r="J44" s="4">
        <f t="shared" ref="J44" si="16">+D44/$N$3</f>
        <v>2005970.8319746868</v>
      </c>
      <c r="K44" s="4">
        <f>+(C44-D44)/$N$2</f>
        <v>938717.89271630545</v>
      </c>
      <c r="L44" s="4" cm="1">
        <f t="array" ref="L44">+_xlfn.IFS(I44&gt;114%,H44*0.02,I44&gt;109%,H44*0.015,I44&gt;104%,H44*0.0125,I44&gt;99%,H44*0.01,I44&lt;99%,H44*0)</f>
        <v>962865.99934784963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0.58333333333333337</v>
      </c>
      <c r="E2" s="13">
        <v>33</v>
      </c>
      <c r="F2" s="12">
        <f>+H2-E2</f>
        <v>9</v>
      </c>
      <c r="G2" s="13">
        <f>VLOOKUP(B2,'Base Cobertura'!$A:$C,3,FALSE)</f>
        <v>72</v>
      </c>
      <c r="H2" s="13">
        <f>VLOOKUP(B2,'Base Cobertura'!$A:$C,2,FALSE)</f>
        <v>42</v>
      </c>
      <c r="I2" s="17">
        <f>(+G2*$M$2)-H2</f>
        <v>19.199999999999996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0.22175732217573221</v>
      </c>
      <c r="E3" s="13">
        <v>1</v>
      </c>
      <c r="F3" s="12">
        <f t="shared" ref="F3:F38" si="1">+H3-E3</f>
        <v>52</v>
      </c>
      <c r="G3" s="13">
        <f>VLOOKUP(B3,'Base Cobertura'!$A:$C,3,FALSE)</f>
        <v>239</v>
      </c>
      <c r="H3" s="13">
        <f>VLOOKUP(B3,'Base Cobertura'!$A:$C,2,FALSE)</f>
        <v>53</v>
      </c>
      <c r="I3" s="17">
        <f t="shared" ref="I3:I38" si="2">(+G3*$M$2)-H3</f>
        <v>150.15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31</v>
      </c>
      <c r="T3" s="12">
        <v>214</v>
      </c>
      <c r="U3" s="41">
        <f>+S3/T3</f>
        <v>0.14485981308411214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0.62114537444933926</v>
      </c>
      <c r="E4" s="13">
        <v>126</v>
      </c>
      <c r="F4" s="12">
        <f t="shared" si="1"/>
        <v>15</v>
      </c>
      <c r="G4" s="13">
        <f>VLOOKUP(B4,'Base Cobertura'!$A:$C,3,FALSE)</f>
        <v>227</v>
      </c>
      <c r="H4" s="13">
        <f>VLOOKUP(B4,'Base Cobertura'!$A:$C,2,FALSE)</f>
        <v>141</v>
      </c>
      <c r="I4" s="17">
        <f t="shared" si="2"/>
        <v>51.949999999999989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16</v>
      </c>
      <c r="T4" s="13">
        <v>214</v>
      </c>
      <c r="U4" s="5">
        <f t="shared" ref="U4:U11" si="3">+S4/T4</f>
        <v>7.476635514018691E-2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0.53846153846153844</v>
      </c>
      <c r="E5" s="13">
        <v>21</v>
      </c>
      <c r="F5" s="12">
        <f t="shared" si="1"/>
        <v>14</v>
      </c>
      <c r="G5" s="13">
        <f>VLOOKUP(B5,'Base Cobertura'!$A:$C,3,FALSE)</f>
        <v>65</v>
      </c>
      <c r="H5" s="13">
        <f>VLOOKUP(B5,'Base Cobertura'!$A:$C,2,FALSE)</f>
        <v>35</v>
      </c>
      <c r="I5" s="17">
        <f t="shared" si="2"/>
        <v>20.25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42</v>
      </c>
      <c r="T5" s="13">
        <v>214</v>
      </c>
      <c r="U5" s="5">
        <f t="shared" si="3"/>
        <v>0.19626168224299065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0.63285024154589375</v>
      </c>
      <c r="E6" s="13">
        <v>100</v>
      </c>
      <c r="F6" s="12">
        <f t="shared" si="1"/>
        <v>31</v>
      </c>
      <c r="G6" s="13">
        <f>VLOOKUP(B6,'Base Cobertura'!$A:$C,3,FALSE)</f>
        <v>207</v>
      </c>
      <c r="H6" s="13">
        <f>VLOOKUP(B6,'Base Cobertura'!$A:$C,2,FALSE)</f>
        <v>131</v>
      </c>
      <c r="I6" s="17">
        <f t="shared" si="2"/>
        <v>44.949999999999989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14</v>
      </c>
      <c r="T6" s="13">
        <v>214</v>
      </c>
      <c r="U6" s="5">
        <f t="shared" si="3"/>
        <v>6.5420560747663545E-2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0.43939393939393939</v>
      </c>
      <c r="E7" s="13">
        <v>81</v>
      </c>
      <c r="F7" s="12">
        <f t="shared" si="1"/>
        <v>6</v>
      </c>
      <c r="G7" s="13">
        <f>VLOOKUP(B7,'Base Cobertura'!$A:$C,3,FALSE)</f>
        <v>198</v>
      </c>
      <c r="H7" s="13">
        <f>VLOOKUP(B7,'Base Cobertura'!$A:$C,2,FALSE)</f>
        <v>87</v>
      </c>
      <c r="I7" s="17">
        <f t="shared" si="2"/>
        <v>81.299999999999983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50</v>
      </c>
      <c r="T7" s="13">
        <v>214</v>
      </c>
      <c r="U7" s="5">
        <f t="shared" si="3"/>
        <v>0.23364485981308411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0.56542056074766356</v>
      </c>
      <c r="E8" s="13">
        <v>89</v>
      </c>
      <c r="F8" s="12">
        <f t="shared" si="1"/>
        <v>32</v>
      </c>
      <c r="G8" s="13">
        <f>VLOOKUP(B8,'Base Cobertura'!$A:$C,3,FALSE)</f>
        <v>214</v>
      </c>
      <c r="H8" s="13">
        <f>VLOOKUP(B8,'Base Cobertura'!$A:$C,2,FALSE)</f>
        <v>121</v>
      </c>
      <c r="I8" s="17">
        <f t="shared" si="2"/>
        <v>60.900000000000006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48</v>
      </c>
      <c r="T8" s="13">
        <v>214</v>
      </c>
      <c r="U8" s="5">
        <f t="shared" si="3"/>
        <v>0.22429906542056074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0.5625</v>
      </c>
      <c r="E9" s="13">
        <v>92</v>
      </c>
      <c r="F9" s="12">
        <f t="shared" si="1"/>
        <v>-2</v>
      </c>
      <c r="G9" s="13">
        <f>VLOOKUP(B9,'Base Cobertura'!$A:$C,3,FALSE)</f>
        <v>160</v>
      </c>
      <c r="H9" s="13">
        <f>VLOOKUP(B9,'Base Cobertura'!$A:$C,2,FALSE)</f>
        <v>90</v>
      </c>
      <c r="I9" s="17">
        <f t="shared" si="2"/>
        <v>46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10</v>
      </c>
      <c r="T9" s="13">
        <v>214</v>
      </c>
      <c r="U9" s="5">
        <f t="shared" si="3"/>
        <v>4.6728971962616821E-2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0.4358974358974359</v>
      </c>
      <c r="E10" s="13">
        <v>64</v>
      </c>
      <c r="F10" s="12">
        <f t="shared" si="1"/>
        <v>21</v>
      </c>
      <c r="G10" s="13">
        <f>VLOOKUP(B10,'Base Cobertura'!$A:$C,3,FALSE)</f>
        <v>195</v>
      </c>
      <c r="H10" s="13">
        <f>VLOOKUP(B10,'Base Cobertura'!$A:$C,2,FALSE)</f>
        <v>85</v>
      </c>
      <c r="I10" s="17">
        <f t="shared" si="2"/>
        <v>80.75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8</v>
      </c>
      <c r="T10" s="13">
        <v>214</v>
      </c>
      <c r="U10" s="5">
        <f t="shared" si="3"/>
        <v>3.7383177570093455E-2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0.22772277227722773</v>
      </c>
      <c r="E11" s="31">
        <v>19</v>
      </c>
      <c r="F11" s="33">
        <f t="shared" si="1"/>
        <v>4</v>
      </c>
      <c r="G11" s="13">
        <f>VLOOKUP(B11,'Base Cobertura'!$A:$C,3,FALSE)</f>
        <v>101</v>
      </c>
      <c r="H11" s="13">
        <f>VLOOKUP(B11,'Base Cobertura'!$A:$C,2,FALSE)</f>
        <v>23</v>
      </c>
      <c r="I11" s="34">
        <f t="shared" si="2"/>
        <v>62.849999999999994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12</v>
      </c>
      <c r="T11" s="13">
        <v>214</v>
      </c>
      <c r="U11" s="5">
        <f t="shared" si="3"/>
        <v>5.6074766355140186E-2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0.22857142857142856</v>
      </c>
      <c r="E12" s="31">
        <v>24</v>
      </c>
      <c r="F12" s="33">
        <f t="shared" si="1"/>
        <v>0</v>
      </c>
      <c r="G12" s="13">
        <f>VLOOKUP(B12,'Base Cobertura'!$A:$C,3,FALSE)</f>
        <v>105</v>
      </c>
      <c r="H12" s="13">
        <f>VLOOKUP(B12,'Base Cobertura'!$A:$C,2,FALSE)</f>
        <v>24</v>
      </c>
      <c r="I12" s="34">
        <f t="shared" si="2"/>
        <v>65.25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0.55000000000000004</v>
      </c>
      <c r="E13" s="13">
        <v>144</v>
      </c>
      <c r="F13" s="12">
        <f t="shared" si="1"/>
        <v>-1</v>
      </c>
      <c r="G13" s="13">
        <f>VLOOKUP(B13,'Base Cobertura'!$A:$C,3,FALSE)</f>
        <v>260</v>
      </c>
      <c r="H13" s="13">
        <f>VLOOKUP(B13,'Base Cobertura'!$A:$C,2,FALSE)</f>
        <v>143</v>
      </c>
      <c r="I13" s="17">
        <f t="shared" si="2"/>
        <v>78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0.46703296703296704</v>
      </c>
      <c r="E14" s="13">
        <v>85</v>
      </c>
      <c r="F14" s="12">
        <f t="shared" si="1"/>
        <v>0</v>
      </c>
      <c r="G14" s="13">
        <f>VLOOKUP(B14,'Base Cobertura'!$A:$C,3,FALSE)</f>
        <v>182</v>
      </c>
      <c r="H14" s="13">
        <f>VLOOKUP(B14,'Base Cobertura'!$A:$C,2,FALSE)</f>
        <v>85</v>
      </c>
      <c r="I14" s="17">
        <f t="shared" si="2"/>
        <v>69.699999999999989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181</v>
      </c>
      <c r="G15" s="8">
        <f>+SUM(G2:G14)</f>
        <v>2225</v>
      </c>
      <c r="H15" s="8">
        <f>+SUM(H2:H14)</f>
        <v>1060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0.64375000000000004</v>
      </c>
      <c r="E16" s="13">
        <v>90</v>
      </c>
      <c r="F16" s="12">
        <f t="shared" si="1"/>
        <v>13</v>
      </c>
      <c r="G16" s="13">
        <f>VLOOKUP(B16,'Base Cobertura'!$A:$C,3,FALSE)</f>
        <v>160</v>
      </c>
      <c r="H16" s="13">
        <f>VLOOKUP(B16,'Base Cobertura'!$A:$C,2,FALSE)</f>
        <v>103</v>
      </c>
      <c r="I16" s="17">
        <f t="shared" si="2"/>
        <v>33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0.37128712871287128</v>
      </c>
      <c r="E17" s="13">
        <v>92</v>
      </c>
      <c r="F17" s="12">
        <f t="shared" si="1"/>
        <v>-17</v>
      </c>
      <c r="G17" s="13">
        <f>VLOOKUP(B17,'Base Cobertura'!$A:$C,3,FALSE)</f>
        <v>202</v>
      </c>
      <c r="H17" s="13">
        <f>VLOOKUP(B17,'Base Cobertura'!$A:$C,2,FALSE)</f>
        <v>75</v>
      </c>
      <c r="I17" s="17">
        <f t="shared" si="2"/>
        <v>96.699999999999989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0.67647058823529416</v>
      </c>
      <c r="E18" s="13">
        <v>88</v>
      </c>
      <c r="F18" s="12">
        <f t="shared" si="1"/>
        <v>27</v>
      </c>
      <c r="G18" s="13">
        <f>VLOOKUP(B18,'Base Cobertura'!$A:$C,3,FALSE)</f>
        <v>170</v>
      </c>
      <c r="H18" s="13">
        <f>VLOOKUP(B18,'Base Cobertura'!$A:$C,2,FALSE)</f>
        <v>115</v>
      </c>
      <c r="I18" s="17">
        <f t="shared" si="2"/>
        <v>29.5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0.66233766233766234</v>
      </c>
      <c r="E19" s="13">
        <v>95</v>
      </c>
      <c r="F19" s="12">
        <f t="shared" si="1"/>
        <v>7</v>
      </c>
      <c r="G19" s="13">
        <f>VLOOKUP(B19,'Base Cobertura'!$A:$C,3,FALSE)</f>
        <v>154</v>
      </c>
      <c r="H19" s="13">
        <f>VLOOKUP(B19,'Base Cobertura'!$A:$C,2,FALSE)</f>
        <v>102</v>
      </c>
      <c r="I19" s="17">
        <f t="shared" si="2"/>
        <v>28.900000000000006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0.63276836158192096</v>
      </c>
      <c r="E20" s="13">
        <v>83</v>
      </c>
      <c r="F20" s="12">
        <f t="shared" si="1"/>
        <v>29</v>
      </c>
      <c r="G20" s="13">
        <f>VLOOKUP(B20,'Base Cobertura'!$A:$C,3,FALSE)</f>
        <v>177</v>
      </c>
      <c r="H20" s="13">
        <f>VLOOKUP(B20,'Base Cobertura'!$A:$C,2,FALSE)</f>
        <v>112</v>
      </c>
      <c r="I20" s="17">
        <f t="shared" si="2"/>
        <v>38.449999999999989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0.59171597633136097</v>
      </c>
      <c r="E21" s="13">
        <v>64</v>
      </c>
      <c r="F21" s="12">
        <f t="shared" si="1"/>
        <v>36</v>
      </c>
      <c r="G21" s="13">
        <f>VLOOKUP(B21,'Base Cobertura'!$A:$C,3,FALSE)</f>
        <v>169</v>
      </c>
      <c r="H21" s="13">
        <f>VLOOKUP(B21,'Base Cobertura'!$A:$C,2,FALSE)</f>
        <v>100</v>
      </c>
      <c r="I21" s="17">
        <f t="shared" si="2"/>
        <v>43.650000000000006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0.30303030303030304</v>
      </c>
      <c r="E22" s="13">
        <v>66</v>
      </c>
      <c r="F22" s="12">
        <f t="shared" si="1"/>
        <v>-6</v>
      </c>
      <c r="G22" s="13">
        <f>VLOOKUP(B22,'Base Cobertura'!$A:$C,3,FALSE)</f>
        <v>198</v>
      </c>
      <c r="H22" s="13">
        <f>VLOOKUP(B22,'Base Cobertura'!$A:$C,2,FALSE)</f>
        <v>60</v>
      </c>
      <c r="I22" s="17">
        <f t="shared" si="2"/>
        <v>108.29999999999998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0.54347826086956519</v>
      </c>
      <c r="E23" s="13">
        <v>70</v>
      </c>
      <c r="F23" s="12">
        <f t="shared" si="1"/>
        <v>5</v>
      </c>
      <c r="G23" s="13">
        <f>VLOOKUP(B23,'Base Cobertura'!$A:$C,3,FALSE)</f>
        <v>138</v>
      </c>
      <c r="H23" s="13">
        <f>VLOOKUP(B23,'Base Cobertura'!$A:$C,2,FALSE)</f>
        <v>75</v>
      </c>
      <c r="I23" s="17">
        <f t="shared" si="2"/>
        <v>42.3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0.57058823529411762</v>
      </c>
      <c r="E24" s="13">
        <v>79</v>
      </c>
      <c r="F24" s="12">
        <f t="shared" si="1"/>
        <v>18</v>
      </c>
      <c r="G24" s="13">
        <f>VLOOKUP(B24,'Base Cobertura'!$A:$C,3,FALSE)</f>
        <v>170</v>
      </c>
      <c r="H24" s="13">
        <f>VLOOKUP(B24,'Base Cobertura'!$A:$C,2,FALSE)</f>
        <v>97</v>
      </c>
      <c r="I24" s="17">
        <f t="shared" si="2"/>
        <v>47.5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112</v>
      </c>
      <c r="G25" s="8">
        <f>+SUM(G16:G24)</f>
        <v>1538</v>
      </c>
      <c r="H25" s="8">
        <f>+SUM(H16:H24)</f>
        <v>839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0.40350877192982454</v>
      </c>
      <c r="E26" s="13">
        <v>20</v>
      </c>
      <c r="F26" s="12">
        <f>+H26-E26</f>
        <v>3</v>
      </c>
      <c r="G26" s="13">
        <f>VLOOKUP(B26,'Base Cobertura'!$A:$C,3,FALSE)</f>
        <v>57</v>
      </c>
      <c r="H26" s="13">
        <f>VLOOKUP(B26,'Base Cobertura'!$A:$C,2,FALSE)</f>
        <v>23</v>
      </c>
      <c r="I26" s="17">
        <f t="shared" si="2"/>
        <v>25.449999999999996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0.50318471337579618</v>
      </c>
      <c r="E27" s="13">
        <v>68</v>
      </c>
      <c r="F27" s="12">
        <f t="shared" si="1"/>
        <v>11</v>
      </c>
      <c r="G27" s="13">
        <f>VLOOKUP(B27,'Base Cobertura'!$A:$C,3,FALSE)</f>
        <v>157</v>
      </c>
      <c r="H27" s="13">
        <f>VLOOKUP(B27,'Base Cobertura'!$A:$C,2,FALSE)</f>
        <v>79</v>
      </c>
      <c r="I27" s="17">
        <f t="shared" si="2"/>
        <v>54.449999999999989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0.55900621118012417</v>
      </c>
      <c r="E28" s="13">
        <v>80</v>
      </c>
      <c r="F28" s="12">
        <f t="shared" si="1"/>
        <v>10</v>
      </c>
      <c r="G28" s="13">
        <f>VLOOKUP(B28,'Base Cobertura'!$A:$C,3,FALSE)</f>
        <v>161</v>
      </c>
      <c r="H28" s="13">
        <f>VLOOKUP(B28,'Base Cobertura'!$A:$C,2,FALSE)</f>
        <v>90</v>
      </c>
      <c r="I28" s="17">
        <f t="shared" si="2"/>
        <v>46.849999999999994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0.27710843373493976</v>
      </c>
      <c r="E29" s="13">
        <v>68</v>
      </c>
      <c r="F29" s="12">
        <f t="shared" si="1"/>
        <v>1</v>
      </c>
      <c r="G29" s="13">
        <f>VLOOKUP(B29,'Base Cobertura'!$A:$C,3,FALSE)</f>
        <v>249</v>
      </c>
      <c r="H29" s="13">
        <f>VLOOKUP(B29,'Base Cobertura'!$A:$C,2,FALSE)</f>
        <v>69</v>
      </c>
      <c r="I29" s="17">
        <f t="shared" si="2"/>
        <v>142.65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0.66187050359712229</v>
      </c>
      <c r="E30" s="13">
        <v>73</v>
      </c>
      <c r="F30" s="12">
        <f t="shared" si="1"/>
        <v>19</v>
      </c>
      <c r="G30" s="13">
        <f>VLOOKUP(B30,'Base Cobertura'!$A:$C,3,FALSE)</f>
        <v>139</v>
      </c>
      <c r="H30" s="13">
        <f>VLOOKUP(B30,'Base Cobertura'!$A:$C,2,FALSE)</f>
        <v>92</v>
      </c>
      <c r="I30" s="17">
        <f t="shared" si="2"/>
        <v>26.149999999999991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0.4143646408839779</v>
      </c>
      <c r="E31" s="13">
        <v>40</v>
      </c>
      <c r="F31" s="12">
        <f t="shared" si="1"/>
        <v>35</v>
      </c>
      <c r="G31" s="13">
        <f>VLOOKUP(B31,'Base Cobertura'!$A:$C,3,FALSE)</f>
        <v>181</v>
      </c>
      <c r="H31" s="13">
        <f>VLOOKUP(B31,'Base Cobertura'!$A:$C,2,FALSE)</f>
        <v>75</v>
      </c>
      <c r="I31" s="17">
        <f t="shared" si="2"/>
        <v>78.849999999999994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0.5</v>
      </c>
      <c r="E32" s="13">
        <v>67</v>
      </c>
      <c r="F32" s="12">
        <f t="shared" si="1"/>
        <v>17</v>
      </c>
      <c r="G32" s="13">
        <f>VLOOKUP(B32,'Base Cobertura'!$A:$C,3,FALSE)</f>
        <v>168</v>
      </c>
      <c r="H32" s="13">
        <f>VLOOKUP(B32,'Base Cobertura'!$A:$C,2,FALSE)</f>
        <v>84</v>
      </c>
      <c r="I32" s="17">
        <f t="shared" si="2"/>
        <v>58.799999999999983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0.5178571428571429</v>
      </c>
      <c r="E33" s="13">
        <v>66</v>
      </c>
      <c r="F33" s="12">
        <f t="shared" si="1"/>
        <v>21</v>
      </c>
      <c r="G33" s="13">
        <f>VLOOKUP(B33,'Base Cobertura'!$A:$C,3,FALSE)</f>
        <v>168</v>
      </c>
      <c r="H33" s="13">
        <f>VLOOKUP(B33,'Base Cobertura'!$A:$C,2,FALSE)</f>
        <v>87</v>
      </c>
      <c r="I33" s="17">
        <f t="shared" si="2"/>
        <v>55.799999999999983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0.3380281690140845</v>
      </c>
      <c r="E34" s="13">
        <v>82</v>
      </c>
      <c r="F34" s="12">
        <f t="shared" si="1"/>
        <v>-34</v>
      </c>
      <c r="G34" s="13">
        <f>VLOOKUP(B34,'Base Cobertura'!$A:$C,3,FALSE)</f>
        <v>142</v>
      </c>
      <c r="H34" s="13">
        <f>VLOOKUP(B34,'Base Cobertura'!$A:$C,2,FALSE)</f>
        <v>48</v>
      </c>
      <c r="I34" s="17">
        <f t="shared" si="2"/>
        <v>72.7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0.48314606741573035</v>
      </c>
      <c r="E35" s="13">
        <v>81</v>
      </c>
      <c r="F35" s="12">
        <f t="shared" si="1"/>
        <v>5</v>
      </c>
      <c r="G35" s="13">
        <f>VLOOKUP(B35,'Base Cobertura'!$A:$C,3,FALSE)</f>
        <v>178</v>
      </c>
      <c r="H35" s="13">
        <f>VLOOKUP(B35,'Base Cobertura'!$A:$C,2,FALSE)</f>
        <v>86</v>
      </c>
      <c r="I35" s="17">
        <f t="shared" si="2"/>
        <v>65.299999999999983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3.5398230088495575E-2</v>
      </c>
      <c r="E36" s="13">
        <v>0</v>
      </c>
      <c r="F36" s="12">
        <f t="shared" si="1"/>
        <v>4</v>
      </c>
      <c r="G36" s="13">
        <f>VLOOKUP(B36,'Base Cobertura'!$A:$C,3,FALSE)</f>
        <v>113</v>
      </c>
      <c r="H36" s="13">
        <f>VLOOKUP(B36,'Base Cobertura'!$A:$C,2,FALSE)</f>
        <v>4</v>
      </c>
      <c r="I36" s="17">
        <f t="shared" si="2"/>
        <v>92.05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6.7307692307692304E-2</v>
      </c>
      <c r="E37" s="13">
        <v>17</v>
      </c>
      <c r="F37" s="12">
        <f t="shared" si="1"/>
        <v>-10</v>
      </c>
      <c r="G37" s="13">
        <f>VLOOKUP(B37,'Base Cobertura'!$A:$C,3,FALSE)</f>
        <v>104</v>
      </c>
      <c r="H37" s="13">
        <f>VLOOKUP(B37,'Base Cobertura'!$A:$C,2,FALSE)</f>
        <v>7</v>
      </c>
      <c r="I37" s="17">
        <f t="shared" si="2"/>
        <v>81.399999999999991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0.55905511811023623</v>
      </c>
      <c r="E38" s="13">
        <v>60</v>
      </c>
      <c r="F38" s="12">
        <f t="shared" si="1"/>
        <v>11</v>
      </c>
      <c r="G38" s="13">
        <f>VLOOKUP(B38,'Base Cobertura'!$A:$C,3,FALSE)</f>
        <v>127</v>
      </c>
      <c r="H38" s="13">
        <f>VLOOKUP(B38,'Base Cobertura'!$A:$C,2,FALSE)</f>
        <v>71</v>
      </c>
      <c r="I38" s="17">
        <f t="shared" si="2"/>
        <v>36.950000000000003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93</v>
      </c>
      <c r="G39" s="8">
        <f>+SUM(G26:G38)</f>
        <v>1944</v>
      </c>
      <c r="H39" s="8">
        <f>+SUM(H26:H38)</f>
        <v>815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386</v>
      </c>
      <c r="G40" s="8">
        <f>+G15+G25+G39</f>
        <v>5707</v>
      </c>
      <c r="H40" s="8">
        <f>+H15+H25+H39</f>
        <v>2714</v>
      </c>
      <c r="I40" s="8"/>
      <c r="L40" s="1">
        <f>+H40/G40</f>
        <v>0.47555633432626598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0.20833333333333334</v>
      </c>
      <c r="E41" s="13">
        <v>60</v>
      </c>
      <c r="F41" s="12">
        <f t="shared" ref="F41:F42" si="5">+H41-E41</f>
        <v>-35</v>
      </c>
      <c r="G41" s="13">
        <f>VLOOKUP(B41,'Base Cobertura'!$A:$C,3,FALSE)</f>
        <v>120</v>
      </c>
      <c r="H41" s="13">
        <f>VLOOKUP(B41,'Base Cobertura'!$A:$C,2,FALSE)</f>
        <v>25</v>
      </c>
      <c r="I41" s="17">
        <f t="shared" ref="I41:I42" si="6">(+G41*$M$2)-H41</f>
        <v>77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0.20491803278688525</v>
      </c>
      <c r="E42" s="13">
        <v>60</v>
      </c>
      <c r="F42" s="12">
        <f t="shared" si="5"/>
        <v>-35</v>
      </c>
      <c r="G42" s="13">
        <f>VLOOKUP(B42,'Base Cobertura'!$A:$C,3,FALSE)</f>
        <v>122</v>
      </c>
      <c r="H42" s="13">
        <f>VLOOKUP(B42,'Base Cobertura'!$A:$C,2,FALSE)</f>
        <v>25</v>
      </c>
      <c r="I42" s="17">
        <f t="shared" si="6"/>
        <v>78.7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3</v>
      </c>
      <c r="C3" s="51">
        <v>3430</v>
      </c>
      <c r="G3" t="s">
        <v>222</v>
      </c>
      <c r="H3" s="51">
        <v>1</v>
      </c>
      <c r="I3" s="51">
        <v>3430</v>
      </c>
    </row>
    <row r="4" spans="1:9" x14ac:dyDescent="0.25">
      <c r="A4">
        <v>1</v>
      </c>
      <c r="B4" s="51">
        <v>71</v>
      </c>
      <c r="C4" s="51">
        <v>127</v>
      </c>
      <c r="G4" t="s">
        <v>223</v>
      </c>
      <c r="H4">
        <v>2</v>
      </c>
      <c r="I4" s="51">
        <v>3430</v>
      </c>
    </row>
    <row r="5" spans="1:9" x14ac:dyDescent="0.25">
      <c r="A5">
        <v>10</v>
      </c>
      <c r="B5" s="51">
        <v>75</v>
      </c>
      <c r="C5" s="51">
        <v>181</v>
      </c>
      <c r="G5" t="s">
        <v>224</v>
      </c>
      <c r="H5" s="51"/>
      <c r="I5" s="51">
        <v>3430</v>
      </c>
    </row>
    <row r="6" spans="1:9" x14ac:dyDescent="0.25">
      <c r="A6">
        <v>100</v>
      </c>
      <c r="B6" s="51">
        <v>28</v>
      </c>
      <c r="C6" s="51">
        <v>2027</v>
      </c>
      <c r="G6" t="s">
        <v>225</v>
      </c>
      <c r="H6" s="51"/>
      <c r="I6" s="51">
        <v>3430</v>
      </c>
    </row>
    <row r="7" spans="1:9" x14ac:dyDescent="0.25">
      <c r="A7">
        <v>11</v>
      </c>
      <c r="B7" s="51">
        <v>90</v>
      </c>
      <c r="C7" s="51">
        <v>160</v>
      </c>
      <c r="G7" t="s">
        <v>226</v>
      </c>
      <c r="H7" s="51">
        <v>2</v>
      </c>
      <c r="I7" s="51">
        <v>3430</v>
      </c>
    </row>
    <row r="8" spans="1:9" x14ac:dyDescent="0.25">
      <c r="A8">
        <v>12</v>
      </c>
      <c r="B8" s="51">
        <v>121</v>
      </c>
      <c r="C8" s="51">
        <v>214</v>
      </c>
      <c r="G8" t="s">
        <v>227</v>
      </c>
      <c r="H8" s="51">
        <v>2</v>
      </c>
      <c r="I8" s="51">
        <v>3430</v>
      </c>
    </row>
    <row r="9" spans="1:9" x14ac:dyDescent="0.25">
      <c r="A9">
        <v>123</v>
      </c>
      <c r="B9" s="51">
        <v>23</v>
      </c>
      <c r="C9" s="51">
        <v>489</v>
      </c>
      <c r="G9" t="s">
        <v>228</v>
      </c>
      <c r="H9" s="51">
        <v>1</v>
      </c>
      <c r="I9" s="51">
        <v>3430</v>
      </c>
    </row>
    <row r="10" spans="1:9" x14ac:dyDescent="0.25">
      <c r="A10">
        <v>15</v>
      </c>
      <c r="B10" s="51">
        <v>35</v>
      </c>
      <c r="C10" s="51">
        <v>65</v>
      </c>
      <c r="G10" t="s">
        <v>229</v>
      </c>
      <c r="H10">
        <v>1</v>
      </c>
      <c r="I10" s="51">
        <v>3430</v>
      </c>
    </row>
    <row r="11" spans="1:9" x14ac:dyDescent="0.25">
      <c r="A11">
        <v>16</v>
      </c>
      <c r="B11" s="51">
        <v>87</v>
      </c>
      <c r="C11" s="51">
        <v>198</v>
      </c>
      <c r="G11" t="s">
        <v>230</v>
      </c>
      <c r="H11" s="51"/>
      <c r="I11" s="51">
        <v>3430</v>
      </c>
    </row>
    <row r="12" spans="1:9" x14ac:dyDescent="0.25">
      <c r="A12">
        <v>18</v>
      </c>
      <c r="B12" s="51">
        <v>112</v>
      </c>
      <c r="C12" s="51">
        <v>177</v>
      </c>
      <c r="E12">
        <f>+F12</f>
        <v>1</v>
      </c>
      <c r="F12">
        <v>1</v>
      </c>
      <c r="G12" t="s">
        <v>222</v>
      </c>
      <c r="H12">
        <v>29</v>
      </c>
      <c r="I12" s="51">
        <v>127</v>
      </c>
    </row>
    <row r="13" spans="1:9" x14ac:dyDescent="0.25">
      <c r="A13">
        <v>19</v>
      </c>
      <c r="B13" s="51">
        <v>131</v>
      </c>
      <c r="C13" s="51">
        <v>207</v>
      </c>
      <c r="E13">
        <f>+$E$12</f>
        <v>1</v>
      </c>
      <c r="G13" t="s">
        <v>223</v>
      </c>
      <c r="H13" s="51">
        <v>24</v>
      </c>
      <c r="I13" s="51">
        <v>127</v>
      </c>
    </row>
    <row r="14" spans="1:9" x14ac:dyDescent="0.25">
      <c r="A14">
        <v>2</v>
      </c>
      <c r="B14" s="51">
        <v>75</v>
      </c>
      <c r="C14" s="51">
        <v>138</v>
      </c>
      <c r="E14">
        <f t="shared" ref="E14:E20" si="0">+$E$12</f>
        <v>1</v>
      </c>
      <c r="G14" t="s">
        <v>224</v>
      </c>
      <c r="H14" s="51">
        <v>43</v>
      </c>
      <c r="I14" s="51">
        <v>127</v>
      </c>
    </row>
    <row r="15" spans="1:9" x14ac:dyDescent="0.25">
      <c r="A15">
        <v>20</v>
      </c>
      <c r="B15" s="51">
        <v>141</v>
      </c>
      <c r="C15" s="51">
        <v>227</v>
      </c>
      <c r="E15">
        <f t="shared" si="0"/>
        <v>1</v>
      </c>
      <c r="G15" t="s">
        <v>225</v>
      </c>
      <c r="H15" s="51">
        <v>26</v>
      </c>
      <c r="I15" s="51">
        <v>127</v>
      </c>
    </row>
    <row r="16" spans="1:9" x14ac:dyDescent="0.25">
      <c r="A16">
        <v>21</v>
      </c>
      <c r="B16" s="51">
        <v>115</v>
      </c>
      <c r="C16" s="51">
        <v>170</v>
      </c>
      <c r="E16">
        <f t="shared" si="0"/>
        <v>1</v>
      </c>
      <c r="G16" t="s">
        <v>226</v>
      </c>
      <c r="H16" s="51">
        <v>46</v>
      </c>
      <c r="I16" s="51">
        <v>127</v>
      </c>
    </row>
    <row r="17" spans="1:9" x14ac:dyDescent="0.25">
      <c r="A17">
        <v>22</v>
      </c>
      <c r="B17" s="51">
        <v>42</v>
      </c>
      <c r="C17" s="51">
        <v>72</v>
      </c>
      <c r="E17">
        <f t="shared" si="0"/>
        <v>1</v>
      </c>
      <c r="G17" t="s">
        <v>227</v>
      </c>
      <c r="H17" s="51">
        <v>42</v>
      </c>
      <c r="I17" s="51">
        <v>127</v>
      </c>
    </row>
    <row r="18" spans="1:9" x14ac:dyDescent="0.25">
      <c r="A18">
        <v>23</v>
      </c>
      <c r="B18" s="51">
        <v>102</v>
      </c>
      <c r="C18" s="51">
        <v>154</v>
      </c>
      <c r="E18">
        <f t="shared" si="0"/>
        <v>1</v>
      </c>
      <c r="G18" t="s">
        <v>228</v>
      </c>
      <c r="H18" s="51">
        <v>13</v>
      </c>
      <c r="I18" s="51">
        <v>127</v>
      </c>
    </row>
    <row r="19" spans="1:9" x14ac:dyDescent="0.25">
      <c r="A19">
        <v>24</v>
      </c>
      <c r="B19" s="51">
        <v>86</v>
      </c>
      <c r="C19" s="51">
        <v>178</v>
      </c>
      <c r="E19">
        <f t="shared" si="0"/>
        <v>1</v>
      </c>
      <c r="G19" t="s">
        <v>229</v>
      </c>
      <c r="H19" s="51">
        <v>15</v>
      </c>
      <c r="I19" s="51">
        <v>127</v>
      </c>
    </row>
    <row r="20" spans="1:9" x14ac:dyDescent="0.25">
      <c r="A20">
        <v>25</v>
      </c>
      <c r="B20" s="51">
        <v>58</v>
      </c>
      <c r="C20" s="51">
        <v>172</v>
      </c>
      <c r="E20">
        <f t="shared" si="0"/>
        <v>1</v>
      </c>
      <c r="G20" t="s">
        <v>230</v>
      </c>
      <c r="H20">
        <v>18</v>
      </c>
      <c r="I20" s="51">
        <v>127</v>
      </c>
    </row>
    <row r="21" spans="1:9" x14ac:dyDescent="0.25">
      <c r="A21">
        <v>26</v>
      </c>
      <c r="B21" s="51">
        <v>31</v>
      </c>
      <c r="C21" s="51">
        <v>164</v>
      </c>
      <c r="E21">
        <f>+$F$21</f>
        <v>10</v>
      </c>
      <c r="F21">
        <v>10</v>
      </c>
      <c r="G21" t="s">
        <v>222</v>
      </c>
      <c r="H21" s="51">
        <v>12</v>
      </c>
      <c r="I21" s="51">
        <v>181</v>
      </c>
    </row>
    <row r="22" spans="1:9" x14ac:dyDescent="0.25">
      <c r="A22">
        <v>27</v>
      </c>
      <c r="B22" s="51">
        <v>92</v>
      </c>
      <c r="C22" s="51">
        <v>139</v>
      </c>
      <c r="E22">
        <f t="shared" ref="E22:E29" si="1">+$F$21</f>
        <v>10</v>
      </c>
      <c r="G22" t="s">
        <v>223</v>
      </c>
      <c r="H22" s="51">
        <v>2</v>
      </c>
      <c r="I22" s="51">
        <v>181</v>
      </c>
    </row>
    <row r="23" spans="1:9" x14ac:dyDescent="0.25">
      <c r="A23">
        <v>28</v>
      </c>
      <c r="B23" s="51">
        <v>84</v>
      </c>
      <c r="C23" s="51">
        <v>168</v>
      </c>
      <c r="E23">
        <f t="shared" si="1"/>
        <v>10</v>
      </c>
      <c r="G23" t="s">
        <v>224</v>
      </c>
      <c r="H23" s="51">
        <v>29</v>
      </c>
      <c r="I23" s="51">
        <v>181</v>
      </c>
    </row>
    <row r="24" spans="1:9" x14ac:dyDescent="0.25">
      <c r="A24">
        <v>3</v>
      </c>
      <c r="B24" s="51">
        <v>97</v>
      </c>
      <c r="C24" s="51">
        <v>170</v>
      </c>
      <c r="E24">
        <f t="shared" si="1"/>
        <v>10</v>
      </c>
      <c r="G24" t="s">
        <v>225</v>
      </c>
      <c r="H24" s="51">
        <v>19</v>
      </c>
      <c r="I24" s="51">
        <v>181</v>
      </c>
    </row>
    <row r="25" spans="1:9" x14ac:dyDescent="0.25">
      <c r="A25">
        <v>30</v>
      </c>
      <c r="B25" s="51">
        <v>13</v>
      </c>
      <c r="C25" s="51">
        <v>139</v>
      </c>
      <c r="E25">
        <f t="shared" si="1"/>
        <v>10</v>
      </c>
      <c r="G25" t="s">
        <v>226</v>
      </c>
      <c r="H25" s="51">
        <v>33</v>
      </c>
      <c r="I25" s="51">
        <v>181</v>
      </c>
    </row>
    <row r="26" spans="1:9" x14ac:dyDescent="0.25">
      <c r="A26">
        <v>31</v>
      </c>
      <c r="B26" s="51">
        <v>103</v>
      </c>
      <c r="C26" s="51">
        <v>160</v>
      </c>
      <c r="E26">
        <f t="shared" si="1"/>
        <v>10</v>
      </c>
      <c r="G26" t="s">
        <v>227</v>
      </c>
      <c r="H26" s="51">
        <v>17</v>
      </c>
      <c r="I26" s="51">
        <v>181</v>
      </c>
    </row>
    <row r="27" spans="1:9" x14ac:dyDescent="0.25">
      <c r="A27">
        <v>32</v>
      </c>
      <c r="B27" s="51">
        <v>23</v>
      </c>
      <c r="C27" s="51">
        <v>57</v>
      </c>
      <c r="E27">
        <f t="shared" si="1"/>
        <v>10</v>
      </c>
      <c r="G27" t="s">
        <v>228</v>
      </c>
      <c r="H27" s="51">
        <v>8</v>
      </c>
      <c r="I27" s="51">
        <v>181</v>
      </c>
    </row>
    <row r="28" spans="1:9" x14ac:dyDescent="0.25">
      <c r="A28">
        <v>33</v>
      </c>
      <c r="B28" s="51">
        <v>87</v>
      </c>
      <c r="C28" s="51">
        <v>168</v>
      </c>
      <c r="E28">
        <f t="shared" si="1"/>
        <v>10</v>
      </c>
      <c r="G28" t="s">
        <v>229</v>
      </c>
      <c r="H28" s="51">
        <v>5</v>
      </c>
      <c r="I28" s="51">
        <v>181</v>
      </c>
    </row>
    <row r="29" spans="1:9" x14ac:dyDescent="0.25">
      <c r="A29">
        <v>36</v>
      </c>
      <c r="B29" s="51">
        <v>79</v>
      </c>
      <c r="C29" s="51">
        <v>157</v>
      </c>
      <c r="E29">
        <f t="shared" si="1"/>
        <v>10</v>
      </c>
      <c r="G29" t="s">
        <v>230</v>
      </c>
      <c r="H29" s="51">
        <v>4</v>
      </c>
      <c r="I29" s="51">
        <v>181</v>
      </c>
    </row>
    <row r="30" spans="1:9" x14ac:dyDescent="0.25">
      <c r="A30">
        <v>37</v>
      </c>
      <c r="B30" s="51">
        <v>48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15</v>
      </c>
      <c r="I30" s="51">
        <v>2027</v>
      </c>
    </row>
    <row r="31" spans="1:9" x14ac:dyDescent="0.25">
      <c r="A31">
        <v>4</v>
      </c>
      <c r="B31" s="51">
        <v>85</v>
      </c>
      <c r="C31" s="51">
        <v>182</v>
      </c>
      <c r="E31">
        <f t="shared" ref="E31:E38" si="2">+$F$30</f>
        <v>100</v>
      </c>
      <c r="G31" t="s">
        <v>223</v>
      </c>
      <c r="H31" s="51">
        <v>10</v>
      </c>
      <c r="I31" s="51">
        <v>2027</v>
      </c>
    </row>
    <row r="32" spans="1:9" x14ac:dyDescent="0.25">
      <c r="A32">
        <v>40</v>
      </c>
      <c r="B32" s="51">
        <v>69</v>
      </c>
      <c r="C32" s="51">
        <v>249</v>
      </c>
      <c r="E32">
        <f t="shared" si="2"/>
        <v>100</v>
      </c>
      <c r="G32" t="s">
        <v>224</v>
      </c>
      <c r="H32" s="51">
        <v>14</v>
      </c>
      <c r="I32" s="51">
        <v>2027</v>
      </c>
    </row>
    <row r="33" spans="1:9" x14ac:dyDescent="0.25">
      <c r="A33">
        <v>42</v>
      </c>
      <c r="B33" s="51">
        <v>4</v>
      </c>
      <c r="C33" s="51">
        <v>52</v>
      </c>
      <c r="E33">
        <f t="shared" si="2"/>
        <v>100</v>
      </c>
      <c r="G33" t="s">
        <v>225</v>
      </c>
      <c r="H33" s="51">
        <v>9</v>
      </c>
      <c r="I33" s="51">
        <v>2027</v>
      </c>
    </row>
    <row r="34" spans="1:9" x14ac:dyDescent="0.25">
      <c r="A34">
        <v>43</v>
      </c>
      <c r="B34" s="51">
        <v>5</v>
      </c>
      <c r="C34" s="51">
        <v>93</v>
      </c>
      <c r="E34">
        <f t="shared" si="2"/>
        <v>100</v>
      </c>
      <c r="G34" t="s">
        <v>226</v>
      </c>
      <c r="H34" s="51">
        <v>16</v>
      </c>
      <c r="I34" s="51">
        <v>2027</v>
      </c>
    </row>
    <row r="35" spans="1:9" x14ac:dyDescent="0.25">
      <c r="A35">
        <v>44</v>
      </c>
      <c r="B35" s="51">
        <v>100</v>
      </c>
      <c r="C35" s="51">
        <v>169</v>
      </c>
      <c r="E35">
        <f t="shared" si="2"/>
        <v>100</v>
      </c>
      <c r="G35" t="s">
        <v>227</v>
      </c>
      <c r="H35" s="51">
        <v>9</v>
      </c>
      <c r="I35" s="51">
        <v>2027</v>
      </c>
    </row>
    <row r="36" spans="1:9" x14ac:dyDescent="0.25">
      <c r="A36">
        <v>49</v>
      </c>
      <c r="B36" s="51">
        <v>53</v>
      </c>
      <c r="C36" s="51">
        <v>239</v>
      </c>
      <c r="E36">
        <f t="shared" si="2"/>
        <v>100</v>
      </c>
      <c r="G36" t="s">
        <v>228</v>
      </c>
      <c r="H36" s="51">
        <v>12</v>
      </c>
      <c r="I36" s="51">
        <v>2027</v>
      </c>
    </row>
    <row r="37" spans="1:9" x14ac:dyDescent="0.25">
      <c r="A37">
        <v>5</v>
      </c>
      <c r="B37" s="51">
        <v>143</v>
      </c>
      <c r="C37" s="51">
        <v>260</v>
      </c>
      <c r="E37">
        <f t="shared" si="2"/>
        <v>100</v>
      </c>
      <c r="G37" t="s">
        <v>229</v>
      </c>
      <c r="H37" s="51">
        <v>4</v>
      </c>
      <c r="I37" s="51">
        <v>2027</v>
      </c>
    </row>
    <row r="38" spans="1:9" x14ac:dyDescent="0.25">
      <c r="A38">
        <v>52</v>
      </c>
      <c r="B38" s="51">
        <v>23</v>
      </c>
      <c r="C38" s="51">
        <v>101</v>
      </c>
      <c r="E38">
        <f t="shared" si="2"/>
        <v>100</v>
      </c>
      <c r="G38" t="s">
        <v>230</v>
      </c>
      <c r="H38" s="51">
        <v>1</v>
      </c>
      <c r="I38" s="51">
        <v>2027</v>
      </c>
    </row>
    <row r="39" spans="1:9" x14ac:dyDescent="0.25">
      <c r="A39">
        <v>53</v>
      </c>
      <c r="B39" s="51">
        <v>24</v>
      </c>
      <c r="C39" s="51">
        <v>105</v>
      </c>
      <c r="E39">
        <f>+$F$39</f>
        <v>11</v>
      </c>
      <c r="F39">
        <v>11</v>
      </c>
      <c r="G39" t="s">
        <v>222</v>
      </c>
      <c r="H39" s="51">
        <v>16</v>
      </c>
      <c r="I39" s="51">
        <v>160</v>
      </c>
    </row>
    <row r="40" spans="1:9" x14ac:dyDescent="0.25">
      <c r="A40">
        <v>54</v>
      </c>
      <c r="B40" s="51">
        <v>75</v>
      </c>
      <c r="C40" s="51">
        <v>202</v>
      </c>
      <c r="E40">
        <f t="shared" ref="E40:E47" si="3">+$F$39</f>
        <v>11</v>
      </c>
      <c r="G40" t="s">
        <v>223</v>
      </c>
      <c r="H40" s="51">
        <v>12</v>
      </c>
      <c r="I40" s="51">
        <v>160</v>
      </c>
    </row>
    <row r="41" spans="1:9" x14ac:dyDescent="0.25">
      <c r="A41">
        <v>56</v>
      </c>
      <c r="B41">
        <v>60</v>
      </c>
      <c r="C41" s="51">
        <v>198</v>
      </c>
      <c r="E41">
        <f t="shared" si="3"/>
        <v>11</v>
      </c>
      <c r="G41" t="s">
        <v>224</v>
      </c>
      <c r="H41" s="51">
        <v>39</v>
      </c>
      <c r="I41" s="51">
        <v>160</v>
      </c>
    </row>
    <row r="42" spans="1:9" x14ac:dyDescent="0.25">
      <c r="A42">
        <v>57</v>
      </c>
      <c r="B42" s="51">
        <v>7</v>
      </c>
      <c r="C42" s="51">
        <v>104</v>
      </c>
      <c r="E42">
        <f t="shared" si="3"/>
        <v>11</v>
      </c>
      <c r="G42" t="s">
        <v>225</v>
      </c>
      <c r="H42" s="51">
        <v>25</v>
      </c>
      <c r="I42" s="51">
        <v>160</v>
      </c>
    </row>
    <row r="43" spans="1:9" x14ac:dyDescent="0.25">
      <c r="A43">
        <v>58</v>
      </c>
      <c r="B43" s="51">
        <v>25</v>
      </c>
      <c r="C43" s="51">
        <v>120</v>
      </c>
      <c r="E43">
        <f t="shared" si="3"/>
        <v>11</v>
      </c>
      <c r="G43" t="s">
        <v>226</v>
      </c>
      <c r="H43" s="51">
        <v>45</v>
      </c>
      <c r="I43" s="51">
        <v>160</v>
      </c>
    </row>
    <row r="44" spans="1:9" x14ac:dyDescent="0.25">
      <c r="A44">
        <v>59</v>
      </c>
      <c r="B44" s="51">
        <v>25</v>
      </c>
      <c r="C44" s="51">
        <v>122</v>
      </c>
      <c r="E44">
        <f t="shared" si="3"/>
        <v>11</v>
      </c>
      <c r="G44" t="s">
        <v>227</v>
      </c>
      <c r="H44" s="51">
        <v>33</v>
      </c>
      <c r="I44" s="51">
        <v>160</v>
      </c>
    </row>
    <row r="45" spans="1:9" x14ac:dyDescent="0.25">
      <c r="A45">
        <v>7</v>
      </c>
      <c r="B45" s="51">
        <v>4</v>
      </c>
      <c r="C45" s="51">
        <v>113</v>
      </c>
      <c r="E45">
        <f t="shared" si="3"/>
        <v>11</v>
      </c>
      <c r="G45" t="s">
        <v>228</v>
      </c>
      <c r="H45" s="51">
        <v>5</v>
      </c>
      <c r="I45" s="51">
        <v>160</v>
      </c>
    </row>
    <row r="46" spans="1:9" x14ac:dyDescent="0.25">
      <c r="A46">
        <v>8</v>
      </c>
      <c r="B46" s="51">
        <v>85</v>
      </c>
      <c r="C46" s="51">
        <v>195</v>
      </c>
      <c r="E46">
        <f t="shared" si="3"/>
        <v>11</v>
      </c>
      <c r="G46" t="s">
        <v>229</v>
      </c>
      <c r="H46" s="51">
        <v>12</v>
      </c>
      <c r="I46" s="51">
        <v>160</v>
      </c>
    </row>
    <row r="47" spans="1:9" x14ac:dyDescent="0.25">
      <c r="A47">
        <v>9</v>
      </c>
      <c r="B47" s="51">
        <v>90</v>
      </c>
      <c r="C47" s="51">
        <v>161</v>
      </c>
      <c r="E47">
        <f t="shared" si="3"/>
        <v>11</v>
      </c>
      <c r="G47" t="s">
        <v>230</v>
      </c>
      <c r="H47" s="51">
        <v>9</v>
      </c>
      <c r="I47" s="51">
        <v>160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31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16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42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14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50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48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10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8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12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14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7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12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15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1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10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19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10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13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10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18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7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12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5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7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19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7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41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18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47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34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3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12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11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36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19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30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20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72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44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14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13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17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26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18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51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28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92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58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6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17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15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10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35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25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19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40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21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9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11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14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47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34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57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42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76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66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10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16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16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38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27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48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28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76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61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15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19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14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23</v>
      </c>
      <c r="I129" s="51">
        <v>72</v>
      </c>
    </row>
    <row r="130" spans="5:9" x14ac:dyDescent="0.25">
      <c r="E130">
        <f t="shared" ref="E130:E137" si="13">+$F$129</f>
        <v>22</v>
      </c>
      <c r="G130" t="s">
        <v>223</v>
      </c>
      <c r="H130" s="51">
        <v>14</v>
      </c>
      <c r="I130" s="51">
        <v>72</v>
      </c>
    </row>
    <row r="131" spans="5:9" x14ac:dyDescent="0.25">
      <c r="E131">
        <f t="shared" si="13"/>
        <v>22</v>
      </c>
      <c r="G131" t="s">
        <v>224</v>
      </c>
      <c r="H131" s="51">
        <v>26</v>
      </c>
      <c r="I131" s="51">
        <v>72</v>
      </c>
    </row>
    <row r="132" spans="5:9" x14ac:dyDescent="0.25">
      <c r="E132">
        <f t="shared" si="13"/>
        <v>22</v>
      </c>
      <c r="G132" t="s">
        <v>225</v>
      </c>
      <c r="H132" s="51">
        <v>15</v>
      </c>
      <c r="I132" s="51">
        <v>72</v>
      </c>
    </row>
    <row r="133" spans="5:9" x14ac:dyDescent="0.25">
      <c r="E133">
        <f t="shared" si="13"/>
        <v>22</v>
      </c>
      <c r="G133" t="s">
        <v>226</v>
      </c>
      <c r="H133" s="51">
        <v>33</v>
      </c>
      <c r="I133" s="51">
        <v>72</v>
      </c>
    </row>
    <row r="134" spans="5:9" x14ac:dyDescent="0.25">
      <c r="E134">
        <f t="shared" si="13"/>
        <v>22</v>
      </c>
      <c r="G134" t="s">
        <v>227</v>
      </c>
      <c r="H134" s="51">
        <v>18</v>
      </c>
      <c r="I134" s="51">
        <v>72</v>
      </c>
    </row>
    <row r="135" spans="5:9" x14ac:dyDescent="0.25">
      <c r="E135">
        <f t="shared" si="13"/>
        <v>22</v>
      </c>
      <c r="G135" t="s">
        <v>228</v>
      </c>
      <c r="H135" s="51">
        <v>31</v>
      </c>
      <c r="I135" s="51">
        <v>72</v>
      </c>
    </row>
    <row r="136" spans="5:9" x14ac:dyDescent="0.25">
      <c r="E136">
        <f t="shared" si="13"/>
        <v>22</v>
      </c>
      <c r="G136" t="s">
        <v>229</v>
      </c>
      <c r="H136" s="51">
        <v>10</v>
      </c>
      <c r="I136" s="51">
        <v>72</v>
      </c>
    </row>
    <row r="137" spans="5:9" x14ac:dyDescent="0.25">
      <c r="E137">
        <f t="shared" si="13"/>
        <v>22</v>
      </c>
      <c r="G137" t="s">
        <v>230</v>
      </c>
      <c r="H137" s="51">
        <v>17</v>
      </c>
      <c r="I137" s="51">
        <v>72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30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23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55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21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76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45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7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10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8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20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8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53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20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43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28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7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6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2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19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14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16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27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37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30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30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10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9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12</v>
      </c>
      <c r="I165" s="51">
        <v>164</v>
      </c>
    </row>
    <row r="166" spans="5:9" x14ac:dyDescent="0.25">
      <c r="E166">
        <f t="shared" ref="E166:E173" si="17">+$F$165</f>
        <v>26</v>
      </c>
      <c r="G166" t="s">
        <v>223</v>
      </c>
      <c r="H166" s="51">
        <v>6</v>
      </c>
      <c r="I166" s="51">
        <v>164</v>
      </c>
    </row>
    <row r="167" spans="5:9" x14ac:dyDescent="0.25">
      <c r="E167">
        <f t="shared" si="17"/>
        <v>26</v>
      </c>
      <c r="G167" t="s">
        <v>224</v>
      </c>
      <c r="H167" s="51">
        <v>3</v>
      </c>
      <c r="I167" s="51">
        <v>164</v>
      </c>
    </row>
    <row r="168" spans="5:9" x14ac:dyDescent="0.25">
      <c r="E168">
        <f t="shared" si="17"/>
        <v>26</v>
      </c>
      <c r="G168" t="s">
        <v>225</v>
      </c>
      <c r="H168" s="51">
        <v>15</v>
      </c>
      <c r="I168" s="51">
        <v>164</v>
      </c>
    </row>
    <row r="169" spans="5:9" x14ac:dyDescent="0.25">
      <c r="E169">
        <f t="shared" si="17"/>
        <v>26</v>
      </c>
      <c r="G169" t="s">
        <v>226</v>
      </c>
      <c r="H169" s="51">
        <v>11</v>
      </c>
      <c r="I169" s="51">
        <v>164</v>
      </c>
    </row>
    <row r="170" spans="5:9" x14ac:dyDescent="0.25">
      <c r="E170">
        <f t="shared" si="17"/>
        <v>26</v>
      </c>
      <c r="G170" t="s">
        <v>227</v>
      </c>
      <c r="H170" s="51">
        <v>12</v>
      </c>
      <c r="I170" s="51">
        <v>164</v>
      </c>
    </row>
    <row r="171" spans="5:9" x14ac:dyDescent="0.25">
      <c r="E171">
        <f t="shared" si="17"/>
        <v>26</v>
      </c>
      <c r="G171" t="s">
        <v>228</v>
      </c>
      <c r="H171" s="51">
        <v>16</v>
      </c>
      <c r="I171" s="51">
        <v>164</v>
      </c>
    </row>
    <row r="172" spans="5:9" x14ac:dyDescent="0.25">
      <c r="E172">
        <f t="shared" si="17"/>
        <v>26</v>
      </c>
      <c r="G172" t="s">
        <v>229</v>
      </c>
      <c r="H172" s="51">
        <v>6</v>
      </c>
      <c r="I172" s="51">
        <v>164</v>
      </c>
    </row>
    <row r="173" spans="5:9" x14ac:dyDescent="0.25">
      <c r="E173">
        <f t="shared" si="17"/>
        <v>26</v>
      </c>
      <c r="G173" t="s">
        <v>230</v>
      </c>
      <c r="H173" s="51">
        <v>11</v>
      </c>
      <c r="I173" s="51">
        <v>164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27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12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31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16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49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43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14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14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7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19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7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18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15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44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39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4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9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4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25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18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41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21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58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41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8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15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11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4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3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3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9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32</v>
      </c>
      <c r="I210" s="51">
        <v>160</v>
      </c>
    </row>
    <row r="211" spans="5:9" x14ac:dyDescent="0.25">
      <c r="E211">
        <f t="shared" ref="E211:E218" si="22">+$F$210</f>
        <v>31</v>
      </c>
      <c r="G211" t="s">
        <v>223</v>
      </c>
      <c r="H211" s="51">
        <v>11</v>
      </c>
      <c r="I211" s="51">
        <v>160</v>
      </c>
    </row>
    <row r="212" spans="5:9" x14ac:dyDescent="0.25">
      <c r="E212">
        <f t="shared" si="22"/>
        <v>31</v>
      </c>
      <c r="G212" t="s">
        <v>224</v>
      </c>
      <c r="H212">
        <v>48</v>
      </c>
      <c r="I212" s="51">
        <v>160</v>
      </c>
    </row>
    <row r="213" spans="5:9" x14ac:dyDescent="0.25">
      <c r="E213">
        <f t="shared" si="22"/>
        <v>31</v>
      </c>
      <c r="G213" t="s">
        <v>225</v>
      </c>
      <c r="H213" s="51">
        <v>29</v>
      </c>
      <c r="I213" s="51">
        <v>160</v>
      </c>
    </row>
    <row r="214" spans="5:9" x14ac:dyDescent="0.25">
      <c r="E214">
        <f t="shared" si="22"/>
        <v>31</v>
      </c>
      <c r="G214" t="s">
        <v>226</v>
      </c>
      <c r="H214" s="51">
        <v>74</v>
      </c>
      <c r="I214" s="51">
        <v>160</v>
      </c>
    </row>
    <row r="215" spans="5:9" x14ac:dyDescent="0.25">
      <c r="E215">
        <f t="shared" si="22"/>
        <v>31</v>
      </c>
      <c r="G215" t="s">
        <v>227</v>
      </c>
      <c r="H215" s="51">
        <v>48</v>
      </c>
      <c r="I215" s="51">
        <v>160</v>
      </c>
    </row>
    <row r="216" spans="5:9" x14ac:dyDescent="0.25">
      <c r="E216">
        <f t="shared" si="22"/>
        <v>31</v>
      </c>
      <c r="G216" t="s">
        <v>228</v>
      </c>
      <c r="H216" s="51">
        <v>16</v>
      </c>
      <c r="I216" s="51">
        <v>160</v>
      </c>
    </row>
    <row r="217" spans="5:9" x14ac:dyDescent="0.25">
      <c r="E217">
        <f t="shared" si="22"/>
        <v>31</v>
      </c>
      <c r="G217" t="s">
        <v>229</v>
      </c>
      <c r="H217" s="51">
        <v>23</v>
      </c>
      <c r="I217" s="51">
        <v>160</v>
      </c>
    </row>
    <row r="218" spans="5:9" x14ac:dyDescent="0.25">
      <c r="E218">
        <f t="shared" si="22"/>
        <v>31</v>
      </c>
      <c r="G218" t="s">
        <v>230</v>
      </c>
      <c r="H218" s="51">
        <v>8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13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3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9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11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19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12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15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8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11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24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18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29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17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39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29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4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9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9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14</v>
      </c>
      <c r="I237" s="51">
        <v>157</v>
      </c>
    </row>
    <row r="238" spans="5:9" x14ac:dyDescent="0.25">
      <c r="E238">
        <f t="shared" ref="E238:E245" si="25">+$F$237</f>
        <v>36</v>
      </c>
      <c r="G238" t="s">
        <v>223</v>
      </c>
      <c r="H238" s="51">
        <v>6</v>
      </c>
      <c r="I238" s="51">
        <v>157</v>
      </c>
    </row>
    <row r="239" spans="5:9" x14ac:dyDescent="0.25">
      <c r="E239">
        <f t="shared" si="25"/>
        <v>36</v>
      </c>
      <c r="G239" t="s">
        <v>224</v>
      </c>
      <c r="H239" s="51">
        <v>29</v>
      </c>
      <c r="I239" s="51">
        <v>157</v>
      </c>
    </row>
    <row r="240" spans="5:9" x14ac:dyDescent="0.25">
      <c r="E240">
        <f t="shared" si="25"/>
        <v>36</v>
      </c>
      <c r="G240" t="s">
        <v>225</v>
      </c>
      <c r="H240" s="51">
        <v>20</v>
      </c>
      <c r="I240" s="51">
        <v>157</v>
      </c>
    </row>
    <row r="241" spans="5:9" x14ac:dyDescent="0.25">
      <c r="E241">
        <f t="shared" si="25"/>
        <v>36</v>
      </c>
      <c r="G241" t="s">
        <v>226</v>
      </c>
      <c r="H241" s="51">
        <v>47</v>
      </c>
      <c r="I241" s="51">
        <v>157</v>
      </c>
    </row>
    <row r="242" spans="5:9" x14ac:dyDescent="0.25">
      <c r="E242">
        <f t="shared" si="25"/>
        <v>36</v>
      </c>
      <c r="G242" t="s">
        <v>227</v>
      </c>
      <c r="H242" s="51">
        <v>26</v>
      </c>
      <c r="I242" s="51">
        <v>157</v>
      </c>
    </row>
    <row r="243" spans="5:9" x14ac:dyDescent="0.25">
      <c r="E243">
        <f t="shared" si="25"/>
        <v>36</v>
      </c>
      <c r="G243" t="s">
        <v>228</v>
      </c>
      <c r="H243" s="51">
        <v>11</v>
      </c>
      <c r="I243" s="51">
        <v>157</v>
      </c>
    </row>
    <row r="244" spans="5:9" x14ac:dyDescent="0.25">
      <c r="E244">
        <f t="shared" si="25"/>
        <v>36</v>
      </c>
      <c r="G244" t="s">
        <v>229</v>
      </c>
      <c r="H244">
        <v>8</v>
      </c>
      <c r="I244" s="51">
        <v>157</v>
      </c>
    </row>
    <row r="245" spans="5:9" x14ac:dyDescent="0.25">
      <c r="E245">
        <f t="shared" si="25"/>
        <v>36</v>
      </c>
      <c r="G245" t="s">
        <v>230</v>
      </c>
      <c r="H245" s="51">
        <v>7</v>
      </c>
      <c r="I245" s="51">
        <v>157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8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5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9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7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30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21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9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10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7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14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13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31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26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55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32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12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15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15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18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19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46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31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11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8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4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4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1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19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16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45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20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68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51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11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14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10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8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8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24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6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19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11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19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7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8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46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22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52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24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81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57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23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21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16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5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23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24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11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31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25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41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30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8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7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16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11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9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33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10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24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11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5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7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120</v>
      </c>
    </row>
    <row r="364" spans="5:9" x14ac:dyDescent="0.25">
      <c r="E364">
        <f t="shared" ref="E364:E371" si="39">+$F$363</f>
        <v>58</v>
      </c>
      <c r="G364" t="s">
        <v>223</v>
      </c>
      <c r="H364" s="51">
        <v>9</v>
      </c>
      <c r="I364" s="51">
        <v>120</v>
      </c>
    </row>
    <row r="365" spans="5:9" x14ac:dyDescent="0.25">
      <c r="E365">
        <f t="shared" si="39"/>
        <v>58</v>
      </c>
      <c r="G365" t="s">
        <v>224</v>
      </c>
      <c r="H365" s="51">
        <v>7</v>
      </c>
      <c r="I365" s="51">
        <v>120</v>
      </c>
    </row>
    <row r="366" spans="5:9" x14ac:dyDescent="0.25">
      <c r="E366">
        <f t="shared" si="39"/>
        <v>58</v>
      </c>
      <c r="G366" t="s">
        <v>225</v>
      </c>
      <c r="H366" s="51">
        <v>14</v>
      </c>
      <c r="I366" s="51">
        <v>120</v>
      </c>
    </row>
    <row r="367" spans="5:9" x14ac:dyDescent="0.25">
      <c r="E367">
        <f t="shared" si="39"/>
        <v>58</v>
      </c>
      <c r="G367" t="s">
        <v>226</v>
      </c>
      <c r="H367" s="51">
        <v>17</v>
      </c>
      <c r="I367" s="51">
        <v>120</v>
      </c>
    </row>
    <row r="368" spans="5:9" x14ac:dyDescent="0.25">
      <c r="E368">
        <f t="shared" si="39"/>
        <v>58</v>
      </c>
      <c r="G368" t="s">
        <v>227</v>
      </c>
      <c r="H368" s="51">
        <v>16</v>
      </c>
      <c r="I368" s="51">
        <v>120</v>
      </c>
    </row>
    <row r="369" spans="5:9" x14ac:dyDescent="0.25">
      <c r="E369">
        <f t="shared" si="39"/>
        <v>58</v>
      </c>
      <c r="G369" t="s">
        <v>228</v>
      </c>
      <c r="H369" s="51">
        <v>3</v>
      </c>
      <c r="I369" s="51">
        <v>120</v>
      </c>
    </row>
    <row r="370" spans="5:9" x14ac:dyDescent="0.25">
      <c r="E370">
        <f t="shared" si="39"/>
        <v>58</v>
      </c>
      <c r="G370" t="s">
        <v>229</v>
      </c>
      <c r="H370" s="51">
        <v>2</v>
      </c>
      <c r="I370" s="51">
        <v>120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120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8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9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6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10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10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10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6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2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113</v>
      </c>
    </row>
    <row r="382" spans="5:9" x14ac:dyDescent="0.25">
      <c r="E382">
        <f t="shared" ref="E382:E389" si="41">+$F$381</f>
        <v>7</v>
      </c>
      <c r="G382" t="s">
        <v>223</v>
      </c>
      <c r="I382">
        <v>113</v>
      </c>
    </row>
    <row r="383" spans="5:9" x14ac:dyDescent="0.25">
      <c r="E383">
        <f t="shared" si="41"/>
        <v>7</v>
      </c>
      <c r="G383" t="s">
        <v>224</v>
      </c>
      <c r="H383">
        <v>3</v>
      </c>
      <c r="I383">
        <v>113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113</v>
      </c>
    </row>
    <row r="385" spans="5:9" x14ac:dyDescent="0.25">
      <c r="E385">
        <f t="shared" si="41"/>
        <v>7</v>
      </c>
      <c r="G385" t="s">
        <v>226</v>
      </c>
      <c r="H385">
        <v>2</v>
      </c>
      <c r="I385">
        <v>113</v>
      </c>
    </row>
    <row r="386" spans="5:9" x14ac:dyDescent="0.25">
      <c r="E386">
        <f t="shared" si="41"/>
        <v>7</v>
      </c>
      <c r="G386" t="s">
        <v>227</v>
      </c>
      <c r="H386">
        <v>2</v>
      </c>
      <c r="I386">
        <v>113</v>
      </c>
    </row>
    <row r="387" spans="5:9" x14ac:dyDescent="0.25">
      <c r="E387">
        <f t="shared" si="41"/>
        <v>7</v>
      </c>
      <c r="G387" t="s">
        <v>228</v>
      </c>
      <c r="H387">
        <v>2</v>
      </c>
      <c r="I387">
        <v>113</v>
      </c>
    </row>
    <row r="388" spans="5:9" x14ac:dyDescent="0.25">
      <c r="E388">
        <f t="shared" si="41"/>
        <v>7</v>
      </c>
      <c r="G388" t="s">
        <v>229</v>
      </c>
      <c r="I388">
        <v>113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113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23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4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33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11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41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35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10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12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23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29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28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20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38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40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7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14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13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2026-06-08T17:49:35Z</dcterms:modified>
</cp:coreProperties>
</file>