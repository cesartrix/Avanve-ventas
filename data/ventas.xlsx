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F2A4778E-54F7-4153-B8A7-8960C58CF07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<sst xmlns="http://schemas.openxmlformats.org/spreadsheetml/2006/main" count="1520" uniqueCount="283">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</sst>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5248.8159662688004</v>
      </c>
      <c r="D2" s="149">
        <v>13326.8230015349</v>
      </c>
      <c r="E2" s="149">
        <v>78544329.487256989</v>
      </c>
      <c r="F2" s="149">
        <v>0</v>
      </c>
      <c r="G2" s="149">
        <v>54846.974441306003</v>
      </c>
      <c r="H2" s="149">
        <v>54847.03</v>
      </c>
    </row>
    <row r="3" spans="1:8" x14ac:dyDescent="0.25">
      <c r="A3" s="149" t="s">
        <v>81</v>
      </c>
      <c r="B3" s="149">
        <v>1</v>
      </c>
      <c r="C3" s="149">
        <v>44.094394841400003</v>
      </c>
      <c r="D3" s="149">
        <v>115.6864062535</v>
      </c>
      <c r="E3" s="149">
        <v>1828232.4813768633</v>
      </c>
      <c r="F3" s="149">
        <v>0</v>
      </c>
      <c r="G3" s="149">
        <v>54846.974441306003</v>
      </c>
      <c r="H3" s="149">
        <v>54847.03</v>
      </c>
    </row>
    <row r="4" spans="1:8" x14ac:dyDescent="0.25">
      <c r="A4" s="149" t="s">
        <v>82</v>
      </c>
      <c r="B4" s="149">
        <v>1</v>
      </c>
      <c r="C4" s="149">
        <v>21.6554563493</v>
      </c>
      <c r="D4" s="149">
        <v>55.602583337900001</v>
      </c>
      <c r="E4" s="149">
        <v>741155.95572463318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119.3892460319</v>
      </c>
      <c r="D5" s="149">
        <v>189.70708333810001</v>
      </c>
      <c r="E5" s="149">
        <v>3175848.47970931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81.424107142699995</v>
      </c>
      <c r="D6" s="149">
        <v>72.961499998799994</v>
      </c>
      <c r="E6" s="149">
        <v>1533394.8363165089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116.3640476188</v>
      </c>
      <c r="D7" s="149">
        <v>344.98142857189998</v>
      </c>
      <c r="E7" s="149">
        <v>2033398.5131540904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80</v>
      </c>
      <c r="D8" s="149">
        <v>960.5</v>
      </c>
      <c r="E8" s="149">
        <v>2114567.1280499999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19.775000000199999</v>
      </c>
      <c r="D9" s="149">
        <v>21.222083334299999</v>
      </c>
      <c r="E9" s="149">
        <v>401287.85045149352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19.331349206500001</v>
      </c>
      <c r="D10" s="149">
        <v>110.72242857569999</v>
      </c>
      <c r="E10" s="149">
        <v>988543.0198530968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211</v>
      </c>
      <c r="B11" s="149">
        <v>1</v>
      </c>
      <c r="C11" s="149">
        <v>30.652539682600001</v>
      </c>
      <c r="D11" s="149">
        <v>83.709000002799996</v>
      </c>
      <c r="E11" s="149">
        <v>756625.92063620372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210</v>
      </c>
      <c r="B12" s="149">
        <v>1</v>
      </c>
      <c r="C12" s="149">
        <v>97.244444444099997</v>
      </c>
      <c r="D12" s="149">
        <v>371.93750000670002</v>
      </c>
      <c r="E12" s="149">
        <v>2024283.4990501967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19.497333333499999</v>
      </c>
      <c r="D13" s="149">
        <v>85.040833332000005</v>
      </c>
      <c r="E13" s="149">
        <v>554218.39276560419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125.8333333333</v>
      </c>
      <c r="D14" s="149">
        <v>36</v>
      </c>
      <c r="E14" s="149">
        <v>1461699.3346656237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49.7295634918</v>
      </c>
      <c r="D15" s="149">
        <v>184.70208333229999</v>
      </c>
      <c r="E15" s="149">
        <v>1264552.9138414571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42.976170634799999</v>
      </c>
      <c r="D16" s="149">
        <v>138.2563333388</v>
      </c>
      <c r="E16" s="149">
        <v>1106384.1298211117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91.274265873399997</v>
      </c>
      <c r="D17" s="149">
        <v>191.9859404769</v>
      </c>
      <c r="E17" s="149">
        <v>1795361.9151083895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10.050000000000001</v>
      </c>
      <c r="D18" s="149">
        <v>52</v>
      </c>
      <c r="E18" s="149">
        <v>197724.00803753021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66.699999999699997</v>
      </c>
      <c r="D19" s="149">
        <v>217.3225119089</v>
      </c>
      <c r="E19" s="149">
        <v>1592632.090454902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168.19583333349999</v>
      </c>
      <c r="D20" s="149">
        <v>621.31550000150003</v>
      </c>
      <c r="E20" s="149">
        <v>2321605.5172273046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45.963888888600003</v>
      </c>
      <c r="D21" s="149">
        <v>127.262500003</v>
      </c>
      <c r="E21" s="149">
        <v>959278.13171796279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205</v>
      </c>
      <c r="B22" s="149">
        <v>1</v>
      </c>
      <c r="C22" s="149">
        <v>58.129583333299998</v>
      </c>
      <c r="D22" s="149">
        <v>165.1920833371</v>
      </c>
      <c r="E22" s="149">
        <v>929596.91790991055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99</v>
      </c>
      <c r="B23" s="149">
        <v>1</v>
      </c>
      <c r="C23" s="149">
        <v>55.363821428500003</v>
      </c>
      <c r="D23" s="149">
        <v>220.8605000016</v>
      </c>
      <c r="E23" s="149">
        <v>1114483.5722356094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100</v>
      </c>
      <c r="B24" s="149">
        <v>1</v>
      </c>
      <c r="C24" s="149">
        <v>39.960119047299997</v>
      </c>
      <c r="D24" s="149">
        <v>106.9999999982</v>
      </c>
      <c r="E24" s="149">
        <v>895356.64422665036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218</v>
      </c>
      <c r="B25" s="149">
        <v>1</v>
      </c>
      <c r="C25" s="149">
        <v>2431</v>
      </c>
      <c r="D25" s="149">
        <v>352.56</v>
      </c>
      <c r="E25" s="149">
        <v>24131264.9703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229</v>
      </c>
      <c r="B26" s="149">
        <v>1</v>
      </c>
      <c r="C26" s="149">
        <v>37.005456348599999</v>
      </c>
      <c r="D26" s="149">
        <v>102.50499999900001</v>
      </c>
      <c r="E26" s="149">
        <v>928553.2331852389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212</v>
      </c>
      <c r="B27" s="149">
        <v>1</v>
      </c>
      <c r="C27" s="149">
        <v>186.3347222221</v>
      </c>
      <c r="D27" s="149">
        <v>782.83999999770003</v>
      </c>
      <c r="E27" s="149">
        <v>3206664.5965414383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139</v>
      </c>
      <c r="B28" s="149">
        <v>1</v>
      </c>
      <c r="C28" s="149">
        <v>63.670595237999997</v>
      </c>
      <c r="D28" s="149">
        <v>136.23366666679999</v>
      </c>
      <c r="E28" s="149">
        <v>1007466.4301731902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40.893849206200002</v>
      </c>
      <c r="D29" s="149">
        <v>58.9999999996</v>
      </c>
      <c r="E29" s="149">
        <v>613066.82196217531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104</v>
      </c>
      <c r="B30" s="149">
        <v>1</v>
      </c>
      <c r="C30" s="149">
        <v>6.4055555555000003</v>
      </c>
      <c r="D30" s="149">
        <v>9.5049999996000007</v>
      </c>
      <c r="E30" s="149">
        <v>372346.89463145478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213</v>
      </c>
      <c r="B31" s="149">
        <v>1</v>
      </c>
      <c r="C31" s="149">
        <v>86.803571428699996</v>
      </c>
      <c r="D31" s="149">
        <v>87.721666672500007</v>
      </c>
      <c r="E31" s="149">
        <v>1302532.0024373976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161</v>
      </c>
      <c r="B32" s="149">
        <v>1</v>
      </c>
      <c r="C32" s="149">
        <v>49.025694444800003</v>
      </c>
      <c r="D32" s="149">
        <v>193.8537500011</v>
      </c>
      <c r="E32" s="149">
        <v>1211206.3495374783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112</v>
      </c>
      <c r="B33" s="149">
        <v>1</v>
      </c>
      <c r="C33" s="149">
        <v>5.6666666666000003</v>
      </c>
      <c r="D33" s="149">
        <v>38.239999998800002</v>
      </c>
      <c r="E33" s="149">
        <v>92221.681925437602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108</v>
      </c>
      <c r="B34" s="149">
        <v>1</v>
      </c>
      <c r="C34" s="149">
        <v>123</v>
      </c>
      <c r="D34" s="149">
        <v>1393.94</v>
      </c>
      <c r="E34" s="149">
        <v>2876584.6422999999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230</v>
      </c>
      <c r="B35" s="149">
        <v>1</v>
      </c>
      <c r="C35" s="149">
        <v>15.725198412799999</v>
      </c>
      <c r="D35" s="149">
        <v>24.635535715500001</v>
      </c>
      <c r="E35" s="149">
        <v>859233.11468040221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140</v>
      </c>
      <c r="B36" s="149">
        <v>1</v>
      </c>
      <c r="C36" s="149">
        <v>710.90238095250004</v>
      </c>
      <c r="D36" s="149">
        <v>5479.7084166660998</v>
      </c>
      <c r="E36" s="149">
        <v>8887977.6236097589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215</v>
      </c>
      <c r="B37" s="149">
        <v>1</v>
      </c>
      <c r="C37" s="149">
        <v>4</v>
      </c>
      <c r="D37" s="149">
        <v>77</v>
      </c>
      <c r="E37" s="149">
        <v>100345.7555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155</v>
      </c>
      <c r="B38" s="149">
        <v>1</v>
      </c>
      <c r="C38" s="149">
        <v>15.777777777800001</v>
      </c>
      <c r="D38" s="149">
        <v>66.091666668200006</v>
      </c>
      <c r="E38" s="149">
        <v>537522.51113856339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228</v>
      </c>
      <c r="B39" s="149">
        <v>1</v>
      </c>
      <c r="C39" s="149">
        <v>69</v>
      </c>
      <c r="D39" s="149">
        <v>49.02</v>
      </c>
      <c r="E39" s="149">
        <v>2627111.6069999998</v>
      </c>
      <c r="F39" s="149">
        <v>0</v>
      </c>
      <c r="G39" s="149">
        <v>0</v>
      </c>
      <c r="H39" s="149">
        <v>0</v>
      </c>
    </row>
    <row r="40" spans="1:8" x14ac:dyDescent="0.25">
      <c r="A40" t="s">
        <v>230</v>
      </c>
      <c r="B40">
        <v>1</v>
      </c>
      <c r="C40">
        <v>2650.7972222207</v>
      </c>
      <c r="D40">
        <v>13684.3941654091</v>
      </c>
      <c r="E40">
        <v>40082800.76103171</v>
      </c>
      <c r="F40">
        <v>0</v>
      </c>
      <c r="G40">
        <v>0</v>
      </c>
      <c r="H40">
        <v>0</v>
      </c>
    </row>
    <row r="41" spans="1:8" x14ac:dyDescent="0.25">
      <c r="A41" t="s">
        <v>140</v>
      </c>
      <c r="B41">
        <v>1</v>
      </c>
      <c r="C41">
        <v>4623.5154365081999</v>
      </c>
      <c r="D41">
        <v>22058.482952382499</v>
      </c>
      <c r="E41">
        <v>52746975.667182915</v>
      </c>
      <c r="F41">
        <v>0</v>
      </c>
      <c r="G41">
        <v>0</v>
      </c>
      <c r="H41">
        <v>0</v>
      </c>
    </row>
    <row r="42" spans="1:8" x14ac:dyDescent="0.25">
      <c r="A42" t="s">
        <v>215</v>
      </c>
      <c r="B42">
        <v>1</v>
      </c>
      <c r="C42">
        <v>714.68611111109999</v>
      </c>
      <c r="D42">
        <v>8476.1750000004995</v>
      </c>
      <c r="E42">
        <v>16480410.572651757</v>
      </c>
      <c r="F42">
        <v>0</v>
      </c>
      <c r="G42">
        <v>0</v>
      </c>
      <c r="H42">
        <v>0</v>
      </c>
    </row>
    <row r="43" spans="1:8" x14ac:dyDescent="0.25">
      <c r="A43" t="s">
        <v>145</v>
      </c>
      <c r="B43">
        <v>1</v>
      </c>
      <c r="C43">
        <v>1051.1805059507001</v>
      </c>
      <c r="D43">
        <v>7110.5142830207997</v>
      </c>
      <c r="E43">
        <v>31200035.617086809</v>
      </c>
      <c r="F43">
        <v>0</v>
      </c>
      <c r="G43">
        <v>0</v>
      </c>
      <c r="H43">
        <v>0</v>
      </c>
    </row>
    <row r="44" spans="1:8" x14ac:dyDescent="0.25">
      <c r="A44" t="s">
        <v>146</v>
      </c>
      <c r="B44">
        <v>1</v>
      </c>
      <c r="C44">
        <v>1566.6459960326999</v>
      </c>
      <c r="D44">
        <v>14396.834107144001</v>
      </c>
      <c r="E44">
        <v>24332681.799774844</v>
      </c>
      <c r="F44">
        <v>0</v>
      </c>
      <c r="G44">
        <v>0</v>
      </c>
      <c r="H44">
        <v>0</v>
      </c>
    </row>
    <row r="45" spans="1:8" x14ac:dyDescent="0.25">
      <c r="A45" t="s">
        <v>155</v>
      </c>
      <c r="B45">
        <v>1</v>
      </c>
      <c r="C45">
        <v>770.72769841410002</v>
      </c>
      <c r="D45">
        <v>7497.0568488112003</v>
      </c>
      <c r="E45">
        <v>18122843.629825346</v>
      </c>
      <c r="F45">
        <v>0</v>
      </c>
      <c r="G45">
        <v>0</v>
      </c>
      <c r="H45">
        <v>0</v>
      </c>
    </row>
    <row r="46" spans="1:8" x14ac:dyDescent="0.25">
      <c r="A46" t="s">
        <v>228</v>
      </c>
      <c r="B46">
        <v>1</v>
      </c>
      <c r="C46">
        <v>2968.9512222223002</v>
      </c>
      <c r="D46">
        <v>1731.8200000003999</v>
      </c>
      <c r="E46">
        <v>78320711.594213665</v>
      </c>
      <c r="F46">
        <v>0</v>
      </c>
      <c r="G46">
        <v>0</v>
      </c>
      <c r="H4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J41" sqref="J41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8.8554687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206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207</v>
      </c>
      <c r="B2" s="57" t="s">
        <v>95</v>
      </c>
      <c r="C2" s="58">
        <v>32279076.638250753</v>
      </c>
      <c r="D2" s="59">
        <f>IFERROR(+VLOOKUP(B2,COMISIONES!A:E,5,FALSE),"0")*1</f>
        <v>197724.00803753021</v>
      </c>
      <c r="E2" s="59"/>
      <c r="F2" s="59">
        <f t="shared" ref="F2:F9" si="0">+D2-E2</f>
        <v>197724.00803753021</v>
      </c>
      <c r="G2" s="60">
        <f t="shared" ref="G2:G41" si="1">+D2/C2</f>
        <v>6.1254542765708164E-3</v>
      </c>
      <c r="H2" s="59">
        <f>+D2/$N$3*$N$4</f>
        <v>5140824.2089757854</v>
      </c>
      <c r="I2" s="60">
        <f t="shared" ref="I2:I41" si="2">+H2/C2</f>
        <v>0.15926181119084123</v>
      </c>
      <c r="J2" s="59">
        <f>+D2/$N$3</f>
        <v>197724.00803753021</v>
      </c>
      <c r="K2" s="59">
        <f t="shared" ref="K2:K41" si="3">+(C2-D2)/$N$2</f>
        <v>1283254.1052085289</v>
      </c>
      <c r="L2" s="61" cm="1">
        <f t="array" ref="L2">+_xlfn.IFS(I2&gt;114%,H2*0.02,I2&gt;109%,H2*0.015,I2&gt;104%,H2*0.0125,I2&gt;99%,H2*0.01,I2&lt;99%,H2*0)</f>
        <v>0</v>
      </c>
      <c r="M2" s="53" t="s">
        <v>36</v>
      </c>
      <c r="N2">
        <v>25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1795361.9151083895</v>
      </c>
      <c r="E3" s="4"/>
      <c r="F3" s="4">
        <f t="shared" si="0"/>
        <v>1795361.9151083895</v>
      </c>
      <c r="G3" s="5">
        <f t="shared" si="1"/>
        <v>5.794718608195535E-2</v>
      </c>
      <c r="H3" s="4">
        <f t="shared" ref="H3:H41" si="4">+D3/$N$3*$N$4</f>
        <v>46679409.792818129</v>
      </c>
      <c r="I3" s="5">
        <f t="shared" si="2"/>
        <v>1.5066268381308392</v>
      </c>
      <c r="J3" s="4">
        <f t="shared" ref="J3:J41" si="5">+D3/$N$3</f>
        <v>1795361.9151083895</v>
      </c>
      <c r="K3" s="4">
        <f t="shared" si="3"/>
        <v>1167494.6505509946</v>
      </c>
      <c r="L3" s="63" cm="1">
        <f t="array" ref="L3">+_xlfn.IFS(I3&gt;114%,H3*0.02,I3&gt;109%,H3*0.015,I3&gt;104%,H3*0.0125,I3&gt;99%,H3*0.01,I3&lt;99%,H3*0)</f>
        <v>933588.19585636258</v>
      </c>
      <c r="M3" s="53" t="s">
        <v>40</v>
      </c>
      <c r="N3">
        <f>N4-N2</f>
        <v>1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1264552.9138414571</v>
      </c>
      <c r="E4" s="4"/>
      <c r="F4" s="4">
        <f t="shared" si="0"/>
        <v>1264552.9138414571</v>
      </c>
      <c r="G4" s="5">
        <f t="shared" si="1"/>
        <v>4.4542145876976871E-2</v>
      </c>
      <c r="H4" s="4">
        <f t="shared" si="4"/>
        <v>32878375.759877883</v>
      </c>
      <c r="I4" s="5">
        <f t="shared" si="2"/>
        <v>1.1580957928013986</v>
      </c>
      <c r="J4" s="4">
        <f t="shared" si="5"/>
        <v>1264552.9138414571</v>
      </c>
      <c r="K4" s="4">
        <f t="shared" si="3"/>
        <v>1085019.1338522718</v>
      </c>
      <c r="L4" s="63" cm="1">
        <f t="array" ref="L4">+_xlfn.IFS(I4&gt;114%,H4*0.02,I4&gt;109%,H4*0.015,I4&gt;104%,H4*0.0125,I4&gt;99%,H4*0.01,I4&lt;99%,H4*0)</f>
        <v>657567.51519755763</v>
      </c>
      <c r="M4" s="53" t="s">
        <v>47</v>
      </c>
      <c r="N4">
        <v>26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554218.39276560419</v>
      </c>
      <c r="E5" s="4"/>
      <c r="F5" s="4">
        <f t="shared" si="0"/>
        <v>554218.39276560419</v>
      </c>
      <c r="G5" s="5">
        <f t="shared" si="1"/>
        <v>1.9521584449382887E-2</v>
      </c>
      <c r="H5" s="4">
        <f t="shared" si="4"/>
        <v>14409678.211905709</v>
      </c>
      <c r="I5" s="5">
        <f t="shared" si="2"/>
        <v>0.50756119568395508</v>
      </c>
      <c r="J5" s="4">
        <f t="shared" si="5"/>
        <v>554218.39276560419</v>
      </c>
      <c r="K5" s="4">
        <f t="shared" si="3"/>
        <v>1113432.5146953061</v>
      </c>
      <c r="L5" s="63" cm="1">
        <f t="array" ref="L5">+_xlfn.IFS(I5&gt;114%,H5*0.02,I5&gt;109%,H5*0.015,I5&gt;104%,H5*0.0125,I5&gt;99%,H5*0.01,I5&lt;99%,H5*0)</f>
        <v>0</v>
      </c>
    </row>
    <row r="6" spans="1:14" ht="15.75" x14ac:dyDescent="0.25">
      <c r="A6" s="141"/>
      <c r="B6" s="36" t="s">
        <v>210</v>
      </c>
      <c r="C6" s="62">
        <v>23528724.537520126</v>
      </c>
      <c r="D6" s="4">
        <f>IFERROR(+VLOOKUP(B6,COMISIONES!A:E,5,FALSE),"0")*1</f>
        <v>2024283.4990501967</v>
      </c>
      <c r="E6" s="4"/>
      <c r="F6" s="4">
        <f t="shared" si="0"/>
        <v>2024283.4990501967</v>
      </c>
      <c r="G6" s="5">
        <f t="shared" si="1"/>
        <v>8.6034561534441403E-2</v>
      </c>
      <c r="H6" s="4">
        <f t="shared" si="4"/>
        <v>52631370.975305118</v>
      </c>
      <c r="I6" s="5">
        <f t="shared" si="2"/>
        <v>2.2368985998954769</v>
      </c>
      <c r="J6" s="4">
        <f t="shared" si="5"/>
        <v>2024283.4990501967</v>
      </c>
      <c r="K6" s="4">
        <f t="shared" si="3"/>
        <v>860177.64153879718</v>
      </c>
      <c r="L6" s="63" cm="1">
        <f t="array" ref="L6">+_xlfn.IFS(I6&gt;114%,H6*0.02,I6&gt;109%,H6*0.015,I6&gt;104%,H6*0.0125,I6&gt;99%,H6*0.01,I6&lt;99%,H6*0)</f>
        <v>1052627.4195061023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401287.85045149352</v>
      </c>
      <c r="E7" s="4"/>
      <c r="F7" s="4">
        <f t="shared" ref="F7:F8" si="6">+D7-E7</f>
        <v>401287.85045149352</v>
      </c>
      <c r="G7" s="5">
        <f t="shared" si="1"/>
        <v>1.4465068074239673E-2</v>
      </c>
      <c r="H7" s="4">
        <f t="shared" si="4"/>
        <v>10433484.111738831</v>
      </c>
      <c r="I7" s="5">
        <f t="shared" si="2"/>
        <v>0.37609176993023147</v>
      </c>
      <c r="J7" s="4">
        <f t="shared" si="5"/>
        <v>401287.85045149352</v>
      </c>
      <c r="K7" s="4">
        <f t="shared" si="3"/>
        <v>1093622.7672005205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2033398.5131540904</v>
      </c>
      <c r="E8" s="4"/>
      <c r="F8" s="4">
        <f t="shared" si="6"/>
        <v>2033398.5131540904</v>
      </c>
      <c r="G8" s="5">
        <f t="shared" si="1"/>
        <v>5.6749587236568588E-2</v>
      </c>
      <c r="H8" s="4">
        <f t="shared" si="4"/>
        <v>52868361.342006348</v>
      </c>
      <c r="I8" s="5">
        <f t="shared" si="2"/>
        <v>1.4754892681507832</v>
      </c>
      <c r="J8" s="4">
        <f t="shared" si="5"/>
        <v>2033398.5131540904</v>
      </c>
      <c r="K8" s="4">
        <f t="shared" si="3"/>
        <v>1351906.9161505445</v>
      </c>
      <c r="L8" s="63" cm="1">
        <f t="array" ref="L8">+_xlfn.IFS(I8&gt;114%,H8*0.02,I8&gt;109%,H8*0.015,I8&gt;104%,H8*0.0125,I8&gt;99%,H8*0.01,I8&lt;99%,H8*0)</f>
        <v>1057367.226840127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1533394.8363165089</v>
      </c>
      <c r="E9" s="4"/>
      <c r="F9" s="4">
        <f t="shared" si="0"/>
        <v>1533394.8363165089</v>
      </c>
      <c r="G9" s="5">
        <f t="shared" si="1"/>
        <v>4.2795115403457172E-2</v>
      </c>
      <c r="H9" s="4">
        <f t="shared" si="4"/>
        <v>39868265.744229235</v>
      </c>
      <c r="I9" s="5">
        <f t="shared" si="2"/>
        <v>1.1126730004898866</v>
      </c>
      <c r="J9" s="4">
        <f t="shared" si="5"/>
        <v>1533394.8363165089</v>
      </c>
      <c r="K9" s="4">
        <f t="shared" si="3"/>
        <v>1371907.0632240477</v>
      </c>
      <c r="L9" s="63" cm="1">
        <f t="array" ref="L9">+_xlfn.IFS(I9&gt;114%,H9*0.02,I9&gt;109%,H9*0.015,I9&gt;104%,H9*0.0125,I9&gt;99%,H9*0.01,I9&lt;99%,H9*0)</f>
        <v>598023.98616343853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9804221.9287252706</v>
      </c>
      <c r="E10" s="65"/>
      <c r="F10" s="64">
        <f>+SUM(F2:F9)</f>
        <v>9804221.9287252706</v>
      </c>
      <c r="G10" s="66">
        <f t="shared" si="1"/>
        <v>4.0350811410135939E-2</v>
      </c>
      <c r="H10" s="64">
        <f t="shared" si="4"/>
        <v>254909770.14685702</v>
      </c>
      <c r="I10" s="66">
        <f t="shared" si="2"/>
        <v>1.0491210966635343</v>
      </c>
      <c r="J10" s="64">
        <f t="shared" si="5"/>
        <v>9804221.9287252706</v>
      </c>
      <c r="K10" s="67">
        <f t="shared" si="3"/>
        <v>9326814.7924210094</v>
      </c>
      <c r="L10" s="68"/>
    </row>
    <row r="11" spans="1:14" ht="15.75" x14ac:dyDescent="0.25">
      <c r="A11" s="140" t="s">
        <v>208</v>
      </c>
      <c r="B11" s="57" t="s">
        <v>97</v>
      </c>
      <c r="C11" s="58">
        <v>96971948.480137512</v>
      </c>
      <c r="D11" s="59">
        <f>IFERROR(+VLOOKUP(B11,COMISIONES!A:E,5,FALSE),"0")*1</f>
        <v>2321605.5172273046</v>
      </c>
      <c r="E11" s="59"/>
      <c r="F11" s="59">
        <f t="shared" ref="F11:F16" si="7">+D11-E11</f>
        <v>2321605.5172273046</v>
      </c>
      <c r="G11" s="60">
        <f t="shared" si="1"/>
        <v>2.3941001017452303E-2</v>
      </c>
      <c r="H11" s="59">
        <f t="shared" si="4"/>
        <v>60361743.447909921</v>
      </c>
      <c r="I11" s="60">
        <f t="shared" si="2"/>
        <v>0.62246602645375992</v>
      </c>
      <c r="J11" s="59">
        <f t="shared" si="5"/>
        <v>2321605.5172273046</v>
      </c>
      <c r="K11" s="59">
        <f t="shared" si="3"/>
        <v>3786013.718516408</v>
      </c>
      <c r="L11" s="61" cm="1">
        <f t="array" ref="L11">+_xlfn.IFS(I11&gt;114%,H11*0.0125,I11&gt;109%,H11*0.01,I11&gt;104%,H11*0.0075,I11&gt;99%,H11*0.005,I11&lt;99%,H11*0)</f>
        <v>0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0</v>
      </c>
      <c r="E12" s="4"/>
      <c r="F12" s="4">
        <f t="shared" si="7"/>
        <v>0</v>
      </c>
      <c r="G12" s="5">
        <f t="shared" si="1"/>
        <v>0</v>
      </c>
      <c r="H12" s="4">
        <f t="shared" si="4"/>
        <v>0</v>
      </c>
      <c r="I12" s="5">
        <f t="shared" si="2"/>
        <v>0</v>
      </c>
      <c r="J12" s="4">
        <f t="shared" si="5"/>
        <v>0</v>
      </c>
      <c r="K12" s="4">
        <f t="shared" si="3"/>
        <v>1265236.09634268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1461699.3346656237</v>
      </c>
      <c r="E13" s="4"/>
      <c r="F13" s="4">
        <f t="shared" si="7"/>
        <v>1461699.3346656237</v>
      </c>
      <c r="G13" s="5">
        <f t="shared" si="1"/>
        <v>1.1387151306725931E-2</v>
      </c>
      <c r="H13" s="4">
        <f t="shared" si="4"/>
        <v>38004182.701306216</v>
      </c>
      <c r="I13" s="5">
        <f t="shared" si="2"/>
        <v>0.29606593397487424</v>
      </c>
      <c r="J13" s="4">
        <f t="shared" si="5"/>
        <v>1461699.3346656237</v>
      </c>
      <c r="K13" s="4">
        <f t="shared" si="3"/>
        <v>5076088.6695983745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92221.681925437602</v>
      </c>
      <c r="E14" s="4"/>
      <c r="F14" s="4">
        <f t="shared" si="7"/>
        <v>92221.681925437602</v>
      </c>
      <c r="G14" s="5">
        <f t="shared" si="1"/>
        <v>2.1725260249560816E-3</v>
      </c>
      <c r="H14" s="4">
        <f t="shared" si="4"/>
        <v>2397763.7300613779</v>
      </c>
      <c r="I14" s="5">
        <f t="shared" si="2"/>
        <v>5.6485676648858132E-2</v>
      </c>
      <c r="J14" s="4">
        <f t="shared" si="5"/>
        <v>92221.681925437602</v>
      </c>
      <c r="K14" s="4">
        <f t="shared" si="3"/>
        <v>1694273.4285219824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2876584.6422999999</v>
      </c>
      <c r="E15" s="4"/>
      <c r="F15" s="4">
        <f t="shared" si="7"/>
        <v>2876584.6422999999</v>
      </c>
      <c r="G15" s="5">
        <f t="shared" si="1"/>
        <v>6.7765571695368718E-2</v>
      </c>
      <c r="H15" s="4">
        <f t="shared" si="4"/>
        <v>74791200.6998</v>
      </c>
      <c r="I15" s="5">
        <f t="shared" si="2"/>
        <v>1.7619048640795867</v>
      </c>
      <c r="J15" s="4">
        <f t="shared" si="5"/>
        <v>2876584.6422999999</v>
      </c>
      <c r="K15" s="4">
        <f t="shared" si="3"/>
        <v>1582898.9101069998</v>
      </c>
      <c r="L15" s="63" cm="1">
        <f t="array" ref="L15">+_xlfn.IFS(I15&gt;109%,H15*0.015,I15&gt;104%,H15*0.0125,I15&gt;99%,H15*0.01,I15&lt;99%,H15*0)</f>
        <v>1121868.0104970001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6752111.1761183664</v>
      </c>
      <c r="E16" s="65"/>
      <c r="F16" s="64">
        <f t="shared" si="7"/>
        <v>6752111.1761183664</v>
      </c>
      <c r="G16" s="66">
        <f t="shared" si="1"/>
        <v>1.9750818339367475E-2</v>
      </c>
      <c r="H16" s="64">
        <f t="shared" si="4"/>
        <v>175554890.57907754</v>
      </c>
      <c r="I16" s="66">
        <f t="shared" si="2"/>
        <v>0.51352127682355442</v>
      </c>
      <c r="J16" s="64">
        <f t="shared" si="5"/>
        <v>6752111.1761183664</v>
      </c>
      <c r="K16" s="67">
        <f t="shared" si="3"/>
        <v>13404510.823086446</v>
      </c>
      <c r="L16" s="68"/>
    </row>
    <row r="17" spans="1:13" ht="15.75" x14ac:dyDescent="0.25">
      <c r="A17" s="143" t="s">
        <v>209</v>
      </c>
      <c r="B17" s="69" t="s">
        <v>82</v>
      </c>
      <c r="C17" s="70">
        <v>29338018.132500004</v>
      </c>
      <c r="D17" s="59">
        <f>IFERROR(+VLOOKUP(B17,COMISIONES!A:E,5,FALSE),"0")*1</f>
        <v>741155.95572463318</v>
      </c>
      <c r="E17" s="59"/>
      <c r="F17" s="59">
        <f t="shared" ref="F17:F40" si="8">+D17-E17</f>
        <v>741155.95572463318</v>
      </c>
      <c r="G17" s="60">
        <f t="shared" si="1"/>
        <v>2.5262645635343618E-2</v>
      </c>
      <c r="H17" s="59">
        <f t="shared" si="4"/>
        <v>19270054.848840464</v>
      </c>
      <c r="I17" s="60">
        <f t="shared" si="2"/>
        <v>0.65682878651893417</v>
      </c>
      <c r="J17" s="59">
        <f t="shared" si="5"/>
        <v>741155.95572463318</v>
      </c>
      <c r="K17" s="59">
        <f t="shared" si="3"/>
        <v>1143874.4870710147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3175848.47970931</v>
      </c>
      <c r="E18" s="4"/>
      <c r="F18" s="4">
        <f t="shared" si="8"/>
        <v>3175848.47970931</v>
      </c>
      <c r="G18" s="5">
        <f t="shared" si="1"/>
        <v>0.12724003802131795</v>
      </c>
      <c r="H18" s="4">
        <f t="shared" si="4"/>
        <v>82572060.472442061</v>
      </c>
      <c r="I18" s="5">
        <f t="shared" si="2"/>
        <v>3.308240988554267</v>
      </c>
      <c r="J18" s="4">
        <f t="shared" si="5"/>
        <v>3175848.47970931</v>
      </c>
      <c r="K18" s="4">
        <f t="shared" si="3"/>
        <v>871346.29681162769</v>
      </c>
      <c r="L18" s="63" cm="1">
        <f t="array" ref="L18">+_xlfn.IFS(I18&gt;114%,H18*0.02,I18&gt;109%,H18*0.015,I18&gt;104%,H18*0.0125,I18&gt;99%,H18*0.01,I18&lt;99%,H18*0)</f>
        <v>1651441.2094488412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1106384.1298211117</v>
      </c>
      <c r="E19" s="4"/>
      <c r="F19" s="4">
        <f t="shared" si="8"/>
        <v>1106384.1298211117</v>
      </c>
      <c r="G19" s="5">
        <f t="shared" si="1"/>
        <v>4.2789151832874989E-2</v>
      </c>
      <c r="H19" s="4">
        <f t="shared" si="4"/>
        <v>28765987.375348903</v>
      </c>
      <c r="I19" s="5">
        <f t="shared" si="2"/>
        <v>1.1125179476547498</v>
      </c>
      <c r="J19" s="4">
        <f t="shared" si="5"/>
        <v>1106384.1298211117</v>
      </c>
      <c r="K19" s="4">
        <f t="shared" si="3"/>
        <v>990010.64142715558</v>
      </c>
      <c r="L19" s="63" cm="1">
        <f t="array" ref="L19">+_xlfn.IFS(I19&gt;114%,H19*0.02,I19&gt;109%,H19*0.015,I19&gt;104%,H19*0.0125,I19&gt;99%,H19*0.01,I19&lt;99%,H19*0)</f>
        <v>431489.81063023355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1592632.090454902</v>
      </c>
      <c r="E20" s="4"/>
      <c r="F20" s="4">
        <f t="shared" si="8"/>
        <v>1592632.090454902</v>
      </c>
      <c r="G20" s="5">
        <f t="shared" si="1"/>
        <v>4.7473051119537868E-2</v>
      </c>
      <c r="H20" s="4">
        <f t="shared" si="4"/>
        <v>41408434.35182745</v>
      </c>
      <c r="I20" s="5">
        <f t="shared" si="2"/>
        <v>1.2342993291079845</v>
      </c>
      <c r="J20" s="4">
        <f t="shared" si="5"/>
        <v>1592632.090454902</v>
      </c>
      <c r="K20" s="4">
        <f t="shared" si="3"/>
        <v>1278219.9163818038</v>
      </c>
      <c r="L20" s="63" cm="1">
        <f t="array" ref="L20">+_xlfn.IFS(I20&gt;114%,H20*0.02,I20&gt;109%,H20*0.015,I20&gt;104%,H20*0.0125,I20&gt;99%,H20*0.01,I20&lt;99%,H20*0)</f>
        <v>828168.68703654897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959278.13171796279</v>
      </c>
      <c r="E21" s="4"/>
      <c r="F21" s="4">
        <f t="shared" ref="F21:F23" si="9">+D21-E21</f>
        <v>959278.13171796279</v>
      </c>
      <c r="G21" s="5">
        <f t="shared" si="1"/>
        <v>3.7680057934182436E-2</v>
      </c>
      <c r="H21" s="4">
        <f t="shared" si="4"/>
        <v>24941231.424667034</v>
      </c>
      <c r="I21" s="5">
        <f t="shared" si="2"/>
        <v>0.97968150628874329</v>
      </c>
      <c r="J21" s="4">
        <f t="shared" si="5"/>
        <v>959278.13171796279</v>
      </c>
      <c r="K21" s="4">
        <f t="shared" si="3"/>
        <v>979969.27473128156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144"/>
      <c r="B22" s="19" t="s">
        <v>229</v>
      </c>
      <c r="C22" s="71">
        <v>31742890.200000003</v>
      </c>
      <c r="D22" s="4">
        <f>IFERROR(+VLOOKUP(B22,COMISIONES!A:E,5,FALSE),"0")*1</f>
        <v>928553.2331852389</v>
      </c>
      <c r="E22" s="4"/>
      <c r="F22" s="4">
        <f t="shared" si="9"/>
        <v>928553.2331852389</v>
      </c>
      <c r="G22" s="5">
        <f t="shared" si="1"/>
        <v>2.9252321617054228E-2</v>
      </c>
      <c r="H22" s="4">
        <f t="shared" si="4"/>
        <v>24142384.06281621</v>
      </c>
      <c r="I22" s="5">
        <f t="shared" si="2"/>
        <v>0.76056036204340993</v>
      </c>
      <c r="J22" s="4">
        <f t="shared" si="5"/>
        <v>928553.2331852389</v>
      </c>
      <c r="K22" s="4">
        <f t="shared" si="3"/>
        <v>1232573.4786725906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4"/>
      <c r="B23" s="19" t="s">
        <v>161</v>
      </c>
      <c r="C23" s="71">
        <v>27435946.230000004</v>
      </c>
      <c r="D23" s="4">
        <f>IFERROR(+VLOOKUP(B23,COMISIONES!A:E,5,FALSE),"0")*1</f>
        <v>1211206.3495374783</v>
      </c>
      <c r="E23" s="4"/>
      <c r="F23" s="4">
        <f t="shared" si="9"/>
        <v>1211206.3495374783</v>
      </c>
      <c r="G23" s="5">
        <f t="shared" si="1"/>
        <v>4.4146694973949074E-2</v>
      </c>
      <c r="H23" s="4">
        <f t="shared" si="4"/>
        <v>31491365.087974437</v>
      </c>
      <c r="I23" s="5">
        <f t="shared" si="2"/>
        <v>1.1478140693226759</v>
      </c>
      <c r="J23" s="4">
        <f t="shared" si="5"/>
        <v>1211206.3495374783</v>
      </c>
      <c r="K23" s="4">
        <f t="shared" si="3"/>
        <v>1048989.5952185011</v>
      </c>
      <c r="L23" s="63" cm="1">
        <f t="array" ref="L23">+_xlfn.IFS(I23&gt;114%,H23*0.02,I23&gt;109%,H23*0.015,I23&gt;104%,H23*0.0125,I23&gt;99%,H23*0.01,I23&lt;99%,H23*0)</f>
        <v>629827.30175948876</v>
      </c>
    </row>
    <row r="24" spans="1:13" ht="15.75" x14ac:dyDescent="0.25">
      <c r="A24" s="144"/>
      <c r="B24" s="19" t="s">
        <v>230</v>
      </c>
      <c r="C24" s="71">
        <v>33494055</v>
      </c>
      <c r="D24" s="4">
        <f>IFERROR(+VLOOKUP(B24,COMISIONES!A:E,5,FALSE),"0")*1</f>
        <v>859233.11468040221</v>
      </c>
      <c r="E24" s="4"/>
      <c r="F24" s="4">
        <f t="shared" si="8"/>
        <v>859233.11468040221</v>
      </c>
      <c r="G24" s="5">
        <f t="shared" si="1"/>
        <v>2.5653302195879305E-2</v>
      </c>
      <c r="H24" s="4">
        <f t="shared" si="4"/>
        <v>22340060.981690459</v>
      </c>
      <c r="I24" s="5">
        <f t="shared" si="2"/>
        <v>0.66698585709286196</v>
      </c>
      <c r="J24" s="4">
        <f t="shared" si="5"/>
        <v>859233.11468040221</v>
      </c>
      <c r="K24" s="4">
        <f t="shared" si="3"/>
        <v>1305392.8754127838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8887977.6236097589</v>
      </c>
      <c r="E25" s="4"/>
      <c r="F25" s="4">
        <f t="shared" si="8"/>
        <v>8887977.6236097589</v>
      </c>
      <c r="G25" s="5">
        <f t="shared" si="1"/>
        <v>0.16439443951431912</v>
      </c>
      <c r="H25" s="4">
        <f t="shared" si="4"/>
        <v>231087418.21385372</v>
      </c>
      <c r="I25" s="5">
        <f t="shared" si="2"/>
        <v>4.2742554273722968</v>
      </c>
      <c r="J25" s="4">
        <f t="shared" si="5"/>
        <v>8887977.6236097589</v>
      </c>
      <c r="K25" s="4">
        <f t="shared" si="3"/>
        <v>1807079.00965561</v>
      </c>
      <c r="L25" s="63" cm="1">
        <f t="array" ref="L25">+_xlfn.IFS(I25&gt;109%,H25*0.015,I25&gt;104%,H25*0.0125,I25&gt;99%,H25*0.01,I25&lt;99%,H25*0)</f>
        <v>3466311.2732078056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19462269.108440802</v>
      </c>
      <c r="E26" s="65"/>
      <c r="F26" s="67">
        <f>+D26-E26</f>
        <v>19462269.108440802</v>
      </c>
      <c r="G26" s="66">
        <f t="shared" si="1"/>
        <v>6.8074013397013952E-2</v>
      </c>
      <c r="H26" s="64">
        <f t="shared" si="4"/>
        <v>506018996.81946087</v>
      </c>
      <c r="I26" s="66">
        <f t="shared" si="2"/>
        <v>1.769924348322363</v>
      </c>
      <c r="J26" s="64">
        <f t="shared" si="5"/>
        <v>19462269.108440802</v>
      </c>
      <c r="K26" s="67">
        <f t="shared" si="3"/>
        <v>10657455.575382369</v>
      </c>
      <c r="L26" s="68"/>
    </row>
    <row r="27" spans="1:13" ht="15.75" x14ac:dyDescent="0.25">
      <c r="A27" s="140" t="s">
        <v>217</v>
      </c>
      <c r="B27" s="57" t="s">
        <v>212</v>
      </c>
      <c r="C27" s="73">
        <v>81977700</v>
      </c>
      <c r="D27" s="59">
        <f>IFERROR(+VLOOKUP(B27,COMISIONES!A:E,5,FALSE),"0")*1</f>
        <v>3206664.5965414383</v>
      </c>
      <c r="E27" s="59"/>
      <c r="F27" s="59">
        <f t="shared" si="8"/>
        <v>3206664.5965414383</v>
      </c>
      <c r="G27" s="60">
        <f t="shared" si="1"/>
        <v>3.9116303537930906E-2</v>
      </c>
      <c r="H27" s="59">
        <f t="shared" si="4"/>
        <v>83373279.510077387</v>
      </c>
      <c r="I27" s="60">
        <f t="shared" si="2"/>
        <v>1.0170238919862034</v>
      </c>
      <c r="J27" s="59">
        <f t="shared" si="5"/>
        <v>3206664.5965414383</v>
      </c>
      <c r="K27" s="59">
        <f t="shared" si="3"/>
        <v>3150841.4161383426</v>
      </c>
      <c r="L27" s="61" cm="1">
        <f t="array" ref="L27">+_xlfn.IFS(I27&gt;114%,H27*0.0125,I27&gt;109%,H27*0.01,I27&gt;104%,H27*0.0075,I27&gt;99%,H27*0.005,I27&lt;99%,H27*0)</f>
        <v>416866.39755038696</v>
      </c>
    </row>
    <row r="28" spans="1:13" ht="15.75" x14ac:dyDescent="0.25">
      <c r="A28" s="141"/>
      <c r="B28" s="36" t="s">
        <v>214</v>
      </c>
      <c r="C28" s="74">
        <v>21000000</v>
      </c>
      <c r="D28" s="4">
        <f>IFERROR(+VLOOKUP(B28,COMISIONES!A:E,5,FALSE),"0")*1</f>
        <v>613066.82196217531</v>
      </c>
      <c r="E28" s="4"/>
      <c r="F28" s="4">
        <f t="shared" si="8"/>
        <v>613066.82196217531</v>
      </c>
      <c r="G28" s="5">
        <f t="shared" si="1"/>
        <v>2.9193658188675014E-2</v>
      </c>
      <c r="H28" s="4">
        <f t="shared" si="4"/>
        <v>15939737.371016558</v>
      </c>
      <c r="I28" s="5">
        <f t="shared" si="2"/>
        <v>0.75903511290555037</v>
      </c>
      <c r="J28" s="4">
        <f t="shared" si="5"/>
        <v>613066.82196217531</v>
      </c>
      <c r="K28" s="4">
        <f t="shared" si="3"/>
        <v>815477.32712151308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988543.0198530968</v>
      </c>
      <c r="E29" s="4"/>
      <c r="F29" s="4">
        <f t="shared" si="8"/>
        <v>988543.0198530968</v>
      </c>
      <c r="G29" s="5">
        <f t="shared" si="1"/>
        <v>3.8405382341406342E-2</v>
      </c>
      <c r="H29" s="4">
        <f t="shared" si="4"/>
        <v>25702118.516180515</v>
      </c>
      <c r="I29" s="5">
        <f t="shared" si="2"/>
        <v>0.99853994087656484</v>
      </c>
      <c r="J29" s="4">
        <f t="shared" si="5"/>
        <v>988543.0198530968</v>
      </c>
      <c r="K29" s="4">
        <f t="shared" si="3"/>
        <v>990046.27920587617</v>
      </c>
      <c r="L29" s="63" cm="1">
        <f t="array" ref="L29">+_xlfn.IFS(I29&gt;114%,H29*0.02,I29&gt;109%,H29*0.015,I29&gt;104%,H29*0.0125,I29&gt;99%,H29*0.01,I29&lt;99%,H29*0)</f>
        <v>257021.18516180516</v>
      </c>
      <c r="M29" s="27"/>
    </row>
    <row r="30" spans="1:13" ht="15.75" x14ac:dyDescent="0.25">
      <c r="A30" s="141"/>
      <c r="B30" s="36" t="s">
        <v>213</v>
      </c>
      <c r="C30" s="74">
        <v>38233205.112125672</v>
      </c>
      <c r="D30" s="4">
        <f>IFERROR(+VLOOKUP(B30,COMISIONES!A:E,5,FALSE),"0")*1</f>
        <v>1302532.0024373976</v>
      </c>
      <c r="E30" s="4"/>
      <c r="F30" s="4">
        <f t="shared" si="8"/>
        <v>1302532.0024373976</v>
      </c>
      <c r="G30" s="5">
        <f t="shared" si="1"/>
        <v>3.4068082929942463E-2</v>
      </c>
      <c r="H30" s="4">
        <f t="shared" si="4"/>
        <v>33865832.063372336</v>
      </c>
      <c r="I30" s="5">
        <f t="shared" si="2"/>
        <v>0.88577015617850408</v>
      </c>
      <c r="J30" s="4">
        <f t="shared" si="5"/>
        <v>1302532.0024373976</v>
      </c>
      <c r="K30" s="4">
        <f t="shared" si="3"/>
        <v>1477226.9243875309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1114483.5722356094</v>
      </c>
      <c r="E31" s="4"/>
      <c r="F31" s="4">
        <f t="shared" si="8"/>
        <v>1114483.5722356094</v>
      </c>
      <c r="G31" s="5">
        <f t="shared" si="1"/>
        <v>4.385097814247782E-2</v>
      </c>
      <c r="H31" s="4">
        <f t="shared" si="4"/>
        <v>28976572.878125846</v>
      </c>
      <c r="I31" s="5">
        <f t="shared" si="2"/>
        <v>1.1401254317044234</v>
      </c>
      <c r="J31" s="4">
        <f t="shared" si="5"/>
        <v>1114483.5722356094</v>
      </c>
      <c r="K31" s="4">
        <f t="shared" si="3"/>
        <v>972030.65711057559</v>
      </c>
      <c r="L31" s="63" cm="1">
        <f t="array" ref="L31">+_xlfn.IFS(I31&gt;114%,H31*0.02,I31&gt;109%,H31*0.015,I31&gt;104%,H31*0.0125,I31&gt;99%,H31*0.01,I31&lt;99%,H31*0)</f>
        <v>579531.45756251691</v>
      </c>
      <c r="M31" s="27"/>
    </row>
    <row r="32" spans="1:13" ht="15.75" x14ac:dyDescent="0.25">
      <c r="A32" s="141"/>
      <c r="B32" s="36" t="s">
        <v>211</v>
      </c>
      <c r="C32" s="74">
        <v>25200000</v>
      </c>
      <c r="D32" s="4">
        <f>IFERROR(+VLOOKUP(B32,COMISIONES!A:E,5,FALSE),"0")*1</f>
        <v>756625.92063620372</v>
      </c>
      <c r="E32" s="4"/>
      <c r="F32" s="4">
        <f t="shared" si="8"/>
        <v>756625.92063620372</v>
      </c>
      <c r="G32" s="5">
        <f t="shared" si="1"/>
        <v>3.0024838120484273E-2</v>
      </c>
      <c r="H32" s="4">
        <f t="shared" si="4"/>
        <v>19672273.936541297</v>
      </c>
      <c r="I32" s="5">
        <f t="shared" si="2"/>
        <v>0.78064579113259114</v>
      </c>
      <c r="J32" s="4">
        <f t="shared" si="5"/>
        <v>756625.92063620372</v>
      </c>
      <c r="K32" s="4">
        <f t="shared" si="3"/>
        <v>977734.96317455184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895356.64422665036</v>
      </c>
      <c r="E33" s="4"/>
      <c r="F33" s="4">
        <f t="shared" si="8"/>
        <v>895356.64422665036</v>
      </c>
      <c r="G33" s="5">
        <f t="shared" si="1"/>
        <v>3.3791187380590088E-2</v>
      </c>
      <c r="H33" s="4">
        <f t="shared" si="4"/>
        <v>23279272.749892909</v>
      </c>
      <c r="I33" s="5">
        <f t="shared" si="2"/>
        <v>0.87857087189534222</v>
      </c>
      <c r="J33" s="4">
        <f t="shared" si="5"/>
        <v>895356.64422665036</v>
      </c>
      <c r="K33" s="4">
        <f t="shared" si="3"/>
        <v>1024055.7342309339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1007466.4301731902</v>
      </c>
      <c r="E34" s="4"/>
      <c r="F34" s="4">
        <f t="shared" si="8"/>
        <v>1007466.4301731902</v>
      </c>
      <c r="G34" s="5">
        <f t="shared" si="1"/>
        <v>4.7974591913009054E-2</v>
      </c>
      <c r="H34" s="4">
        <f t="shared" si="4"/>
        <v>26194127.184502944</v>
      </c>
      <c r="I34" s="5">
        <f t="shared" si="2"/>
        <v>1.2473393897382354</v>
      </c>
      <c r="J34" s="4">
        <f t="shared" si="5"/>
        <v>1007466.4301731902</v>
      </c>
      <c r="K34" s="4">
        <f t="shared" si="3"/>
        <v>799701.34279307246</v>
      </c>
      <c r="L34" s="63" cm="1">
        <f t="array" ref="L34">+_xlfn.IFS(I34&gt;114%,H34*0.02,I34&gt;109%,H34*0.015,I34&gt;104%,H34*0.0125,I34&gt;99%,H34*0.01,I34&lt;99%,H34*0)</f>
        <v>523882.54369005893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372346.89463145478</v>
      </c>
      <c r="E35" s="4"/>
      <c r="F35" s="4">
        <f t="shared" si="8"/>
        <v>372346.89463145478</v>
      </c>
      <c r="G35" s="5">
        <f t="shared" si="1"/>
        <v>1.5100327462323072E-2</v>
      </c>
      <c r="H35" s="4">
        <f t="shared" si="4"/>
        <v>9681019.2604178246</v>
      </c>
      <c r="I35" s="5">
        <f t="shared" si="2"/>
        <v>0.39260851402039987</v>
      </c>
      <c r="J35" s="4">
        <f t="shared" si="5"/>
        <v>372346.89463145478</v>
      </c>
      <c r="K35" s="4">
        <f t="shared" si="3"/>
        <v>971434.12421474175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205</v>
      </c>
      <c r="C36" s="74">
        <v>25235000</v>
      </c>
      <c r="D36" s="4">
        <f>IFERROR(+VLOOKUP(B36,COMISIONES!A:E,5,FALSE),"0")*1</f>
        <v>929596.91790991055</v>
      </c>
      <c r="E36" s="4"/>
      <c r="F36" s="4">
        <f t="shared" si="8"/>
        <v>929596.91790991055</v>
      </c>
      <c r="G36" s="5">
        <f t="shared" si="1"/>
        <v>3.68376032458851E-2</v>
      </c>
      <c r="H36" s="4">
        <f t="shared" si="4"/>
        <v>24169519.865657676</v>
      </c>
      <c r="I36" s="5">
        <f t="shared" si="2"/>
        <v>0.9577776843930127</v>
      </c>
      <c r="J36" s="4">
        <f t="shared" si="5"/>
        <v>929596.91790991055</v>
      </c>
      <c r="K36" s="4">
        <f t="shared" si="3"/>
        <v>972216.12328360369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2114567.1280499999</v>
      </c>
      <c r="E37" s="4"/>
      <c r="F37" s="4">
        <f t="shared" si="8"/>
        <v>2114567.1280499999</v>
      </c>
      <c r="G37" s="5">
        <f t="shared" si="1"/>
        <v>1.7330848283464501E-2</v>
      </c>
      <c r="H37" s="4">
        <f t="shared" si="4"/>
        <v>54978745.329300001</v>
      </c>
      <c r="I37" s="5">
        <f t="shared" si="2"/>
        <v>0.45060205537007708</v>
      </c>
      <c r="J37" s="4">
        <f t="shared" si="5"/>
        <v>2114567.1280499999</v>
      </c>
      <c r="K37" s="4">
        <f t="shared" si="3"/>
        <v>4795887.3148779999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215</v>
      </c>
      <c r="C38" s="74">
        <v>35700000</v>
      </c>
      <c r="D38" s="4">
        <f>IFERROR(+VLOOKUP(B38,COMISIONES!A:E,5,FALSE),"0")*1</f>
        <v>100345.7555</v>
      </c>
      <c r="E38" s="4"/>
      <c r="F38" s="4">
        <f t="shared" ref="F38" si="10">+D38-E38</f>
        <v>100345.7555</v>
      </c>
      <c r="G38" s="5">
        <f t="shared" si="1"/>
        <v>2.8108054761904764E-3</v>
      </c>
      <c r="H38" s="4">
        <f t="shared" si="4"/>
        <v>2608989.6430000002</v>
      </c>
      <c r="I38" s="5">
        <f t="shared" si="2"/>
        <v>7.3080942380952391E-2</v>
      </c>
      <c r="J38" s="4">
        <f t="shared" si="5"/>
        <v>100345.7555</v>
      </c>
      <c r="K38" s="4">
        <f t="shared" si="3"/>
        <v>1423986.1697799999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1828232.4813768633</v>
      </c>
      <c r="E39" s="4"/>
      <c r="F39" s="4">
        <f t="shared" si="8"/>
        <v>1828232.4813768633</v>
      </c>
      <c r="G39" s="5">
        <f t="shared" si="1"/>
        <v>5.0279447069565004E-2</v>
      </c>
      <c r="H39" s="4">
        <f t="shared" si="4"/>
        <v>47534044.51579845</v>
      </c>
      <c r="I39" s="5">
        <f t="shared" si="2"/>
        <v>1.3072656238086904</v>
      </c>
      <c r="J39" s="4">
        <f t="shared" si="5"/>
        <v>1828232.4813768633</v>
      </c>
      <c r="K39" s="4">
        <f t="shared" si="3"/>
        <v>1381327.8103049255</v>
      </c>
      <c r="L39" s="63" cm="1">
        <f t="array" ref="L39">+_xlfn.IFS(I39&gt;114%,H39*0.02,I39&gt;109%,H39*0.015,I39&gt;104%,H39*0.0125,I39&gt;99%,H39*0.01,I39&lt;99%,H39*0)</f>
        <v>950680.89031596901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15229828.185533991</v>
      </c>
      <c r="E40" s="65"/>
      <c r="F40" s="67">
        <f t="shared" si="8"/>
        <v>15229828.185533991</v>
      </c>
      <c r="G40" s="66">
        <f t="shared" si="1"/>
        <v>2.9919373353222631E-2</v>
      </c>
      <c r="H40" s="64">
        <f t="shared" si="4"/>
        <v>395975532.82388377</v>
      </c>
      <c r="I40" s="66">
        <f t="shared" si="2"/>
        <v>0.77790370718378843</v>
      </c>
      <c r="J40" s="64">
        <f t="shared" si="5"/>
        <v>15229828.185533991</v>
      </c>
      <c r="K40" s="67">
        <f t="shared" si="3"/>
        <v>19751966.18662367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51248430.398818433</v>
      </c>
      <c r="E41" s="82"/>
      <c r="F41" s="81">
        <f>+D41-E41</f>
        <v>51248430.398818433</v>
      </c>
      <c r="G41" s="83">
        <f t="shared" si="1"/>
        <v>3.7142811021981158E-2</v>
      </c>
      <c r="H41" s="81">
        <f t="shared" si="4"/>
        <v>1332459190.3692794</v>
      </c>
      <c r="I41" s="139">
        <f t="shared" si="2"/>
        <v>0.96571308657151023</v>
      </c>
      <c r="J41" s="81">
        <f t="shared" si="5"/>
        <v>51248430.398818433</v>
      </c>
      <c r="K41" s="81">
        <f t="shared" si="3"/>
        <v>53140748.667772703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31200035.617086809</v>
      </c>
      <c r="E43" s="4"/>
      <c r="F43" s="4">
        <f t="shared" ref="F43" si="11">+D43-E43</f>
        <v>31200035.617086809</v>
      </c>
      <c r="G43" s="5">
        <f>+D43/C43</f>
        <v>0.78000089042717025</v>
      </c>
      <c r="H43" s="4">
        <f t="shared" ref="H43" si="12">+D43/$N$3*$N$4</f>
        <v>811200926.04425704</v>
      </c>
      <c r="I43" s="5">
        <f>+H43/C43</f>
        <v>20.280023151106427</v>
      </c>
      <c r="J43" s="4">
        <f t="shared" ref="J43" si="13">+D43/$N$3</f>
        <v>31200035.617086809</v>
      </c>
      <c r="K43" s="4">
        <f>+(C43-D43)/$N$2</f>
        <v>351998.57531652763</v>
      </c>
      <c r="L43" s="4" cm="1">
        <f t="array" ref="L43">+_xlfn.IFS(I43&gt;114%,H43*0.02,I43&gt;109%,H43*0.015,I43&gt;104%,H43*0.0125,I43&gt;99%,H43*0.01,I43&lt;99%,H43*0)</f>
        <v>16224018.520885142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24332681.799774844</v>
      </c>
      <c r="E44" s="4"/>
      <c r="F44" s="4">
        <f t="shared" ref="F44" si="14">+D44-E44</f>
        <v>24332681.799774844</v>
      </c>
      <c r="G44" s="5">
        <f>+D44/C44</f>
        <v>0.81108939332582819</v>
      </c>
      <c r="H44" s="4">
        <f t="shared" ref="H44" si="15">+D44/$N$3*$N$4</f>
        <v>632649726.79414594</v>
      </c>
      <c r="I44" s="5">
        <f>+H44/C44</f>
        <v>21.088324226471531</v>
      </c>
      <c r="J44" s="4">
        <f t="shared" ref="J44" si="16">+D44/$N$3</f>
        <v>24332681.799774844</v>
      </c>
      <c r="K44" s="4">
        <f>+(C44-D44)/$N$2</f>
        <v>226692.72800900624</v>
      </c>
      <c r="L44" s="4" cm="1">
        <f t="array" ref="L44">+_xlfn.IFS(I44&gt;114%,H44*0.02,I44&gt;109%,H44*0.015,I44&gt;104%,H44*0.0125,I44&gt;99%,H44*0.01,I44&lt;99%,H44*0)</f>
        <v>12652994.53588292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9" workbookViewId="0">
      <selection activeCell="C33" sqref="C33:I33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206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0.92</v>
      </c>
      <c r="E2" s="13">
        <v>33</v>
      </c>
      <c r="F2" s="12">
        <f>+H2-E2</f>
        <v>36</v>
      </c>
      <c r="G2" s="13">
        <f>VLOOKUP(B2,'Base Cobertura'!$A:$C,3,FALSE)</f>
        <v>75</v>
      </c>
      <c r="H2" s="13">
        <f>VLOOKUP(B2,'Base Cobertura'!$A:$C,2,FALSE)</f>
        <v>69</v>
      </c>
      <c r="I2" s="17">
        <f>(+G2*$M$2)-H2</f>
        <v>-5.25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0.48148148148148145</v>
      </c>
      <c r="E3" s="13">
        <v>1</v>
      </c>
      <c r="F3" s="12">
        <f t="shared" ref="F3:F38" si="1">+H3-E3</f>
        <v>116</v>
      </c>
      <c r="G3" s="13">
        <f>VLOOKUP(B3,'Base Cobertura'!$A:$C,3,FALSE)</f>
        <v>243</v>
      </c>
      <c r="H3" s="13">
        <f>VLOOKUP(B3,'Base Cobertura'!$A:$C,2,FALSE)</f>
        <v>117</v>
      </c>
      <c r="I3" s="17">
        <f t="shared" ref="I3:I38" si="2">(+G3*$M$2)-H3</f>
        <v>89.549999999999983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81</v>
      </c>
      <c r="T3" s="12">
        <v>214</v>
      </c>
      <c r="U3" s="41">
        <f>+S3/T3</f>
        <v>0.37850467289719625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0.90748898678414092</v>
      </c>
      <c r="E4" s="13">
        <v>126</v>
      </c>
      <c r="F4" s="12">
        <f t="shared" si="1"/>
        <v>80</v>
      </c>
      <c r="G4" s="13">
        <f>VLOOKUP(B4,'Base Cobertura'!$A:$C,3,FALSE)</f>
        <v>227</v>
      </c>
      <c r="H4" s="13">
        <f>VLOOKUP(B4,'Base Cobertura'!$A:$C,2,FALSE)</f>
        <v>206</v>
      </c>
      <c r="I4" s="17">
        <f t="shared" si="2"/>
        <v>-13.050000000000011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66</v>
      </c>
      <c r="T4" s="13">
        <v>214</v>
      </c>
      <c r="U4" s="5">
        <f t="shared" ref="U4:U11" si="3">+S4/T4</f>
        <v>0.30841121495327101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0.8</v>
      </c>
      <c r="E5" s="13">
        <v>21</v>
      </c>
      <c r="F5" s="12">
        <f t="shared" si="1"/>
        <v>31</v>
      </c>
      <c r="G5" s="13">
        <f>VLOOKUP(B5,'Base Cobertura'!$A:$C,3,FALSE)</f>
        <v>65</v>
      </c>
      <c r="H5" s="13">
        <f>VLOOKUP(B5,'Base Cobertura'!$A:$C,2,FALSE)</f>
        <v>52</v>
      </c>
      <c r="I5" s="17">
        <f t="shared" si="2"/>
        <v>3.25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101</v>
      </c>
      <c r="T5" s="13">
        <v>214</v>
      </c>
      <c r="U5" s="5">
        <f t="shared" si="3"/>
        <v>0.4719626168224299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0.893719806763285</v>
      </c>
      <c r="E6" s="13">
        <v>100</v>
      </c>
      <c r="F6" s="12">
        <f t="shared" si="1"/>
        <v>85</v>
      </c>
      <c r="G6" s="13">
        <f>VLOOKUP(B6,'Base Cobertura'!$A:$C,3,FALSE)</f>
        <v>207</v>
      </c>
      <c r="H6" s="13">
        <f>VLOOKUP(B6,'Base Cobertura'!$A:$C,2,FALSE)</f>
        <v>185</v>
      </c>
      <c r="I6" s="17">
        <f t="shared" si="2"/>
        <v>-9.0500000000000114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56</v>
      </c>
      <c r="T6" s="13">
        <v>214</v>
      </c>
      <c r="U6" s="5">
        <f t="shared" si="3"/>
        <v>0.26168224299065418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0.87437185929648242</v>
      </c>
      <c r="E7" s="13">
        <v>81</v>
      </c>
      <c r="F7" s="12">
        <f t="shared" si="1"/>
        <v>93</v>
      </c>
      <c r="G7" s="13">
        <f>VLOOKUP(B7,'Base Cobertura'!$A:$C,3,FALSE)</f>
        <v>199</v>
      </c>
      <c r="H7" s="13">
        <f>VLOOKUP(B7,'Base Cobertura'!$A:$C,2,FALSE)</f>
        <v>174</v>
      </c>
      <c r="I7" s="17">
        <f t="shared" si="2"/>
        <v>-4.8499999999999943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107</v>
      </c>
      <c r="T7" s="13">
        <v>214</v>
      </c>
      <c r="U7" s="5">
        <f t="shared" si="3"/>
        <v>0.5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0.88785046728971961</v>
      </c>
      <c r="E8" s="13">
        <v>89</v>
      </c>
      <c r="F8" s="12">
        <f t="shared" si="1"/>
        <v>101</v>
      </c>
      <c r="G8" s="13">
        <f>VLOOKUP(B8,'Base Cobertura'!$A:$C,3,FALSE)</f>
        <v>214</v>
      </c>
      <c r="H8" s="13">
        <f>VLOOKUP(B8,'Base Cobertura'!$A:$C,2,FALSE)</f>
        <v>190</v>
      </c>
      <c r="I8" s="17">
        <f t="shared" si="2"/>
        <v>-8.0999999999999943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91</v>
      </c>
      <c r="T8" s="13">
        <v>214</v>
      </c>
      <c r="U8" s="5">
        <f t="shared" si="3"/>
        <v>0.42523364485981308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0.82840236686390534</v>
      </c>
      <c r="E9" s="13">
        <v>92</v>
      </c>
      <c r="F9" s="12">
        <f t="shared" si="1"/>
        <v>48</v>
      </c>
      <c r="G9" s="13">
        <f>VLOOKUP(B9,'Base Cobertura'!$A:$C,3,FALSE)</f>
        <v>169</v>
      </c>
      <c r="H9" s="13">
        <f>VLOOKUP(B9,'Base Cobertura'!$A:$C,2,FALSE)</f>
        <v>140</v>
      </c>
      <c r="I9" s="17">
        <f t="shared" si="2"/>
        <v>3.6500000000000057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0.80512820512820515</v>
      </c>
      <c r="E10" s="13">
        <v>64</v>
      </c>
      <c r="F10" s="12">
        <f t="shared" si="1"/>
        <v>93</v>
      </c>
      <c r="G10" s="13">
        <f>VLOOKUP(B10,'Base Cobertura'!$A:$C,3,FALSE)</f>
        <v>195</v>
      </c>
      <c r="H10" s="13">
        <f>VLOOKUP(B10,'Base Cobertura'!$A:$C,2,FALSE)</f>
        <v>157</v>
      </c>
      <c r="I10" s="17">
        <f t="shared" si="2"/>
        <v>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33</v>
      </c>
      <c r="T10" s="13">
        <v>214</v>
      </c>
      <c r="U10" s="5">
        <f t="shared" si="3"/>
        <v>0.1542056074766355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0.52427184466019416</v>
      </c>
      <c r="E11" s="31">
        <v>19</v>
      </c>
      <c r="F11" s="33">
        <f t="shared" si="1"/>
        <v>35</v>
      </c>
      <c r="G11" s="13">
        <f>VLOOKUP(B11,'Base Cobertura'!$A:$C,3,FALSE)</f>
        <v>103</v>
      </c>
      <c r="H11" s="13">
        <f>VLOOKUP(B11,'Base Cobertura'!$A:$C,2,FALSE)</f>
        <v>54</v>
      </c>
      <c r="I11" s="34">
        <f t="shared" si="2"/>
        <v>33.549999999999997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47</v>
      </c>
      <c r="T11" s="13">
        <v>214</v>
      </c>
      <c r="U11" s="5">
        <f t="shared" si="3"/>
        <v>0.21962616822429906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0.67619047619047623</v>
      </c>
      <c r="E12" s="31">
        <v>24</v>
      </c>
      <c r="F12" s="33">
        <f t="shared" si="1"/>
        <v>47</v>
      </c>
      <c r="G12" s="13">
        <f>VLOOKUP(B12,'Base Cobertura'!$A:$C,3,FALSE)</f>
        <v>105</v>
      </c>
      <c r="H12" s="13">
        <f>VLOOKUP(B12,'Base Cobertura'!$A:$C,2,FALSE)</f>
        <v>71</v>
      </c>
      <c r="I12" s="34">
        <f t="shared" si="2"/>
        <v>18.25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0.90421455938697315</v>
      </c>
      <c r="E13" s="13">
        <v>144</v>
      </c>
      <c r="F13" s="12">
        <f t="shared" si="1"/>
        <v>92</v>
      </c>
      <c r="G13" s="13">
        <f>VLOOKUP(B13,'Base Cobertura'!$A:$C,3,FALSE)</f>
        <v>261</v>
      </c>
      <c r="H13" s="13">
        <f>VLOOKUP(B13,'Base Cobertura'!$A:$C,2,FALSE)</f>
        <v>236</v>
      </c>
      <c r="I13" s="17">
        <f t="shared" si="2"/>
        <v>-14.150000000000006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0.92307692307692313</v>
      </c>
      <c r="E14" s="13">
        <v>85</v>
      </c>
      <c r="F14" s="12">
        <f t="shared" si="1"/>
        <v>83</v>
      </c>
      <c r="G14" s="13">
        <f>VLOOKUP(B14,'Base Cobertura'!$A:$C,3,FALSE)</f>
        <v>182</v>
      </c>
      <c r="H14" s="13">
        <f>VLOOKUP(B14,'Base Cobertura'!$A:$C,2,FALSE)</f>
        <v>168</v>
      </c>
      <c r="I14" s="17">
        <f t="shared" si="2"/>
        <v>-13.300000000000011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940</v>
      </c>
      <c r="G15" s="8">
        <f>+SUM(G2:G14)</f>
        <v>2245</v>
      </c>
      <c r="H15" s="8">
        <f>+SUM(H2:H14)</f>
        <v>1819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0.83229813664596275</v>
      </c>
      <c r="E16" s="13">
        <v>90</v>
      </c>
      <c r="F16" s="12">
        <f t="shared" si="1"/>
        <v>44</v>
      </c>
      <c r="G16" s="13">
        <f>VLOOKUP(B16,'Base Cobertura'!$A:$C,3,FALSE)</f>
        <v>161</v>
      </c>
      <c r="H16" s="13">
        <f>VLOOKUP(B16,'Base Cobertura'!$A:$C,2,FALSE)</f>
        <v>134</v>
      </c>
      <c r="I16" s="17">
        <f t="shared" si="2"/>
        <v>2.8499999999999943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0.75634517766497467</v>
      </c>
      <c r="E17" s="13">
        <v>92</v>
      </c>
      <c r="F17" s="12">
        <f t="shared" si="1"/>
        <v>57</v>
      </c>
      <c r="G17" s="13">
        <f>VLOOKUP(B17,'Base Cobertura'!$A:$C,3,FALSE)</f>
        <v>197</v>
      </c>
      <c r="H17" s="13">
        <f>VLOOKUP(B17,'Base Cobertura'!$A:$C,2,FALSE)</f>
        <v>149</v>
      </c>
      <c r="I17" s="17">
        <f t="shared" si="2"/>
        <v>18.449999999999989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0.86549707602339176</v>
      </c>
      <c r="E18" s="13">
        <v>88</v>
      </c>
      <c r="F18" s="12">
        <f t="shared" si="1"/>
        <v>60</v>
      </c>
      <c r="G18" s="13">
        <f>VLOOKUP(B18,'Base Cobertura'!$A:$C,3,FALSE)</f>
        <v>171</v>
      </c>
      <c r="H18" s="13">
        <f>VLOOKUP(B18,'Base Cobertura'!$A:$C,2,FALSE)</f>
        <v>148</v>
      </c>
      <c r="I18" s="17">
        <f t="shared" si="2"/>
        <v>-2.6500000000000057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0.91558441558441561</v>
      </c>
      <c r="E19" s="13">
        <v>95</v>
      </c>
      <c r="F19" s="12">
        <f t="shared" si="1"/>
        <v>46</v>
      </c>
      <c r="G19" s="13">
        <f>VLOOKUP(B19,'Base Cobertura'!$A:$C,3,FALSE)</f>
        <v>154</v>
      </c>
      <c r="H19" s="13">
        <f>VLOOKUP(B19,'Base Cobertura'!$A:$C,2,FALSE)</f>
        <v>141</v>
      </c>
      <c r="I19" s="17">
        <f t="shared" si="2"/>
        <v>-10.099999999999994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0.8820224719101124</v>
      </c>
      <c r="E20" s="13">
        <v>83</v>
      </c>
      <c r="F20" s="12">
        <f t="shared" si="1"/>
        <v>74</v>
      </c>
      <c r="G20" s="13">
        <f>VLOOKUP(B20,'Base Cobertura'!$A:$C,3,FALSE)</f>
        <v>178</v>
      </c>
      <c r="H20" s="13">
        <f>VLOOKUP(B20,'Base Cobertura'!$A:$C,2,FALSE)</f>
        <v>157</v>
      </c>
      <c r="I20" s="17">
        <f t="shared" si="2"/>
        <v>-5.7000000000000171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0.85964912280701755</v>
      </c>
      <c r="E21" s="13">
        <v>64</v>
      </c>
      <c r="F21" s="12">
        <f t="shared" si="1"/>
        <v>83</v>
      </c>
      <c r="G21" s="13">
        <f>VLOOKUP(B21,'Base Cobertura'!$A:$C,3,FALSE)</f>
        <v>171</v>
      </c>
      <c r="H21" s="13">
        <f>VLOOKUP(B21,'Base Cobertura'!$A:$C,2,FALSE)</f>
        <v>147</v>
      </c>
      <c r="I21" s="17">
        <f t="shared" si="2"/>
        <v>-1.6500000000000057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0.45177664974619292</v>
      </c>
      <c r="E22" s="13">
        <v>66</v>
      </c>
      <c r="F22" s="12">
        <f t="shared" si="1"/>
        <v>23</v>
      </c>
      <c r="G22" s="13">
        <f>VLOOKUP(B22,'Base Cobertura'!$A:$C,3,FALSE)</f>
        <v>197</v>
      </c>
      <c r="H22" s="13">
        <f>VLOOKUP(B22,'Base Cobertura'!$A:$C,2,FALSE)</f>
        <v>89</v>
      </c>
      <c r="I22" s="17">
        <f t="shared" si="2"/>
        <v>78.449999999999989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0.83898305084745761</v>
      </c>
      <c r="E23" s="13">
        <v>70</v>
      </c>
      <c r="F23" s="12">
        <f t="shared" si="1"/>
        <v>29</v>
      </c>
      <c r="G23" s="13">
        <f>VLOOKUP(B23,'Base Cobertura'!$A:$C,3,FALSE)</f>
        <v>118</v>
      </c>
      <c r="H23" s="13">
        <f>VLOOKUP(B23,'Base Cobertura'!$A:$C,2,FALSE)</f>
        <v>99</v>
      </c>
      <c r="I23" s="17">
        <f t="shared" si="2"/>
        <v>1.2999999999999972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0.91812865497076024</v>
      </c>
      <c r="E24" s="13">
        <v>79</v>
      </c>
      <c r="F24" s="12">
        <f t="shared" si="1"/>
        <v>78</v>
      </c>
      <c r="G24" s="13">
        <f>VLOOKUP(B24,'Base Cobertura'!$A:$C,3,FALSE)</f>
        <v>171</v>
      </c>
      <c r="H24" s="13">
        <f>VLOOKUP(B24,'Base Cobertura'!$A:$C,2,FALSE)</f>
        <v>157</v>
      </c>
      <c r="I24" s="17">
        <f t="shared" si="2"/>
        <v>-11.650000000000006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494</v>
      </c>
      <c r="G25" s="8">
        <f>+SUM(G16:G24)</f>
        <v>1518</v>
      </c>
      <c r="H25" s="8">
        <f>+SUM(H16:H24)</f>
        <v>1221</v>
      </c>
      <c r="I25" s="8"/>
    </row>
    <row r="26" spans="1:11" x14ac:dyDescent="0.25">
      <c r="A26" s="148" t="s">
        <v>216</v>
      </c>
      <c r="B26">
        <v>32</v>
      </c>
      <c r="C26" s="12" t="str">
        <f>+AVANCE!B27</f>
        <v>32 - CABRAL GONZALO</v>
      </c>
      <c r="D26" s="22">
        <f t="shared" si="0"/>
        <v>0.91379310344827591</v>
      </c>
      <c r="E26" s="13">
        <v>20</v>
      </c>
      <c r="F26" s="12">
        <f>+H26-E26</f>
        <v>33</v>
      </c>
      <c r="G26" s="13">
        <f>VLOOKUP(B26,'Base Cobertura'!$A:$C,3,FALSE)</f>
        <v>58</v>
      </c>
      <c r="H26" s="13">
        <f>VLOOKUP(B26,'Base Cobertura'!$A:$C,2,FALSE)</f>
        <v>53</v>
      </c>
      <c r="I26" s="17">
        <f t="shared" si="2"/>
        <v>-3.7000000000000028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0.76249999999999996</v>
      </c>
      <c r="E27" s="13">
        <v>68</v>
      </c>
      <c r="F27" s="12">
        <f t="shared" si="1"/>
        <v>54</v>
      </c>
      <c r="G27" s="13">
        <f>VLOOKUP(B27,'Base Cobertura'!$A:$C,3,FALSE)</f>
        <v>160</v>
      </c>
      <c r="H27" s="13">
        <f>VLOOKUP(B27,'Base Cobertura'!$A:$C,2,FALSE)</f>
        <v>122</v>
      </c>
      <c r="I27" s="17">
        <f t="shared" si="2"/>
        <v>14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0.88461538461538458</v>
      </c>
      <c r="E28" s="13">
        <v>80</v>
      </c>
      <c r="F28" s="12">
        <f t="shared" si="1"/>
        <v>58</v>
      </c>
      <c r="G28" s="13">
        <f>VLOOKUP(B28,'Base Cobertura'!$A:$C,3,FALSE)</f>
        <v>156</v>
      </c>
      <c r="H28" s="13">
        <f>VLOOKUP(B28,'Base Cobertura'!$A:$C,2,FALSE)</f>
        <v>138</v>
      </c>
      <c r="I28" s="17">
        <f t="shared" si="2"/>
        <v>-5.4000000000000057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0.48799999999999999</v>
      </c>
      <c r="E29" s="13">
        <v>68</v>
      </c>
      <c r="F29" s="12">
        <f t="shared" si="1"/>
        <v>54</v>
      </c>
      <c r="G29" s="13">
        <f>VLOOKUP(B29,'Base Cobertura'!$A:$C,3,FALSE)</f>
        <v>250</v>
      </c>
      <c r="H29" s="13">
        <f>VLOOKUP(B29,'Base Cobertura'!$A:$C,2,FALSE)</f>
        <v>122</v>
      </c>
      <c r="I29" s="17">
        <f t="shared" si="2"/>
        <v>90.5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0.98496240601503759</v>
      </c>
      <c r="E30" s="13">
        <v>73</v>
      </c>
      <c r="F30" s="12">
        <f t="shared" si="1"/>
        <v>58</v>
      </c>
      <c r="G30" s="13">
        <f>VLOOKUP(B30,'Base Cobertura'!$A:$C,3,FALSE)</f>
        <v>133</v>
      </c>
      <c r="H30" s="13">
        <f>VLOOKUP(B30,'Base Cobertura'!$A:$C,2,FALSE)</f>
        <v>131</v>
      </c>
      <c r="I30" s="17">
        <f t="shared" si="2"/>
        <v>-17.950000000000003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0.74863387978142082</v>
      </c>
      <c r="E31" s="13">
        <v>40</v>
      </c>
      <c r="F31" s="12">
        <f t="shared" si="1"/>
        <v>97</v>
      </c>
      <c r="G31" s="13">
        <f>VLOOKUP(B31,'Base Cobertura'!$A:$C,3,FALSE)</f>
        <v>183</v>
      </c>
      <c r="H31" s="13">
        <f>VLOOKUP(B31,'Base Cobertura'!$A:$C,2,FALSE)</f>
        <v>137</v>
      </c>
      <c r="I31" s="17">
        <f t="shared" si="2"/>
        <v>18.549999999999983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0.86904761904761907</v>
      </c>
      <c r="E32" s="13">
        <v>67</v>
      </c>
      <c r="F32" s="12">
        <f t="shared" si="1"/>
        <v>79</v>
      </c>
      <c r="G32" s="13">
        <f>VLOOKUP(B32,'Base Cobertura'!$A:$C,3,FALSE)</f>
        <v>168</v>
      </c>
      <c r="H32" s="13">
        <f>VLOOKUP(B32,'Base Cobertura'!$A:$C,2,FALSE)</f>
        <v>146</v>
      </c>
      <c r="I32" s="17">
        <f t="shared" si="2"/>
        <v>-3.2000000000000171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0.86227544910179643</v>
      </c>
      <c r="E33" s="13">
        <v>66</v>
      </c>
      <c r="F33" s="12">
        <f t="shared" si="1"/>
        <v>78</v>
      </c>
      <c r="G33" s="13">
        <f>VLOOKUP(B33,'Base Cobertura'!$A:$C,3,FALSE)</f>
        <v>167</v>
      </c>
      <c r="H33" s="13">
        <f>VLOOKUP(B33,'Base Cobertura'!$A:$C,2,FALSE)</f>
        <v>144</v>
      </c>
      <c r="I33" s="17">
        <f t="shared" si="2"/>
        <v>-2.0500000000000114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0.5</v>
      </c>
      <c r="E34" s="13">
        <v>82</v>
      </c>
      <c r="F34" s="12">
        <f t="shared" si="1"/>
        <v>-11</v>
      </c>
      <c r="G34" s="13">
        <f>VLOOKUP(B34,'Base Cobertura'!$A:$C,3,FALSE)</f>
        <v>142</v>
      </c>
      <c r="H34" s="13">
        <f>VLOOKUP(B34,'Base Cobertura'!$A:$C,2,FALSE)</f>
        <v>71</v>
      </c>
      <c r="I34" s="17">
        <f t="shared" si="2"/>
        <v>49.7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0.6685393258426966</v>
      </c>
      <c r="E35" s="13">
        <v>81</v>
      </c>
      <c r="F35" s="12">
        <f t="shared" si="1"/>
        <v>38</v>
      </c>
      <c r="G35" s="13">
        <f>VLOOKUP(B35,'Base Cobertura'!$A:$C,3,FALSE)</f>
        <v>178</v>
      </c>
      <c r="H35" s="13">
        <f>VLOOKUP(B35,'Base Cobertura'!$A:$C,2,FALSE)</f>
        <v>119</v>
      </c>
      <c r="I35" s="17">
        <f t="shared" si="2"/>
        <v>32.299999999999983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0.2</v>
      </c>
      <c r="E36" s="13">
        <v>0</v>
      </c>
      <c r="F36" s="12">
        <f t="shared" si="1"/>
        <v>23</v>
      </c>
      <c r="G36" s="13">
        <f>VLOOKUP(B36,'Base Cobertura'!$A:$C,3,FALSE)</f>
        <v>115</v>
      </c>
      <c r="H36" s="13">
        <f>VLOOKUP(B36,'Base Cobertura'!$A:$C,2,FALSE)</f>
        <v>23</v>
      </c>
      <c r="I36" s="17">
        <f t="shared" si="2"/>
        <v>74.75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0.41904761904761906</v>
      </c>
      <c r="E37" s="13">
        <v>17</v>
      </c>
      <c r="F37" s="12">
        <f t="shared" si="1"/>
        <v>27</v>
      </c>
      <c r="G37" s="13">
        <f>VLOOKUP(B37,'Base Cobertura'!$A:$C,3,FALSE)</f>
        <v>105</v>
      </c>
      <c r="H37" s="13">
        <f>VLOOKUP(B37,'Base Cobertura'!$A:$C,2,FALSE)</f>
        <v>44</v>
      </c>
      <c r="I37" s="17">
        <f t="shared" si="2"/>
        <v>45.25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0.87401574803149606</v>
      </c>
      <c r="E38" s="13">
        <v>60</v>
      </c>
      <c r="F38" s="12">
        <f t="shared" si="1"/>
        <v>51</v>
      </c>
      <c r="G38" s="13">
        <f>VLOOKUP(B38,'Base Cobertura'!$A:$C,3,FALSE)</f>
        <v>127</v>
      </c>
      <c r="H38" s="13">
        <f>VLOOKUP(B38,'Base Cobertura'!$A:$C,2,FALSE)</f>
        <v>111</v>
      </c>
      <c r="I38" s="17">
        <f t="shared" si="2"/>
        <v>-3.0499999999999972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639</v>
      </c>
      <c r="G39" s="8">
        <f>+SUM(G26:G38)</f>
        <v>1942</v>
      </c>
      <c r="H39" s="8">
        <f>+SUM(H26:H38)</f>
        <v>1361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2073</v>
      </c>
      <c r="G40" s="8">
        <f>+G15+G25+G39</f>
        <v>5705</v>
      </c>
      <c r="H40" s="8">
        <f>+H15+H25+H39</f>
        <v>4401</v>
      </c>
      <c r="I40" s="8"/>
      <c r="L40" s="1">
        <f>+H40/G40</f>
        <v>0.77142857142857146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0.33606557377049179</v>
      </c>
      <c r="E41" s="13">
        <v>60</v>
      </c>
      <c r="F41" s="12">
        <f t="shared" ref="F41:F42" si="5">+H41-E41</f>
        <v>-19</v>
      </c>
      <c r="G41" s="13">
        <f>VLOOKUP(B41,'Base Cobertura'!$A:$C,3,FALSE)</f>
        <v>122</v>
      </c>
      <c r="H41" s="13">
        <f>VLOOKUP(B41,'Base Cobertura'!$A:$C,2,FALSE)</f>
        <v>41</v>
      </c>
      <c r="I41" s="17">
        <f t="shared" ref="I41:I42" si="6">(+G41*$M$2)-H41</f>
        <v>62.7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0.50806451612903225</v>
      </c>
      <c r="E42" s="13">
        <v>60</v>
      </c>
      <c r="F42" s="12">
        <f t="shared" si="5"/>
        <v>3</v>
      </c>
      <c r="G42" s="13">
        <f>VLOOKUP(B42,'Base Cobertura'!$A:$C,3,FALSE)</f>
        <v>124</v>
      </c>
      <c r="H42" s="13">
        <f>VLOOKUP(B42,'Base Cobertura'!$A:$C,2,FALSE)</f>
        <v>63</v>
      </c>
      <c r="I42" s="17">
        <f t="shared" si="6"/>
        <v>42.399999999999991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12</v>
      </c>
      <c r="C3" s="51">
        <v>3476</v>
      </c>
      <c r="G3" t="s">
        <v>219</v>
      </c>
      <c r="H3" s="51">
        <v>3</v>
      </c>
      <c r="I3" s="51">
        <v>3476</v>
      </c>
    </row>
    <row r="4" spans="1:9" x14ac:dyDescent="0.25">
      <c r="A4">
        <v>1</v>
      </c>
      <c r="B4" s="51">
        <v>111</v>
      </c>
      <c r="C4" s="51">
        <v>127</v>
      </c>
      <c r="G4" t="s">
        <v>220</v>
      </c>
      <c r="H4">
        <v>6</v>
      </c>
      <c r="I4" s="51">
        <v>3476</v>
      </c>
    </row>
    <row r="5" spans="1:9" x14ac:dyDescent="0.25">
      <c r="A5">
        <v>10</v>
      </c>
      <c r="B5" s="51">
        <v>137</v>
      </c>
      <c r="C5" s="51">
        <v>183</v>
      </c>
      <c r="G5" t="s">
        <v>221</v>
      </c>
      <c r="H5" s="51">
        <v>7</v>
      </c>
      <c r="I5" s="51">
        <v>3476</v>
      </c>
    </row>
    <row r="6" spans="1:9" x14ac:dyDescent="0.25">
      <c r="A6">
        <v>100</v>
      </c>
      <c r="B6" s="51">
        <v>47</v>
      </c>
      <c r="C6" s="51">
        <v>2030</v>
      </c>
      <c r="G6" t="s">
        <v>222</v>
      </c>
      <c r="H6" s="51">
        <v>3</v>
      </c>
      <c r="I6" s="51">
        <v>3476</v>
      </c>
    </row>
    <row r="7" spans="1:9" x14ac:dyDescent="0.25">
      <c r="A7">
        <v>11</v>
      </c>
      <c r="B7" s="51">
        <v>140</v>
      </c>
      <c r="C7" s="51">
        <v>169</v>
      </c>
      <c r="G7" t="s">
        <v>223</v>
      </c>
      <c r="H7" s="51">
        <v>7</v>
      </c>
      <c r="I7" s="51">
        <v>3476</v>
      </c>
    </row>
    <row r="8" spans="1:9" x14ac:dyDescent="0.25">
      <c r="A8">
        <v>12</v>
      </c>
      <c r="B8" s="51">
        <v>190</v>
      </c>
      <c r="C8" s="51">
        <v>214</v>
      </c>
      <c r="G8" t="s">
        <v>224</v>
      </c>
      <c r="H8" s="51">
        <v>5</v>
      </c>
      <c r="I8" s="51">
        <v>3476</v>
      </c>
    </row>
    <row r="9" spans="1:9" x14ac:dyDescent="0.25">
      <c r="A9">
        <v>123</v>
      </c>
      <c r="B9" s="51">
        <v>41</v>
      </c>
      <c r="C9" s="51">
        <v>491</v>
      </c>
      <c r="G9" t="s">
        <v>225</v>
      </c>
      <c r="H9" s="51">
        <v>5</v>
      </c>
      <c r="I9" s="51">
        <v>3476</v>
      </c>
    </row>
    <row r="10" spans="1:9" x14ac:dyDescent="0.25">
      <c r="A10">
        <v>15</v>
      </c>
      <c r="B10" s="51">
        <v>52</v>
      </c>
      <c r="C10" s="51">
        <v>65</v>
      </c>
      <c r="G10" t="s">
        <v>226</v>
      </c>
      <c r="H10">
        <v>4</v>
      </c>
      <c r="I10" s="51">
        <v>3476</v>
      </c>
    </row>
    <row r="11" spans="1:9" x14ac:dyDescent="0.25">
      <c r="A11">
        <v>16</v>
      </c>
      <c r="B11" s="51">
        <v>174</v>
      </c>
      <c r="C11" s="51">
        <v>199</v>
      </c>
      <c r="G11" t="s">
        <v>227</v>
      </c>
      <c r="H11" s="51">
        <v>4</v>
      </c>
      <c r="I11" s="51">
        <v>3476</v>
      </c>
    </row>
    <row r="12" spans="1:9" x14ac:dyDescent="0.25">
      <c r="A12">
        <v>18</v>
      </c>
      <c r="B12" s="51">
        <v>157</v>
      </c>
      <c r="C12" s="51">
        <v>178</v>
      </c>
      <c r="E12">
        <f>+F12</f>
        <v>1</v>
      </c>
      <c r="F12">
        <v>1</v>
      </c>
      <c r="G12" t="s">
        <v>219</v>
      </c>
      <c r="H12">
        <v>49</v>
      </c>
      <c r="I12" s="51">
        <v>127</v>
      </c>
    </row>
    <row r="13" spans="1:9" x14ac:dyDescent="0.25">
      <c r="A13">
        <v>19</v>
      </c>
      <c r="B13" s="51">
        <v>185</v>
      </c>
      <c r="C13" s="51">
        <v>207</v>
      </c>
      <c r="E13">
        <f>+$E$12</f>
        <v>1</v>
      </c>
      <c r="G13" t="s">
        <v>220</v>
      </c>
      <c r="H13" s="51">
        <v>47</v>
      </c>
      <c r="I13" s="51">
        <v>127</v>
      </c>
    </row>
    <row r="14" spans="1:9" x14ac:dyDescent="0.25">
      <c r="A14">
        <v>2</v>
      </c>
      <c r="B14" s="51">
        <v>99</v>
      </c>
      <c r="C14" s="51">
        <v>118</v>
      </c>
      <c r="E14">
        <f t="shared" ref="E14:E20" si="0">+$E$12</f>
        <v>1</v>
      </c>
      <c r="G14" t="s">
        <v>221</v>
      </c>
      <c r="H14" s="51">
        <v>56</v>
      </c>
      <c r="I14" s="51">
        <v>127</v>
      </c>
    </row>
    <row r="15" spans="1:9" x14ac:dyDescent="0.25">
      <c r="A15">
        <v>20</v>
      </c>
      <c r="B15" s="51">
        <v>206</v>
      </c>
      <c r="C15" s="51">
        <v>227</v>
      </c>
      <c r="E15">
        <f t="shared" si="0"/>
        <v>1</v>
      </c>
      <c r="G15" t="s">
        <v>222</v>
      </c>
      <c r="H15" s="51">
        <v>47</v>
      </c>
      <c r="I15" s="51">
        <v>127</v>
      </c>
    </row>
    <row r="16" spans="1:9" x14ac:dyDescent="0.25">
      <c r="A16">
        <v>21</v>
      </c>
      <c r="B16" s="51">
        <v>148</v>
      </c>
      <c r="C16" s="51">
        <v>171</v>
      </c>
      <c r="E16">
        <f t="shared" si="0"/>
        <v>1</v>
      </c>
      <c r="G16" t="s">
        <v>223</v>
      </c>
      <c r="H16" s="51">
        <v>70</v>
      </c>
      <c r="I16" s="51">
        <v>127</v>
      </c>
    </row>
    <row r="17" spans="1:9" x14ac:dyDescent="0.25">
      <c r="A17">
        <v>22</v>
      </c>
      <c r="B17" s="51">
        <v>69</v>
      </c>
      <c r="C17" s="51">
        <v>75</v>
      </c>
      <c r="E17">
        <f t="shared" si="0"/>
        <v>1</v>
      </c>
      <c r="G17" t="s">
        <v>224</v>
      </c>
      <c r="H17" s="51">
        <v>66</v>
      </c>
      <c r="I17" s="51">
        <v>127</v>
      </c>
    </row>
    <row r="18" spans="1:9" x14ac:dyDescent="0.25">
      <c r="A18">
        <v>23</v>
      </c>
      <c r="B18" s="51">
        <v>141</v>
      </c>
      <c r="C18" s="51">
        <v>154</v>
      </c>
      <c r="E18">
        <f t="shared" si="0"/>
        <v>1</v>
      </c>
      <c r="G18" t="s">
        <v>225</v>
      </c>
      <c r="H18" s="51">
        <v>28</v>
      </c>
      <c r="I18" s="51">
        <v>127</v>
      </c>
    </row>
    <row r="19" spans="1:9" x14ac:dyDescent="0.25">
      <c r="A19">
        <v>24</v>
      </c>
      <c r="B19" s="51">
        <v>119</v>
      </c>
      <c r="C19" s="51">
        <v>178</v>
      </c>
      <c r="E19">
        <f t="shared" si="0"/>
        <v>1</v>
      </c>
      <c r="G19" t="s">
        <v>226</v>
      </c>
      <c r="H19" s="51">
        <v>37</v>
      </c>
      <c r="I19" s="51">
        <v>127</v>
      </c>
    </row>
    <row r="20" spans="1:9" x14ac:dyDescent="0.25">
      <c r="A20">
        <v>25</v>
      </c>
      <c r="B20" s="51">
        <v>84</v>
      </c>
      <c r="C20" s="51">
        <v>172</v>
      </c>
      <c r="E20">
        <f t="shared" si="0"/>
        <v>1</v>
      </c>
      <c r="G20" t="s">
        <v>227</v>
      </c>
      <c r="H20">
        <v>49</v>
      </c>
      <c r="I20" s="51">
        <v>127</v>
      </c>
    </row>
    <row r="21" spans="1:9" x14ac:dyDescent="0.25">
      <c r="A21">
        <v>26</v>
      </c>
      <c r="B21" s="51">
        <v>84</v>
      </c>
      <c r="C21" s="51">
        <v>166</v>
      </c>
      <c r="E21">
        <f>+$F$21</f>
        <v>10</v>
      </c>
      <c r="F21">
        <v>10</v>
      </c>
      <c r="G21" t="s">
        <v>219</v>
      </c>
      <c r="H21" s="51">
        <v>31</v>
      </c>
      <c r="I21" s="51">
        <v>183</v>
      </c>
    </row>
    <row r="22" spans="1:9" x14ac:dyDescent="0.25">
      <c r="A22">
        <v>27</v>
      </c>
      <c r="B22" s="51">
        <v>131</v>
      </c>
      <c r="C22" s="51">
        <v>133</v>
      </c>
      <c r="E22">
        <f t="shared" ref="E22:E29" si="1">+$F$21</f>
        <v>10</v>
      </c>
      <c r="G22" t="s">
        <v>220</v>
      </c>
      <c r="H22" s="51">
        <v>24</v>
      </c>
      <c r="I22" s="51">
        <v>183</v>
      </c>
    </row>
    <row r="23" spans="1:9" x14ac:dyDescent="0.25">
      <c r="A23">
        <v>28</v>
      </c>
      <c r="B23" s="51">
        <v>146</v>
      </c>
      <c r="C23" s="51">
        <v>168</v>
      </c>
      <c r="E23">
        <f t="shared" si="1"/>
        <v>10</v>
      </c>
      <c r="G23" t="s">
        <v>221</v>
      </c>
      <c r="H23" s="51">
        <v>71</v>
      </c>
      <c r="I23" s="51">
        <v>183</v>
      </c>
    </row>
    <row r="24" spans="1:9" x14ac:dyDescent="0.25">
      <c r="A24">
        <v>3</v>
      </c>
      <c r="B24" s="51">
        <v>157</v>
      </c>
      <c r="C24" s="51">
        <v>171</v>
      </c>
      <c r="E24">
        <f t="shared" si="1"/>
        <v>10</v>
      </c>
      <c r="G24" t="s">
        <v>222</v>
      </c>
      <c r="H24" s="51">
        <v>53</v>
      </c>
      <c r="I24" s="51">
        <v>183</v>
      </c>
    </row>
    <row r="25" spans="1:9" x14ac:dyDescent="0.25">
      <c r="A25">
        <v>30</v>
      </c>
      <c r="B25" s="51">
        <v>29</v>
      </c>
      <c r="C25" s="51">
        <v>139</v>
      </c>
      <c r="E25">
        <f t="shared" si="1"/>
        <v>10</v>
      </c>
      <c r="G25" t="s">
        <v>223</v>
      </c>
      <c r="H25" s="51">
        <v>79</v>
      </c>
      <c r="I25" s="51">
        <v>183</v>
      </c>
    </row>
    <row r="26" spans="1:9" x14ac:dyDescent="0.25">
      <c r="A26">
        <v>31</v>
      </c>
      <c r="B26" s="51">
        <v>134</v>
      </c>
      <c r="C26" s="51">
        <v>161</v>
      </c>
      <c r="E26">
        <f t="shared" si="1"/>
        <v>10</v>
      </c>
      <c r="G26" t="s">
        <v>224</v>
      </c>
      <c r="H26" s="51">
        <v>65</v>
      </c>
      <c r="I26" s="51">
        <v>183</v>
      </c>
    </row>
    <row r="27" spans="1:9" x14ac:dyDescent="0.25">
      <c r="A27">
        <v>32</v>
      </c>
      <c r="B27" s="51">
        <v>53</v>
      </c>
      <c r="C27" s="51">
        <v>58</v>
      </c>
      <c r="E27">
        <f t="shared" si="1"/>
        <v>10</v>
      </c>
      <c r="G27" t="s">
        <v>225</v>
      </c>
      <c r="H27" s="51">
        <v>21</v>
      </c>
      <c r="I27" s="51">
        <v>183</v>
      </c>
    </row>
    <row r="28" spans="1:9" x14ac:dyDescent="0.25">
      <c r="A28">
        <v>33</v>
      </c>
      <c r="B28" s="51">
        <v>144</v>
      </c>
      <c r="C28" s="51">
        <v>167</v>
      </c>
      <c r="E28">
        <f t="shared" si="1"/>
        <v>10</v>
      </c>
      <c r="G28" t="s">
        <v>226</v>
      </c>
      <c r="H28" s="51">
        <v>19</v>
      </c>
      <c r="I28" s="51">
        <v>183</v>
      </c>
    </row>
    <row r="29" spans="1:9" x14ac:dyDescent="0.25">
      <c r="A29">
        <v>36</v>
      </c>
      <c r="B29" s="51">
        <v>122</v>
      </c>
      <c r="C29" s="51">
        <v>160</v>
      </c>
      <c r="E29">
        <f t="shared" si="1"/>
        <v>10</v>
      </c>
      <c r="G29" t="s">
        <v>227</v>
      </c>
      <c r="H29" s="51">
        <v>30</v>
      </c>
      <c r="I29" s="51">
        <v>183</v>
      </c>
    </row>
    <row r="30" spans="1:9" x14ac:dyDescent="0.25">
      <c r="A30">
        <v>37</v>
      </c>
      <c r="B30" s="51">
        <v>71</v>
      </c>
      <c r="C30" s="51">
        <v>142</v>
      </c>
      <c r="E30">
        <f>+$F$30</f>
        <v>100</v>
      </c>
      <c r="F30">
        <v>100</v>
      </c>
      <c r="G30" t="s">
        <v>219</v>
      </c>
      <c r="H30" s="51">
        <v>29</v>
      </c>
      <c r="I30" s="51">
        <v>2030</v>
      </c>
    </row>
    <row r="31" spans="1:9" x14ac:dyDescent="0.25">
      <c r="A31">
        <v>4</v>
      </c>
      <c r="B31" s="51">
        <v>168</v>
      </c>
      <c r="C31" s="51">
        <v>182</v>
      </c>
      <c r="E31">
        <f t="shared" ref="E31:E38" si="2">+$F$30</f>
        <v>100</v>
      </c>
      <c r="G31" t="s">
        <v>220</v>
      </c>
      <c r="H31" s="51">
        <v>26</v>
      </c>
      <c r="I31" s="51">
        <v>2030</v>
      </c>
    </row>
    <row r="32" spans="1:9" x14ac:dyDescent="0.25">
      <c r="A32">
        <v>40</v>
      </c>
      <c r="B32" s="51">
        <v>122</v>
      </c>
      <c r="C32" s="51">
        <v>250</v>
      </c>
      <c r="E32">
        <f t="shared" si="2"/>
        <v>100</v>
      </c>
      <c r="G32" t="s">
        <v>221</v>
      </c>
      <c r="H32" s="51">
        <v>29</v>
      </c>
      <c r="I32" s="51">
        <v>2030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222</v>
      </c>
      <c r="H33" s="51">
        <v>12</v>
      </c>
      <c r="I33" s="51">
        <v>2030</v>
      </c>
    </row>
    <row r="34" spans="1:9" x14ac:dyDescent="0.25">
      <c r="A34">
        <v>43</v>
      </c>
      <c r="B34" s="51">
        <v>22</v>
      </c>
      <c r="C34" s="51">
        <v>93</v>
      </c>
      <c r="E34">
        <f t="shared" si="2"/>
        <v>100</v>
      </c>
      <c r="G34" t="s">
        <v>223</v>
      </c>
      <c r="H34" s="51">
        <v>34</v>
      </c>
      <c r="I34" s="51">
        <v>2030</v>
      </c>
    </row>
    <row r="35" spans="1:9" x14ac:dyDescent="0.25">
      <c r="A35">
        <v>44</v>
      </c>
      <c r="B35" s="51">
        <v>147</v>
      </c>
      <c r="C35" s="51">
        <v>171</v>
      </c>
      <c r="E35">
        <f t="shared" si="2"/>
        <v>100</v>
      </c>
      <c r="G35" t="s">
        <v>224</v>
      </c>
      <c r="H35" s="51">
        <v>19</v>
      </c>
      <c r="I35" s="51">
        <v>2030</v>
      </c>
    </row>
    <row r="36" spans="1:9" x14ac:dyDescent="0.25">
      <c r="A36">
        <v>49</v>
      </c>
      <c r="B36" s="51">
        <v>117</v>
      </c>
      <c r="C36" s="51">
        <v>243</v>
      </c>
      <c r="E36">
        <f t="shared" si="2"/>
        <v>100</v>
      </c>
      <c r="G36" t="s">
        <v>225</v>
      </c>
      <c r="H36" s="51">
        <v>23</v>
      </c>
      <c r="I36" s="51">
        <v>2030</v>
      </c>
    </row>
    <row r="37" spans="1:9" x14ac:dyDescent="0.25">
      <c r="A37">
        <v>5</v>
      </c>
      <c r="B37" s="51">
        <v>236</v>
      </c>
      <c r="C37" s="51">
        <v>261</v>
      </c>
      <c r="E37">
        <f t="shared" si="2"/>
        <v>100</v>
      </c>
      <c r="G37" t="s">
        <v>226</v>
      </c>
      <c r="H37" s="51">
        <v>9</v>
      </c>
      <c r="I37" s="51">
        <v>2030</v>
      </c>
    </row>
    <row r="38" spans="1:9" x14ac:dyDescent="0.25">
      <c r="A38">
        <v>52</v>
      </c>
      <c r="B38" s="51">
        <v>54</v>
      </c>
      <c r="C38" s="51">
        <v>103</v>
      </c>
      <c r="E38">
        <f t="shared" si="2"/>
        <v>100</v>
      </c>
      <c r="G38" t="s">
        <v>227</v>
      </c>
      <c r="H38" s="51">
        <v>5</v>
      </c>
      <c r="I38" s="51">
        <v>2030</v>
      </c>
    </row>
    <row r="39" spans="1:9" x14ac:dyDescent="0.25">
      <c r="A39">
        <v>53</v>
      </c>
      <c r="B39" s="51">
        <v>71</v>
      </c>
      <c r="C39" s="51">
        <v>105</v>
      </c>
      <c r="E39">
        <f>+$F$39</f>
        <v>11</v>
      </c>
      <c r="F39">
        <v>11</v>
      </c>
      <c r="G39" t="s">
        <v>219</v>
      </c>
      <c r="H39" s="51">
        <v>62</v>
      </c>
      <c r="I39" s="51">
        <v>169</v>
      </c>
    </row>
    <row r="40" spans="1:9" x14ac:dyDescent="0.25">
      <c r="A40">
        <v>54</v>
      </c>
      <c r="B40" s="51">
        <v>149</v>
      </c>
      <c r="C40" s="51">
        <v>197</v>
      </c>
      <c r="E40">
        <f t="shared" ref="E40:E47" si="3">+$F$39</f>
        <v>11</v>
      </c>
      <c r="G40" t="s">
        <v>220</v>
      </c>
      <c r="H40" s="51">
        <v>41</v>
      </c>
      <c r="I40" s="51">
        <v>169</v>
      </c>
    </row>
    <row r="41" spans="1:9" x14ac:dyDescent="0.25">
      <c r="A41">
        <v>56</v>
      </c>
      <c r="B41">
        <v>89</v>
      </c>
      <c r="C41" s="51">
        <v>197</v>
      </c>
      <c r="E41">
        <f t="shared" si="3"/>
        <v>11</v>
      </c>
      <c r="G41" t="s">
        <v>221</v>
      </c>
      <c r="H41" s="51">
        <v>99</v>
      </c>
      <c r="I41" s="51">
        <v>169</v>
      </c>
    </row>
    <row r="42" spans="1:9" x14ac:dyDescent="0.25">
      <c r="A42">
        <v>57</v>
      </c>
      <c r="B42" s="51">
        <v>44</v>
      </c>
      <c r="C42" s="51">
        <v>105</v>
      </c>
      <c r="E42">
        <f t="shared" si="3"/>
        <v>11</v>
      </c>
      <c r="G42" t="s">
        <v>222</v>
      </c>
      <c r="H42" s="51">
        <v>53</v>
      </c>
      <c r="I42" s="51">
        <v>169</v>
      </c>
    </row>
    <row r="43" spans="1:9" x14ac:dyDescent="0.25">
      <c r="A43">
        <v>58</v>
      </c>
      <c r="B43" s="51">
        <v>41</v>
      </c>
      <c r="C43" s="51">
        <v>122</v>
      </c>
      <c r="E43">
        <f t="shared" si="3"/>
        <v>11</v>
      </c>
      <c r="G43" t="s">
        <v>223</v>
      </c>
      <c r="H43" s="51">
        <v>96</v>
      </c>
      <c r="I43" s="51">
        <v>169</v>
      </c>
    </row>
    <row r="44" spans="1:9" x14ac:dyDescent="0.25">
      <c r="A44">
        <v>59</v>
      </c>
      <c r="B44" s="51">
        <v>63</v>
      </c>
      <c r="C44" s="51">
        <v>124</v>
      </c>
      <c r="E44">
        <f t="shared" si="3"/>
        <v>11</v>
      </c>
      <c r="G44" t="s">
        <v>224</v>
      </c>
      <c r="H44" s="51">
        <v>77</v>
      </c>
      <c r="I44" s="51">
        <v>169</v>
      </c>
    </row>
    <row r="45" spans="1:9" x14ac:dyDescent="0.25">
      <c r="A45">
        <v>7</v>
      </c>
      <c r="B45" s="51">
        <v>23</v>
      </c>
      <c r="C45" s="51">
        <v>115</v>
      </c>
      <c r="E45">
        <f t="shared" si="3"/>
        <v>11</v>
      </c>
      <c r="G45" t="s">
        <v>225</v>
      </c>
      <c r="H45" s="51">
        <v>14</v>
      </c>
      <c r="I45" s="51">
        <v>169</v>
      </c>
    </row>
    <row r="46" spans="1:9" x14ac:dyDescent="0.25">
      <c r="A46">
        <v>8</v>
      </c>
      <c r="B46" s="51">
        <v>157</v>
      </c>
      <c r="C46" s="51">
        <v>195</v>
      </c>
      <c r="E46">
        <f t="shared" si="3"/>
        <v>11</v>
      </c>
      <c r="G46" t="s">
        <v>226</v>
      </c>
      <c r="H46" s="51">
        <v>32</v>
      </c>
      <c r="I46" s="51">
        <v>169</v>
      </c>
    </row>
    <row r="47" spans="1:9" x14ac:dyDescent="0.25">
      <c r="A47">
        <v>9</v>
      </c>
      <c r="B47" s="51">
        <v>138</v>
      </c>
      <c r="C47" s="51">
        <v>156</v>
      </c>
      <c r="E47">
        <f t="shared" si="3"/>
        <v>11</v>
      </c>
      <c r="G47" t="s">
        <v>227</v>
      </c>
      <c r="H47" s="51">
        <v>28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219</v>
      </c>
      <c r="H48" s="51">
        <v>81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220</v>
      </c>
      <c r="H49" s="51">
        <v>66</v>
      </c>
      <c r="I49" s="51">
        <v>214</v>
      </c>
    </row>
    <row r="50" spans="2:9" x14ac:dyDescent="0.25">
      <c r="E50">
        <f t="shared" si="4"/>
        <v>12</v>
      </c>
      <c r="G50" t="s">
        <v>221</v>
      </c>
      <c r="H50" s="51">
        <v>101</v>
      </c>
      <c r="I50" s="51">
        <v>214</v>
      </c>
    </row>
    <row r="51" spans="2:9" x14ac:dyDescent="0.25">
      <c r="E51">
        <f t="shared" si="4"/>
        <v>12</v>
      </c>
      <c r="G51" t="s">
        <v>222</v>
      </c>
      <c r="H51" s="51">
        <v>56</v>
      </c>
      <c r="I51" s="51">
        <v>214</v>
      </c>
    </row>
    <row r="52" spans="2:9" x14ac:dyDescent="0.25">
      <c r="E52">
        <f t="shared" si="4"/>
        <v>12</v>
      </c>
      <c r="G52" t="s">
        <v>223</v>
      </c>
      <c r="H52" s="51">
        <v>107</v>
      </c>
      <c r="I52" s="51">
        <v>214</v>
      </c>
    </row>
    <row r="53" spans="2:9" x14ac:dyDescent="0.25">
      <c r="E53">
        <f t="shared" si="4"/>
        <v>12</v>
      </c>
      <c r="G53" t="s">
        <v>224</v>
      </c>
      <c r="H53" s="51">
        <v>91</v>
      </c>
      <c r="I53" s="51">
        <v>214</v>
      </c>
    </row>
    <row r="54" spans="2:9" x14ac:dyDescent="0.25">
      <c r="E54">
        <f t="shared" si="4"/>
        <v>12</v>
      </c>
      <c r="G54" t="s">
        <v>225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226</v>
      </c>
      <c r="H55" s="51">
        <v>33</v>
      </c>
      <c r="I55" s="51">
        <v>214</v>
      </c>
    </row>
    <row r="56" spans="2:9" x14ac:dyDescent="0.25">
      <c r="E56">
        <f t="shared" si="4"/>
        <v>12</v>
      </c>
      <c r="G56" t="s">
        <v>227</v>
      </c>
      <c r="H56" s="51">
        <v>47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219</v>
      </c>
      <c r="H57" s="51">
        <v>22</v>
      </c>
      <c r="I57" s="51">
        <v>491</v>
      </c>
    </row>
    <row r="58" spans="2:9" x14ac:dyDescent="0.25">
      <c r="E58">
        <f t="shared" ref="E58:E65" si="5">+$F$57</f>
        <v>123</v>
      </c>
      <c r="G58" t="s">
        <v>220</v>
      </c>
      <c r="H58" s="51">
        <v>20</v>
      </c>
      <c r="I58" s="51">
        <v>491</v>
      </c>
    </row>
    <row r="59" spans="2:9" x14ac:dyDescent="0.25">
      <c r="E59">
        <f t="shared" si="5"/>
        <v>123</v>
      </c>
      <c r="G59" t="s">
        <v>221</v>
      </c>
      <c r="H59" s="51">
        <v>21</v>
      </c>
      <c r="I59" s="51">
        <v>491</v>
      </c>
    </row>
    <row r="60" spans="2:9" x14ac:dyDescent="0.25">
      <c r="E60">
        <f t="shared" si="5"/>
        <v>123</v>
      </c>
      <c r="G60" t="s">
        <v>222</v>
      </c>
      <c r="H60" s="51">
        <v>4</v>
      </c>
      <c r="I60" s="51">
        <v>491</v>
      </c>
    </row>
    <row r="61" spans="2:9" x14ac:dyDescent="0.25">
      <c r="E61">
        <f t="shared" si="5"/>
        <v>123</v>
      </c>
      <c r="G61" t="s">
        <v>223</v>
      </c>
      <c r="H61" s="51">
        <v>22</v>
      </c>
      <c r="I61" s="51">
        <v>491</v>
      </c>
    </row>
    <row r="62" spans="2:9" x14ac:dyDescent="0.25">
      <c r="E62">
        <f t="shared" si="5"/>
        <v>123</v>
      </c>
      <c r="G62" t="s">
        <v>224</v>
      </c>
      <c r="H62" s="51">
        <v>12</v>
      </c>
      <c r="I62" s="51">
        <v>491</v>
      </c>
    </row>
    <row r="63" spans="2:9" x14ac:dyDescent="0.25">
      <c r="E63">
        <f t="shared" si="5"/>
        <v>123</v>
      </c>
      <c r="G63" t="s">
        <v>225</v>
      </c>
      <c r="H63" s="51">
        <v>18</v>
      </c>
      <c r="I63" s="51">
        <v>491</v>
      </c>
    </row>
    <row r="64" spans="2:9" x14ac:dyDescent="0.25">
      <c r="E64">
        <f t="shared" si="5"/>
        <v>123</v>
      </c>
      <c r="G64" t="s">
        <v>226</v>
      </c>
      <c r="H64" s="51">
        <v>6</v>
      </c>
      <c r="I64" s="51">
        <v>491</v>
      </c>
    </row>
    <row r="65" spans="5:9" x14ac:dyDescent="0.25">
      <c r="E65">
        <f t="shared" si="5"/>
        <v>123</v>
      </c>
      <c r="G65" t="s">
        <v>227</v>
      </c>
      <c r="H65" s="51">
        <v>6</v>
      </c>
      <c r="I65" s="51">
        <v>491</v>
      </c>
    </row>
    <row r="66" spans="5:9" x14ac:dyDescent="0.25">
      <c r="E66">
        <f>+$F$66</f>
        <v>15</v>
      </c>
      <c r="F66">
        <v>15</v>
      </c>
      <c r="G66" t="s">
        <v>219</v>
      </c>
      <c r="H66" s="51">
        <v>38</v>
      </c>
      <c r="I66" s="51">
        <v>65</v>
      </c>
    </row>
    <row r="67" spans="5:9" x14ac:dyDescent="0.25">
      <c r="E67">
        <f t="shared" ref="E67:E74" si="6">+$F$66</f>
        <v>15</v>
      </c>
      <c r="G67" t="s">
        <v>220</v>
      </c>
      <c r="H67" s="51">
        <v>15</v>
      </c>
      <c r="I67" s="51">
        <v>65</v>
      </c>
    </row>
    <row r="68" spans="5:9" x14ac:dyDescent="0.25">
      <c r="E68">
        <f t="shared" si="6"/>
        <v>15</v>
      </c>
      <c r="G68" t="s">
        <v>221</v>
      </c>
      <c r="H68" s="51">
        <v>29</v>
      </c>
      <c r="I68" s="51">
        <v>65</v>
      </c>
    </row>
    <row r="69" spans="5:9" x14ac:dyDescent="0.25">
      <c r="E69">
        <f t="shared" si="6"/>
        <v>15</v>
      </c>
      <c r="G69" t="s">
        <v>222</v>
      </c>
      <c r="H69" s="51">
        <v>23</v>
      </c>
      <c r="I69" s="51">
        <v>65</v>
      </c>
    </row>
    <row r="70" spans="5:9" x14ac:dyDescent="0.25">
      <c r="E70">
        <f t="shared" si="6"/>
        <v>15</v>
      </c>
      <c r="G70" t="s">
        <v>223</v>
      </c>
      <c r="H70" s="51">
        <v>41</v>
      </c>
      <c r="I70" s="51">
        <v>65</v>
      </c>
    </row>
    <row r="71" spans="5:9" x14ac:dyDescent="0.25">
      <c r="E71">
        <f t="shared" si="6"/>
        <v>15</v>
      </c>
      <c r="G71" t="s">
        <v>224</v>
      </c>
      <c r="H71" s="51">
        <v>21</v>
      </c>
      <c r="I71" s="51">
        <v>65</v>
      </c>
    </row>
    <row r="72" spans="5:9" x14ac:dyDescent="0.25">
      <c r="E72">
        <f t="shared" si="6"/>
        <v>15</v>
      </c>
      <c r="G72" t="s">
        <v>225</v>
      </c>
      <c r="H72" s="51">
        <v>26</v>
      </c>
      <c r="I72" s="51">
        <v>65</v>
      </c>
    </row>
    <row r="73" spans="5:9" x14ac:dyDescent="0.25">
      <c r="E73">
        <f t="shared" si="6"/>
        <v>15</v>
      </c>
      <c r="G73" t="s">
        <v>226</v>
      </c>
      <c r="H73" s="51">
        <v>14</v>
      </c>
      <c r="I73" s="51">
        <v>65</v>
      </c>
    </row>
    <row r="74" spans="5:9" x14ac:dyDescent="0.25">
      <c r="E74">
        <f t="shared" si="6"/>
        <v>15</v>
      </c>
      <c r="G74" t="s">
        <v>227</v>
      </c>
      <c r="H74" s="51">
        <v>16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219</v>
      </c>
      <c r="H75" s="51">
        <v>59</v>
      </c>
      <c r="I75" s="51">
        <v>199</v>
      </c>
    </row>
    <row r="76" spans="5:9" x14ac:dyDescent="0.25">
      <c r="E76">
        <f t="shared" ref="E76:E83" si="7">+$F$75</f>
        <v>16</v>
      </c>
      <c r="G76" t="s">
        <v>220</v>
      </c>
      <c r="H76">
        <v>37</v>
      </c>
      <c r="I76" s="51">
        <v>199</v>
      </c>
    </row>
    <row r="77" spans="5:9" x14ac:dyDescent="0.25">
      <c r="E77">
        <f t="shared" si="7"/>
        <v>16</v>
      </c>
      <c r="G77" t="s">
        <v>221</v>
      </c>
      <c r="H77" s="51">
        <v>107</v>
      </c>
      <c r="I77" s="51">
        <v>199</v>
      </c>
    </row>
    <row r="78" spans="5:9" x14ac:dyDescent="0.25">
      <c r="E78">
        <f t="shared" si="7"/>
        <v>16</v>
      </c>
      <c r="G78" t="s">
        <v>222</v>
      </c>
      <c r="H78" s="51">
        <v>55</v>
      </c>
      <c r="I78" s="51">
        <v>199</v>
      </c>
    </row>
    <row r="79" spans="5:9" x14ac:dyDescent="0.25">
      <c r="E79">
        <f t="shared" si="7"/>
        <v>16</v>
      </c>
      <c r="G79" t="s">
        <v>223</v>
      </c>
      <c r="H79" s="51">
        <v>100</v>
      </c>
      <c r="I79" s="51">
        <v>199</v>
      </c>
    </row>
    <row r="80" spans="5:9" x14ac:dyDescent="0.25">
      <c r="E80">
        <f t="shared" si="7"/>
        <v>16</v>
      </c>
      <c r="G80" t="s">
        <v>224</v>
      </c>
      <c r="H80" s="51">
        <v>84</v>
      </c>
      <c r="I80" s="51">
        <v>199</v>
      </c>
    </row>
    <row r="81" spans="5:9" x14ac:dyDescent="0.25">
      <c r="E81">
        <f t="shared" si="7"/>
        <v>16</v>
      </c>
      <c r="G81" t="s">
        <v>225</v>
      </c>
      <c r="H81" s="51">
        <v>13</v>
      </c>
      <c r="I81" s="51">
        <v>199</v>
      </c>
    </row>
    <row r="82" spans="5:9" x14ac:dyDescent="0.25">
      <c r="E82">
        <f t="shared" si="7"/>
        <v>16</v>
      </c>
      <c r="G82" t="s">
        <v>226</v>
      </c>
      <c r="H82" s="51">
        <v>45</v>
      </c>
      <c r="I82" s="51">
        <v>199</v>
      </c>
    </row>
    <row r="83" spans="5:9" x14ac:dyDescent="0.25">
      <c r="E83">
        <f t="shared" si="7"/>
        <v>16</v>
      </c>
      <c r="G83" t="s">
        <v>227</v>
      </c>
      <c r="H83" s="51">
        <v>40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219</v>
      </c>
      <c r="H84" s="51">
        <v>70</v>
      </c>
      <c r="I84" s="51">
        <v>178</v>
      </c>
    </row>
    <row r="85" spans="5:9" x14ac:dyDescent="0.25">
      <c r="E85">
        <f t="shared" ref="E85:E92" si="8">+$F$84</f>
        <v>18</v>
      </c>
      <c r="G85" t="s">
        <v>220</v>
      </c>
      <c r="H85" s="51">
        <v>56</v>
      </c>
      <c r="I85" s="51">
        <v>178</v>
      </c>
    </row>
    <row r="86" spans="5:9" x14ac:dyDescent="0.25">
      <c r="E86">
        <f t="shared" si="8"/>
        <v>18</v>
      </c>
      <c r="G86" t="s">
        <v>221</v>
      </c>
      <c r="H86" s="51">
        <v>73</v>
      </c>
      <c r="I86" s="51">
        <v>178</v>
      </c>
    </row>
    <row r="87" spans="5:9" x14ac:dyDescent="0.25">
      <c r="E87">
        <f t="shared" si="8"/>
        <v>18</v>
      </c>
      <c r="G87" t="s">
        <v>222</v>
      </c>
      <c r="H87" s="51">
        <v>67</v>
      </c>
      <c r="I87" s="51">
        <v>178</v>
      </c>
    </row>
    <row r="88" spans="5:9" x14ac:dyDescent="0.25">
      <c r="E88">
        <f t="shared" si="8"/>
        <v>18</v>
      </c>
      <c r="G88" t="s">
        <v>223</v>
      </c>
      <c r="H88" s="51">
        <v>122</v>
      </c>
      <c r="I88" s="51">
        <v>178</v>
      </c>
    </row>
    <row r="89" spans="5:9" x14ac:dyDescent="0.25">
      <c r="E89">
        <f t="shared" si="8"/>
        <v>18</v>
      </c>
      <c r="G89" t="s">
        <v>224</v>
      </c>
      <c r="H89" s="51">
        <v>95</v>
      </c>
      <c r="I89" s="51">
        <v>178</v>
      </c>
    </row>
    <row r="90" spans="5:9" x14ac:dyDescent="0.25">
      <c r="E90">
        <f t="shared" si="8"/>
        <v>18</v>
      </c>
      <c r="G90" t="s">
        <v>225</v>
      </c>
      <c r="H90" s="51">
        <v>21</v>
      </c>
      <c r="I90" s="51">
        <v>178</v>
      </c>
    </row>
    <row r="91" spans="5:9" x14ac:dyDescent="0.25">
      <c r="E91">
        <f t="shared" si="8"/>
        <v>18</v>
      </c>
      <c r="G91" t="s">
        <v>226</v>
      </c>
      <c r="H91" s="51">
        <v>46</v>
      </c>
      <c r="I91" s="51">
        <v>178</v>
      </c>
    </row>
    <row r="92" spans="5:9" x14ac:dyDescent="0.25">
      <c r="E92">
        <f t="shared" si="8"/>
        <v>18</v>
      </c>
      <c r="G92" t="s">
        <v>227</v>
      </c>
      <c r="H92" s="51">
        <v>49</v>
      </c>
      <c r="I92" s="51">
        <v>178</v>
      </c>
    </row>
    <row r="93" spans="5:9" x14ac:dyDescent="0.25">
      <c r="E93">
        <f>+$F$93</f>
        <v>19</v>
      </c>
      <c r="F93">
        <v>19</v>
      </c>
      <c r="G93" t="s">
        <v>219</v>
      </c>
      <c r="H93" s="51">
        <v>75</v>
      </c>
      <c r="I93" s="51">
        <v>207</v>
      </c>
    </row>
    <row r="94" spans="5:9" x14ac:dyDescent="0.25">
      <c r="E94">
        <f t="shared" ref="E94:E101" si="9">+$F$93</f>
        <v>19</v>
      </c>
      <c r="G94" t="s">
        <v>220</v>
      </c>
      <c r="H94" s="51">
        <v>52</v>
      </c>
      <c r="I94" s="51">
        <v>207</v>
      </c>
    </row>
    <row r="95" spans="5:9" x14ac:dyDescent="0.25">
      <c r="E95">
        <f t="shared" si="9"/>
        <v>19</v>
      </c>
      <c r="G95" t="s">
        <v>221</v>
      </c>
      <c r="H95" s="51">
        <v>98</v>
      </c>
      <c r="I95" s="51">
        <v>207</v>
      </c>
    </row>
    <row r="96" spans="5:9" x14ac:dyDescent="0.25">
      <c r="E96">
        <f t="shared" si="9"/>
        <v>19</v>
      </c>
      <c r="G96" t="s">
        <v>222</v>
      </c>
      <c r="H96" s="51">
        <v>70</v>
      </c>
      <c r="I96" s="51">
        <v>207</v>
      </c>
    </row>
    <row r="97" spans="5:9" x14ac:dyDescent="0.25">
      <c r="E97">
        <f t="shared" si="9"/>
        <v>19</v>
      </c>
      <c r="G97" t="s">
        <v>223</v>
      </c>
      <c r="H97" s="51">
        <v>132</v>
      </c>
      <c r="I97" s="51">
        <v>207</v>
      </c>
    </row>
    <row r="98" spans="5:9" x14ac:dyDescent="0.25">
      <c r="E98">
        <f t="shared" si="9"/>
        <v>19</v>
      </c>
      <c r="G98" t="s">
        <v>224</v>
      </c>
      <c r="H98" s="51">
        <v>100</v>
      </c>
      <c r="I98" s="51">
        <v>207</v>
      </c>
    </row>
    <row r="99" spans="5:9" x14ac:dyDescent="0.25">
      <c r="E99">
        <f t="shared" si="9"/>
        <v>19</v>
      </c>
      <c r="G99" t="s">
        <v>225</v>
      </c>
      <c r="H99" s="51">
        <v>15</v>
      </c>
      <c r="I99" s="51">
        <v>207</v>
      </c>
    </row>
    <row r="100" spans="5:9" x14ac:dyDescent="0.25">
      <c r="E100">
        <f t="shared" si="9"/>
        <v>19</v>
      </c>
      <c r="G100" t="s">
        <v>226</v>
      </c>
      <c r="H100" s="51">
        <v>42</v>
      </c>
      <c r="I100" s="51">
        <v>207</v>
      </c>
    </row>
    <row r="101" spans="5:9" x14ac:dyDescent="0.25">
      <c r="E101">
        <f t="shared" si="9"/>
        <v>19</v>
      </c>
      <c r="G101" t="s">
        <v>227</v>
      </c>
      <c r="H101" s="51">
        <v>50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219</v>
      </c>
      <c r="H102" s="51">
        <v>36</v>
      </c>
      <c r="I102" s="51">
        <v>118</v>
      </c>
    </row>
    <row r="103" spans="5:9" x14ac:dyDescent="0.25">
      <c r="E103">
        <f t="shared" ref="E103:E110" si="10">+$F$102</f>
        <v>2</v>
      </c>
      <c r="G103" t="s">
        <v>220</v>
      </c>
      <c r="H103" s="51">
        <v>45</v>
      </c>
      <c r="I103" s="51">
        <v>118</v>
      </c>
    </row>
    <row r="104" spans="5:9" x14ac:dyDescent="0.25">
      <c r="E104">
        <f t="shared" si="10"/>
        <v>2</v>
      </c>
      <c r="G104" t="s">
        <v>221</v>
      </c>
      <c r="H104" s="51">
        <v>49</v>
      </c>
      <c r="I104" s="51">
        <v>118</v>
      </c>
    </row>
    <row r="105" spans="5:9" x14ac:dyDescent="0.25">
      <c r="E105">
        <f t="shared" si="10"/>
        <v>2</v>
      </c>
      <c r="G105" t="s">
        <v>222</v>
      </c>
      <c r="H105" s="51">
        <v>42</v>
      </c>
      <c r="I105" s="51">
        <v>118</v>
      </c>
    </row>
    <row r="106" spans="5:9" x14ac:dyDescent="0.25">
      <c r="E106">
        <f t="shared" si="10"/>
        <v>2</v>
      </c>
      <c r="G106" t="s">
        <v>223</v>
      </c>
      <c r="H106" s="51">
        <v>69</v>
      </c>
      <c r="I106" s="51">
        <v>118</v>
      </c>
    </row>
    <row r="107" spans="5:9" x14ac:dyDescent="0.25">
      <c r="E107">
        <f t="shared" si="10"/>
        <v>2</v>
      </c>
      <c r="G107" t="s">
        <v>224</v>
      </c>
      <c r="H107" s="51">
        <v>59</v>
      </c>
      <c r="I107" s="51">
        <v>118</v>
      </c>
    </row>
    <row r="108" spans="5:9" x14ac:dyDescent="0.25">
      <c r="E108">
        <f t="shared" si="10"/>
        <v>2</v>
      </c>
      <c r="G108" t="s">
        <v>225</v>
      </c>
      <c r="H108" s="51">
        <v>13</v>
      </c>
      <c r="I108" s="51">
        <v>118</v>
      </c>
    </row>
    <row r="109" spans="5:9" x14ac:dyDescent="0.25">
      <c r="E109">
        <f t="shared" si="10"/>
        <v>2</v>
      </c>
      <c r="G109" t="s">
        <v>226</v>
      </c>
      <c r="H109" s="51">
        <v>26</v>
      </c>
      <c r="I109" s="51">
        <v>118</v>
      </c>
    </row>
    <row r="110" spans="5:9" x14ac:dyDescent="0.25">
      <c r="E110">
        <f t="shared" si="10"/>
        <v>2</v>
      </c>
      <c r="G110" t="s">
        <v>227</v>
      </c>
      <c r="H110" s="51">
        <v>32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219</v>
      </c>
      <c r="H111" s="51">
        <v>91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220</v>
      </c>
      <c r="H112" s="51">
        <v>68</v>
      </c>
      <c r="I112" s="51">
        <v>227</v>
      </c>
    </row>
    <row r="113" spans="5:9" x14ac:dyDescent="0.25">
      <c r="E113">
        <f t="shared" si="11"/>
        <v>20</v>
      </c>
      <c r="G113" t="s">
        <v>221</v>
      </c>
      <c r="H113" s="51">
        <v>122</v>
      </c>
      <c r="I113" s="51">
        <v>227</v>
      </c>
    </row>
    <row r="114" spans="5:9" x14ac:dyDescent="0.25">
      <c r="E114">
        <f t="shared" si="11"/>
        <v>20</v>
      </c>
      <c r="G114" t="s">
        <v>222</v>
      </c>
      <c r="H114" s="51">
        <v>78</v>
      </c>
      <c r="I114" s="51">
        <v>227</v>
      </c>
    </row>
    <row r="115" spans="5:9" x14ac:dyDescent="0.25">
      <c r="E115">
        <f t="shared" si="11"/>
        <v>20</v>
      </c>
      <c r="G115" t="s">
        <v>223</v>
      </c>
      <c r="H115" s="51">
        <v>134</v>
      </c>
      <c r="I115" s="51">
        <v>227</v>
      </c>
    </row>
    <row r="116" spans="5:9" x14ac:dyDescent="0.25">
      <c r="E116">
        <f t="shared" si="11"/>
        <v>20</v>
      </c>
      <c r="G116" t="s">
        <v>224</v>
      </c>
      <c r="H116">
        <v>115</v>
      </c>
      <c r="I116" s="51">
        <v>227</v>
      </c>
    </row>
    <row r="117" spans="5:9" x14ac:dyDescent="0.25">
      <c r="E117">
        <f t="shared" si="11"/>
        <v>20</v>
      </c>
      <c r="G117" t="s">
        <v>225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226</v>
      </c>
      <c r="H118" s="51">
        <v>49</v>
      </c>
      <c r="I118" s="51">
        <v>227</v>
      </c>
    </row>
    <row r="119" spans="5:9" x14ac:dyDescent="0.25">
      <c r="E119">
        <f t="shared" si="11"/>
        <v>20</v>
      </c>
      <c r="G119" t="s">
        <v>227</v>
      </c>
      <c r="H119" s="51">
        <v>42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219</v>
      </c>
      <c r="H120" s="51">
        <v>78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220</v>
      </c>
      <c r="H121" s="51">
        <v>73</v>
      </c>
      <c r="I121" s="51">
        <v>171</v>
      </c>
    </row>
    <row r="122" spans="5:9" x14ac:dyDescent="0.25">
      <c r="E122">
        <f t="shared" si="12"/>
        <v>21</v>
      </c>
      <c r="G122" t="s">
        <v>221</v>
      </c>
      <c r="H122" s="51">
        <v>111</v>
      </c>
      <c r="I122" s="51">
        <v>171</v>
      </c>
    </row>
    <row r="123" spans="5:9" x14ac:dyDescent="0.25">
      <c r="E123">
        <f t="shared" si="12"/>
        <v>21</v>
      </c>
      <c r="G123" t="s">
        <v>222</v>
      </c>
      <c r="H123" s="51">
        <v>68</v>
      </c>
      <c r="I123" s="51">
        <v>171</v>
      </c>
    </row>
    <row r="124" spans="5:9" x14ac:dyDescent="0.25">
      <c r="E124">
        <f t="shared" si="12"/>
        <v>21</v>
      </c>
      <c r="G124" t="s">
        <v>223</v>
      </c>
      <c r="H124">
        <v>130</v>
      </c>
      <c r="I124" s="51">
        <v>171</v>
      </c>
    </row>
    <row r="125" spans="5:9" x14ac:dyDescent="0.25">
      <c r="E125">
        <f t="shared" si="12"/>
        <v>21</v>
      </c>
      <c r="G125" t="s">
        <v>224</v>
      </c>
      <c r="H125" s="51">
        <v>103</v>
      </c>
      <c r="I125" s="51">
        <v>171</v>
      </c>
    </row>
    <row r="126" spans="5:9" x14ac:dyDescent="0.25">
      <c r="E126">
        <f t="shared" si="12"/>
        <v>21</v>
      </c>
      <c r="G126" t="s">
        <v>225</v>
      </c>
      <c r="H126" s="51">
        <v>29</v>
      </c>
      <c r="I126" s="51">
        <v>171</v>
      </c>
    </row>
    <row r="127" spans="5:9" x14ac:dyDescent="0.25">
      <c r="E127">
        <f t="shared" si="12"/>
        <v>21</v>
      </c>
      <c r="G127" t="s">
        <v>226</v>
      </c>
      <c r="H127" s="51">
        <v>42</v>
      </c>
      <c r="I127" s="51">
        <v>171</v>
      </c>
    </row>
    <row r="128" spans="5:9" x14ac:dyDescent="0.25">
      <c r="E128">
        <f t="shared" si="12"/>
        <v>21</v>
      </c>
      <c r="G128" t="s">
        <v>227</v>
      </c>
      <c r="H128" s="51">
        <v>42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219</v>
      </c>
      <c r="H129" s="51">
        <v>54</v>
      </c>
      <c r="I129" s="51">
        <v>75</v>
      </c>
    </row>
    <row r="130" spans="5:9" x14ac:dyDescent="0.25">
      <c r="E130">
        <f t="shared" ref="E130:E137" si="13">+$F$129</f>
        <v>22</v>
      </c>
      <c r="G130" t="s">
        <v>220</v>
      </c>
      <c r="H130" s="51">
        <v>37</v>
      </c>
      <c r="I130" s="51">
        <v>75</v>
      </c>
    </row>
    <row r="131" spans="5:9" x14ac:dyDescent="0.25">
      <c r="E131">
        <f t="shared" si="13"/>
        <v>22</v>
      </c>
      <c r="G131" t="s">
        <v>221</v>
      </c>
      <c r="H131" s="51">
        <v>38</v>
      </c>
      <c r="I131" s="51">
        <v>75</v>
      </c>
    </row>
    <row r="132" spans="5:9" x14ac:dyDescent="0.25">
      <c r="E132">
        <f t="shared" si="13"/>
        <v>22</v>
      </c>
      <c r="G132" t="s">
        <v>222</v>
      </c>
      <c r="H132" s="51">
        <v>37</v>
      </c>
      <c r="I132" s="51">
        <v>75</v>
      </c>
    </row>
    <row r="133" spans="5:9" x14ac:dyDescent="0.25">
      <c r="E133">
        <f t="shared" si="13"/>
        <v>22</v>
      </c>
      <c r="G133" t="s">
        <v>223</v>
      </c>
      <c r="H133" s="51">
        <v>56</v>
      </c>
      <c r="I133" s="51">
        <v>75</v>
      </c>
    </row>
    <row r="134" spans="5:9" x14ac:dyDescent="0.25">
      <c r="E134">
        <f t="shared" si="13"/>
        <v>22</v>
      </c>
      <c r="G134" t="s">
        <v>224</v>
      </c>
      <c r="H134" s="51">
        <v>43</v>
      </c>
      <c r="I134" s="51">
        <v>75</v>
      </c>
    </row>
    <row r="135" spans="5:9" x14ac:dyDescent="0.25">
      <c r="E135">
        <f t="shared" si="13"/>
        <v>22</v>
      </c>
      <c r="G135" t="s">
        <v>225</v>
      </c>
      <c r="H135" s="51">
        <v>47</v>
      </c>
      <c r="I135" s="51">
        <v>75</v>
      </c>
    </row>
    <row r="136" spans="5:9" x14ac:dyDescent="0.25">
      <c r="E136">
        <f t="shared" si="13"/>
        <v>22</v>
      </c>
      <c r="G136" t="s">
        <v>226</v>
      </c>
      <c r="H136" s="51">
        <v>40</v>
      </c>
      <c r="I136" s="51">
        <v>75</v>
      </c>
    </row>
    <row r="137" spans="5:9" x14ac:dyDescent="0.25">
      <c r="E137">
        <f t="shared" si="13"/>
        <v>22</v>
      </c>
      <c r="G137" t="s">
        <v>227</v>
      </c>
      <c r="H137" s="51">
        <v>38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219</v>
      </c>
      <c r="H138" s="51">
        <v>69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220</v>
      </c>
      <c r="H139" s="51">
        <v>69</v>
      </c>
      <c r="I139" s="51">
        <v>154</v>
      </c>
    </row>
    <row r="140" spans="5:9" x14ac:dyDescent="0.25">
      <c r="E140">
        <f t="shared" si="14"/>
        <v>23</v>
      </c>
      <c r="G140" t="s">
        <v>221</v>
      </c>
      <c r="H140">
        <v>108</v>
      </c>
      <c r="I140" s="51">
        <v>154</v>
      </c>
    </row>
    <row r="141" spans="5:9" x14ac:dyDescent="0.25">
      <c r="E141">
        <f t="shared" si="14"/>
        <v>23</v>
      </c>
      <c r="G141" t="s">
        <v>222</v>
      </c>
      <c r="H141" s="51">
        <v>59</v>
      </c>
      <c r="I141" s="51">
        <v>154</v>
      </c>
    </row>
    <row r="142" spans="5:9" x14ac:dyDescent="0.25">
      <c r="E142">
        <f t="shared" si="14"/>
        <v>23</v>
      </c>
      <c r="G142" t="s">
        <v>223</v>
      </c>
      <c r="H142" s="51">
        <v>120</v>
      </c>
      <c r="I142" s="51">
        <v>154</v>
      </c>
    </row>
    <row r="143" spans="5:9" x14ac:dyDescent="0.25">
      <c r="E143">
        <f t="shared" si="14"/>
        <v>23</v>
      </c>
      <c r="G143" t="s">
        <v>224</v>
      </c>
      <c r="H143" s="51">
        <v>104</v>
      </c>
      <c r="I143" s="51">
        <v>154</v>
      </c>
    </row>
    <row r="144" spans="5:9" x14ac:dyDescent="0.25">
      <c r="E144">
        <f t="shared" si="14"/>
        <v>23</v>
      </c>
      <c r="G144" t="s">
        <v>225</v>
      </c>
      <c r="H144" s="51">
        <v>19</v>
      </c>
      <c r="I144" s="51">
        <v>154</v>
      </c>
    </row>
    <row r="145" spans="5:9" x14ac:dyDescent="0.25">
      <c r="E145">
        <f t="shared" si="14"/>
        <v>23</v>
      </c>
      <c r="G145" t="s">
        <v>226</v>
      </c>
      <c r="H145" s="51">
        <v>41</v>
      </c>
      <c r="I145" s="51">
        <v>154</v>
      </c>
    </row>
    <row r="146" spans="5:9" x14ac:dyDescent="0.25">
      <c r="E146">
        <f t="shared" si="14"/>
        <v>23</v>
      </c>
      <c r="G146" t="s">
        <v>227</v>
      </c>
      <c r="H146" s="51">
        <v>35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219</v>
      </c>
      <c r="H147" s="51">
        <v>48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220</v>
      </c>
      <c r="H148">
        <v>18</v>
      </c>
      <c r="I148" s="51">
        <v>178</v>
      </c>
    </row>
    <row r="149" spans="5:9" x14ac:dyDescent="0.25">
      <c r="E149">
        <f t="shared" si="15"/>
        <v>24</v>
      </c>
      <c r="G149" t="s">
        <v>221</v>
      </c>
      <c r="H149" s="51">
        <v>84</v>
      </c>
      <c r="I149" s="51">
        <v>178</v>
      </c>
    </row>
    <row r="150" spans="5:9" x14ac:dyDescent="0.25">
      <c r="E150">
        <f t="shared" si="15"/>
        <v>24</v>
      </c>
      <c r="G150" t="s">
        <v>222</v>
      </c>
      <c r="H150" s="51">
        <v>36</v>
      </c>
      <c r="I150" s="51">
        <v>178</v>
      </c>
    </row>
    <row r="151" spans="5:9" x14ac:dyDescent="0.25">
      <c r="E151">
        <f t="shared" si="15"/>
        <v>24</v>
      </c>
      <c r="G151" t="s">
        <v>223</v>
      </c>
      <c r="H151" s="51">
        <v>77</v>
      </c>
      <c r="I151" s="51">
        <v>178</v>
      </c>
    </row>
    <row r="152" spans="5:9" x14ac:dyDescent="0.25">
      <c r="E152">
        <f t="shared" si="15"/>
        <v>24</v>
      </c>
      <c r="G152" t="s">
        <v>224</v>
      </c>
      <c r="H152" s="51">
        <v>59</v>
      </c>
      <c r="I152" s="51">
        <v>178</v>
      </c>
    </row>
    <row r="153" spans="5:9" x14ac:dyDescent="0.25">
      <c r="E153">
        <f t="shared" si="15"/>
        <v>24</v>
      </c>
      <c r="G153" t="s">
        <v>225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226</v>
      </c>
      <c r="H154" s="51">
        <v>28</v>
      </c>
      <c r="I154" s="51">
        <v>178</v>
      </c>
    </row>
    <row r="155" spans="5:9" x14ac:dyDescent="0.25">
      <c r="E155">
        <f t="shared" si="15"/>
        <v>24</v>
      </c>
      <c r="G155" t="s">
        <v>227</v>
      </c>
      <c r="H155" s="51">
        <v>15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219</v>
      </c>
      <c r="H156" s="51">
        <v>44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220</v>
      </c>
      <c r="H157" s="51">
        <v>35</v>
      </c>
      <c r="I157" s="51">
        <v>172</v>
      </c>
    </row>
    <row r="158" spans="5:9" x14ac:dyDescent="0.25">
      <c r="E158">
        <f t="shared" si="16"/>
        <v>25</v>
      </c>
      <c r="G158" t="s">
        <v>221</v>
      </c>
      <c r="H158" s="51">
        <v>39</v>
      </c>
      <c r="I158" s="51">
        <v>172</v>
      </c>
    </row>
    <row r="159" spans="5:9" x14ac:dyDescent="0.25">
      <c r="E159">
        <f t="shared" si="16"/>
        <v>25</v>
      </c>
      <c r="G159" t="s">
        <v>222</v>
      </c>
      <c r="H159" s="51">
        <v>54</v>
      </c>
      <c r="I159" s="51">
        <v>172</v>
      </c>
    </row>
    <row r="160" spans="5:9" x14ac:dyDescent="0.25">
      <c r="E160">
        <f t="shared" si="16"/>
        <v>25</v>
      </c>
      <c r="G160" t="s">
        <v>223</v>
      </c>
      <c r="H160" s="51">
        <v>62</v>
      </c>
      <c r="I160" s="51">
        <v>172</v>
      </c>
    </row>
    <row r="161" spans="5:9" x14ac:dyDescent="0.25">
      <c r="E161">
        <f t="shared" si="16"/>
        <v>25</v>
      </c>
      <c r="G161" t="s">
        <v>224</v>
      </c>
      <c r="H161" s="51">
        <v>57</v>
      </c>
      <c r="I161" s="51">
        <v>172</v>
      </c>
    </row>
    <row r="162" spans="5:9" x14ac:dyDescent="0.25">
      <c r="E162">
        <f t="shared" si="16"/>
        <v>25</v>
      </c>
      <c r="G162" t="s">
        <v>225</v>
      </c>
      <c r="H162" s="51">
        <v>57</v>
      </c>
      <c r="I162" s="51">
        <v>172</v>
      </c>
    </row>
    <row r="163" spans="5:9" x14ac:dyDescent="0.25">
      <c r="E163">
        <f t="shared" si="16"/>
        <v>25</v>
      </c>
      <c r="G163" t="s">
        <v>226</v>
      </c>
      <c r="H163" s="51">
        <v>29</v>
      </c>
      <c r="I163" s="51">
        <v>172</v>
      </c>
    </row>
    <row r="164" spans="5:9" x14ac:dyDescent="0.25">
      <c r="E164">
        <f t="shared" si="16"/>
        <v>25</v>
      </c>
      <c r="G164" t="s">
        <v>227</v>
      </c>
      <c r="H164">
        <v>23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219</v>
      </c>
      <c r="H165" s="51">
        <v>46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220</v>
      </c>
      <c r="H166" s="51">
        <v>12</v>
      </c>
      <c r="I166" s="51">
        <v>166</v>
      </c>
    </row>
    <row r="167" spans="5:9" x14ac:dyDescent="0.25">
      <c r="E167">
        <f t="shared" si="17"/>
        <v>26</v>
      </c>
      <c r="G167" t="s">
        <v>221</v>
      </c>
      <c r="H167" s="51">
        <v>17</v>
      </c>
      <c r="I167" s="51">
        <v>166</v>
      </c>
    </row>
    <row r="168" spans="5:9" x14ac:dyDescent="0.25">
      <c r="E168">
        <f t="shared" si="17"/>
        <v>26</v>
      </c>
      <c r="G168" t="s">
        <v>222</v>
      </c>
      <c r="H168" s="51">
        <v>31</v>
      </c>
      <c r="I168" s="51">
        <v>166</v>
      </c>
    </row>
    <row r="169" spans="5:9" x14ac:dyDescent="0.25">
      <c r="E169">
        <f t="shared" si="17"/>
        <v>26</v>
      </c>
      <c r="G169" t="s">
        <v>223</v>
      </c>
      <c r="H169" s="51">
        <v>38</v>
      </c>
      <c r="I169" s="51">
        <v>166</v>
      </c>
    </row>
    <row r="170" spans="5:9" x14ac:dyDescent="0.25">
      <c r="E170">
        <f t="shared" si="17"/>
        <v>26</v>
      </c>
      <c r="G170" t="s">
        <v>224</v>
      </c>
      <c r="H170" s="51">
        <v>37</v>
      </c>
      <c r="I170" s="51">
        <v>166</v>
      </c>
    </row>
    <row r="171" spans="5:9" x14ac:dyDescent="0.25">
      <c r="E171">
        <f t="shared" si="17"/>
        <v>26</v>
      </c>
      <c r="G171" t="s">
        <v>225</v>
      </c>
      <c r="H171" s="51">
        <v>46</v>
      </c>
      <c r="I171" s="51">
        <v>166</v>
      </c>
    </row>
    <row r="172" spans="5:9" x14ac:dyDescent="0.25">
      <c r="E172">
        <f t="shared" si="17"/>
        <v>26</v>
      </c>
      <c r="G172" t="s">
        <v>226</v>
      </c>
      <c r="H172" s="51">
        <v>30</v>
      </c>
      <c r="I172" s="51">
        <v>166</v>
      </c>
    </row>
    <row r="173" spans="5:9" x14ac:dyDescent="0.25">
      <c r="E173">
        <f t="shared" si="17"/>
        <v>26</v>
      </c>
      <c r="G173" t="s">
        <v>227</v>
      </c>
      <c r="H173" s="51">
        <v>35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219</v>
      </c>
      <c r="H174" s="51">
        <v>68</v>
      </c>
      <c r="I174" s="51">
        <v>133</v>
      </c>
    </row>
    <row r="175" spans="5:9" x14ac:dyDescent="0.25">
      <c r="E175">
        <f t="shared" ref="E175:E182" si="18">+$F$174</f>
        <v>27</v>
      </c>
      <c r="G175" t="s">
        <v>220</v>
      </c>
      <c r="H175" s="51">
        <v>39</v>
      </c>
      <c r="I175" s="51">
        <v>133</v>
      </c>
    </row>
    <row r="176" spans="5:9" x14ac:dyDescent="0.25">
      <c r="E176">
        <f t="shared" si="18"/>
        <v>27</v>
      </c>
      <c r="G176" t="s">
        <v>221</v>
      </c>
      <c r="H176" s="51">
        <v>69</v>
      </c>
      <c r="I176" s="51">
        <v>133</v>
      </c>
    </row>
    <row r="177" spans="5:9" x14ac:dyDescent="0.25">
      <c r="E177">
        <f t="shared" si="18"/>
        <v>27</v>
      </c>
      <c r="G177" t="s">
        <v>222</v>
      </c>
      <c r="H177" s="51">
        <v>60</v>
      </c>
      <c r="I177" s="51">
        <v>133</v>
      </c>
    </row>
    <row r="178" spans="5:9" x14ac:dyDescent="0.25">
      <c r="E178">
        <f t="shared" si="18"/>
        <v>27</v>
      </c>
      <c r="G178" t="s">
        <v>223</v>
      </c>
      <c r="H178" s="51">
        <v>106</v>
      </c>
      <c r="I178" s="51">
        <v>133</v>
      </c>
    </row>
    <row r="179" spans="5:9" x14ac:dyDescent="0.25">
      <c r="E179">
        <f t="shared" si="18"/>
        <v>27</v>
      </c>
      <c r="G179" t="s">
        <v>224</v>
      </c>
      <c r="H179" s="51">
        <v>92</v>
      </c>
      <c r="I179" s="51">
        <v>133</v>
      </c>
    </row>
    <row r="180" spans="5:9" x14ac:dyDescent="0.25">
      <c r="E180">
        <f t="shared" si="18"/>
        <v>27</v>
      </c>
      <c r="G180" t="s">
        <v>225</v>
      </c>
      <c r="H180">
        <v>29</v>
      </c>
      <c r="I180" s="51">
        <v>133</v>
      </c>
    </row>
    <row r="181" spans="5:9" x14ac:dyDescent="0.25">
      <c r="E181">
        <f t="shared" si="18"/>
        <v>27</v>
      </c>
      <c r="G181" t="s">
        <v>226</v>
      </c>
      <c r="H181" s="51">
        <v>39</v>
      </c>
      <c r="I181" s="51">
        <v>133</v>
      </c>
    </row>
    <row r="182" spans="5:9" x14ac:dyDescent="0.25">
      <c r="E182">
        <f t="shared" si="18"/>
        <v>27</v>
      </c>
      <c r="G182" t="s">
        <v>227</v>
      </c>
      <c r="H182" s="51">
        <v>32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219</v>
      </c>
      <c r="H183" s="51">
        <v>45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220</v>
      </c>
      <c r="H184" s="51">
        <v>36</v>
      </c>
      <c r="I184" s="51">
        <v>168</v>
      </c>
    </row>
    <row r="185" spans="5:9" x14ac:dyDescent="0.25">
      <c r="E185">
        <f t="shared" si="19"/>
        <v>28</v>
      </c>
      <c r="G185" t="s">
        <v>221</v>
      </c>
      <c r="H185" s="51">
        <v>60</v>
      </c>
      <c r="I185" s="51">
        <v>168</v>
      </c>
    </row>
    <row r="186" spans="5:9" x14ac:dyDescent="0.25">
      <c r="E186">
        <f t="shared" si="19"/>
        <v>28</v>
      </c>
      <c r="G186" t="s">
        <v>222</v>
      </c>
      <c r="H186">
        <v>58</v>
      </c>
      <c r="I186" s="51">
        <v>168</v>
      </c>
    </row>
    <row r="187" spans="5:9" x14ac:dyDescent="0.25">
      <c r="E187">
        <f t="shared" si="19"/>
        <v>28</v>
      </c>
      <c r="G187" t="s">
        <v>223</v>
      </c>
      <c r="H187" s="51">
        <v>99</v>
      </c>
      <c r="I187" s="51">
        <v>168</v>
      </c>
    </row>
    <row r="188" spans="5:9" x14ac:dyDescent="0.25">
      <c r="E188">
        <f t="shared" si="19"/>
        <v>28</v>
      </c>
      <c r="G188" t="s">
        <v>224</v>
      </c>
      <c r="H188" s="51">
        <v>93</v>
      </c>
      <c r="I188" s="51">
        <v>168</v>
      </c>
    </row>
    <row r="189" spans="5:9" x14ac:dyDescent="0.25">
      <c r="E189">
        <f t="shared" si="19"/>
        <v>28</v>
      </c>
      <c r="G189" t="s">
        <v>225</v>
      </c>
      <c r="H189" s="51">
        <v>17</v>
      </c>
      <c r="I189" s="51">
        <v>168</v>
      </c>
    </row>
    <row r="190" spans="5:9" x14ac:dyDescent="0.25">
      <c r="E190">
        <f t="shared" si="19"/>
        <v>28</v>
      </c>
      <c r="G190" t="s">
        <v>226</v>
      </c>
      <c r="H190" s="51">
        <v>28</v>
      </c>
      <c r="I190" s="51">
        <v>168</v>
      </c>
    </row>
    <row r="191" spans="5:9" x14ac:dyDescent="0.25">
      <c r="E191">
        <f t="shared" si="19"/>
        <v>28</v>
      </c>
      <c r="G191" t="s">
        <v>227</v>
      </c>
      <c r="H191" s="51">
        <v>25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219</v>
      </c>
      <c r="H192" s="51">
        <v>64</v>
      </c>
      <c r="I192" s="51">
        <v>171</v>
      </c>
    </row>
    <row r="193" spans="5:9" x14ac:dyDescent="0.25">
      <c r="E193">
        <f t="shared" ref="E193:E200" si="20">+$F$192</f>
        <v>3</v>
      </c>
      <c r="G193" t="s">
        <v>220</v>
      </c>
      <c r="H193" s="51">
        <v>48</v>
      </c>
      <c r="I193" s="51">
        <v>171</v>
      </c>
    </row>
    <row r="194" spans="5:9" x14ac:dyDescent="0.25">
      <c r="E194">
        <f t="shared" si="20"/>
        <v>3</v>
      </c>
      <c r="G194" t="s">
        <v>221</v>
      </c>
      <c r="H194" s="51">
        <v>90</v>
      </c>
      <c r="I194" s="51">
        <v>171</v>
      </c>
    </row>
    <row r="195" spans="5:9" x14ac:dyDescent="0.25">
      <c r="E195">
        <f t="shared" si="20"/>
        <v>3</v>
      </c>
      <c r="G195" t="s">
        <v>222</v>
      </c>
      <c r="H195" s="51">
        <v>57</v>
      </c>
      <c r="I195" s="51">
        <v>171</v>
      </c>
    </row>
    <row r="196" spans="5:9" x14ac:dyDescent="0.25">
      <c r="E196">
        <f t="shared" si="20"/>
        <v>3</v>
      </c>
      <c r="G196" t="s">
        <v>223</v>
      </c>
      <c r="H196">
        <v>104</v>
      </c>
      <c r="I196" s="51">
        <v>171</v>
      </c>
    </row>
    <row r="197" spans="5:9" x14ac:dyDescent="0.25">
      <c r="E197">
        <f t="shared" si="20"/>
        <v>3</v>
      </c>
      <c r="G197" t="s">
        <v>224</v>
      </c>
      <c r="H197" s="51">
        <v>90</v>
      </c>
      <c r="I197" s="51">
        <v>171</v>
      </c>
    </row>
    <row r="198" spans="5:9" x14ac:dyDescent="0.25">
      <c r="E198">
        <f t="shared" si="20"/>
        <v>3</v>
      </c>
      <c r="G198" t="s">
        <v>225</v>
      </c>
      <c r="H198" s="51">
        <v>20</v>
      </c>
      <c r="I198" s="51">
        <v>171</v>
      </c>
    </row>
    <row r="199" spans="5:9" x14ac:dyDescent="0.25">
      <c r="E199">
        <f t="shared" si="20"/>
        <v>3</v>
      </c>
      <c r="G199" t="s">
        <v>226</v>
      </c>
      <c r="H199" s="51">
        <v>44</v>
      </c>
      <c r="I199" s="51">
        <v>171</v>
      </c>
    </row>
    <row r="200" spans="5:9" x14ac:dyDescent="0.25">
      <c r="E200">
        <f t="shared" si="20"/>
        <v>3</v>
      </c>
      <c r="G200" t="s">
        <v>227</v>
      </c>
      <c r="H200" s="51">
        <v>37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219</v>
      </c>
      <c r="H201" s="51">
        <v>10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220</v>
      </c>
      <c r="H202" s="51">
        <v>4</v>
      </c>
      <c r="I202" s="51">
        <v>139</v>
      </c>
    </row>
    <row r="203" spans="5:9" x14ac:dyDescent="0.25">
      <c r="E203">
        <f t="shared" si="21"/>
        <v>30</v>
      </c>
      <c r="G203" t="s">
        <v>221</v>
      </c>
      <c r="H203" s="51">
        <v>15</v>
      </c>
      <c r="I203" s="51">
        <v>139</v>
      </c>
    </row>
    <row r="204" spans="5:9" x14ac:dyDescent="0.25">
      <c r="E204">
        <f t="shared" si="21"/>
        <v>30</v>
      </c>
      <c r="G204" t="s">
        <v>222</v>
      </c>
      <c r="H204" s="51">
        <v>4</v>
      </c>
      <c r="I204" s="51">
        <v>139</v>
      </c>
    </row>
    <row r="205" spans="5:9" x14ac:dyDescent="0.25">
      <c r="E205">
        <f t="shared" si="21"/>
        <v>30</v>
      </c>
      <c r="G205" t="s">
        <v>223</v>
      </c>
      <c r="H205" s="51">
        <v>8</v>
      </c>
      <c r="I205" s="51">
        <v>139</v>
      </c>
    </row>
    <row r="206" spans="5:9" x14ac:dyDescent="0.25">
      <c r="E206">
        <f t="shared" si="21"/>
        <v>30</v>
      </c>
      <c r="G206" t="s">
        <v>224</v>
      </c>
      <c r="H206" s="51">
        <v>3</v>
      </c>
      <c r="I206" s="51">
        <v>139</v>
      </c>
    </row>
    <row r="207" spans="5:9" x14ac:dyDescent="0.25">
      <c r="E207">
        <f t="shared" si="21"/>
        <v>30</v>
      </c>
      <c r="G207" t="s">
        <v>225</v>
      </c>
      <c r="H207" s="51">
        <v>11</v>
      </c>
      <c r="I207" s="51">
        <v>139</v>
      </c>
    </row>
    <row r="208" spans="5:9" x14ac:dyDescent="0.25">
      <c r="E208">
        <f t="shared" si="21"/>
        <v>30</v>
      </c>
      <c r="G208" t="s">
        <v>226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227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219</v>
      </c>
      <c r="H210" s="51">
        <v>66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220</v>
      </c>
      <c r="H211" s="51">
        <v>39</v>
      </c>
      <c r="I211" s="51">
        <v>161</v>
      </c>
    </row>
    <row r="212" spans="5:9" x14ac:dyDescent="0.25">
      <c r="E212">
        <f t="shared" si="22"/>
        <v>31</v>
      </c>
      <c r="G212" t="s">
        <v>221</v>
      </c>
      <c r="H212">
        <v>80</v>
      </c>
      <c r="I212" s="51">
        <v>161</v>
      </c>
    </row>
    <row r="213" spans="5:9" x14ac:dyDescent="0.25">
      <c r="E213">
        <f t="shared" si="22"/>
        <v>31</v>
      </c>
      <c r="G213" t="s">
        <v>222</v>
      </c>
      <c r="H213" s="51">
        <v>50</v>
      </c>
      <c r="I213" s="51">
        <v>161</v>
      </c>
    </row>
    <row r="214" spans="5:9" x14ac:dyDescent="0.25">
      <c r="E214">
        <f t="shared" si="22"/>
        <v>31</v>
      </c>
      <c r="G214" t="s">
        <v>223</v>
      </c>
      <c r="H214" s="51">
        <v>105</v>
      </c>
      <c r="I214" s="51">
        <v>161</v>
      </c>
    </row>
    <row r="215" spans="5:9" x14ac:dyDescent="0.25">
      <c r="E215">
        <f t="shared" si="22"/>
        <v>31</v>
      </c>
      <c r="G215" t="s">
        <v>224</v>
      </c>
      <c r="H215" s="51">
        <v>96</v>
      </c>
      <c r="I215" s="51">
        <v>161</v>
      </c>
    </row>
    <row r="216" spans="5:9" x14ac:dyDescent="0.25">
      <c r="E216">
        <f t="shared" si="22"/>
        <v>31</v>
      </c>
      <c r="G216" t="s">
        <v>225</v>
      </c>
      <c r="H216" s="51">
        <v>35</v>
      </c>
      <c r="I216" s="51">
        <v>161</v>
      </c>
    </row>
    <row r="217" spans="5:9" x14ac:dyDescent="0.25">
      <c r="E217">
        <f t="shared" si="22"/>
        <v>31</v>
      </c>
      <c r="G217" t="s">
        <v>226</v>
      </c>
      <c r="H217" s="51">
        <v>42</v>
      </c>
      <c r="I217" s="51">
        <v>161</v>
      </c>
    </row>
    <row r="218" spans="5:9" x14ac:dyDescent="0.25">
      <c r="E218">
        <f t="shared" si="22"/>
        <v>31</v>
      </c>
      <c r="G218" t="s">
        <v>227</v>
      </c>
      <c r="H218" s="51">
        <v>26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219</v>
      </c>
      <c r="H219" s="51">
        <v>35</v>
      </c>
      <c r="I219" s="51">
        <v>58</v>
      </c>
    </row>
    <row r="220" spans="5:9" x14ac:dyDescent="0.25">
      <c r="E220">
        <f t="shared" ref="E220:E227" si="23">+$F$219</f>
        <v>32</v>
      </c>
      <c r="G220" t="s">
        <v>220</v>
      </c>
      <c r="H220" s="51">
        <v>15</v>
      </c>
      <c r="I220" s="51">
        <v>58</v>
      </c>
    </row>
    <row r="221" spans="5:9" x14ac:dyDescent="0.25">
      <c r="E221">
        <f t="shared" si="23"/>
        <v>32</v>
      </c>
      <c r="G221" t="s">
        <v>221</v>
      </c>
      <c r="H221" s="51">
        <v>27</v>
      </c>
      <c r="I221" s="51">
        <v>58</v>
      </c>
    </row>
    <row r="222" spans="5:9" x14ac:dyDescent="0.25">
      <c r="E222">
        <f t="shared" si="23"/>
        <v>32</v>
      </c>
      <c r="G222" t="s">
        <v>222</v>
      </c>
      <c r="H222" s="51">
        <v>26</v>
      </c>
      <c r="I222" s="51">
        <v>58</v>
      </c>
    </row>
    <row r="223" spans="5:9" x14ac:dyDescent="0.25">
      <c r="E223">
        <f t="shared" si="23"/>
        <v>32</v>
      </c>
      <c r="G223" t="s">
        <v>223</v>
      </c>
      <c r="H223" s="51">
        <v>43</v>
      </c>
      <c r="I223" s="51">
        <v>58</v>
      </c>
    </row>
    <row r="224" spans="5:9" x14ac:dyDescent="0.25">
      <c r="E224">
        <f t="shared" si="23"/>
        <v>32</v>
      </c>
      <c r="G224" t="s">
        <v>224</v>
      </c>
      <c r="H224" s="51">
        <v>28</v>
      </c>
      <c r="I224" s="51">
        <v>58</v>
      </c>
    </row>
    <row r="225" spans="5:9" x14ac:dyDescent="0.25">
      <c r="E225">
        <f t="shared" si="23"/>
        <v>32</v>
      </c>
      <c r="G225" t="s">
        <v>225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226</v>
      </c>
      <c r="H226" s="51">
        <v>20</v>
      </c>
      <c r="I226" s="51">
        <v>58</v>
      </c>
    </row>
    <row r="227" spans="5:9" x14ac:dyDescent="0.25">
      <c r="E227">
        <f t="shared" si="23"/>
        <v>32</v>
      </c>
      <c r="G227" t="s">
        <v>227</v>
      </c>
      <c r="H227" s="51">
        <v>23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219</v>
      </c>
      <c r="H228" s="51">
        <v>57</v>
      </c>
      <c r="I228" s="51">
        <v>167</v>
      </c>
    </row>
    <row r="229" spans="5:9" x14ac:dyDescent="0.25">
      <c r="E229">
        <f t="shared" ref="E229:E236" si="24">+$F$228</f>
        <v>33</v>
      </c>
      <c r="G229" t="s">
        <v>220</v>
      </c>
      <c r="H229" s="51">
        <v>46</v>
      </c>
      <c r="I229" s="51">
        <v>167</v>
      </c>
    </row>
    <row r="230" spans="5:9" x14ac:dyDescent="0.25">
      <c r="E230">
        <f t="shared" si="24"/>
        <v>33</v>
      </c>
      <c r="G230" t="s">
        <v>221</v>
      </c>
      <c r="H230" s="51">
        <v>70</v>
      </c>
      <c r="I230" s="51">
        <v>167</v>
      </c>
    </row>
    <row r="231" spans="5:9" x14ac:dyDescent="0.25">
      <c r="E231">
        <f t="shared" si="24"/>
        <v>33</v>
      </c>
      <c r="G231" t="s">
        <v>222</v>
      </c>
      <c r="H231" s="51">
        <v>53</v>
      </c>
      <c r="I231" s="51">
        <v>167</v>
      </c>
    </row>
    <row r="232" spans="5:9" x14ac:dyDescent="0.25">
      <c r="E232">
        <f t="shared" si="24"/>
        <v>33</v>
      </c>
      <c r="G232" t="s">
        <v>223</v>
      </c>
      <c r="H232" s="51">
        <v>89</v>
      </c>
      <c r="I232" s="51">
        <v>167</v>
      </c>
    </row>
    <row r="233" spans="5:9" x14ac:dyDescent="0.25">
      <c r="E233">
        <f t="shared" si="24"/>
        <v>33</v>
      </c>
      <c r="G233" t="s">
        <v>224</v>
      </c>
      <c r="H233" s="51">
        <v>80</v>
      </c>
      <c r="I233" s="51">
        <v>167</v>
      </c>
    </row>
    <row r="234" spans="5:9" x14ac:dyDescent="0.25">
      <c r="E234">
        <f t="shared" si="24"/>
        <v>33</v>
      </c>
      <c r="G234" t="s">
        <v>225</v>
      </c>
      <c r="H234" s="51">
        <v>16</v>
      </c>
      <c r="I234" s="51">
        <v>167</v>
      </c>
    </row>
    <row r="235" spans="5:9" x14ac:dyDescent="0.25">
      <c r="E235">
        <f t="shared" si="24"/>
        <v>33</v>
      </c>
      <c r="G235" t="s">
        <v>226</v>
      </c>
      <c r="H235" s="51">
        <v>31</v>
      </c>
      <c r="I235" s="51">
        <v>167</v>
      </c>
    </row>
    <row r="236" spans="5:9" x14ac:dyDescent="0.25">
      <c r="E236">
        <f t="shared" si="24"/>
        <v>33</v>
      </c>
      <c r="G236" t="s">
        <v>227</v>
      </c>
      <c r="H236">
        <v>25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219</v>
      </c>
      <c r="H237" s="51">
        <v>39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220</v>
      </c>
      <c r="H238" s="51">
        <v>24</v>
      </c>
      <c r="I238" s="51">
        <v>160</v>
      </c>
    </row>
    <row r="239" spans="5:9" x14ac:dyDescent="0.25">
      <c r="E239">
        <f t="shared" si="25"/>
        <v>36</v>
      </c>
      <c r="G239" t="s">
        <v>221</v>
      </c>
      <c r="H239" s="51">
        <v>66</v>
      </c>
      <c r="I239" s="51">
        <v>160</v>
      </c>
    </row>
    <row r="240" spans="5:9" x14ac:dyDescent="0.25">
      <c r="E240">
        <f t="shared" si="25"/>
        <v>36</v>
      </c>
      <c r="G240" t="s">
        <v>222</v>
      </c>
      <c r="H240" s="51">
        <v>61</v>
      </c>
      <c r="I240" s="51">
        <v>160</v>
      </c>
    </row>
    <row r="241" spans="5:9" x14ac:dyDescent="0.25">
      <c r="E241">
        <f t="shared" si="25"/>
        <v>36</v>
      </c>
      <c r="G241" t="s">
        <v>223</v>
      </c>
      <c r="H241" s="51">
        <v>91</v>
      </c>
      <c r="I241" s="51">
        <v>160</v>
      </c>
    </row>
    <row r="242" spans="5:9" x14ac:dyDescent="0.25">
      <c r="E242">
        <f t="shared" si="25"/>
        <v>36</v>
      </c>
      <c r="G242" t="s">
        <v>224</v>
      </c>
      <c r="H242" s="51">
        <v>62</v>
      </c>
      <c r="I242" s="51">
        <v>160</v>
      </c>
    </row>
    <row r="243" spans="5:9" x14ac:dyDescent="0.25">
      <c r="E243">
        <f t="shared" si="25"/>
        <v>36</v>
      </c>
      <c r="G243" t="s">
        <v>225</v>
      </c>
      <c r="H243" s="51">
        <v>22</v>
      </c>
      <c r="I243" s="51">
        <v>160</v>
      </c>
    </row>
    <row r="244" spans="5:9" x14ac:dyDescent="0.25">
      <c r="E244">
        <f t="shared" si="25"/>
        <v>36</v>
      </c>
      <c r="G244" t="s">
        <v>226</v>
      </c>
      <c r="H244">
        <v>18</v>
      </c>
      <c r="I244" s="51">
        <v>160</v>
      </c>
    </row>
    <row r="245" spans="5:9" x14ac:dyDescent="0.25">
      <c r="E245">
        <f t="shared" si="25"/>
        <v>36</v>
      </c>
      <c r="G245" t="s">
        <v>227</v>
      </c>
      <c r="H245" s="51">
        <v>19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219</v>
      </c>
      <c r="H246" s="51">
        <v>18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220</v>
      </c>
      <c r="H247" s="51">
        <v>9</v>
      </c>
      <c r="I247" s="51">
        <v>142</v>
      </c>
    </row>
    <row r="248" spans="5:9" x14ac:dyDescent="0.25">
      <c r="E248">
        <f t="shared" si="26"/>
        <v>37</v>
      </c>
      <c r="G248" t="s">
        <v>221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222</v>
      </c>
      <c r="H249" s="51">
        <v>23</v>
      </c>
      <c r="I249" s="51">
        <v>142</v>
      </c>
    </row>
    <row r="250" spans="5:9" x14ac:dyDescent="0.25">
      <c r="E250">
        <f t="shared" si="26"/>
        <v>37</v>
      </c>
      <c r="G250" t="s">
        <v>223</v>
      </c>
      <c r="H250" s="51">
        <v>47</v>
      </c>
      <c r="I250" s="51">
        <v>142</v>
      </c>
    </row>
    <row r="251" spans="5:9" x14ac:dyDescent="0.25">
      <c r="E251">
        <f t="shared" si="26"/>
        <v>37</v>
      </c>
      <c r="G251" t="s">
        <v>224</v>
      </c>
      <c r="H251" s="51">
        <v>32</v>
      </c>
      <c r="I251" s="51">
        <v>142</v>
      </c>
    </row>
    <row r="252" spans="5:9" x14ac:dyDescent="0.25">
      <c r="E252">
        <f t="shared" si="26"/>
        <v>37</v>
      </c>
      <c r="G252" t="s">
        <v>225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226</v>
      </c>
      <c r="H253" s="51">
        <v>21</v>
      </c>
      <c r="I253" s="51">
        <v>142</v>
      </c>
    </row>
    <row r="254" spans="5:9" x14ac:dyDescent="0.25">
      <c r="E254">
        <f t="shared" si="26"/>
        <v>37</v>
      </c>
      <c r="G254" t="s">
        <v>227</v>
      </c>
      <c r="H254" s="51">
        <v>18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219</v>
      </c>
      <c r="H255" s="51">
        <v>49</v>
      </c>
      <c r="I255" s="51">
        <v>182</v>
      </c>
    </row>
    <row r="256" spans="5:9" x14ac:dyDescent="0.25">
      <c r="E256">
        <f t="shared" ref="E256:E263" si="27">+$F$255</f>
        <v>4</v>
      </c>
      <c r="G256" t="s">
        <v>220</v>
      </c>
      <c r="H256" s="51">
        <v>40</v>
      </c>
      <c r="I256" s="51">
        <v>182</v>
      </c>
    </row>
    <row r="257" spans="5:9" x14ac:dyDescent="0.25">
      <c r="E257">
        <f t="shared" si="27"/>
        <v>4</v>
      </c>
      <c r="G257" t="s">
        <v>221</v>
      </c>
      <c r="H257" s="51">
        <v>76</v>
      </c>
      <c r="I257" s="51">
        <v>182</v>
      </c>
    </row>
    <row r="258" spans="5:9" x14ac:dyDescent="0.25">
      <c r="E258">
        <f t="shared" si="27"/>
        <v>4</v>
      </c>
      <c r="G258" t="s">
        <v>222</v>
      </c>
      <c r="H258">
        <v>63</v>
      </c>
      <c r="I258" s="51">
        <v>182</v>
      </c>
    </row>
    <row r="259" spans="5:9" x14ac:dyDescent="0.25">
      <c r="E259">
        <f t="shared" si="27"/>
        <v>4</v>
      </c>
      <c r="G259" t="s">
        <v>223</v>
      </c>
      <c r="H259" s="51">
        <v>97</v>
      </c>
      <c r="I259" s="51">
        <v>182</v>
      </c>
    </row>
    <row r="260" spans="5:9" x14ac:dyDescent="0.25">
      <c r="E260">
        <f t="shared" si="27"/>
        <v>4</v>
      </c>
      <c r="G260" t="s">
        <v>224</v>
      </c>
      <c r="H260">
        <v>78</v>
      </c>
      <c r="I260" s="51">
        <v>182</v>
      </c>
    </row>
    <row r="261" spans="5:9" x14ac:dyDescent="0.25">
      <c r="E261">
        <f t="shared" si="27"/>
        <v>4</v>
      </c>
      <c r="G261" t="s">
        <v>225</v>
      </c>
      <c r="H261" s="51">
        <v>26</v>
      </c>
      <c r="I261" s="51">
        <v>182</v>
      </c>
    </row>
    <row r="262" spans="5:9" x14ac:dyDescent="0.25">
      <c r="E262">
        <f t="shared" si="27"/>
        <v>4</v>
      </c>
      <c r="G262" t="s">
        <v>226</v>
      </c>
      <c r="H262" s="51">
        <v>45</v>
      </c>
      <c r="I262" s="51">
        <v>182</v>
      </c>
    </row>
    <row r="263" spans="5:9" x14ac:dyDescent="0.25">
      <c r="E263">
        <f t="shared" si="27"/>
        <v>4</v>
      </c>
      <c r="G263" t="s">
        <v>227</v>
      </c>
      <c r="H263" s="51">
        <v>52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219</v>
      </c>
      <c r="H264" s="51">
        <v>37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220</v>
      </c>
      <c r="H265">
        <v>15</v>
      </c>
      <c r="I265" s="51">
        <v>250</v>
      </c>
    </row>
    <row r="266" spans="5:9" x14ac:dyDescent="0.25">
      <c r="E266">
        <f t="shared" si="28"/>
        <v>40</v>
      </c>
      <c r="G266" t="s">
        <v>221</v>
      </c>
      <c r="H266" s="51">
        <v>46</v>
      </c>
      <c r="I266" s="51">
        <v>250</v>
      </c>
    </row>
    <row r="267" spans="5:9" x14ac:dyDescent="0.25">
      <c r="E267">
        <f t="shared" si="28"/>
        <v>40</v>
      </c>
      <c r="G267" t="s">
        <v>222</v>
      </c>
      <c r="H267" s="51">
        <v>53</v>
      </c>
      <c r="I267" s="51">
        <v>250</v>
      </c>
    </row>
    <row r="268" spans="5:9" x14ac:dyDescent="0.25">
      <c r="E268">
        <f t="shared" si="28"/>
        <v>40</v>
      </c>
      <c r="G268" t="s">
        <v>223</v>
      </c>
      <c r="H268">
        <v>83</v>
      </c>
      <c r="I268" s="51">
        <v>250</v>
      </c>
    </row>
    <row r="269" spans="5:9" x14ac:dyDescent="0.25">
      <c r="E269">
        <f t="shared" si="28"/>
        <v>40</v>
      </c>
      <c r="G269" t="s">
        <v>224</v>
      </c>
      <c r="H269" s="51">
        <v>84</v>
      </c>
      <c r="I269" s="51">
        <v>250</v>
      </c>
    </row>
    <row r="270" spans="5:9" x14ac:dyDescent="0.25">
      <c r="E270">
        <f t="shared" si="28"/>
        <v>40</v>
      </c>
      <c r="G270" t="s">
        <v>225</v>
      </c>
      <c r="H270" s="51">
        <v>34</v>
      </c>
      <c r="I270" s="51">
        <v>250</v>
      </c>
    </row>
    <row r="271" spans="5:9" x14ac:dyDescent="0.25">
      <c r="E271">
        <f t="shared" si="28"/>
        <v>40</v>
      </c>
      <c r="G271" t="s">
        <v>226</v>
      </c>
      <c r="H271" s="51">
        <v>34</v>
      </c>
      <c r="I271" s="51">
        <v>250</v>
      </c>
    </row>
    <row r="272" spans="5:9" x14ac:dyDescent="0.25">
      <c r="E272">
        <f t="shared" si="28"/>
        <v>40</v>
      </c>
      <c r="G272" t="s">
        <v>227</v>
      </c>
      <c r="H272" s="51">
        <v>22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219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220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221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222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223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224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225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226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227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219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220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221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222</v>
      </c>
      <c r="H285">
        <v>4</v>
      </c>
      <c r="I285" s="51">
        <v>93</v>
      </c>
    </row>
    <row r="286" spans="5:9" x14ac:dyDescent="0.25">
      <c r="E286">
        <f t="shared" si="30"/>
        <v>43</v>
      </c>
      <c r="G286" t="s">
        <v>223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224</v>
      </c>
      <c r="H287">
        <v>3</v>
      </c>
      <c r="I287" s="51">
        <v>93</v>
      </c>
    </row>
    <row r="288" spans="5:9" x14ac:dyDescent="0.25">
      <c r="E288">
        <f t="shared" si="30"/>
        <v>43</v>
      </c>
      <c r="G288" t="s">
        <v>225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226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227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219</v>
      </c>
      <c r="H291">
        <v>48</v>
      </c>
      <c r="I291" s="51">
        <v>171</v>
      </c>
    </row>
    <row r="292" spans="5:9" x14ac:dyDescent="0.25">
      <c r="E292">
        <f t="shared" ref="E292:E299" si="31">+$F$291</f>
        <v>44</v>
      </c>
      <c r="G292" t="s">
        <v>220</v>
      </c>
      <c r="H292">
        <v>50</v>
      </c>
      <c r="I292" s="51">
        <v>171</v>
      </c>
    </row>
    <row r="293" spans="5:9" x14ac:dyDescent="0.25">
      <c r="E293">
        <f t="shared" si="31"/>
        <v>44</v>
      </c>
      <c r="G293" t="s">
        <v>221</v>
      </c>
      <c r="H293">
        <v>85</v>
      </c>
      <c r="I293" s="51">
        <v>171</v>
      </c>
    </row>
    <row r="294" spans="5:9" x14ac:dyDescent="0.25">
      <c r="E294">
        <f t="shared" si="31"/>
        <v>44</v>
      </c>
      <c r="G294" t="s">
        <v>222</v>
      </c>
      <c r="H294">
        <v>58</v>
      </c>
      <c r="I294" s="51">
        <v>171</v>
      </c>
    </row>
    <row r="295" spans="5:9" x14ac:dyDescent="0.25">
      <c r="E295">
        <f t="shared" si="31"/>
        <v>44</v>
      </c>
      <c r="G295" t="s">
        <v>223</v>
      </c>
      <c r="H295">
        <v>119</v>
      </c>
      <c r="I295" s="51">
        <v>171</v>
      </c>
    </row>
    <row r="296" spans="5:9" x14ac:dyDescent="0.25">
      <c r="E296">
        <f t="shared" si="31"/>
        <v>44</v>
      </c>
      <c r="G296" t="s">
        <v>224</v>
      </c>
      <c r="H296">
        <v>107</v>
      </c>
      <c r="I296" s="51">
        <v>171</v>
      </c>
    </row>
    <row r="297" spans="5:9" x14ac:dyDescent="0.25">
      <c r="E297">
        <f t="shared" si="31"/>
        <v>44</v>
      </c>
      <c r="G297" t="s">
        <v>225</v>
      </c>
      <c r="H297" s="51">
        <v>21</v>
      </c>
      <c r="I297" s="51">
        <v>171</v>
      </c>
    </row>
    <row r="298" spans="5:9" x14ac:dyDescent="0.25">
      <c r="E298">
        <f t="shared" si="31"/>
        <v>44</v>
      </c>
      <c r="G298" t="s">
        <v>226</v>
      </c>
      <c r="H298">
        <v>41</v>
      </c>
      <c r="I298" s="51">
        <v>171</v>
      </c>
    </row>
    <row r="299" spans="5:9" x14ac:dyDescent="0.25">
      <c r="E299">
        <f t="shared" si="31"/>
        <v>44</v>
      </c>
      <c r="G299" t="s">
        <v>227</v>
      </c>
      <c r="H299" s="51">
        <v>36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219</v>
      </c>
      <c r="H300" s="51">
        <v>43</v>
      </c>
      <c r="I300" s="51">
        <v>243</v>
      </c>
    </row>
    <row r="301" spans="5:9" x14ac:dyDescent="0.25">
      <c r="E301">
        <f t="shared" ref="E301:E308" si="32">+$F$300</f>
        <v>49</v>
      </c>
      <c r="G301" t="s">
        <v>220</v>
      </c>
      <c r="H301" s="51">
        <v>16</v>
      </c>
      <c r="I301" s="51">
        <v>243</v>
      </c>
    </row>
    <row r="302" spans="5:9" x14ac:dyDescent="0.25">
      <c r="E302">
        <f t="shared" si="32"/>
        <v>49</v>
      </c>
      <c r="G302" t="s">
        <v>221</v>
      </c>
      <c r="H302" s="51">
        <v>67</v>
      </c>
      <c r="I302" s="51">
        <v>243</v>
      </c>
    </row>
    <row r="303" spans="5:9" x14ac:dyDescent="0.25">
      <c r="E303">
        <f t="shared" si="32"/>
        <v>49</v>
      </c>
      <c r="G303" t="s">
        <v>222</v>
      </c>
      <c r="H303" s="51">
        <v>18</v>
      </c>
      <c r="I303" s="51">
        <v>243</v>
      </c>
    </row>
    <row r="304" spans="5:9" x14ac:dyDescent="0.25">
      <c r="E304">
        <f t="shared" si="32"/>
        <v>49</v>
      </c>
      <c r="G304" t="s">
        <v>223</v>
      </c>
      <c r="H304" s="51">
        <v>54</v>
      </c>
      <c r="I304" s="51">
        <v>243</v>
      </c>
    </row>
    <row r="305" spans="5:9" x14ac:dyDescent="0.25">
      <c r="E305">
        <f t="shared" si="32"/>
        <v>49</v>
      </c>
      <c r="G305" t="s">
        <v>224</v>
      </c>
      <c r="H305" s="51">
        <v>36</v>
      </c>
      <c r="I305" s="51">
        <v>243</v>
      </c>
    </row>
    <row r="306" spans="5:9" x14ac:dyDescent="0.25">
      <c r="E306">
        <f t="shared" si="32"/>
        <v>49</v>
      </c>
      <c r="G306" t="s">
        <v>225</v>
      </c>
      <c r="H306" s="51">
        <v>52</v>
      </c>
      <c r="I306" s="51">
        <v>243</v>
      </c>
    </row>
    <row r="307" spans="5:9" x14ac:dyDescent="0.25">
      <c r="E307">
        <f t="shared" si="32"/>
        <v>49</v>
      </c>
      <c r="G307" t="s">
        <v>226</v>
      </c>
      <c r="H307">
        <v>30</v>
      </c>
      <c r="I307" s="51">
        <v>243</v>
      </c>
    </row>
    <row r="308" spans="5:9" x14ac:dyDescent="0.25">
      <c r="E308">
        <f t="shared" si="32"/>
        <v>49</v>
      </c>
      <c r="G308" t="s">
        <v>227</v>
      </c>
      <c r="H308">
        <v>28</v>
      </c>
      <c r="I308" s="51">
        <v>243</v>
      </c>
    </row>
    <row r="309" spans="5:9" x14ac:dyDescent="0.25">
      <c r="E309">
        <f>+$F$309</f>
        <v>5</v>
      </c>
      <c r="F309">
        <v>5</v>
      </c>
      <c r="G309" t="s">
        <v>219</v>
      </c>
      <c r="H309">
        <v>109</v>
      </c>
      <c r="I309" s="51">
        <v>261</v>
      </c>
    </row>
    <row r="310" spans="5:9" x14ac:dyDescent="0.25">
      <c r="E310">
        <f t="shared" ref="E310:E317" si="33">+$F$309</f>
        <v>5</v>
      </c>
      <c r="G310" t="s">
        <v>220</v>
      </c>
      <c r="H310">
        <v>84</v>
      </c>
      <c r="I310" s="51">
        <v>261</v>
      </c>
    </row>
    <row r="311" spans="5:9" x14ac:dyDescent="0.25">
      <c r="E311">
        <f t="shared" si="33"/>
        <v>5</v>
      </c>
      <c r="G311" t="s">
        <v>221</v>
      </c>
      <c r="H311">
        <v>128</v>
      </c>
      <c r="I311" s="51">
        <v>261</v>
      </c>
    </row>
    <row r="312" spans="5:9" x14ac:dyDescent="0.25">
      <c r="E312">
        <f t="shared" si="33"/>
        <v>5</v>
      </c>
      <c r="G312" t="s">
        <v>222</v>
      </c>
      <c r="H312">
        <v>75</v>
      </c>
      <c r="I312" s="51">
        <v>261</v>
      </c>
    </row>
    <row r="313" spans="5:9" x14ac:dyDescent="0.25">
      <c r="E313">
        <f t="shared" si="33"/>
        <v>5</v>
      </c>
      <c r="G313" t="s">
        <v>223</v>
      </c>
      <c r="H313">
        <v>168</v>
      </c>
      <c r="I313" s="51">
        <v>261</v>
      </c>
    </row>
    <row r="314" spans="5:9" x14ac:dyDescent="0.25">
      <c r="E314">
        <f t="shared" si="33"/>
        <v>5</v>
      </c>
      <c r="G314" t="s">
        <v>224</v>
      </c>
      <c r="H314">
        <v>130</v>
      </c>
      <c r="I314" s="51">
        <v>261</v>
      </c>
    </row>
    <row r="315" spans="5:9" x14ac:dyDescent="0.25">
      <c r="E315">
        <f t="shared" si="33"/>
        <v>5</v>
      </c>
      <c r="G315" t="s">
        <v>225</v>
      </c>
      <c r="H315" s="51">
        <v>52</v>
      </c>
      <c r="I315" s="51">
        <v>261</v>
      </c>
    </row>
    <row r="316" spans="5:9" x14ac:dyDescent="0.25">
      <c r="E316">
        <f t="shared" si="33"/>
        <v>5</v>
      </c>
      <c r="G316" t="s">
        <v>226</v>
      </c>
      <c r="H316">
        <v>60</v>
      </c>
      <c r="I316" s="51">
        <v>261</v>
      </c>
    </row>
    <row r="317" spans="5:9" x14ac:dyDescent="0.25">
      <c r="E317">
        <f t="shared" si="33"/>
        <v>5</v>
      </c>
      <c r="G317" t="s">
        <v>227</v>
      </c>
      <c r="H317" s="51">
        <v>51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219</v>
      </c>
      <c r="H318" s="51">
        <v>1</v>
      </c>
      <c r="I318" s="51">
        <v>103</v>
      </c>
    </row>
    <row r="319" spans="5:9" x14ac:dyDescent="0.25">
      <c r="E319">
        <f t="shared" ref="E319:E326" si="34">+$F$318</f>
        <v>52</v>
      </c>
      <c r="G319" t="s">
        <v>220</v>
      </c>
      <c r="H319" s="51">
        <v>10</v>
      </c>
      <c r="I319" s="51">
        <v>103</v>
      </c>
    </row>
    <row r="320" spans="5:9" x14ac:dyDescent="0.25">
      <c r="E320">
        <f t="shared" si="34"/>
        <v>52</v>
      </c>
      <c r="G320" t="s">
        <v>221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222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223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224</v>
      </c>
      <c r="I323" s="51">
        <v>103</v>
      </c>
    </row>
    <row r="324" spans="5:9" x14ac:dyDescent="0.25">
      <c r="E324">
        <f t="shared" si="34"/>
        <v>52</v>
      </c>
      <c r="G324" t="s">
        <v>225</v>
      </c>
      <c r="H324" s="51">
        <v>54</v>
      </c>
      <c r="I324" s="51">
        <v>103</v>
      </c>
    </row>
    <row r="325" spans="5:9" x14ac:dyDescent="0.25">
      <c r="E325">
        <f t="shared" si="34"/>
        <v>52</v>
      </c>
      <c r="G325" t="s">
        <v>226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227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219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220</v>
      </c>
      <c r="H328">
        <v>20</v>
      </c>
      <c r="I328" s="51">
        <v>105</v>
      </c>
    </row>
    <row r="329" spans="5:9" x14ac:dyDescent="0.25">
      <c r="E329">
        <f t="shared" si="35"/>
        <v>53</v>
      </c>
      <c r="G329" t="s">
        <v>221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222</v>
      </c>
      <c r="I330" s="51">
        <v>105</v>
      </c>
    </row>
    <row r="331" spans="5:9" x14ac:dyDescent="0.25">
      <c r="E331">
        <f t="shared" si="35"/>
        <v>53</v>
      </c>
      <c r="G331" t="s">
        <v>223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224</v>
      </c>
      <c r="I332" s="51">
        <v>105</v>
      </c>
    </row>
    <row r="333" spans="5:9" x14ac:dyDescent="0.25">
      <c r="E333">
        <f t="shared" si="35"/>
        <v>53</v>
      </c>
      <c r="G333" t="s">
        <v>225</v>
      </c>
      <c r="H333" s="51">
        <v>70</v>
      </c>
      <c r="I333" s="51">
        <v>105</v>
      </c>
    </row>
    <row r="334" spans="5:9" x14ac:dyDescent="0.25">
      <c r="E334">
        <f t="shared" si="35"/>
        <v>53</v>
      </c>
      <c r="G334" t="s">
        <v>226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227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219</v>
      </c>
      <c r="H336" s="51">
        <v>63</v>
      </c>
      <c r="I336" s="51">
        <v>197</v>
      </c>
    </row>
    <row r="337" spans="5:9" x14ac:dyDescent="0.25">
      <c r="E337">
        <f t="shared" ref="E337:E344" si="36">+$F$336</f>
        <v>54</v>
      </c>
      <c r="G337" t="s">
        <v>220</v>
      </c>
      <c r="H337" s="51">
        <v>40</v>
      </c>
      <c r="I337" s="51">
        <v>197</v>
      </c>
    </row>
    <row r="338" spans="5:9" x14ac:dyDescent="0.25">
      <c r="E338">
        <f t="shared" si="36"/>
        <v>54</v>
      </c>
      <c r="G338" t="s">
        <v>221</v>
      </c>
      <c r="H338" s="51">
        <v>97</v>
      </c>
      <c r="I338" s="51">
        <v>197</v>
      </c>
    </row>
    <row r="339" spans="5:9" x14ac:dyDescent="0.25">
      <c r="E339">
        <f t="shared" si="36"/>
        <v>54</v>
      </c>
      <c r="G339" t="s">
        <v>222</v>
      </c>
      <c r="H339" s="51">
        <v>76</v>
      </c>
      <c r="I339" s="51">
        <v>197</v>
      </c>
    </row>
    <row r="340" spans="5:9" x14ac:dyDescent="0.25">
      <c r="E340">
        <f t="shared" si="36"/>
        <v>54</v>
      </c>
      <c r="G340" t="s">
        <v>223</v>
      </c>
      <c r="H340">
        <v>103</v>
      </c>
      <c r="I340" s="51">
        <v>197</v>
      </c>
    </row>
    <row r="341" spans="5:9" x14ac:dyDescent="0.25">
      <c r="E341">
        <f t="shared" si="36"/>
        <v>54</v>
      </c>
      <c r="G341" t="s">
        <v>224</v>
      </c>
      <c r="H341" s="51">
        <v>92</v>
      </c>
      <c r="I341" s="51">
        <v>197</v>
      </c>
    </row>
    <row r="342" spans="5:9" x14ac:dyDescent="0.25">
      <c r="E342">
        <f t="shared" si="36"/>
        <v>54</v>
      </c>
      <c r="G342" t="s">
        <v>225</v>
      </c>
      <c r="H342" s="51">
        <v>26</v>
      </c>
      <c r="I342" s="51">
        <v>197</v>
      </c>
    </row>
    <row r="343" spans="5:9" x14ac:dyDescent="0.25">
      <c r="E343">
        <f t="shared" si="36"/>
        <v>54</v>
      </c>
      <c r="G343" t="s">
        <v>226</v>
      </c>
      <c r="H343" s="51">
        <v>40</v>
      </c>
      <c r="I343" s="51">
        <v>197</v>
      </c>
    </row>
    <row r="344" spans="5:9" x14ac:dyDescent="0.25">
      <c r="E344">
        <f t="shared" si="36"/>
        <v>54</v>
      </c>
      <c r="G344" t="s">
        <v>227</v>
      </c>
      <c r="H344" s="51">
        <v>50</v>
      </c>
      <c r="I344" s="51">
        <v>197</v>
      </c>
    </row>
    <row r="345" spans="5:9" x14ac:dyDescent="0.25">
      <c r="E345">
        <f>+$F$345</f>
        <v>56</v>
      </c>
      <c r="F345">
        <v>56</v>
      </c>
      <c r="G345" t="s">
        <v>219</v>
      </c>
      <c r="H345">
        <v>28</v>
      </c>
      <c r="I345" s="51">
        <v>197</v>
      </c>
    </row>
    <row r="346" spans="5:9" x14ac:dyDescent="0.25">
      <c r="E346">
        <f t="shared" ref="E346:E353" si="37">+$F$345</f>
        <v>56</v>
      </c>
      <c r="G346" t="s">
        <v>220</v>
      </c>
      <c r="H346" s="51">
        <v>19</v>
      </c>
      <c r="I346" s="51">
        <v>197</v>
      </c>
    </row>
    <row r="347" spans="5:9" x14ac:dyDescent="0.25">
      <c r="E347">
        <f t="shared" si="37"/>
        <v>56</v>
      </c>
      <c r="G347" t="s">
        <v>221</v>
      </c>
      <c r="H347" s="51">
        <v>58</v>
      </c>
      <c r="I347" s="51">
        <v>197</v>
      </c>
    </row>
    <row r="348" spans="5:9" x14ac:dyDescent="0.25">
      <c r="E348">
        <f t="shared" si="37"/>
        <v>56</v>
      </c>
      <c r="G348" t="s">
        <v>222</v>
      </c>
      <c r="H348">
        <v>28</v>
      </c>
      <c r="I348" s="51">
        <v>197</v>
      </c>
    </row>
    <row r="349" spans="5:9" x14ac:dyDescent="0.25">
      <c r="E349">
        <f t="shared" si="37"/>
        <v>56</v>
      </c>
      <c r="G349" t="s">
        <v>223</v>
      </c>
      <c r="H349" s="51">
        <v>38</v>
      </c>
      <c r="I349" s="51">
        <v>197</v>
      </c>
    </row>
    <row r="350" spans="5:9" x14ac:dyDescent="0.25">
      <c r="E350">
        <f t="shared" si="37"/>
        <v>56</v>
      </c>
      <c r="G350" t="s">
        <v>224</v>
      </c>
      <c r="H350" s="51">
        <v>34</v>
      </c>
      <c r="I350" s="51">
        <v>197</v>
      </c>
    </row>
    <row r="351" spans="5:9" x14ac:dyDescent="0.25">
      <c r="E351">
        <f t="shared" si="37"/>
        <v>56</v>
      </c>
      <c r="G351" t="s">
        <v>225</v>
      </c>
      <c r="H351" s="51">
        <v>37</v>
      </c>
      <c r="I351" s="51">
        <v>197</v>
      </c>
    </row>
    <row r="352" spans="5:9" x14ac:dyDescent="0.25">
      <c r="E352">
        <f t="shared" si="37"/>
        <v>56</v>
      </c>
      <c r="G352" t="s">
        <v>226</v>
      </c>
      <c r="H352">
        <v>17</v>
      </c>
      <c r="I352" s="51">
        <v>197</v>
      </c>
    </row>
    <row r="353" spans="5:9" x14ac:dyDescent="0.25">
      <c r="E353">
        <f t="shared" si="37"/>
        <v>56</v>
      </c>
      <c r="G353" t="s">
        <v>227</v>
      </c>
      <c r="H353" s="51">
        <v>13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219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220</v>
      </c>
      <c r="H355" s="51">
        <v>3</v>
      </c>
      <c r="I355" s="51">
        <v>105</v>
      </c>
    </row>
    <row r="356" spans="5:9" x14ac:dyDescent="0.25">
      <c r="E356">
        <f t="shared" si="38"/>
        <v>57</v>
      </c>
      <c r="G356" t="s">
        <v>221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222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223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224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225</v>
      </c>
      <c r="H360" s="51">
        <v>44</v>
      </c>
      <c r="I360" s="51">
        <v>105</v>
      </c>
    </row>
    <row r="361" spans="5:9" x14ac:dyDescent="0.25">
      <c r="E361">
        <f t="shared" si="38"/>
        <v>57</v>
      </c>
      <c r="G361" t="s">
        <v>226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227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219</v>
      </c>
      <c r="H363" s="51">
        <v>8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220</v>
      </c>
      <c r="H364" s="51">
        <v>18</v>
      </c>
      <c r="I364" s="51">
        <v>122</v>
      </c>
    </row>
    <row r="365" spans="5:9" x14ac:dyDescent="0.25">
      <c r="E365">
        <f t="shared" si="39"/>
        <v>58</v>
      </c>
      <c r="G365" t="s">
        <v>221</v>
      </c>
      <c r="H365" s="51">
        <v>16</v>
      </c>
      <c r="I365" s="51">
        <v>122</v>
      </c>
    </row>
    <row r="366" spans="5:9" x14ac:dyDescent="0.25">
      <c r="E366">
        <f t="shared" si="39"/>
        <v>58</v>
      </c>
      <c r="G366" t="s">
        <v>222</v>
      </c>
      <c r="H366" s="51">
        <v>26</v>
      </c>
      <c r="I366" s="51">
        <v>122</v>
      </c>
    </row>
    <row r="367" spans="5:9" x14ac:dyDescent="0.25">
      <c r="E367">
        <f t="shared" si="39"/>
        <v>58</v>
      </c>
      <c r="G367" t="s">
        <v>223</v>
      </c>
      <c r="H367" s="51">
        <v>29</v>
      </c>
      <c r="I367" s="51">
        <v>122</v>
      </c>
    </row>
    <row r="368" spans="5:9" x14ac:dyDescent="0.25">
      <c r="E368">
        <f t="shared" si="39"/>
        <v>58</v>
      </c>
      <c r="G368" t="s">
        <v>224</v>
      </c>
      <c r="H368" s="51">
        <v>29</v>
      </c>
      <c r="I368" s="51">
        <v>122</v>
      </c>
    </row>
    <row r="369" spans="5:9" x14ac:dyDescent="0.25">
      <c r="E369">
        <f t="shared" si="39"/>
        <v>58</v>
      </c>
      <c r="G369" t="s">
        <v>225</v>
      </c>
      <c r="H369" s="51">
        <v>9</v>
      </c>
      <c r="I369" s="51">
        <v>122</v>
      </c>
    </row>
    <row r="370" spans="5:9" x14ac:dyDescent="0.25">
      <c r="E370">
        <f t="shared" si="39"/>
        <v>58</v>
      </c>
      <c r="G370" t="s">
        <v>226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227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219</v>
      </c>
      <c r="H372">
        <v>31</v>
      </c>
      <c r="I372">
        <v>124</v>
      </c>
    </row>
    <row r="373" spans="5:9" x14ac:dyDescent="0.25">
      <c r="E373">
        <f t="shared" ref="E373:E380" si="40">+$F$372</f>
        <v>59</v>
      </c>
      <c r="G373" t="s">
        <v>220</v>
      </c>
      <c r="H373">
        <v>21</v>
      </c>
      <c r="I373">
        <v>124</v>
      </c>
    </row>
    <row r="374" spans="5:9" x14ac:dyDescent="0.25">
      <c r="E374">
        <f t="shared" si="40"/>
        <v>59</v>
      </c>
      <c r="G374" t="s">
        <v>221</v>
      </c>
      <c r="H374">
        <v>31</v>
      </c>
      <c r="I374">
        <v>124</v>
      </c>
    </row>
    <row r="375" spans="5:9" x14ac:dyDescent="0.25">
      <c r="E375">
        <f t="shared" si="40"/>
        <v>59</v>
      </c>
      <c r="G375" t="s">
        <v>222</v>
      </c>
      <c r="H375">
        <v>32</v>
      </c>
      <c r="I375">
        <v>124</v>
      </c>
    </row>
    <row r="376" spans="5:9" x14ac:dyDescent="0.25">
      <c r="E376">
        <f t="shared" si="40"/>
        <v>59</v>
      </c>
      <c r="G376" t="s">
        <v>223</v>
      </c>
      <c r="H376">
        <v>39</v>
      </c>
      <c r="I376">
        <v>124</v>
      </c>
    </row>
    <row r="377" spans="5:9" x14ac:dyDescent="0.25">
      <c r="E377">
        <f t="shared" si="40"/>
        <v>59</v>
      </c>
      <c r="G377" t="s">
        <v>224</v>
      </c>
      <c r="H377">
        <v>34</v>
      </c>
      <c r="I377">
        <v>124</v>
      </c>
    </row>
    <row r="378" spans="5:9" x14ac:dyDescent="0.25">
      <c r="E378">
        <f t="shared" si="40"/>
        <v>59</v>
      </c>
      <c r="G378" t="s">
        <v>225</v>
      </c>
      <c r="H378">
        <v>10</v>
      </c>
      <c r="I378">
        <v>124</v>
      </c>
    </row>
    <row r="379" spans="5:9" x14ac:dyDescent="0.25">
      <c r="E379">
        <f t="shared" si="40"/>
        <v>59</v>
      </c>
      <c r="G379" t="s">
        <v>226</v>
      </c>
      <c r="H379">
        <v>11</v>
      </c>
      <c r="I379">
        <v>124</v>
      </c>
    </row>
    <row r="380" spans="5:9" x14ac:dyDescent="0.25">
      <c r="E380">
        <f t="shared" si="40"/>
        <v>59</v>
      </c>
      <c r="G380" t="s">
        <v>227</v>
      </c>
      <c r="H380">
        <v>9</v>
      </c>
      <c r="I380">
        <v>124</v>
      </c>
    </row>
    <row r="381" spans="5:9" x14ac:dyDescent="0.25">
      <c r="E381">
        <f>+$F$381</f>
        <v>7</v>
      </c>
      <c r="F381">
        <v>7</v>
      </c>
      <c r="G381" t="s">
        <v>219</v>
      </c>
      <c r="H381">
        <v>5</v>
      </c>
      <c r="I381">
        <v>115</v>
      </c>
    </row>
    <row r="382" spans="5:9" x14ac:dyDescent="0.25">
      <c r="E382">
        <f t="shared" ref="E382:E389" si="41">+$F$381</f>
        <v>7</v>
      </c>
      <c r="G382" t="s">
        <v>220</v>
      </c>
      <c r="H382">
        <v>3</v>
      </c>
      <c r="I382">
        <v>115</v>
      </c>
    </row>
    <row r="383" spans="5:9" x14ac:dyDescent="0.25">
      <c r="E383">
        <f t="shared" si="41"/>
        <v>7</v>
      </c>
      <c r="G383" t="s">
        <v>221</v>
      </c>
      <c r="H383">
        <v>14</v>
      </c>
      <c r="I383">
        <v>115</v>
      </c>
    </row>
    <row r="384" spans="5:9" x14ac:dyDescent="0.25">
      <c r="E384">
        <f t="shared" si="41"/>
        <v>7</v>
      </c>
      <c r="G384" t="s">
        <v>222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223</v>
      </c>
      <c r="H385">
        <v>6</v>
      </c>
      <c r="I385">
        <v>115</v>
      </c>
    </row>
    <row r="386" spans="5:9" x14ac:dyDescent="0.25">
      <c r="E386">
        <f t="shared" si="41"/>
        <v>7</v>
      </c>
      <c r="G386" t="s">
        <v>224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225</v>
      </c>
      <c r="H387">
        <v>15</v>
      </c>
      <c r="I387">
        <v>115</v>
      </c>
    </row>
    <row r="388" spans="5:9" x14ac:dyDescent="0.25">
      <c r="E388">
        <f t="shared" si="41"/>
        <v>7</v>
      </c>
      <c r="G388" t="s">
        <v>226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227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219</v>
      </c>
      <c r="H390">
        <v>77</v>
      </c>
      <c r="I390">
        <v>195</v>
      </c>
    </row>
    <row r="391" spans="5:9" x14ac:dyDescent="0.25">
      <c r="E391">
        <f t="shared" ref="E391:E398" si="42">+$F$390</f>
        <v>8</v>
      </c>
      <c r="G391" t="s">
        <v>220</v>
      </c>
      <c r="H391">
        <v>40</v>
      </c>
      <c r="I391">
        <v>195</v>
      </c>
    </row>
    <row r="392" spans="5:9" x14ac:dyDescent="0.25">
      <c r="E392">
        <f t="shared" si="42"/>
        <v>8</v>
      </c>
      <c r="G392" t="s">
        <v>221</v>
      </c>
      <c r="H392">
        <v>88</v>
      </c>
      <c r="I392">
        <v>195</v>
      </c>
    </row>
    <row r="393" spans="5:9" x14ac:dyDescent="0.25">
      <c r="E393">
        <f t="shared" si="42"/>
        <v>8</v>
      </c>
      <c r="G393" t="s">
        <v>222</v>
      </c>
      <c r="H393">
        <v>36</v>
      </c>
      <c r="I393">
        <v>195</v>
      </c>
    </row>
    <row r="394" spans="5:9" x14ac:dyDescent="0.25">
      <c r="E394">
        <f t="shared" si="42"/>
        <v>8</v>
      </c>
      <c r="G394" t="s">
        <v>223</v>
      </c>
      <c r="H394">
        <v>101</v>
      </c>
      <c r="I394">
        <v>195</v>
      </c>
    </row>
    <row r="395" spans="5:9" x14ac:dyDescent="0.25">
      <c r="E395">
        <f t="shared" si="42"/>
        <v>8</v>
      </c>
      <c r="G395" t="s">
        <v>224</v>
      </c>
      <c r="H395">
        <v>89</v>
      </c>
      <c r="I395">
        <v>195</v>
      </c>
    </row>
    <row r="396" spans="5:9" x14ac:dyDescent="0.25">
      <c r="E396">
        <f t="shared" si="42"/>
        <v>8</v>
      </c>
      <c r="G396" t="s">
        <v>225</v>
      </c>
      <c r="H396">
        <v>21</v>
      </c>
      <c r="I396">
        <v>195</v>
      </c>
    </row>
    <row r="397" spans="5:9" x14ac:dyDescent="0.25">
      <c r="E397">
        <f t="shared" si="42"/>
        <v>8</v>
      </c>
      <c r="G397" t="s">
        <v>226</v>
      </c>
      <c r="H397">
        <v>36</v>
      </c>
      <c r="I397">
        <v>195</v>
      </c>
    </row>
    <row r="398" spans="5:9" x14ac:dyDescent="0.25">
      <c r="E398">
        <f t="shared" si="42"/>
        <v>8</v>
      </c>
      <c r="G398" t="s">
        <v>227</v>
      </c>
      <c r="H398">
        <v>46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219</v>
      </c>
      <c r="H399">
        <v>46</v>
      </c>
      <c r="I399">
        <v>156</v>
      </c>
    </row>
    <row r="400" spans="5:9" x14ac:dyDescent="0.25">
      <c r="E400">
        <f t="shared" ref="E400:E407" si="43">+$F$399</f>
        <v>9</v>
      </c>
      <c r="G400" t="s">
        <v>220</v>
      </c>
      <c r="H400">
        <v>59</v>
      </c>
      <c r="I400">
        <v>156</v>
      </c>
    </row>
    <row r="401" spans="5:9" x14ac:dyDescent="0.25">
      <c r="E401">
        <f t="shared" si="43"/>
        <v>9</v>
      </c>
      <c r="G401" t="s">
        <v>221</v>
      </c>
      <c r="H401">
        <v>53</v>
      </c>
      <c r="I401">
        <v>156</v>
      </c>
    </row>
    <row r="402" spans="5:9" x14ac:dyDescent="0.25">
      <c r="E402">
        <f t="shared" si="43"/>
        <v>9</v>
      </c>
      <c r="G402" t="s">
        <v>222</v>
      </c>
      <c r="H402">
        <v>53</v>
      </c>
      <c r="I402">
        <v>156</v>
      </c>
    </row>
    <row r="403" spans="5:9" x14ac:dyDescent="0.25">
      <c r="E403">
        <f t="shared" si="43"/>
        <v>9</v>
      </c>
      <c r="G403" t="s">
        <v>223</v>
      </c>
      <c r="H403">
        <v>81</v>
      </c>
      <c r="I403">
        <v>156</v>
      </c>
    </row>
    <row r="404" spans="5:9" x14ac:dyDescent="0.25">
      <c r="E404">
        <f t="shared" si="43"/>
        <v>9</v>
      </c>
      <c r="G404" t="s">
        <v>224</v>
      </c>
      <c r="H404">
        <v>83</v>
      </c>
      <c r="I404">
        <v>156</v>
      </c>
    </row>
    <row r="405" spans="5:9" x14ac:dyDescent="0.25">
      <c r="E405">
        <f t="shared" si="43"/>
        <v>9</v>
      </c>
      <c r="G405" t="s">
        <v>225</v>
      </c>
      <c r="H405">
        <v>20</v>
      </c>
      <c r="I405">
        <v>156</v>
      </c>
    </row>
    <row r="406" spans="5:9" x14ac:dyDescent="0.25">
      <c r="E406">
        <f t="shared" si="43"/>
        <v>9</v>
      </c>
      <c r="G406" t="s">
        <v>226</v>
      </c>
      <c r="H406">
        <v>37</v>
      </c>
      <c r="I406">
        <v>156</v>
      </c>
    </row>
    <row r="407" spans="5:9" x14ac:dyDescent="0.25">
      <c r="E407">
        <f t="shared" si="43"/>
        <v>9</v>
      </c>
      <c r="G407" t="s">
        <v>227</v>
      </c>
      <c r="H407">
        <v>33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204</v>
      </c>
      <c r="B2">
        <v>1</v>
      </c>
      <c r="C2" s="52">
        <v>46082</v>
      </c>
      <c r="D2" t="s">
        <v>156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204</v>
      </c>
      <c r="B3">
        <v>1</v>
      </c>
      <c r="C3" s="52">
        <v>46082</v>
      </c>
      <c r="D3" t="s">
        <v>180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204</v>
      </c>
      <c r="B4">
        <v>1</v>
      </c>
      <c r="C4" s="52">
        <v>46082</v>
      </c>
      <c r="D4" t="s">
        <v>157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204</v>
      </c>
      <c r="B5">
        <v>1</v>
      </c>
      <c r="C5" s="52">
        <v>46082</v>
      </c>
      <c r="D5" t="s">
        <v>162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204</v>
      </c>
      <c r="B6">
        <v>1</v>
      </c>
      <c r="C6" s="52">
        <v>46082</v>
      </c>
      <c r="D6" t="s">
        <v>163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204</v>
      </c>
      <c r="B7">
        <v>1</v>
      </c>
      <c r="C7" s="52">
        <v>46082</v>
      </c>
      <c r="D7" t="s">
        <v>197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204</v>
      </c>
      <c r="B8">
        <v>1</v>
      </c>
      <c r="C8" s="52">
        <v>46082</v>
      </c>
      <c r="D8" t="s">
        <v>158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204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204</v>
      </c>
      <c r="B10">
        <v>1</v>
      </c>
      <c r="C10" s="52">
        <v>46082</v>
      </c>
      <c r="D10" t="s">
        <v>164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204</v>
      </c>
      <c r="B11">
        <v>1</v>
      </c>
      <c r="C11" s="52">
        <v>46082</v>
      </c>
      <c r="D11" t="s">
        <v>165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204</v>
      </c>
      <c r="B12">
        <v>1</v>
      </c>
      <c r="C12" s="52">
        <v>46082</v>
      </c>
      <c r="D12" t="s">
        <v>181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204</v>
      </c>
      <c r="B13">
        <v>1</v>
      </c>
      <c r="C13" s="52">
        <v>46082</v>
      </c>
      <c r="D13" t="s">
        <v>202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204</v>
      </c>
      <c r="B14">
        <v>1</v>
      </c>
      <c r="C14" s="52">
        <v>46082</v>
      </c>
      <c r="D14" t="s">
        <v>166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204</v>
      </c>
      <c r="B15">
        <v>1</v>
      </c>
      <c r="C15" s="52">
        <v>46082</v>
      </c>
      <c r="D15" t="s">
        <v>167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204</v>
      </c>
      <c r="B16">
        <v>1</v>
      </c>
      <c r="C16" s="52">
        <v>46082</v>
      </c>
      <c r="D16" t="s">
        <v>182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204</v>
      </c>
      <c r="B17">
        <v>1</v>
      </c>
      <c r="C17" s="52">
        <v>46082</v>
      </c>
      <c r="D17" t="s">
        <v>168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204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204</v>
      </c>
      <c r="B19">
        <v>1</v>
      </c>
      <c r="C19" s="52">
        <v>46082</v>
      </c>
      <c r="D19" t="s">
        <v>198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204</v>
      </c>
      <c r="B20">
        <v>1</v>
      </c>
      <c r="C20" s="52">
        <v>46082</v>
      </c>
      <c r="D20" t="s">
        <v>159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204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204</v>
      </c>
      <c r="B22">
        <v>1</v>
      </c>
      <c r="C22" s="52">
        <v>46082</v>
      </c>
      <c r="D22" t="s">
        <v>169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204</v>
      </c>
      <c r="B23">
        <v>1</v>
      </c>
      <c r="C23" s="52">
        <v>46082</v>
      </c>
      <c r="D23" t="s">
        <v>170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204</v>
      </c>
      <c r="B24">
        <v>1</v>
      </c>
      <c r="C24" s="52">
        <v>46082</v>
      </c>
      <c r="D24" t="s">
        <v>171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204</v>
      </c>
      <c r="B25">
        <v>1</v>
      </c>
      <c r="C25" s="52">
        <v>46082</v>
      </c>
      <c r="D25" t="s">
        <v>172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204</v>
      </c>
      <c r="B26">
        <v>1</v>
      </c>
      <c r="C26" s="52">
        <v>46082</v>
      </c>
      <c r="D26" t="s">
        <v>188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204</v>
      </c>
      <c r="B27">
        <v>1</v>
      </c>
      <c r="C27" s="52">
        <v>46082</v>
      </c>
      <c r="D27" t="s">
        <v>173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204</v>
      </c>
      <c r="B28">
        <v>1</v>
      </c>
      <c r="C28" s="52">
        <v>46082</v>
      </c>
      <c r="D28" t="s">
        <v>189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204</v>
      </c>
      <c r="B29">
        <v>1</v>
      </c>
      <c r="C29" s="52">
        <v>46082</v>
      </c>
      <c r="D29" t="s">
        <v>174</v>
      </c>
      <c r="E29">
        <v>33</v>
      </c>
      <c r="F29" t="s">
        <v>175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204</v>
      </c>
      <c r="B30">
        <v>1</v>
      </c>
      <c r="C30" s="52">
        <v>46082</v>
      </c>
      <c r="D30" t="s">
        <v>183</v>
      </c>
      <c r="E30">
        <v>36</v>
      </c>
      <c r="F30" t="s">
        <v>184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204</v>
      </c>
      <c r="B31">
        <v>1</v>
      </c>
      <c r="C31" s="52">
        <v>46082</v>
      </c>
      <c r="D31" t="s">
        <v>176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204</v>
      </c>
      <c r="B32">
        <v>1</v>
      </c>
      <c r="C32" s="52">
        <v>46082</v>
      </c>
      <c r="D32" t="s">
        <v>160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204</v>
      </c>
      <c r="B33">
        <v>1</v>
      </c>
      <c r="C33" s="52">
        <v>46082</v>
      </c>
      <c r="D33" t="s">
        <v>200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204</v>
      </c>
      <c r="B34">
        <v>1</v>
      </c>
      <c r="C34" s="52">
        <v>46082</v>
      </c>
      <c r="D34" t="s">
        <v>203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204</v>
      </c>
      <c r="B35">
        <v>1</v>
      </c>
      <c r="C35" s="52">
        <v>46082</v>
      </c>
      <c r="D35" t="s">
        <v>177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204</v>
      </c>
      <c r="B36">
        <v>1</v>
      </c>
      <c r="C36" s="52">
        <v>46082</v>
      </c>
      <c r="D36" t="s">
        <v>199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204</v>
      </c>
      <c r="B37">
        <v>1</v>
      </c>
      <c r="C37" s="52">
        <v>46082</v>
      </c>
      <c r="D37" t="s">
        <v>190</v>
      </c>
      <c r="E37">
        <v>52</v>
      </c>
      <c r="F37" t="s">
        <v>191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204</v>
      </c>
      <c r="B38">
        <v>1</v>
      </c>
      <c r="C38" s="52">
        <v>46082</v>
      </c>
      <c r="D38" t="s">
        <v>192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204</v>
      </c>
      <c r="B39">
        <v>1</v>
      </c>
      <c r="C39" s="52">
        <v>46082</v>
      </c>
      <c r="D39" t="s">
        <v>178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204</v>
      </c>
      <c r="B40">
        <v>1</v>
      </c>
      <c r="C40" s="52">
        <v>46082</v>
      </c>
      <c r="D40" t="s">
        <v>185</v>
      </c>
      <c r="E40">
        <v>56</v>
      </c>
      <c r="F40" t="s">
        <v>186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204</v>
      </c>
      <c r="B41">
        <v>1</v>
      </c>
      <c r="C41" s="52">
        <v>46082</v>
      </c>
      <c r="D41" t="s">
        <v>201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204</v>
      </c>
      <c r="B42">
        <v>1</v>
      </c>
      <c r="C42" s="52">
        <v>46082</v>
      </c>
      <c r="D42" t="s">
        <v>193</v>
      </c>
      <c r="E42">
        <v>58</v>
      </c>
      <c r="F42" t="s">
        <v>194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204</v>
      </c>
      <c r="B43">
        <v>1</v>
      </c>
      <c r="C43" s="52">
        <v>46082</v>
      </c>
      <c r="D43" t="s">
        <v>195</v>
      </c>
      <c r="E43">
        <v>59</v>
      </c>
      <c r="F43" t="s">
        <v>196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204</v>
      </c>
      <c r="B44">
        <v>1</v>
      </c>
      <c r="C44" s="52">
        <v>46082</v>
      </c>
      <c r="D44" t="s">
        <v>179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204</v>
      </c>
      <c r="B45">
        <v>1</v>
      </c>
      <c r="C45" s="52">
        <v>46082</v>
      </c>
      <c r="D45" t="s">
        <v>187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237</v>
      </c>
      <c r="B1" s="135" t="s">
        <v>238</v>
      </c>
      <c r="C1" s="136"/>
      <c r="D1" s="137" t="s">
        <v>239</v>
      </c>
    </row>
    <row r="2" spans="1:4" x14ac:dyDescent="0.25">
      <c r="A2" s="138" t="s">
        <v>240</v>
      </c>
      <c r="B2" s="138" t="s">
        <v>7</v>
      </c>
      <c r="C2" s="136"/>
      <c r="D2" s="136">
        <v>0.21185358796296297</v>
      </c>
    </row>
    <row r="3" spans="1:4" x14ac:dyDescent="0.25">
      <c r="A3" s="138" t="s">
        <v>241</v>
      </c>
      <c r="B3" s="138" t="s">
        <v>4</v>
      </c>
      <c r="C3" s="136"/>
      <c r="D3" s="136">
        <v>0.27407997685185181</v>
      </c>
    </row>
    <row r="4" spans="1:4" x14ac:dyDescent="0.25">
      <c r="A4" s="138" t="s">
        <v>242</v>
      </c>
      <c r="B4" s="138" t="s">
        <v>11</v>
      </c>
      <c r="C4" s="136"/>
      <c r="D4" s="136">
        <v>0.26547164351851854</v>
      </c>
    </row>
    <row r="5" spans="1:4" x14ac:dyDescent="0.25">
      <c r="A5" s="138" t="s">
        <v>243</v>
      </c>
      <c r="B5" s="138" t="s">
        <v>17</v>
      </c>
      <c r="C5" s="136"/>
      <c r="D5" s="136">
        <v>0.25571851851851851</v>
      </c>
    </row>
    <row r="6" spans="1:4" x14ac:dyDescent="0.25">
      <c r="A6" s="138" t="s">
        <v>244</v>
      </c>
      <c r="B6" s="138" t="s">
        <v>22</v>
      </c>
      <c r="C6" s="136"/>
      <c r="D6" s="136">
        <v>0.23859953703703701</v>
      </c>
    </row>
    <row r="7" spans="1:4" x14ac:dyDescent="0.25">
      <c r="A7" s="138" t="s">
        <v>245</v>
      </c>
      <c r="B7" s="138" t="s">
        <v>275</v>
      </c>
      <c r="C7" s="136"/>
      <c r="D7" s="136">
        <v>0.26923697916666672</v>
      </c>
    </row>
    <row r="8" spans="1:4" x14ac:dyDescent="0.25">
      <c r="A8" s="138" t="s">
        <v>246</v>
      </c>
      <c r="B8" s="138" t="s">
        <v>72</v>
      </c>
      <c r="C8" s="136"/>
      <c r="D8" s="136">
        <v>0.24571527777777774</v>
      </c>
    </row>
    <row r="9" spans="1:4" x14ac:dyDescent="0.25">
      <c r="A9" s="138" t="s">
        <v>247</v>
      </c>
      <c r="B9" s="138" t="s">
        <v>3</v>
      </c>
      <c r="C9" s="136"/>
      <c r="D9" s="136">
        <v>0.26156712962962958</v>
      </c>
    </row>
    <row r="10" spans="1:4" x14ac:dyDescent="0.25">
      <c r="A10" s="138" t="s">
        <v>248</v>
      </c>
      <c r="B10" s="138" t="s">
        <v>186</v>
      </c>
      <c r="C10" s="136"/>
      <c r="D10" s="136">
        <v>0.11846547067901236</v>
      </c>
    </row>
    <row r="11" spans="1:4" x14ac:dyDescent="0.25">
      <c r="A11" s="138" t="s">
        <v>249</v>
      </c>
      <c r="B11" s="138" t="s">
        <v>19</v>
      </c>
      <c r="C11" s="136"/>
      <c r="D11" s="136">
        <v>0.26648634259259263</v>
      </c>
    </row>
    <row r="12" spans="1:4" x14ac:dyDescent="0.25">
      <c r="A12" s="138" t="s">
        <v>250</v>
      </c>
      <c r="B12" s="138" t="s">
        <v>71</v>
      </c>
      <c r="C12" s="136"/>
      <c r="D12" s="136">
        <v>0.29533958333333332</v>
      </c>
    </row>
    <row r="13" spans="1:4" x14ac:dyDescent="0.25">
      <c r="A13" s="138" t="s">
        <v>251</v>
      </c>
      <c r="B13" s="138" t="s">
        <v>6</v>
      </c>
      <c r="C13" s="136"/>
      <c r="D13" s="136">
        <v>0.22815590277777781</v>
      </c>
    </row>
    <row r="14" spans="1:4" x14ac:dyDescent="0.25">
      <c r="A14" s="138" t="s">
        <v>252</v>
      </c>
      <c r="B14" s="138" t="s">
        <v>276</v>
      </c>
      <c r="C14" s="136"/>
      <c r="D14" s="136">
        <v>0.28002870370370364</v>
      </c>
    </row>
    <row r="15" spans="1:4" x14ac:dyDescent="0.25">
      <c r="A15" s="138" t="s">
        <v>253</v>
      </c>
      <c r="B15" s="138" t="s">
        <v>12</v>
      </c>
      <c r="C15" s="136"/>
      <c r="D15" s="136">
        <v>0.2431605324074074</v>
      </c>
    </row>
    <row r="16" spans="1:4" x14ac:dyDescent="0.25">
      <c r="A16" s="138" t="s">
        <v>254</v>
      </c>
      <c r="B16" s="138" t="s">
        <v>21</v>
      </c>
      <c r="C16" s="136"/>
      <c r="D16" s="136">
        <v>0.23746018518518514</v>
      </c>
    </row>
    <row r="17" spans="1:4" x14ac:dyDescent="0.25">
      <c r="A17" s="138" t="s">
        <v>255</v>
      </c>
      <c r="B17" s="138" t="s">
        <v>73</v>
      </c>
      <c r="C17" s="136"/>
      <c r="D17" s="136">
        <v>0.25885347222222221</v>
      </c>
    </row>
    <row r="18" spans="1:4" x14ac:dyDescent="0.25">
      <c r="A18" s="138" t="s">
        <v>256</v>
      </c>
      <c r="B18" s="138" t="s">
        <v>20</v>
      </c>
      <c r="C18" s="136"/>
      <c r="D18" s="136">
        <v>0.25878217592592589</v>
      </c>
    </row>
    <row r="19" spans="1:4" x14ac:dyDescent="0.25">
      <c r="A19" s="138" t="s">
        <v>257</v>
      </c>
      <c r="B19" s="138" t="s">
        <v>15</v>
      </c>
      <c r="C19" s="136"/>
      <c r="D19" s="136">
        <v>0.25906412037037035</v>
      </c>
    </row>
    <row r="20" spans="1:4" x14ac:dyDescent="0.25">
      <c r="A20" s="138" t="s">
        <v>258</v>
      </c>
      <c r="B20" s="138" t="s">
        <v>14</v>
      </c>
      <c r="C20" s="136"/>
      <c r="D20" s="136">
        <v>0.29094641203703697</v>
      </c>
    </row>
    <row r="21" spans="1:4" x14ac:dyDescent="0.25">
      <c r="A21" s="138" t="s">
        <v>259</v>
      </c>
      <c r="B21" s="138" t="s">
        <v>8</v>
      </c>
      <c r="C21" s="136"/>
      <c r="D21" s="136">
        <v>0.24554085648148147</v>
      </c>
    </row>
    <row r="22" spans="1:4" x14ac:dyDescent="0.25">
      <c r="A22" s="138" t="s">
        <v>260</v>
      </c>
      <c r="B22" s="138" t="s">
        <v>1</v>
      </c>
      <c r="C22" s="136"/>
      <c r="D22" s="136">
        <v>0.24241631944444447</v>
      </c>
    </row>
    <row r="23" spans="1:4" x14ac:dyDescent="0.25">
      <c r="A23" s="138" t="s">
        <v>261</v>
      </c>
      <c r="B23" s="138" t="s">
        <v>277</v>
      </c>
      <c r="C23" s="136"/>
      <c r="D23" s="136">
        <v>0.1956384259259259</v>
      </c>
    </row>
    <row r="24" spans="1:4" x14ac:dyDescent="0.25">
      <c r="A24" s="138" t="s">
        <v>262</v>
      </c>
      <c r="B24" s="138" t="s">
        <v>26</v>
      </c>
      <c r="C24" s="136"/>
      <c r="D24" s="136">
        <v>0.24173020833333334</v>
      </c>
    </row>
    <row r="25" spans="1:4" x14ac:dyDescent="0.25">
      <c r="A25" s="138" t="s">
        <v>263</v>
      </c>
      <c r="B25" s="138" t="s">
        <v>278</v>
      </c>
      <c r="C25" s="136"/>
      <c r="D25" s="136">
        <v>0.21102986111111113</v>
      </c>
    </row>
    <row r="26" spans="1:4" x14ac:dyDescent="0.25">
      <c r="A26" s="138" t="s">
        <v>264</v>
      </c>
      <c r="B26" s="138" t="s">
        <v>175</v>
      </c>
      <c r="C26" s="136"/>
      <c r="D26" s="136">
        <v>0.26328425925925925</v>
      </c>
    </row>
    <row r="27" spans="1:4" x14ac:dyDescent="0.25">
      <c r="A27" s="138" t="s">
        <v>265</v>
      </c>
      <c r="B27" s="138" t="s">
        <v>279</v>
      </c>
      <c r="C27" s="136"/>
      <c r="D27" s="136">
        <v>0.2307990740740741</v>
      </c>
    </row>
    <row r="28" spans="1:4" x14ac:dyDescent="0.25">
      <c r="A28" s="138" t="s">
        <v>266</v>
      </c>
      <c r="B28" s="138" t="s">
        <v>25</v>
      </c>
      <c r="C28" s="136"/>
      <c r="D28" s="136">
        <v>0.17934618055555557</v>
      </c>
    </row>
    <row r="29" spans="1:4" x14ac:dyDescent="0.25">
      <c r="A29" s="138" t="s">
        <v>267</v>
      </c>
      <c r="B29" s="138" t="s">
        <v>280</v>
      </c>
      <c r="C29" s="136"/>
      <c r="D29" s="136">
        <v>0.22364618055555557</v>
      </c>
    </row>
    <row r="30" spans="1:4" x14ac:dyDescent="0.25">
      <c r="A30" s="138" t="s">
        <v>268</v>
      </c>
      <c r="B30" s="138" t="s">
        <v>191</v>
      </c>
      <c r="C30" s="136"/>
      <c r="D30" s="136">
        <v>0.18878715277777774</v>
      </c>
    </row>
    <row r="31" spans="1:4" x14ac:dyDescent="0.25">
      <c r="A31" s="138" t="s">
        <v>269</v>
      </c>
      <c r="B31" s="138" t="s">
        <v>9</v>
      </c>
      <c r="C31" s="136"/>
      <c r="D31" s="136">
        <v>0.15608136574074072</v>
      </c>
    </row>
    <row r="32" spans="1:4" x14ac:dyDescent="0.25">
      <c r="A32" s="138" t="s">
        <v>270</v>
      </c>
      <c r="B32" s="138" t="s">
        <v>13</v>
      </c>
      <c r="C32" s="136"/>
      <c r="D32" s="136">
        <v>0.18019976851851852</v>
      </c>
    </row>
    <row r="33" spans="1:4" x14ac:dyDescent="0.25">
      <c r="A33" s="138" t="s">
        <v>271</v>
      </c>
      <c r="B33" s="138" t="s">
        <v>23</v>
      </c>
      <c r="C33" s="136"/>
      <c r="D33" s="136">
        <v>0.15912731481481482</v>
      </c>
    </row>
    <row r="34" spans="1:4" x14ac:dyDescent="0.25">
      <c r="A34" s="138" t="s">
        <v>272</v>
      </c>
      <c r="B34" s="138" t="s">
        <v>10</v>
      </c>
      <c r="C34" s="136"/>
      <c r="D34" s="136">
        <v>0.12705005787037038</v>
      </c>
    </row>
    <row r="35" spans="1:4" x14ac:dyDescent="0.25">
      <c r="A35" s="138" t="s">
        <v>273</v>
      </c>
      <c r="B35" s="138" t="s">
        <v>281</v>
      </c>
      <c r="C35" s="136"/>
      <c r="D35" s="136">
        <v>0.18631111111111112</v>
      </c>
    </row>
    <row r="36" spans="1:4" x14ac:dyDescent="0.25">
      <c r="A36" s="138" t="s">
        <v>274</v>
      </c>
      <c r="B36" s="138" t="s">
        <v>282</v>
      </c>
      <c r="C36" s="136"/>
      <c r="D36" s="136">
        <v>0.14208492476851853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232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161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231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232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161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231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232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161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233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234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205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235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232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206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206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207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210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210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208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209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161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161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232</v>
      </c>
      <c r="O26">
        <v>32</v>
      </c>
      <c r="P26" s="12" t="s">
        <v>212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236</v>
      </c>
      <c r="B27" s="69" t="s">
        <v>212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214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214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213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213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211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211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205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205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215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215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2026-07-01T17:54:30Z</dcterms:modified>
</cp:coreProperties>
</file>