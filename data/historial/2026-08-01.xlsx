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Reportes Ventas Rap\"/>
    </mc:Choice>
  </mc:AlternateContent>
  <xr:revisionPtr revIDLastSave="0" documentId="8_{E773217E-6640-470E-8896-B80B16AAB75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  <c r="T11" i="6"/>
  <c r="S11" i="6"/>
  <c r="R11" i="6"/>
  <c r="Q11" i="6"/>
  <c r="P11" i="6"/>
  <c r="T10" i="6"/>
  <c r="S10" i="6"/>
  <c r="R10" i="6"/>
  <c r="Q10" i="6"/>
  <c r="P10" i="6"/>
  <c r="T9" i="6"/>
  <c r="S9" i="6"/>
  <c r="R9" i="6"/>
  <c r="Q9" i="6"/>
  <c r="P9" i="6"/>
  <c r="T8" i="6"/>
  <c r="S8" i="6"/>
  <c r="R8" i="6"/>
  <c r="Q8" i="6"/>
  <c r="P8" i="6"/>
  <c r="T7" i="6"/>
  <c r="S7" i="6"/>
  <c r="R7" i="6"/>
  <c r="Q7" i="6"/>
  <c r="P7" i="6"/>
  <c r="T6" i="6"/>
  <c r="S6" i="6"/>
  <c r="R6" i="6"/>
  <c r="Q6" i="6"/>
  <c r="P6" i="6"/>
  <c r="T5" i="6"/>
  <c r="S5" i="6"/>
  <c r="R5" i="6"/>
  <c r="Q5" i="6"/>
  <c r="P5" i="6"/>
  <c r="T4" i="6"/>
  <c r="S4" i="6"/>
  <c r="R4" i="6"/>
  <c r="Q4" i="6"/>
  <c r="P4" i="6"/>
  <c r="T3" i="6"/>
  <c r="S3" i="6"/>
  <c r="R3" i="6"/>
  <c r="Q3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<sst xmlns="http://schemas.openxmlformats.org/spreadsheetml/2006/main" count="1545" uniqueCount="284">
  <si>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</si>
  <si>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</si>
  <si>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</si>
  <si>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</si>
  <si>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</si>
  <si>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</si>
  <si>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</si>
  <si>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</si>
  <si>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</si>
  <si>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</si>
  <si>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</si>
  <si>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</si>
  <si>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</si>
  <si>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</si>
  <si>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</si>
  <si>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</si>
  <si>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</si>
  <si>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</si>
  <si>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</si>
  <si>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</si>
  <si>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</si>
  <si>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</si>
  <si>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</si>
  <si>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</si>
  <si>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</si>
  <si>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</si>
  <si>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</si>
  <si>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</si>
  <si>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</si>
  <si>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</si>
  <si>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</si>
  <si>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</si>
  <si>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</si>
  <si>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</si>
  <si>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</si>
  <si>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</si>
  <si>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</si>
  <si>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</si>
  <si>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</si>
  <si>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</si>
  <si>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</si>
  <si>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</si>
  <si>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</si>
  <si>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</si>
  <si>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</si>
  <si>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</si>
  <si>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</si>
  <si>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</si>
  <si>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</si>
  <si>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</si>
  <si>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</si>
  <si>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</si>
  <si>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</si>
  <si>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</si>
  <si>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</si>
  <si>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</si>
  <si>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</si>
  <si>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</si>
  <si>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</si>
  <si>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</si>
  <si>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</si>
  <si>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</si>
  <si>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</si>
  <si>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</si>
  <si>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</si>
  <si>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</si>
  <si>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</si>
  <si>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</si>
  <si>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</si>
  <si>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</si>
  <si>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</si>
  <si>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</si>
  <si>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</si>
  <si>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</si>
  <si>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</si>
  <si>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</si>
  <si>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</si>
  <si>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</si>
  <si>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</si>
  <si>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</si>
  <si>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</si>
  <si>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</si>
  <si>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</si>
  <si>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</si>
  <si>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</si>
  <si>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</si>
  <si>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</si>
  <si>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</si>
  <si>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</si>
  <si>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</si>
  <si>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</si>
  <si>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</si>
  <si>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</si>
  <si>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</si>
  <si>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</si>
  <si>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</si>
  <si>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</si>
  <si>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</si>
  <si>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</si>
  <si>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</si>
  <si>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</si>
  <si>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</si>
  <si>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</si>
  <si>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</si>
  <si>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</si>
  <si>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</si>
  <si>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</si>
  <si>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</si>
  <si>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</si>
  <si>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</si>
  <si>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</si>
  <si>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</si>
  <si>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</si>
  <si>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</si>
  <si>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</si>
  <si>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</si>
  <si>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</si>
  <si>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</si>
  <si>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</si>
  <si>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</si>
  <si>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</si>
  <si>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</si>
  <si>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</si>
  <si>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</si>
  <si>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</si>
  <si>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</si>
  <si>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</si>
  <si>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</si>
  <si>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</si>
  <si>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</si>
  <si>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</si>
  <si>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</si>
  <si>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</si>
  <si>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</si>
  <si>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</si>
  <si>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</si>
  <si>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</si>
  <si>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</si>
  <si>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</si>
  <si>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</si>
  <si>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</si>
  <si>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</si>
  <si>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</si>
  <si>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</si>
  <si>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</si>
  <si>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</si>
  <si>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</si>
  <si>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</si>
  <si>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</si>
  <si>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</si>
  <si>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</si>
  <si>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</si>
  <si>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</si>
  <si>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</si>
  <si>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</si>
  <si>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</si>
  <si>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</si>
  <si>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</si>
  <si>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</si>
  <si>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</si>
  <si>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</si>
  <si>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</si>
  <si>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</si>
  <si>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</si>
  <si>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</si>
  <si>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</si>
  <si>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</si>
  <si>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</si>
  <si>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</si>
  <si>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</si>
  <si>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</si>
  <si>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</si>
  <si>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</si>
  <si>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</si>
  <si>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</si>
  <si>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</si>
  <si>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</si>
  <si>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</si>
  <si>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</si>
  <si>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</si>
  <si>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</si>
  <si>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</si>
  <si>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</si>
  <si>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</si>
  <si>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</si>
  <si>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</si>
  <si>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</si>
  <si>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</si>
  <si>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</si>
  <si>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</si>
  <si>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</si>
  <si>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</si>
  <si>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</si>
  <si>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</si>
  <si>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</si>
  <si>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</si>
  <si>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</si>
  <si>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</si>
  <si>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</si>
  <si>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</si>
  <si>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</si>
  <si>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</si>
  <si>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</si>
  <si>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</si>
  <si>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</si>
  <si>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</si>
  <si>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</si>
  <si>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</si>
  <si>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</si>
  <si>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</si>
  <si>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</si>
  <si>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</si>
  <si>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</si>
  <si>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</si>
  <si>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</si>
  <si>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</si>
  <si>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</si>
  <si>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</si>
  <si>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</si>
  <si>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</si>
  <si>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</si>
  <si>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</si>
  <si>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</si>
  <si>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</si>
  <si>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</si>
  <si>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</si>
  <si>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</si>
  <si>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</si>
  <si>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</si>
  <si>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</si>
  <si>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</si>
  <si>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</si>
  <si>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</si>
  <si>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</si>
  <si>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</si>
  <si>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</si>
  <si>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</si>
  <si>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</si>
  <si>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</si>
  <si>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</si>
  <si>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</si>
  <si>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</si>
  <si>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</si>
  <si>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</si>
  <si>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</si>
  <si>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</si>
  <si>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</si>
  <si>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</si>
  <si>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</si>
  <si>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</si>
  <si>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</si>
  <si>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</si>
  <si>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</si>
  <si>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</si>
  <si>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</si>
  <si>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</si>
  <si>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</si>
  <si>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</si>
  <si>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</si>
  <si>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</si>
  <si>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</si>
  <si>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</si>
  <si>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</si>
  <si>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</si>
  <si>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</si>
  <si>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</si>
  <si>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</si>
  <si>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</si>
  <si>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</si>
  <si>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</si>
  <si>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</si>
  <si>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</si>
  <si>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</si>
  <si>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</si>
  <si>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</si>
  <si>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142 - ALMACEN</t>
  </si>
  <si>
    <t>142 - Articulos Sin Asociar Agrupacion</t>
  </si>
  <si>
    <t>142 - BEBIDAS</t>
  </si>
  <si>
    <t>142 - CHOCOLATE</t>
  </si>
  <si>
    <t>142 - GALLETITAS</t>
  </si>
  <si>
    <t>142 - GOLOSINAS</t>
  </si>
  <si>
    <t>142 - MASCOTAS</t>
  </si>
  <si>
    <t>142 - NO PERECEDEROS</t>
  </si>
  <si>
    <t>142 -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</si>
</sst>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sqref="A1:H39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2" t="s">
        <v>75</v>
      </c>
      <c r="B1" s="152" t="s">
        <v>146</v>
      </c>
      <c r="C1" s="152" t="s">
        <v>147</v>
      </c>
      <c r="D1" s="152" t="s">
        <v>148</v>
      </c>
      <c r="E1" s="152" t="s">
        <v>149</v>
      </c>
      <c r="F1" s="152" t="s">
        <v>150</v>
      </c>
      <c r="G1" s="152" t="s">
        <v>151</v>
      </c>
      <c r="H1" s="152" t="s">
        <v>152</v>
      </c>
    </row>
    <row r="2" spans="1:8" x14ac:dyDescent="0.25">
      <c r="A2" s="151" t="s">
        <v>153</v>
      </c>
      <c r="B2" s="151">
        <v>0</v>
      </c>
      <c r="C2" s="151">
        <v>1862.0273055574</v>
      </c>
      <c r="D2" s="151">
        <v>6637.8655654900003</v>
      </c>
      <c r="E2" s="151">
        <v>26839239.103877731</v>
      </c>
      <c r="F2" s="151">
        <v>0</v>
      </c>
      <c r="G2" s="151">
        <v>17693.770862068599</v>
      </c>
      <c r="H2" s="151">
        <v>17693.79</v>
      </c>
    </row>
    <row r="3" spans="1:8" x14ac:dyDescent="0.25">
      <c r="A3" s="151" t="s">
        <v>80</v>
      </c>
      <c r="B3" s="151">
        <v>1</v>
      </c>
      <c r="C3" s="151">
        <v>37.8810515877</v>
      </c>
      <c r="D3" s="151">
        <v>25.668958337900001</v>
      </c>
      <c r="E3" s="151">
        <v>589792.3620689658</v>
      </c>
      <c r="F3" s="151">
        <v>0</v>
      </c>
      <c r="G3" s="151">
        <v>17693.770862068599</v>
      </c>
      <c r="H3" s="151">
        <v>17693.79</v>
      </c>
    </row>
    <row r="4" spans="1:8" x14ac:dyDescent="0.25">
      <c r="A4" s="151" t="s">
        <v>81</v>
      </c>
      <c r="B4" s="151">
        <v>1</v>
      </c>
      <c r="C4" s="151">
        <v>5.0583333335000003</v>
      </c>
      <c r="D4" s="151">
        <v>9.6404166671000002</v>
      </c>
      <c r="E4" s="151">
        <v>216616.13950969311</v>
      </c>
      <c r="F4" s="151">
        <v>0</v>
      </c>
      <c r="G4" s="151">
        <v>0</v>
      </c>
      <c r="H4" s="151">
        <v>0</v>
      </c>
    </row>
    <row r="5" spans="1:8" x14ac:dyDescent="0.25">
      <c r="A5" s="151" t="s">
        <v>82</v>
      </c>
      <c r="B5" s="151">
        <v>1</v>
      </c>
      <c r="C5" s="151">
        <v>16.366865079299998</v>
      </c>
      <c r="D5" s="151">
        <v>73.504999999199995</v>
      </c>
      <c r="E5" s="151">
        <v>433176.80113528942</v>
      </c>
      <c r="F5" s="151">
        <v>0</v>
      </c>
      <c r="G5" s="151">
        <v>0</v>
      </c>
      <c r="H5" s="151">
        <v>0</v>
      </c>
    </row>
    <row r="6" spans="1:8" x14ac:dyDescent="0.25">
      <c r="A6" s="151" t="s">
        <v>83</v>
      </c>
      <c r="B6" s="151">
        <v>1</v>
      </c>
      <c r="C6" s="151">
        <v>14.4729166665</v>
      </c>
      <c r="D6" s="151">
        <v>21.786666664199998</v>
      </c>
      <c r="E6" s="151">
        <v>923869.61052970681</v>
      </c>
      <c r="F6" s="151">
        <v>0</v>
      </c>
      <c r="G6" s="151">
        <v>0</v>
      </c>
      <c r="H6" s="151">
        <v>0</v>
      </c>
    </row>
    <row r="7" spans="1:8" x14ac:dyDescent="0.25">
      <c r="A7" s="151" t="s">
        <v>84</v>
      </c>
      <c r="B7" s="151">
        <v>1</v>
      </c>
      <c r="C7" s="151">
        <v>27.522619047599999</v>
      </c>
      <c r="D7" s="151">
        <v>61.000000002199997</v>
      </c>
      <c r="E7" s="151">
        <v>517481.58656370948</v>
      </c>
      <c r="F7" s="151">
        <v>0</v>
      </c>
      <c r="G7" s="151">
        <v>0</v>
      </c>
      <c r="H7" s="151">
        <v>0</v>
      </c>
    </row>
    <row r="8" spans="1:8" x14ac:dyDescent="0.25">
      <c r="A8" s="151" t="s">
        <v>269</v>
      </c>
      <c r="B8" s="151">
        <v>1</v>
      </c>
      <c r="C8" s="151">
        <v>12.9130952381</v>
      </c>
      <c r="D8" s="151">
        <v>20</v>
      </c>
      <c r="E8" s="151">
        <v>154498.605210774</v>
      </c>
      <c r="F8" s="151">
        <v>0</v>
      </c>
      <c r="G8" s="151">
        <v>0</v>
      </c>
      <c r="H8" s="151">
        <v>0</v>
      </c>
    </row>
    <row r="9" spans="1:8" x14ac:dyDescent="0.25">
      <c r="A9" s="151" t="s">
        <v>86</v>
      </c>
      <c r="B9" s="151">
        <v>1</v>
      </c>
      <c r="C9" s="151">
        <v>16.074206349299999</v>
      </c>
      <c r="D9" s="151">
        <v>19.236607143800001</v>
      </c>
      <c r="E9" s="151">
        <v>394021.61419227679</v>
      </c>
      <c r="F9" s="151">
        <v>0</v>
      </c>
      <c r="G9" s="151">
        <v>0</v>
      </c>
      <c r="H9" s="151">
        <v>0</v>
      </c>
    </row>
    <row r="10" spans="1:8" x14ac:dyDescent="0.25">
      <c r="A10" s="151" t="s">
        <v>210</v>
      </c>
      <c r="B10" s="151">
        <v>1</v>
      </c>
      <c r="C10" s="151">
        <v>10</v>
      </c>
      <c r="D10" s="151">
        <v>0</v>
      </c>
      <c r="E10" s="151">
        <v>53428.248</v>
      </c>
      <c r="F10" s="151">
        <v>0</v>
      </c>
      <c r="G10" s="151">
        <v>0</v>
      </c>
      <c r="H10" s="151">
        <v>0</v>
      </c>
    </row>
    <row r="11" spans="1:8" x14ac:dyDescent="0.25">
      <c r="A11" s="151" t="s">
        <v>209</v>
      </c>
      <c r="B11" s="151">
        <v>1</v>
      </c>
      <c r="C11" s="151">
        <v>20.031349206400002</v>
      </c>
      <c r="D11" s="151">
        <v>-7.0000000020000002</v>
      </c>
      <c r="E11" s="151">
        <v>301163.0610637326</v>
      </c>
      <c r="F11" s="151">
        <v>0</v>
      </c>
      <c r="G11" s="151">
        <v>0</v>
      </c>
      <c r="H11" s="151">
        <v>0</v>
      </c>
    </row>
    <row r="12" spans="1:8" x14ac:dyDescent="0.25">
      <c r="A12" s="151" t="s">
        <v>89</v>
      </c>
      <c r="B12" s="151">
        <v>1</v>
      </c>
      <c r="C12" s="151">
        <v>7.2736111113000002</v>
      </c>
      <c r="D12" s="151">
        <v>59.9999999996</v>
      </c>
      <c r="E12" s="151">
        <v>237667.59589899681</v>
      </c>
      <c r="F12" s="151">
        <v>0</v>
      </c>
      <c r="G12" s="151">
        <v>0</v>
      </c>
      <c r="H12" s="151">
        <v>0</v>
      </c>
    </row>
    <row r="13" spans="1:8" x14ac:dyDescent="0.25">
      <c r="A13" s="151" t="s">
        <v>90</v>
      </c>
      <c r="B13" s="151">
        <v>1</v>
      </c>
      <c r="C13" s="151">
        <v>39.513888888899999</v>
      </c>
      <c r="D13" s="151">
        <v>205.82499999999999</v>
      </c>
      <c r="E13" s="151">
        <v>912552.13053580711</v>
      </c>
      <c r="F13" s="151">
        <v>0</v>
      </c>
      <c r="G13" s="151">
        <v>0</v>
      </c>
      <c r="H13" s="151">
        <v>0</v>
      </c>
    </row>
    <row r="14" spans="1:8" x14ac:dyDescent="0.25">
      <c r="A14" s="151" t="s">
        <v>91</v>
      </c>
      <c r="B14" s="151">
        <v>1</v>
      </c>
      <c r="C14" s="151">
        <v>4.3716111113</v>
      </c>
      <c r="D14" s="151">
        <v>18.0962500003</v>
      </c>
      <c r="E14" s="151">
        <v>169221.37870080801</v>
      </c>
      <c r="F14" s="151">
        <v>0</v>
      </c>
      <c r="G14" s="151">
        <v>0</v>
      </c>
      <c r="H14" s="151">
        <v>0</v>
      </c>
    </row>
    <row r="15" spans="1:8" x14ac:dyDescent="0.25">
      <c r="A15" s="151" t="s">
        <v>92</v>
      </c>
      <c r="B15" s="151">
        <v>1</v>
      </c>
      <c r="C15" s="151">
        <v>25.5455357144</v>
      </c>
      <c r="D15" s="151">
        <v>117.18250000179999</v>
      </c>
      <c r="E15" s="151">
        <v>801653.26948954444</v>
      </c>
      <c r="F15" s="151">
        <v>0</v>
      </c>
      <c r="G15" s="151">
        <v>0</v>
      </c>
      <c r="H15" s="151">
        <v>0</v>
      </c>
    </row>
    <row r="16" spans="1:8" x14ac:dyDescent="0.25">
      <c r="A16" s="151" t="s">
        <v>93</v>
      </c>
      <c r="B16" s="151">
        <v>1</v>
      </c>
      <c r="C16" s="151">
        <v>30.4625000001</v>
      </c>
      <c r="D16" s="151">
        <v>98.697083333099997</v>
      </c>
      <c r="E16" s="151">
        <v>639320.14937079034</v>
      </c>
      <c r="F16" s="151">
        <v>0</v>
      </c>
      <c r="G16" s="151">
        <v>0</v>
      </c>
      <c r="H16" s="151">
        <v>0</v>
      </c>
    </row>
    <row r="17" spans="1:8" x14ac:dyDescent="0.25">
      <c r="A17" s="151" t="s">
        <v>94</v>
      </c>
      <c r="B17" s="151">
        <v>1</v>
      </c>
      <c r="C17" s="151">
        <v>-8.3333333300000006E-2</v>
      </c>
      <c r="D17" s="151">
        <v>0</v>
      </c>
      <c r="E17" s="151">
        <v>-8487.0169966051999</v>
      </c>
      <c r="F17" s="151">
        <v>0</v>
      </c>
      <c r="G17" s="151">
        <v>0</v>
      </c>
      <c r="H17" s="151">
        <v>0</v>
      </c>
    </row>
    <row r="18" spans="1:8" x14ac:dyDescent="0.25">
      <c r="A18" s="151" t="s">
        <v>95</v>
      </c>
      <c r="B18" s="151">
        <v>1</v>
      </c>
      <c r="C18" s="151">
        <v>20.747519841399999</v>
      </c>
      <c r="D18" s="151">
        <v>35.504999999600003</v>
      </c>
      <c r="E18" s="151">
        <v>485199.90983857057</v>
      </c>
      <c r="F18" s="151">
        <v>0</v>
      </c>
      <c r="G18" s="151">
        <v>0</v>
      </c>
      <c r="H18" s="151">
        <v>0</v>
      </c>
    </row>
    <row r="19" spans="1:8" x14ac:dyDescent="0.25">
      <c r="A19" s="151" t="s">
        <v>96</v>
      </c>
      <c r="B19" s="151">
        <v>1</v>
      </c>
      <c r="C19" s="151">
        <v>546.2097222223</v>
      </c>
      <c r="D19" s="151">
        <v>1484.2800000002001</v>
      </c>
      <c r="E19" s="151">
        <v>5126631.5350277582</v>
      </c>
      <c r="F19" s="151">
        <v>0</v>
      </c>
      <c r="G19" s="151">
        <v>0</v>
      </c>
      <c r="H19" s="151">
        <v>0</v>
      </c>
    </row>
    <row r="20" spans="1:8" x14ac:dyDescent="0.25">
      <c r="A20" s="151" t="s">
        <v>97</v>
      </c>
      <c r="B20" s="151">
        <v>1</v>
      </c>
      <c r="C20" s="151">
        <v>7.5126984127999998</v>
      </c>
      <c r="D20" s="151">
        <v>22.302499999999998</v>
      </c>
      <c r="E20" s="151">
        <v>200589.14118739381</v>
      </c>
      <c r="F20" s="151">
        <v>0</v>
      </c>
      <c r="G20" s="151">
        <v>0</v>
      </c>
      <c r="H20" s="151">
        <v>0</v>
      </c>
    </row>
    <row r="21" spans="1:8" x14ac:dyDescent="0.25">
      <c r="A21" s="151" t="s">
        <v>274</v>
      </c>
      <c r="B21" s="151">
        <v>1</v>
      </c>
      <c r="C21" s="151">
        <v>5.3316666666000003</v>
      </c>
      <c r="D21" s="151">
        <v>-7.0949999999999998</v>
      </c>
      <c r="E21" s="151">
        <v>172623.30896155009</v>
      </c>
      <c r="F21" s="151">
        <v>0</v>
      </c>
      <c r="G21" s="151">
        <v>0</v>
      </c>
      <c r="H21" s="151">
        <v>0</v>
      </c>
    </row>
    <row r="22" spans="1:8" x14ac:dyDescent="0.25">
      <c r="A22" s="151" t="s">
        <v>266</v>
      </c>
      <c r="B22" s="151">
        <v>1</v>
      </c>
      <c r="C22" s="151">
        <v>-5.4</v>
      </c>
      <c r="D22" s="151">
        <v>-4</v>
      </c>
      <c r="E22" s="151">
        <v>-145097.74400000001</v>
      </c>
      <c r="F22" s="151">
        <v>0</v>
      </c>
      <c r="G22" s="151">
        <v>0</v>
      </c>
      <c r="H22" s="151">
        <v>0</v>
      </c>
    </row>
    <row r="23" spans="1:8" x14ac:dyDescent="0.25">
      <c r="A23" s="151" t="s">
        <v>98</v>
      </c>
      <c r="B23" s="151">
        <v>1</v>
      </c>
      <c r="C23" s="151">
        <v>9.0667658729999996</v>
      </c>
      <c r="D23" s="151">
        <v>66</v>
      </c>
      <c r="E23" s="151">
        <v>304375.58264775871</v>
      </c>
      <c r="F23" s="151">
        <v>0</v>
      </c>
      <c r="G23" s="151">
        <v>0</v>
      </c>
      <c r="H23" s="151">
        <v>0</v>
      </c>
    </row>
    <row r="24" spans="1:8" x14ac:dyDescent="0.25">
      <c r="A24" s="151" t="s">
        <v>99</v>
      </c>
      <c r="B24" s="151">
        <v>1</v>
      </c>
      <c r="C24" s="151">
        <v>6</v>
      </c>
      <c r="D24" s="151">
        <v>0</v>
      </c>
      <c r="E24" s="151">
        <v>84468.512000000002</v>
      </c>
      <c r="F24" s="151">
        <v>0</v>
      </c>
      <c r="G24" s="151">
        <v>0</v>
      </c>
      <c r="H24" s="151">
        <v>0</v>
      </c>
    </row>
    <row r="25" spans="1:8" x14ac:dyDescent="0.25">
      <c r="A25" s="151" t="s">
        <v>218</v>
      </c>
      <c r="B25" s="151">
        <v>1</v>
      </c>
      <c r="C25" s="151">
        <v>4.9583333332999997</v>
      </c>
      <c r="D25" s="151">
        <v>30</v>
      </c>
      <c r="E25" s="151">
        <v>91571.591333368793</v>
      </c>
      <c r="F25" s="151">
        <v>0</v>
      </c>
      <c r="G25" s="151">
        <v>0</v>
      </c>
      <c r="H25" s="151">
        <v>0</v>
      </c>
    </row>
    <row r="26" spans="1:8" x14ac:dyDescent="0.25">
      <c r="A26" s="151" t="s">
        <v>211</v>
      </c>
      <c r="B26" s="151">
        <v>1</v>
      </c>
      <c r="C26" s="151">
        <v>40.236111111100001</v>
      </c>
      <c r="D26" s="151">
        <v>332.91999999990003</v>
      </c>
      <c r="E26" s="151">
        <v>873869.51944954309</v>
      </c>
      <c r="F26" s="151">
        <v>0</v>
      </c>
      <c r="G26" s="151">
        <v>0</v>
      </c>
      <c r="H26" s="151">
        <v>0</v>
      </c>
    </row>
    <row r="27" spans="1:8" x14ac:dyDescent="0.25">
      <c r="A27" s="151" t="s">
        <v>138</v>
      </c>
      <c r="B27" s="151">
        <v>1</v>
      </c>
      <c r="C27" s="151">
        <v>9.4535714283000001</v>
      </c>
      <c r="D27" s="151">
        <v>1.9999999996</v>
      </c>
      <c r="E27" s="151">
        <v>177272.67783254781</v>
      </c>
      <c r="F27" s="151">
        <v>0</v>
      </c>
      <c r="G27" s="151">
        <v>0</v>
      </c>
      <c r="H27" s="151">
        <v>0</v>
      </c>
    </row>
    <row r="28" spans="1:8" x14ac:dyDescent="0.25">
      <c r="A28" s="151" t="s">
        <v>213</v>
      </c>
      <c r="B28" s="151">
        <v>1</v>
      </c>
      <c r="C28" s="151">
        <v>28.294444444500002</v>
      </c>
      <c r="D28" s="151">
        <v>67</v>
      </c>
      <c r="E28" s="151">
        <v>378873.79075724888</v>
      </c>
      <c r="F28" s="151">
        <v>0</v>
      </c>
      <c r="G28" s="151">
        <v>0</v>
      </c>
      <c r="H28" s="151">
        <v>0</v>
      </c>
    </row>
    <row r="29" spans="1:8" x14ac:dyDescent="0.25">
      <c r="A29" s="151" t="s">
        <v>272</v>
      </c>
      <c r="B29" s="151">
        <v>1</v>
      </c>
      <c r="C29" s="151">
        <v>12.515476190499999</v>
      </c>
      <c r="D29" s="151">
        <v>13.505000001200001</v>
      </c>
      <c r="E29" s="151">
        <v>197330.53210844341</v>
      </c>
      <c r="F29" s="151">
        <v>0</v>
      </c>
      <c r="G29" s="151">
        <v>0</v>
      </c>
      <c r="H29" s="151">
        <v>0</v>
      </c>
    </row>
    <row r="30" spans="1:8" x14ac:dyDescent="0.25">
      <c r="A30" s="151" t="s">
        <v>212</v>
      </c>
      <c r="B30" s="151">
        <v>1</v>
      </c>
      <c r="C30" s="151">
        <v>6.7444444446</v>
      </c>
      <c r="D30" s="151">
        <v>2.0000000016000001</v>
      </c>
      <c r="E30" s="151">
        <v>119556.14871938359</v>
      </c>
      <c r="F30" s="151">
        <v>0</v>
      </c>
      <c r="G30" s="151">
        <v>0</v>
      </c>
      <c r="H30" s="151">
        <v>0</v>
      </c>
    </row>
    <row r="31" spans="1:8" x14ac:dyDescent="0.25">
      <c r="A31" s="151" t="s">
        <v>267</v>
      </c>
      <c r="B31" s="151">
        <v>1</v>
      </c>
      <c r="C31" s="151">
        <v>209.45833333339999</v>
      </c>
      <c r="D31" s="151">
        <v>1307.8599999999999</v>
      </c>
      <c r="E31" s="151">
        <v>3264681.1484940564</v>
      </c>
      <c r="F31" s="151">
        <v>0</v>
      </c>
      <c r="G31" s="151">
        <v>0</v>
      </c>
      <c r="H31" s="151">
        <v>0</v>
      </c>
    </row>
    <row r="32" spans="1:8" x14ac:dyDescent="0.25">
      <c r="A32" s="151" t="s">
        <v>160</v>
      </c>
      <c r="B32" s="151">
        <v>1</v>
      </c>
      <c r="C32" s="151">
        <v>12.448214285700001</v>
      </c>
      <c r="D32" s="151">
        <v>18.9999999986</v>
      </c>
      <c r="E32" s="151">
        <v>321686.61168497842</v>
      </c>
      <c r="F32" s="151">
        <v>0</v>
      </c>
      <c r="G32" s="151">
        <v>0</v>
      </c>
      <c r="H32" s="151">
        <v>0</v>
      </c>
    </row>
    <row r="33" spans="1:8" x14ac:dyDescent="0.25">
      <c r="A33" s="151" t="s">
        <v>107</v>
      </c>
      <c r="B33" s="151">
        <v>1</v>
      </c>
      <c r="C33" s="151">
        <v>22</v>
      </c>
      <c r="D33" s="151">
        <v>235.76</v>
      </c>
      <c r="E33" s="151">
        <v>504522.28970000002</v>
      </c>
      <c r="F33" s="151">
        <v>0</v>
      </c>
      <c r="G33" s="151">
        <v>0</v>
      </c>
      <c r="H33" s="151">
        <v>0</v>
      </c>
    </row>
    <row r="34" spans="1:8" x14ac:dyDescent="0.25">
      <c r="A34" s="151" t="s">
        <v>219</v>
      </c>
      <c r="B34" s="151">
        <v>1</v>
      </c>
      <c r="C34" s="151">
        <v>6.0527777778000003</v>
      </c>
      <c r="D34" s="151">
        <v>19.1970833359</v>
      </c>
      <c r="E34" s="151">
        <v>364680.8155560593</v>
      </c>
      <c r="F34" s="151">
        <v>0</v>
      </c>
      <c r="G34" s="151">
        <v>0</v>
      </c>
      <c r="H34" s="151">
        <v>0</v>
      </c>
    </row>
    <row r="35" spans="1:8" x14ac:dyDescent="0.25">
      <c r="A35" s="151" t="s">
        <v>139</v>
      </c>
      <c r="B35" s="151">
        <v>1</v>
      </c>
      <c r="C35" s="151">
        <v>456.01388888899999</v>
      </c>
      <c r="D35" s="151">
        <v>981.2525000004</v>
      </c>
      <c r="E35" s="151">
        <v>3698779.7281864504</v>
      </c>
      <c r="F35" s="151">
        <v>0</v>
      </c>
      <c r="G35" s="151">
        <v>0</v>
      </c>
      <c r="H35" s="151">
        <v>0</v>
      </c>
    </row>
    <row r="36" spans="1:8" x14ac:dyDescent="0.25">
      <c r="A36" s="151" t="s">
        <v>214</v>
      </c>
      <c r="B36" s="151">
        <v>1</v>
      </c>
      <c r="C36" s="151">
        <v>31</v>
      </c>
      <c r="D36" s="151">
        <v>345.26</v>
      </c>
      <c r="E36" s="151">
        <v>688345.42989999999</v>
      </c>
      <c r="F36" s="151">
        <v>0</v>
      </c>
      <c r="G36" s="151">
        <v>0</v>
      </c>
      <c r="H36" s="151">
        <v>0</v>
      </c>
    </row>
    <row r="37" spans="1:8" x14ac:dyDescent="0.25">
      <c r="A37" s="151" t="s">
        <v>144</v>
      </c>
      <c r="B37" s="151">
        <v>1</v>
      </c>
      <c r="C37" s="151">
        <v>139.55555555559999</v>
      </c>
      <c r="D37" s="151">
        <v>845.48000000059994</v>
      </c>
      <c r="E37" s="151">
        <v>3077327.1147569478</v>
      </c>
      <c r="F37" s="151">
        <v>0</v>
      </c>
      <c r="G37" s="151">
        <v>0</v>
      </c>
      <c r="H37" s="151">
        <v>0</v>
      </c>
    </row>
    <row r="38" spans="1:8" x14ac:dyDescent="0.25">
      <c r="A38" s="151" t="s">
        <v>154</v>
      </c>
      <c r="B38" s="151">
        <v>1</v>
      </c>
      <c r="C38" s="151">
        <v>24.276309524199998</v>
      </c>
      <c r="D38" s="151">
        <v>112.00000000519999</v>
      </c>
      <c r="E38" s="151">
        <v>491705.52225758799</v>
      </c>
      <c r="F38" s="151">
        <v>0</v>
      </c>
      <c r="G38" s="151">
        <v>0</v>
      </c>
      <c r="H38" s="151">
        <v>0</v>
      </c>
    </row>
    <row r="39" spans="1:8" x14ac:dyDescent="0.25">
      <c r="A39" s="151" t="s">
        <v>217</v>
      </c>
      <c r="B39" s="151">
        <v>1</v>
      </c>
      <c r="C39" s="151">
        <v>2.1472222221999999</v>
      </c>
      <c r="D39" s="151">
        <v>4</v>
      </c>
      <c r="E39" s="151">
        <v>24270.4022045936</v>
      </c>
      <c r="F39" s="151">
        <v>0</v>
      </c>
      <c r="G39" s="151">
        <v>0</v>
      </c>
      <c r="H39" s="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zoomScale="80" zoomScaleNormal="80" workbookViewId="0">
      <selection activeCell="N5" sqref="N5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85546875" style="2" hidden="1" customWidth="1"/>
    <col min="6" max="6" width="18.8554687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f>IFERROR(+VLOOKUP(B2,COMISIONES!A:E,5,FALSE),"0")*1</f>
        <v>-8487.0169966051999</v>
      </c>
      <c r="E2" s="59"/>
      <c r="F2" s="59">
        <f t="shared" ref="F2:F9" si="0">+D2-E2</f>
        <v>-8487.0169966051999</v>
      </c>
      <c r="G2" s="60">
        <f t="shared" ref="G2:G47" si="1">+D2/C2</f>
        <v>-2.6292626309353819E-4</v>
      </c>
      <c r="H2" s="59">
        <f>+D2/$N$3*$N$4</f>
        <v>-212175.42491512999</v>
      </c>
      <c r="I2" s="60">
        <f t="shared" ref="I2:I48" si="2">+H2/C2</f>
        <v>-6.5731565773384541E-3</v>
      </c>
      <c r="J2" s="59">
        <f>+D2/$N$3</f>
        <v>-8487.0169966051999</v>
      </c>
      <c r="K2" s="59">
        <f t="shared" ref="K2:K38" si="3">+(C2-D2)/$N$2</f>
        <v>1345315.1523019732</v>
      </c>
      <c r="L2" s="61" cm="1">
        <f t="array" ref="L2">+_xlfn.IFS(I2&gt;114%,H2*0.02,I2&gt;109%,H2*0.015,I2&gt;104%,H2*0.0125,I2&gt;99%,H2*0.01,I2&lt;99%,H2*0)</f>
        <v>0</v>
      </c>
      <c r="M2" s="53" t="s">
        <v>36</v>
      </c>
      <c r="N2">
        <v>24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f>IFERROR(+VLOOKUP(B3,COMISIONES!A:E,5,FALSE),"0")*1</f>
        <v>639320.14937079034</v>
      </c>
      <c r="E3" s="4"/>
      <c r="F3" s="59">
        <f t="shared" si="0"/>
        <v>639320.14937079034</v>
      </c>
      <c r="G3" s="5">
        <f t="shared" si="1"/>
        <v>2.0634727377123897E-2</v>
      </c>
      <c r="H3" s="4">
        <f t="shared" ref="H3:H38" si="4">+D3/$N$3*$N$4</f>
        <v>15983003.734269759</v>
      </c>
      <c r="I3" s="5">
        <f t="shared" si="2"/>
        <v>0.51586818442809745</v>
      </c>
      <c r="J3" s="4">
        <f t="shared" ref="J3:J38" si="5">+D3/$N$3</f>
        <v>639320.14937079034</v>
      </c>
      <c r="K3" s="4">
        <f t="shared" si="3"/>
        <v>1264308.6678963527</v>
      </c>
      <c r="L3" s="63" cm="1">
        <f t="array" ref="L3">+_xlfn.IFS(I3&gt;114%,H3*0.02,I3&gt;109%,H3*0.015,I3&gt;104%,H3*0.0125,I3&gt;99%,H3*0.01,I3&lt;99%,H3*0)</f>
        <v>0</v>
      </c>
      <c r="M3" s="53" t="s">
        <v>40</v>
      </c>
      <c r="N3">
        <f>N4-N2</f>
        <v>1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f>IFERROR(+VLOOKUP(B4,COMISIONES!A:E,5,FALSE),"0")*1</f>
        <v>169221.37870080801</v>
      </c>
      <c r="E4" s="4"/>
      <c r="F4" s="59">
        <f t="shared" si="0"/>
        <v>169221.37870080801</v>
      </c>
      <c r="G4" s="5">
        <f t="shared" si="1"/>
        <v>5.960591488969158E-3</v>
      </c>
      <c r="H4" s="4">
        <f t="shared" si="4"/>
        <v>4230534.4675202006</v>
      </c>
      <c r="I4" s="5">
        <f t="shared" si="2"/>
        <v>0.14901478722422895</v>
      </c>
      <c r="J4" s="4">
        <f t="shared" si="5"/>
        <v>169221.37870080801</v>
      </c>
      <c r="K4" s="4">
        <f t="shared" si="3"/>
        <v>1175867.0783936435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f>IFERROR(+VLOOKUP(B5,COMISIONES!A:E,5,FALSE),"0")*1</f>
        <v>237667.59589899681</v>
      </c>
      <c r="E5" s="4"/>
      <c r="F5" s="59">
        <f t="shared" si="0"/>
        <v>237667.59589899681</v>
      </c>
      <c r="G5" s="5">
        <f t="shared" si="1"/>
        <v>8.371515822619623E-3</v>
      </c>
      <c r="H5" s="4">
        <f t="shared" si="4"/>
        <v>5941689.8974749204</v>
      </c>
      <c r="I5" s="5">
        <f t="shared" si="2"/>
        <v>0.20928789556549057</v>
      </c>
      <c r="J5" s="4">
        <f t="shared" si="5"/>
        <v>237667.59589899681</v>
      </c>
      <c r="K5" s="4">
        <f t="shared" si="3"/>
        <v>1173015.1526770524</v>
      </c>
      <c r="L5" s="63" cm="1">
        <f t="array" ref="L5">+_xlfn.IFS(I5&gt;114%,H5*0.02,I5&gt;109%,H5*0.015,I5&gt;104%,H5*0.0125,I5&gt;99%,H5*0.01,I5&lt;99%,H5*0)</f>
        <v>0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f>IFERROR(+VLOOKUP(B6,COMISIONES!A:E,5,FALSE),"0")*1</f>
        <v>301163.0610637326</v>
      </c>
      <c r="E6" s="4"/>
      <c r="F6" s="59">
        <f t="shared" si="0"/>
        <v>301163.0610637326</v>
      </c>
      <c r="G6" s="5">
        <f t="shared" si="1"/>
        <v>1.2799803941071363E-2</v>
      </c>
      <c r="H6" s="4">
        <f t="shared" si="4"/>
        <v>7529076.5265933154</v>
      </c>
      <c r="I6" s="5">
        <f t="shared" si="2"/>
        <v>0.31999509852678409</v>
      </c>
      <c r="J6" s="4">
        <f t="shared" si="5"/>
        <v>301163.0610637326</v>
      </c>
      <c r="K6" s="4">
        <f t="shared" si="3"/>
        <v>967815.0615190164</v>
      </c>
      <c r="L6" s="63" cm="1">
        <f t="array" ref="L6">+_xlfn.IFS(I6&gt;114%,H6*0.02,I6&gt;109%,H6*0.015,I6&gt;104%,H6*0.0125,I6&gt;99%,H6*0.01,I6&lt;99%,H6*0)</f>
        <v>0</v>
      </c>
    </row>
    <row r="7" spans="1:14" ht="16.5" thickBot="1" x14ac:dyDescent="0.3">
      <c r="A7" s="143"/>
      <c r="B7" s="36" t="s">
        <v>269</v>
      </c>
      <c r="C7" s="62">
        <v>27741857.030464504</v>
      </c>
      <c r="D7" s="4">
        <f>IFERROR(+VLOOKUP(B7,COMISIONES!A:E,5,FALSE),"0")*1</f>
        <v>154498.605210774</v>
      </c>
      <c r="E7" s="4"/>
      <c r="F7" s="59">
        <f t="shared" si="0"/>
        <v>154498.605210774</v>
      </c>
      <c r="G7" s="5">
        <f t="shared" si="1"/>
        <v>5.5691515186280629E-3</v>
      </c>
      <c r="H7" s="4">
        <f t="shared" si="4"/>
        <v>3862465.13026935</v>
      </c>
      <c r="I7" s="5">
        <f t="shared" si="2"/>
        <v>0.13922878796570157</v>
      </c>
      <c r="J7" s="4">
        <f t="shared" si="5"/>
        <v>154498.605210774</v>
      </c>
      <c r="K7" s="4">
        <f t="shared" si="3"/>
        <v>1149473.2677189054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f>IFERROR(+VLOOKUP(B8,COMISIONES!A:E,5,FALSE),"0")*1</f>
        <v>517481.58656370948</v>
      </c>
      <c r="E8" s="4"/>
      <c r="F8" s="59">
        <f t="shared" si="0"/>
        <v>517481.58656370948</v>
      </c>
      <c r="G8" s="5">
        <f t="shared" si="1"/>
        <v>1.4442258244038431E-2</v>
      </c>
      <c r="H8" s="4">
        <f t="shared" si="4"/>
        <v>12937039.664092736</v>
      </c>
      <c r="I8" s="5">
        <f t="shared" si="2"/>
        <v>0.36105645610096077</v>
      </c>
      <c r="J8" s="4">
        <f t="shared" si="5"/>
        <v>517481.58656370948</v>
      </c>
      <c r="K8" s="4">
        <f t="shared" si="3"/>
        <v>1471399.57626475</v>
      </c>
      <c r="L8" s="63" cm="1">
        <f t="array" ref="L8">+_xlfn.IFS(I8&gt;114%,H8*0.02,I8&gt;109%,H8*0.015,I8&gt;104%,H8*0.0125,I8&gt;99%,H8*0.01,I8&lt;99%,H8*0)</f>
        <v>0</v>
      </c>
    </row>
    <row r="9" spans="1:14" ht="15.75" x14ac:dyDescent="0.25">
      <c r="A9" s="143"/>
      <c r="B9" s="36" t="s">
        <v>83</v>
      </c>
      <c r="C9" s="62">
        <v>35831071.416917704</v>
      </c>
      <c r="D9" s="4">
        <f>IFERROR(+VLOOKUP(B9,COMISIONES!A:E,5,FALSE),"0")*1</f>
        <v>923869.61052970681</v>
      </c>
      <c r="E9" s="4"/>
      <c r="F9" s="59">
        <f t="shared" si="0"/>
        <v>923869.61052970681</v>
      </c>
      <c r="G9" s="5">
        <f t="shared" si="1"/>
        <v>2.5784035307788764E-2</v>
      </c>
      <c r="H9" s="4">
        <f t="shared" si="4"/>
        <v>23096740.263242669</v>
      </c>
      <c r="I9" s="5">
        <f t="shared" si="2"/>
        <v>0.64460088269471905</v>
      </c>
      <c r="J9" s="4">
        <f t="shared" si="5"/>
        <v>923869.61052970681</v>
      </c>
      <c r="K9" s="4">
        <f t="shared" si="3"/>
        <v>1454466.7419328333</v>
      </c>
      <c r="L9" s="63" cm="1">
        <f t="array" ref="L9">+_xlfn.IFS(I9&gt;114%,H9*0.02,I9&gt;109%,H9*0.015,I9&gt;104%,H9*0.0125,I9&gt;99%,H9*0.01,I9&lt;99%,H9*0)</f>
        <v>0</v>
      </c>
    </row>
    <row r="10" spans="1:14" ht="16.5" thickBot="1" x14ac:dyDescent="0.3">
      <c r="A10" s="144"/>
      <c r="B10" s="3"/>
      <c r="C10" s="64">
        <v>242974591.73925051</v>
      </c>
      <c r="D10" s="64">
        <f>+SUM(D2:D9)</f>
        <v>2934734.9703419125</v>
      </c>
      <c r="E10" s="64"/>
      <c r="F10" s="66">
        <f>+D10-E10</f>
        <v>2934734.9703419125</v>
      </c>
      <c r="G10" s="65">
        <f t="shared" si="1"/>
        <v>1.207836156585187E-2</v>
      </c>
      <c r="H10" s="64">
        <f t="shared" si="4"/>
        <v>73368374.258547813</v>
      </c>
      <c r="I10" s="65">
        <f t="shared" si="2"/>
        <v>0.30195903914629674</v>
      </c>
      <c r="J10" s="64">
        <f t="shared" si="5"/>
        <v>2934734.9703419125</v>
      </c>
      <c r="K10" s="66">
        <f t="shared" si="3"/>
        <v>10001660.698704524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f>IFERROR(+VLOOKUP(B11,COMISIONES!A:E,5,FALSE),"0")*1</f>
        <v>5126631.5350277582</v>
      </c>
      <c r="E11" s="59"/>
      <c r="F11" s="59">
        <f t="shared" ref="F11:F14" si="6">+D11-E11</f>
        <v>5126631.5350277582</v>
      </c>
      <c r="G11" s="60">
        <f t="shared" si="1"/>
        <v>5.2867160198166292E-2</v>
      </c>
      <c r="H11" s="59">
        <f t="shared" si="4"/>
        <v>128165788.37569396</v>
      </c>
      <c r="I11" s="60">
        <f t="shared" si="2"/>
        <v>1.3216790049541574</v>
      </c>
      <c r="J11" s="59">
        <f t="shared" si="5"/>
        <v>5126631.5350277582</v>
      </c>
      <c r="K11" s="59">
        <f t="shared" si="3"/>
        <v>3826888.2060462399</v>
      </c>
      <c r="L11" s="61" cm="1">
        <f t="array" ref="L11">+_xlfn.IFS(I11&gt;114%,H11*0.0125,I11&gt;109%,H11*0.01,I11&gt;104%,H11*0.0075,I11&gt;99%,H11*0.005,I11&lt;99%,H11*0)</f>
        <v>1602072.3546961746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f>IFERROR(+VLOOKUP(B12,COMISIONES!A:E,5,FALSE),"0")*1</f>
        <v>912552.13053580711</v>
      </c>
      <c r="E12" s="4"/>
      <c r="F12" s="59">
        <f t="shared" si="6"/>
        <v>912552.13053580711</v>
      </c>
      <c r="G12" s="5">
        <f t="shared" si="1"/>
        <v>7.1091016731313376E-3</v>
      </c>
      <c r="H12" s="4">
        <f t="shared" si="4"/>
        <v>22813803.263395179</v>
      </c>
      <c r="I12" s="5">
        <f t="shared" si="2"/>
        <v>0.17772754182828346</v>
      </c>
      <c r="J12" s="4">
        <f t="shared" si="5"/>
        <v>912552.13053580711</v>
      </c>
      <c r="K12" s="4">
        <f t="shared" si="3"/>
        <v>5310473.4976703823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270</v>
      </c>
      <c r="C13" s="62">
        <v>42449057.394974999</v>
      </c>
      <c r="D13" s="4">
        <f>IFERROR(+VLOOKUP(B13,COMISIONES!A:E,5,FALSE),"0")*1</f>
        <v>0</v>
      </c>
      <c r="E13" s="4"/>
      <c r="F13" s="59">
        <f t="shared" si="6"/>
        <v>0</v>
      </c>
      <c r="G13" s="5">
        <f t="shared" si="1"/>
        <v>0</v>
      </c>
      <c r="H13" s="4">
        <f t="shared" si="4"/>
        <v>0</v>
      </c>
      <c r="I13" s="5">
        <f t="shared" si="2"/>
        <v>0</v>
      </c>
      <c r="J13" s="4">
        <f t="shared" si="5"/>
        <v>0</v>
      </c>
      <c r="K13" s="4">
        <f t="shared" si="3"/>
        <v>1768710.724790625</v>
      </c>
      <c r="L13" s="63" cm="1">
        <f t="array" ref="L13">+_xlfn.IFS(I13&gt;109%,H13*0.015,I13&gt;104%,H13*0.0125,I13&gt;99%,H13*0.01,I13&lt;99%,H13*0)</f>
        <v>0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f>IFERROR(+VLOOKUP(B14,COMISIONES!A:E,5,FALSE),"0")*1</f>
        <v>504522.28970000002</v>
      </c>
      <c r="E14" s="4"/>
      <c r="F14" s="59">
        <f t="shared" si="6"/>
        <v>504522.28970000002</v>
      </c>
      <c r="G14" s="5">
        <f t="shared" si="1"/>
        <v>1.1885359078897331E-2</v>
      </c>
      <c r="H14" s="4">
        <f t="shared" si="4"/>
        <v>12613057.2425</v>
      </c>
      <c r="I14" s="5">
        <f t="shared" si="2"/>
        <v>0.29713397697243327</v>
      </c>
      <c r="J14" s="4">
        <f t="shared" si="5"/>
        <v>504522.28970000002</v>
      </c>
      <c r="K14" s="4">
        <f t="shared" si="3"/>
        <v>1747688.9627197916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4"/>
      <c r="B15" s="3"/>
      <c r="C15" s="64">
        <v>341864881.75327951</v>
      </c>
      <c r="D15" s="64">
        <f>+SUM(D11:D14)</f>
        <v>6543705.9552635653</v>
      </c>
      <c r="E15" s="64"/>
      <c r="F15" s="66">
        <f>+D15-E15</f>
        <v>6543705.9552635653</v>
      </c>
      <c r="G15" s="65">
        <f t="shared" si="1"/>
        <v>1.9141205501143264E-2</v>
      </c>
      <c r="H15" s="64">
        <f t="shared" si="4"/>
        <v>163592648.88158914</v>
      </c>
      <c r="I15" s="65">
        <f t="shared" si="2"/>
        <v>0.47853013752858164</v>
      </c>
      <c r="J15" s="64">
        <f t="shared" si="5"/>
        <v>6543705.9552635653</v>
      </c>
      <c r="K15" s="66">
        <f t="shared" si="3"/>
        <v>13971715.658250665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f>IFERROR(+VLOOKUP(B16,COMISIONES!A:E,5,FALSE),"0")*1</f>
        <v>216616.13950969311</v>
      </c>
      <c r="E16" s="59"/>
      <c r="F16" s="59">
        <f t="shared" ref="F16:F46" si="7">+D16-E16</f>
        <v>216616.13950969311</v>
      </c>
      <c r="G16" s="60">
        <f t="shared" si="1"/>
        <v>7.6192803204253642E-3</v>
      </c>
      <c r="H16" s="59">
        <f t="shared" si="4"/>
        <v>5415403.4877423281</v>
      </c>
      <c r="I16" s="60">
        <f t="shared" si="2"/>
        <v>0.19048200801063411</v>
      </c>
      <c r="J16" s="59">
        <f t="shared" si="5"/>
        <v>216616.13950969311</v>
      </c>
      <c r="K16" s="59">
        <f t="shared" si="3"/>
        <v>1175557.6608537629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f>IFERROR(+VLOOKUP(B17,COMISIONES!A:E,5,FALSE),"0")*1</f>
        <v>433176.80113528942</v>
      </c>
      <c r="E17" s="4"/>
      <c r="F17" s="59">
        <f t="shared" si="7"/>
        <v>433176.80113528942</v>
      </c>
      <c r="G17" s="5">
        <f t="shared" si="1"/>
        <v>1.7327072045411576E-2</v>
      </c>
      <c r="H17" s="4">
        <f t="shared" si="4"/>
        <v>10829420.028382236</v>
      </c>
      <c r="I17" s="5">
        <f t="shared" si="2"/>
        <v>0.43317680113528945</v>
      </c>
      <c r="J17" s="4">
        <f t="shared" si="5"/>
        <v>433176.80113528942</v>
      </c>
      <c r="K17" s="4">
        <f t="shared" si="3"/>
        <v>1023617.6332860296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f>IFERROR(+VLOOKUP(B18,COMISIONES!A:E,5,FALSE),"0")*1</f>
        <v>801653.26948954444</v>
      </c>
      <c r="E18" s="4"/>
      <c r="F18" s="59">
        <f t="shared" si="7"/>
        <v>801653.26948954444</v>
      </c>
      <c r="G18" s="5">
        <f t="shared" si="1"/>
        <v>3.1437383117237039E-2</v>
      </c>
      <c r="H18" s="4">
        <f t="shared" si="4"/>
        <v>20041331.737238612</v>
      </c>
      <c r="I18" s="5">
        <f t="shared" si="2"/>
        <v>0.78593457793092592</v>
      </c>
      <c r="J18" s="4">
        <f t="shared" si="5"/>
        <v>801653.26948954444</v>
      </c>
      <c r="K18" s="4">
        <f t="shared" si="3"/>
        <v>1029097.7804379356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f>IFERROR(+VLOOKUP(B19,COMISIONES!A:E,5,FALSE),"0")*1</f>
        <v>485199.90983857057</v>
      </c>
      <c r="E19" s="4"/>
      <c r="F19" s="59">
        <f t="shared" si="7"/>
        <v>485199.90983857057</v>
      </c>
      <c r="G19" s="5">
        <f t="shared" si="1"/>
        <v>1.3784088347686664E-2</v>
      </c>
      <c r="H19" s="4">
        <f t="shared" si="4"/>
        <v>12129997.745964264</v>
      </c>
      <c r="I19" s="5">
        <f t="shared" si="2"/>
        <v>0.34460220869216662</v>
      </c>
      <c r="J19" s="4">
        <f t="shared" si="5"/>
        <v>485199.90983857057</v>
      </c>
      <c r="K19" s="4">
        <f t="shared" si="3"/>
        <v>1446450.0037567262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f>IFERROR(+VLOOKUP(B20,COMISIONES!A:E,5,FALSE),"0")*1</f>
        <v>200589.14118739381</v>
      </c>
      <c r="E20" s="4"/>
      <c r="F20" s="59">
        <f t="shared" si="7"/>
        <v>200589.14118739381</v>
      </c>
      <c r="G20" s="5">
        <f t="shared" si="1"/>
        <v>7.6854077083292642E-3</v>
      </c>
      <c r="H20" s="4">
        <f t="shared" si="4"/>
        <v>5014728.5296848454</v>
      </c>
      <c r="I20" s="5">
        <f t="shared" si="2"/>
        <v>0.19213519270823162</v>
      </c>
      <c r="J20" s="4">
        <f t="shared" si="5"/>
        <v>200589.14118739381</v>
      </c>
      <c r="K20" s="4">
        <f t="shared" si="3"/>
        <v>1079142.119117192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218</v>
      </c>
      <c r="C21" s="70">
        <v>32600000</v>
      </c>
      <c r="D21" s="4">
        <f>IFERROR(+VLOOKUP(B21,COMISIONES!A:E,5,FALSE),"0")*1</f>
        <v>91571.591333368793</v>
      </c>
      <c r="E21" s="4"/>
      <c r="F21" s="59">
        <f t="shared" si="7"/>
        <v>91571.591333368793</v>
      </c>
      <c r="G21" s="5">
        <f t="shared" si="1"/>
        <v>2.8089445194284905E-3</v>
      </c>
      <c r="H21" s="4">
        <f t="shared" si="4"/>
        <v>2289289.7833342198</v>
      </c>
      <c r="I21" s="5">
        <f t="shared" si="2"/>
        <v>7.0223612985712267E-2</v>
      </c>
      <c r="J21" s="4">
        <f t="shared" si="5"/>
        <v>91571.591333368793</v>
      </c>
      <c r="K21" s="4">
        <f t="shared" si="3"/>
        <v>1354517.8503611097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f>IFERROR(+VLOOKUP(B22,COMISIONES!A:E,5,FALSE),"0")*1</f>
        <v>321686.61168497842</v>
      </c>
      <c r="E22" s="4"/>
      <c r="F22" s="59">
        <f t="shared" si="7"/>
        <v>321686.61168497842</v>
      </c>
      <c r="G22" s="5">
        <f t="shared" si="1"/>
        <v>1.1407326655495688E-2</v>
      </c>
      <c r="H22" s="4">
        <f t="shared" si="4"/>
        <v>8042165.2921244605</v>
      </c>
      <c r="I22" s="5">
        <f t="shared" si="2"/>
        <v>0.28518316638739222</v>
      </c>
      <c r="J22" s="4">
        <f t="shared" si="5"/>
        <v>321686.61168497842</v>
      </c>
      <c r="K22" s="4">
        <f t="shared" si="3"/>
        <v>1161596.3911797926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6"/>
      <c r="B23" s="19" t="s">
        <v>219</v>
      </c>
      <c r="C23" s="70">
        <v>36600000</v>
      </c>
      <c r="D23" s="4">
        <f>IFERROR(+VLOOKUP(B23,COMISIONES!A:E,5,FALSE),"0")*1</f>
        <v>364680.8155560593</v>
      </c>
      <c r="E23" s="4"/>
      <c r="F23" s="59">
        <f t="shared" si="7"/>
        <v>364680.8155560593</v>
      </c>
      <c r="G23" s="5">
        <f t="shared" si="1"/>
        <v>9.9639567091819488E-3</v>
      </c>
      <c r="H23" s="4">
        <f t="shared" si="4"/>
        <v>9117020.3889014833</v>
      </c>
      <c r="I23" s="5">
        <f t="shared" si="2"/>
        <v>0.24909891772954873</v>
      </c>
      <c r="J23" s="4">
        <f t="shared" si="5"/>
        <v>364680.8155560593</v>
      </c>
      <c r="K23" s="4">
        <f t="shared" si="3"/>
        <v>1509804.9660184977</v>
      </c>
      <c r="L23" s="63" cm="1">
        <f t="array" ref="L23">+_xlfn.IFS(I23&gt;114%,H23*0.02,I23&gt;109%,H23*0.015,I23&gt;104%,H23*0.0125,I23&gt;99%,H23*0.01,I23&lt;99%,H23*0)</f>
        <v>0</v>
      </c>
    </row>
    <row r="24" spans="1:13" ht="16.5" thickBot="1" x14ac:dyDescent="0.3">
      <c r="A24" s="147"/>
      <c r="B24" s="71"/>
      <c r="C24" s="66">
        <v>237630000</v>
      </c>
      <c r="D24" s="66">
        <f>+SUM(D16:D23)</f>
        <v>2915174.2797348974</v>
      </c>
      <c r="E24" s="66"/>
      <c r="F24" s="66">
        <f>+D24-E24</f>
        <v>2915174.2797348974</v>
      </c>
      <c r="G24" s="65">
        <f t="shared" si="1"/>
        <v>1.226770306667886E-2</v>
      </c>
      <c r="H24" s="64">
        <f t="shared" si="4"/>
        <v>72879356.99337244</v>
      </c>
      <c r="I24" s="65">
        <f t="shared" si="2"/>
        <v>0.30669257666697153</v>
      </c>
      <c r="J24" s="64">
        <f t="shared" si="5"/>
        <v>2915174.2797348974</v>
      </c>
      <c r="K24" s="66">
        <f t="shared" si="3"/>
        <v>9779784.4050110448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f>IFERROR(+VLOOKUP(B25,COMISIONES!A:E,5,FALSE),"0")*1</f>
        <v>873869.51944954309</v>
      </c>
      <c r="E25" s="59"/>
      <c r="F25" s="59">
        <f t="shared" si="7"/>
        <v>873869.51944954309</v>
      </c>
      <c r="G25" s="60">
        <f t="shared" si="1"/>
        <v>1.0399848113953692E-2</v>
      </c>
      <c r="H25" s="59">
        <f t="shared" si="4"/>
        <v>21846737.986238576</v>
      </c>
      <c r="I25" s="60">
        <f t="shared" si="2"/>
        <v>0.25999620284884228</v>
      </c>
      <c r="J25" s="59">
        <f t="shared" si="5"/>
        <v>873869.51944954309</v>
      </c>
      <c r="K25" s="59">
        <f t="shared" si="3"/>
        <v>3464719.7075229357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f>IFERROR(+VLOOKUP(B26,COMISIONES!A:E,5,FALSE),"0")*1</f>
        <v>378873.79075724888</v>
      </c>
      <c r="E26" s="4"/>
      <c r="F26" s="59">
        <f t="shared" si="7"/>
        <v>378873.79075724888</v>
      </c>
      <c r="G26" s="5">
        <f t="shared" si="1"/>
        <v>1.7601569837735143E-2</v>
      </c>
      <c r="H26" s="4">
        <f t="shared" si="4"/>
        <v>9471844.7689312212</v>
      </c>
      <c r="I26" s="5">
        <f t="shared" si="2"/>
        <v>0.44003924594337851</v>
      </c>
      <c r="J26" s="4">
        <f t="shared" si="5"/>
        <v>378873.79075724888</v>
      </c>
      <c r="K26" s="4">
        <f t="shared" si="3"/>
        <v>881088.59205178113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f>IFERROR(+VLOOKUP(B27,COMISIONES!A:E,5,FALSE),"0")*1</f>
        <v>394021.61419227679</v>
      </c>
      <c r="E27" s="4"/>
      <c r="F27" s="59">
        <f t="shared" si="7"/>
        <v>394021.61419227679</v>
      </c>
      <c r="G27" s="5">
        <f t="shared" si="1"/>
        <v>1.4934569203187857E-2</v>
      </c>
      <c r="H27" s="4">
        <f t="shared" si="4"/>
        <v>9850540.3548069205</v>
      </c>
      <c r="I27" s="5">
        <f t="shared" si="2"/>
        <v>0.37336423007969644</v>
      </c>
      <c r="J27" s="4">
        <f t="shared" si="5"/>
        <v>394021.61419227679</v>
      </c>
      <c r="K27" s="4">
        <f t="shared" si="3"/>
        <v>1082882.1202419882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f>IFERROR(+VLOOKUP(B28,COMISIONES!A:E,5,FALSE),"0")*1</f>
        <v>119556.14871938359</v>
      </c>
      <c r="E28" s="4"/>
      <c r="F28" s="59">
        <f t="shared" si="7"/>
        <v>119556.14871938359</v>
      </c>
      <c r="G28" s="5">
        <f t="shared" si="1"/>
        <v>3.0507550897188344E-3</v>
      </c>
      <c r="H28" s="4">
        <f t="shared" si="4"/>
        <v>2988903.7179845897</v>
      </c>
      <c r="I28" s="5">
        <f t="shared" si="2"/>
        <v>7.6268877242970864E-2</v>
      </c>
      <c r="J28" s="4">
        <f t="shared" si="5"/>
        <v>119556.14871938359</v>
      </c>
      <c r="K28" s="4">
        <f t="shared" si="3"/>
        <v>1627894.9621337261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f>IFERROR(+VLOOKUP(B29,COMISIONES!A:E,5,FALSE),"0")*1</f>
        <v>304375.58264775871</v>
      </c>
      <c r="E29" s="4"/>
      <c r="F29" s="59">
        <f t="shared" si="7"/>
        <v>304375.58264775871</v>
      </c>
      <c r="G29" s="5">
        <f t="shared" si="1"/>
        <v>1.1684000273419815E-2</v>
      </c>
      <c r="H29" s="4">
        <f t="shared" si="4"/>
        <v>7609389.5661939681</v>
      </c>
      <c r="I29" s="5">
        <f t="shared" si="2"/>
        <v>0.29210000683549536</v>
      </c>
      <c r="J29" s="4">
        <f t="shared" si="5"/>
        <v>304375.58264775871</v>
      </c>
      <c r="K29" s="4">
        <f t="shared" si="3"/>
        <v>1072760.6528063433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f>IFERROR(+VLOOKUP(B30,COMISIONES!A:E,5,FALSE),"0")*1</f>
        <v>53428.248</v>
      </c>
      <c r="E30" s="4"/>
      <c r="F30" s="59">
        <f t="shared" si="7"/>
        <v>53428.248</v>
      </c>
      <c r="G30" s="5">
        <f t="shared" si="1"/>
        <v>2.0684571428571433E-3</v>
      </c>
      <c r="H30" s="4">
        <f t="shared" si="4"/>
        <v>1335706.2</v>
      </c>
      <c r="I30" s="5">
        <f t="shared" si="2"/>
        <v>5.1711428571428575E-2</v>
      </c>
      <c r="J30" s="4">
        <f t="shared" si="5"/>
        <v>53428.248</v>
      </c>
      <c r="K30" s="4">
        <f t="shared" si="3"/>
        <v>1074023.8229999999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f>IFERROR(+VLOOKUP(B31,COMISIONES!A:E,5,FALSE),"0")*1</f>
        <v>84468.512000000002</v>
      </c>
      <c r="E31" s="4"/>
      <c r="F31" s="59">
        <f t="shared" si="7"/>
        <v>84468.512000000002</v>
      </c>
      <c r="G31" s="5">
        <f t="shared" si="1"/>
        <v>3.1101287663673439E-3</v>
      </c>
      <c r="H31" s="4">
        <f t="shared" si="4"/>
        <v>2111712.8000000003</v>
      </c>
      <c r="I31" s="5">
        <f t="shared" si="2"/>
        <v>7.7753219159183609E-2</v>
      </c>
      <c r="J31" s="4">
        <f t="shared" si="5"/>
        <v>84468.512000000002</v>
      </c>
      <c r="K31" s="4">
        <f t="shared" si="3"/>
        <v>1128112.5099166667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f>IFERROR(+VLOOKUP(B32,COMISIONES!A:E,5,FALSE),"0")*1</f>
        <v>177272.67783254781</v>
      </c>
      <c r="E32" s="4"/>
      <c r="F32" s="59">
        <f t="shared" si="7"/>
        <v>177272.67783254781</v>
      </c>
      <c r="G32" s="5">
        <f t="shared" si="1"/>
        <v>8.2356644753796907E-3</v>
      </c>
      <c r="H32" s="4">
        <f t="shared" si="4"/>
        <v>4431816.945813695</v>
      </c>
      <c r="I32" s="5">
        <f t="shared" si="2"/>
        <v>0.20589161188449226</v>
      </c>
      <c r="J32" s="4">
        <f t="shared" si="5"/>
        <v>177272.67783254781</v>
      </c>
      <c r="K32" s="4">
        <f t="shared" si="3"/>
        <v>889488.63842364366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272</v>
      </c>
      <c r="C33" s="73">
        <v>25274654.999999996</v>
      </c>
      <c r="D33" s="4">
        <f>IFERROR(+VLOOKUP(B33,COMISIONES!A:E,5,FALSE),"0")*1</f>
        <v>197330.53210844341</v>
      </c>
      <c r="E33" s="4"/>
      <c r="F33" s="59">
        <f t="shared" si="7"/>
        <v>197330.53210844341</v>
      </c>
      <c r="G33" s="5">
        <f t="shared" si="1"/>
        <v>7.807447108909832E-3</v>
      </c>
      <c r="H33" s="4">
        <f t="shared" si="4"/>
        <v>4933263.3027110854</v>
      </c>
      <c r="I33" s="5">
        <f t="shared" si="2"/>
        <v>0.19518617772274582</v>
      </c>
      <c r="J33" s="4">
        <f t="shared" si="5"/>
        <v>197330.53210844341</v>
      </c>
      <c r="K33" s="4">
        <f t="shared" si="3"/>
        <v>1044888.5194954813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274</v>
      </c>
      <c r="C34" s="73">
        <v>25865874.999999996</v>
      </c>
      <c r="D34" s="4">
        <f>IFERROR(+VLOOKUP(B34,COMISIONES!A:E,5,FALSE),"0")*1</f>
        <v>172623.30896155009</v>
      </c>
      <c r="E34" s="4"/>
      <c r="F34" s="59">
        <f t="shared" si="7"/>
        <v>172623.30896155009</v>
      </c>
      <c r="G34" s="5">
        <f t="shared" si="1"/>
        <v>6.6737857877048473E-3</v>
      </c>
      <c r="H34" s="4">
        <f t="shared" si="4"/>
        <v>4315582.7240387527</v>
      </c>
      <c r="I34" s="5">
        <f t="shared" si="2"/>
        <v>0.1668446446926212</v>
      </c>
      <c r="J34" s="4">
        <f t="shared" si="5"/>
        <v>172623.30896155009</v>
      </c>
      <c r="K34" s="4">
        <f t="shared" si="3"/>
        <v>1070552.1537932686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f>IFERROR(+VLOOKUP(B35,COMISIONES!A:E,5,FALSE),"0")*1</f>
        <v>0</v>
      </c>
      <c r="E35" s="4"/>
      <c r="F35" s="59">
        <f t="shared" si="7"/>
        <v>0</v>
      </c>
      <c r="G35" s="5">
        <f t="shared" si="1"/>
        <v>0</v>
      </c>
      <c r="H35" s="4">
        <f t="shared" si="4"/>
        <v>0</v>
      </c>
      <c r="I35" s="5">
        <f t="shared" si="2"/>
        <v>0</v>
      </c>
      <c r="J35" s="4">
        <f t="shared" si="5"/>
        <v>0</v>
      </c>
      <c r="K35" s="4">
        <f t="shared" si="3"/>
        <v>5210918.489583333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f>IFERROR(+VLOOKUP(B36,COMISIONES!A:E,5,FALSE),"0")*1</f>
        <v>688345.42989999999</v>
      </c>
      <c r="E36" s="4"/>
      <c r="F36" s="59">
        <f t="shared" si="7"/>
        <v>688345.42989999999</v>
      </c>
      <c r="G36" s="5">
        <f t="shared" si="1"/>
        <v>1.8811106918084308E-2</v>
      </c>
      <c r="H36" s="4">
        <f t="shared" si="4"/>
        <v>17208635.747499999</v>
      </c>
      <c r="I36" s="5">
        <f t="shared" si="2"/>
        <v>0.47027767295210765</v>
      </c>
      <c r="J36" s="4">
        <f t="shared" si="5"/>
        <v>688345.42989999999</v>
      </c>
      <c r="K36" s="4">
        <f t="shared" si="3"/>
        <v>1496006.4404208334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f>IFERROR(+VLOOKUP(B37,COMISIONES!A:E,5,FALSE),"0")*1</f>
        <v>589792.3620689658</v>
      </c>
      <c r="E37" s="4"/>
      <c r="F37" s="59">
        <f t="shared" si="7"/>
        <v>589792.3620689658</v>
      </c>
      <c r="G37" s="5">
        <f t="shared" si="1"/>
        <v>1.5824658664025628E-2</v>
      </c>
      <c r="H37" s="4">
        <f t="shared" si="4"/>
        <v>14744809.051724145</v>
      </c>
      <c r="I37" s="5">
        <f t="shared" si="2"/>
        <v>0.39561646660064076</v>
      </c>
      <c r="J37" s="4">
        <f t="shared" si="5"/>
        <v>589792.3620689658</v>
      </c>
      <c r="K37" s="4">
        <f t="shared" si="3"/>
        <v>1528361.2946002511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521754707.42240375</v>
      </c>
      <c r="D38" s="66">
        <f>+SUM(D25:D37)</f>
        <v>4033957.7266377183</v>
      </c>
      <c r="E38" s="66"/>
      <c r="F38" s="66">
        <f>+D38-E38</f>
        <v>4033957.7266377183</v>
      </c>
      <c r="G38" s="65">
        <f t="shared" si="1"/>
        <v>7.7315214779114481E-3</v>
      </c>
      <c r="H38" s="64">
        <f t="shared" si="4"/>
        <v>100848943.16594295</v>
      </c>
      <c r="I38" s="65">
        <f t="shared" si="2"/>
        <v>0.19328803694778621</v>
      </c>
      <c r="J38" s="64">
        <f t="shared" si="5"/>
        <v>4033957.7266377183</v>
      </c>
      <c r="K38" s="66">
        <f t="shared" si="3"/>
        <v>21571697.90399025</v>
      </c>
      <c r="L38" s="67"/>
    </row>
    <row r="39" spans="1:12" ht="16.5" thickBot="1" x14ac:dyDescent="0.3">
      <c r="A39" s="142" t="s">
        <v>264</v>
      </c>
      <c r="B39" s="136" t="s">
        <v>144</v>
      </c>
      <c r="C39" s="4">
        <v>35000000</v>
      </c>
      <c r="D39" s="4">
        <f>IFERROR(+VLOOKUP(B39,COMISIONES!A:E,5,FALSE),"0")*1</f>
        <v>3077327.1147569478</v>
      </c>
      <c r="E39" s="4"/>
      <c r="F39" s="59">
        <f t="shared" si="7"/>
        <v>3077327.1147569478</v>
      </c>
      <c r="G39" s="5">
        <f t="shared" si="1"/>
        <v>8.7923631850198511E-2</v>
      </c>
      <c r="H39" s="4">
        <f t="shared" ref="H39:H47" si="8">+D39/$N$3*$N$4</f>
        <v>76933177.868923694</v>
      </c>
      <c r="I39" s="5">
        <f t="shared" ref="I39:I47" si="9">+H39/C39</f>
        <v>2.1980907962549625</v>
      </c>
      <c r="J39" s="4">
        <f t="shared" ref="J39:J47" si="10">+D39/$N$3</f>
        <v>3077327.1147569478</v>
      </c>
      <c r="K39" s="4">
        <f t="shared" ref="K39:K47" si="11">+(C39-D39)/$N$2</f>
        <v>1330111.3702184604</v>
      </c>
      <c r="L39" s="63" cm="1">
        <f t="array" ref="L39">+_xlfn.IFS(I39&gt;114%,H39*0.02,I39&gt;109%,H39*0.015,I39&gt;104%,H39*0.0125,I39&gt;99%,H39*0.01,I39&lt;99%,H39*0)</f>
        <v>1538663.5573784739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0</v>
      </c>
      <c r="E40" s="4"/>
      <c r="F40" s="59">
        <f t="shared" si="7"/>
        <v>0</v>
      </c>
      <c r="G40" s="5">
        <f t="shared" si="1"/>
        <v>0</v>
      </c>
      <c r="H40" s="4">
        <f t="shared" si="8"/>
        <v>0</v>
      </c>
      <c r="I40" s="5">
        <f t="shared" si="9"/>
        <v>0</v>
      </c>
      <c r="J40" s="4">
        <f t="shared" si="10"/>
        <v>0</v>
      </c>
      <c r="K40" s="4">
        <f t="shared" si="11"/>
        <v>1250000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0</v>
      </c>
      <c r="E41" s="4"/>
      <c r="F41" s="59">
        <f t="shared" si="7"/>
        <v>0</v>
      </c>
      <c r="G41" s="5">
        <f t="shared" si="1"/>
        <v>0</v>
      </c>
      <c r="H41" s="4">
        <f t="shared" si="8"/>
        <v>0</v>
      </c>
      <c r="I41" s="5">
        <f t="shared" si="9"/>
        <v>0</v>
      </c>
      <c r="J41" s="4">
        <f t="shared" si="10"/>
        <v>0</v>
      </c>
      <c r="K41" s="4">
        <f t="shared" si="11"/>
        <v>1350903.1236992157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f>IFERROR(+VLOOKUP(B42,COMISIONES!A:E,5,FALSE),"0")*1</f>
        <v>3698779.7281864504</v>
      </c>
      <c r="E42" s="4"/>
      <c r="F42" s="59">
        <f t="shared" si="7"/>
        <v>3698779.7281864504</v>
      </c>
      <c r="G42" s="5">
        <f t="shared" si="1"/>
        <v>6.6745005724598724E-2</v>
      </c>
      <c r="H42" s="4">
        <f t="shared" si="8"/>
        <v>92469493.204661265</v>
      </c>
      <c r="I42" s="5">
        <f t="shared" si="9"/>
        <v>1.6686251431149683</v>
      </c>
      <c r="J42" s="4">
        <f t="shared" si="10"/>
        <v>3698779.7281864504</v>
      </c>
      <c r="K42" s="4">
        <f t="shared" si="11"/>
        <v>2154908.2066016062</v>
      </c>
      <c r="L42" s="63" cm="1">
        <f t="array" ref="L42">+_xlfn.IFS(I42&gt;114%,H42*0.02,I42&gt;109%,H42*0.015,I42&gt;104%,H42*0.0125,I42&gt;99%,H42*0.01,I42&lt;99%,H42*0)</f>
        <v>1849389.8640932254</v>
      </c>
    </row>
    <row r="43" spans="1:12" ht="16.5" thickBot="1" x14ac:dyDescent="0.3">
      <c r="A43" s="143"/>
      <c r="B43" s="138" t="s">
        <v>265</v>
      </c>
      <c r="C43" s="4">
        <v>100000000</v>
      </c>
      <c r="D43" s="4">
        <f>IFERROR(+VLOOKUP(B43,COMISIONES!A:E,5,FALSE),"0")*1</f>
        <v>0</v>
      </c>
      <c r="E43" s="4"/>
      <c r="F43" s="59">
        <f t="shared" si="7"/>
        <v>0</v>
      </c>
      <c r="G43" s="5">
        <f t="shared" si="1"/>
        <v>0</v>
      </c>
      <c r="H43" s="4">
        <f t="shared" si="8"/>
        <v>0</v>
      </c>
      <c r="I43" s="5">
        <f t="shared" si="9"/>
        <v>0</v>
      </c>
      <c r="J43" s="4">
        <f t="shared" si="10"/>
        <v>0</v>
      </c>
      <c r="K43" s="4">
        <f t="shared" si="11"/>
        <v>4166666.6666666665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3"/>
      <c r="B44" s="138" t="s">
        <v>266</v>
      </c>
      <c r="C44" s="4">
        <v>100000000</v>
      </c>
      <c r="D44" s="4">
        <f>IFERROR(+VLOOKUP(B44,COMISIONES!A:E,5,FALSE),"0")*1</f>
        <v>-145097.74400000001</v>
      </c>
      <c r="E44" s="4"/>
      <c r="F44" s="59">
        <f t="shared" si="7"/>
        <v>-145097.74400000001</v>
      </c>
      <c r="G44" s="5">
        <f t="shared" si="1"/>
        <v>-1.45097744E-3</v>
      </c>
      <c r="H44" s="4">
        <f t="shared" si="8"/>
        <v>-3627443.6</v>
      </c>
      <c r="I44" s="5">
        <f t="shared" si="9"/>
        <v>-3.6274436E-2</v>
      </c>
      <c r="J44" s="4">
        <f t="shared" si="10"/>
        <v>-145097.74400000001</v>
      </c>
      <c r="K44" s="4">
        <f t="shared" si="11"/>
        <v>4172712.406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3"/>
      <c r="B45" s="138" t="s">
        <v>273</v>
      </c>
      <c r="C45" s="4">
        <v>25000000</v>
      </c>
      <c r="D45" s="4">
        <f>IFERROR(+VLOOKUP(B45,COMISIONES!A:E,5,FALSE),"0")*1</f>
        <v>0</v>
      </c>
      <c r="E45" s="4"/>
      <c r="F45" s="59">
        <f t="shared" si="7"/>
        <v>0</v>
      </c>
      <c r="G45" s="5">
        <f t="shared" si="1"/>
        <v>0</v>
      </c>
      <c r="H45" s="4">
        <f t="shared" si="8"/>
        <v>0</v>
      </c>
      <c r="I45" s="5">
        <f t="shared" si="9"/>
        <v>0</v>
      </c>
      <c r="J45" s="4">
        <f t="shared" si="10"/>
        <v>0</v>
      </c>
      <c r="K45" s="4">
        <f t="shared" si="11"/>
        <v>1041666.6666666666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3"/>
      <c r="B46" s="138" t="s">
        <v>267</v>
      </c>
      <c r="C46" s="4">
        <v>100000000</v>
      </c>
      <c r="D46" s="4">
        <f>IFERROR(+VLOOKUP(B46,COMISIONES!A:E,5,FALSE),"0")*1</f>
        <v>3264681.1484940564</v>
      </c>
      <c r="E46" s="4"/>
      <c r="F46" s="59">
        <f t="shared" si="7"/>
        <v>3264681.1484940564</v>
      </c>
      <c r="G46" s="5">
        <f t="shared" si="1"/>
        <v>3.2646811484940565E-2</v>
      </c>
      <c r="H46" s="4">
        <f t="shared" si="8"/>
        <v>81617028.712351412</v>
      </c>
      <c r="I46" s="5">
        <f t="shared" si="9"/>
        <v>0.81617028712351414</v>
      </c>
      <c r="J46" s="4">
        <f t="shared" si="10"/>
        <v>3264681.1484940564</v>
      </c>
      <c r="K46" s="4">
        <f t="shared" si="11"/>
        <v>4030638.2854794147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455695855.27356702</v>
      </c>
      <c r="D47" s="66">
        <f>SUM(D39:D46)</f>
        <v>9895690.2474374548</v>
      </c>
      <c r="E47" s="66"/>
      <c r="F47" s="66">
        <f>+SUM(F39:F46)</f>
        <v>9895690.2474374548</v>
      </c>
      <c r="G47" s="65">
        <f t="shared" si="1"/>
        <v>2.1715559035525557E-2</v>
      </c>
      <c r="H47" s="64">
        <f t="shared" si="8"/>
        <v>247392256.18593636</v>
      </c>
      <c r="I47" s="65">
        <f t="shared" si="9"/>
        <v>0.54288897588813889</v>
      </c>
      <c r="J47" s="64">
        <f t="shared" si="10"/>
        <v>9895690.2474374548</v>
      </c>
      <c r="K47" s="66">
        <f t="shared" si="11"/>
        <v>18575006.876088731</v>
      </c>
      <c r="L47" s="67"/>
    </row>
    <row r="48" spans="1:12" ht="16.5" thickBot="1" x14ac:dyDescent="0.3">
      <c r="A48" s="75" t="s">
        <v>271</v>
      </c>
      <c r="B48" s="76"/>
      <c r="C48" s="77">
        <v>1379767147.0931361</v>
      </c>
      <c r="D48" s="77">
        <f>+D38+D24+D10+D15+D47</f>
        <v>26323263.17941555</v>
      </c>
      <c r="E48" s="77"/>
      <c r="F48" s="77">
        <f>+D48-E48</f>
        <v>26323263.17941555</v>
      </c>
      <c r="G48" s="78">
        <f>+D48/C48</f>
        <v>1.9078047505967102E-2</v>
      </c>
      <c r="H48" s="77">
        <f>+D48/$N$3*$N$4</f>
        <v>658081579.48538876</v>
      </c>
      <c r="I48" s="140">
        <f t="shared" si="2"/>
        <v>0.4769511876491776</v>
      </c>
      <c r="J48" s="77">
        <f>+D48/$N$3</f>
        <v>26323263.17941555</v>
      </c>
      <c r="K48" s="77">
        <f>+(C48-D48)/$N$2</f>
        <v>56393495.163071692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0.88607594936708856</v>
      </c>
      <c r="E2" s="13">
        <v>33</v>
      </c>
      <c r="F2" s="12">
        <f>+H2-E2</f>
        <v>37</v>
      </c>
      <c r="G2" s="13">
        <f>VLOOKUP(B2,'Base Cobertura'!$A:$C,3,FALSE)</f>
        <v>79</v>
      </c>
      <c r="H2" s="13">
        <f>VLOOKUP(B2,'Base Cobertura'!$A:$C,2,FALSE)</f>
        <v>70</v>
      </c>
      <c r="I2" s="17">
        <f>(+G2*$M$2)-H2</f>
        <v>-2.8500000000000085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0.90789473684210531</v>
      </c>
      <c r="E3" s="13">
        <v>126</v>
      </c>
      <c r="F3" s="12">
        <f t="shared" ref="F3:F13" si="1">+H3-E3</f>
        <v>81</v>
      </c>
      <c r="G3" s="13">
        <f>VLOOKUP(B3,'Base Cobertura'!$A:$C,3,FALSE)</f>
        <v>228</v>
      </c>
      <c r="H3" s="13">
        <f>VLOOKUP(B3,'Base Cobertura'!$A:$C,2,FALSE)</f>
        <v>207</v>
      </c>
      <c r="I3" s="17">
        <f t="shared" ref="I3:I13" si="2">(+G3*$M$2)-H3</f>
        <v>-13.200000000000017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142 - ALMACEN</v>
      </c>
      <c r="S3" s="12">
        <v>52</v>
      </c>
      <c r="T3" s="12">
        <v>174</v>
      </c>
      <c r="U3" s="41">
        <f>+S3/T3</f>
        <v>0.2988505747126437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0.81538461538461537</v>
      </c>
      <c r="E4" s="13">
        <v>21</v>
      </c>
      <c r="F4" s="12">
        <f t="shared" si="1"/>
        <v>32</v>
      </c>
      <c r="G4" s="13">
        <f>VLOOKUP(B4,'Base Cobertura'!$A:$C,3,FALSE)</f>
        <v>65</v>
      </c>
      <c r="H4" s="13">
        <f>VLOOKUP(B4,'Base Cobertura'!$A:$C,2,FALSE)</f>
        <v>53</v>
      </c>
      <c r="I4" s="17">
        <f t="shared" si="2"/>
        <v>2.25</v>
      </c>
      <c r="J4" t="s">
        <v>57</v>
      </c>
      <c r="K4" t="s">
        <v>64</v>
      </c>
      <c r="P4" s="13">
        <v>25</v>
      </c>
      <c r="Q4" s="13">
        <v>0</v>
      </c>
      <c r="R4" s="13" t="str">
        <v>142 - Articulos Sin Asociar Agrupacion</v>
      </c>
      <c r="S4" s="13">
        <v>48</v>
      </c>
      <c r="T4" s="13">
        <v>174</v>
      </c>
      <c r="U4" s="5">
        <f t="shared" ref="U4:U11" si="3">+S4/T4</f>
        <v>0.27586206896551724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0.87559808612440193</v>
      </c>
      <c r="E5" s="13">
        <v>100</v>
      </c>
      <c r="F5" s="12">
        <f t="shared" si="1"/>
        <v>83</v>
      </c>
      <c r="G5" s="13">
        <f>VLOOKUP(B5,'Base Cobertura'!$A:$C,3,FALSE)</f>
        <v>209</v>
      </c>
      <c r="H5" s="13">
        <f>VLOOKUP(B5,'Base Cobertura'!$A:$C,2,FALSE)</f>
        <v>183</v>
      </c>
      <c r="I5" s="17">
        <f t="shared" si="2"/>
        <v>-5.3499999999999943</v>
      </c>
      <c r="K5" t="s">
        <v>64</v>
      </c>
      <c r="P5" s="13">
        <v>25</v>
      </c>
      <c r="Q5" s="13">
        <v>0</v>
      </c>
      <c r="R5" s="13" t="str">
        <v>142 - BEBIDAS</v>
      </c>
      <c r="S5" s="13">
        <v>53</v>
      </c>
      <c r="T5" s="13">
        <v>174</v>
      </c>
      <c r="U5" s="5">
        <f t="shared" si="3"/>
        <v>0.3045977011494253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0.86432160804020097</v>
      </c>
      <c r="E6" s="13">
        <v>81</v>
      </c>
      <c r="F6" s="12">
        <f t="shared" si="1"/>
        <v>91</v>
      </c>
      <c r="G6" s="13">
        <f>VLOOKUP(B6,'Base Cobertura'!$A:$C,3,FALSE)</f>
        <v>199</v>
      </c>
      <c r="H6" s="13">
        <f>VLOOKUP(B6,'Base Cobertura'!$A:$C,2,FALSE)</f>
        <v>172</v>
      </c>
      <c r="I6" s="17">
        <f t="shared" si="2"/>
        <v>-2.8499999999999943</v>
      </c>
      <c r="J6" t="s">
        <v>58</v>
      </c>
      <c r="K6" t="s">
        <v>58</v>
      </c>
      <c r="P6" s="13">
        <v>25</v>
      </c>
      <c r="Q6" s="13">
        <v>0</v>
      </c>
      <c r="R6" s="13" t="str">
        <v>142 - CHOCOLATE</v>
      </c>
      <c r="S6" s="13">
        <v>53</v>
      </c>
      <c r="T6" s="13">
        <v>174</v>
      </c>
      <c r="U6" s="5">
        <f t="shared" si="3"/>
        <v>0.3045977011494253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0.88785046728971961</v>
      </c>
      <c r="E7" s="13">
        <v>89</v>
      </c>
      <c r="F7" s="12">
        <f t="shared" si="1"/>
        <v>101</v>
      </c>
      <c r="G7" s="13">
        <f>VLOOKUP(B7,'Base Cobertura'!$A:$C,3,FALSE)</f>
        <v>214</v>
      </c>
      <c r="H7" s="13">
        <f>VLOOKUP(B7,'Base Cobertura'!$A:$C,2,FALSE)</f>
        <v>190</v>
      </c>
      <c r="I7" s="17">
        <f t="shared" si="2"/>
        <v>-8.0999999999999943</v>
      </c>
      <c r="J7" t="s">
        <v>58</v>
      </c>
      <c r="K7" t="s">
        <v>58</v>
      </c>
      <c r="P7" s="13">
        <v>25</v>
      </c>
      <c r="Q7" s="13">
        <v>0</v>
      </c>
      <c r="R7" s="13" t="str">
        <v>142 - GALLETITAS</v>
      </c>
      <c r="S7" s="13">
        <v>61</v>
      </c>
      <c r="T7" s="13">
        <v>174</v>
      </c>
      <c r="U7" s="5">
        <f t="shared" si="3"/>
        <v>0.35057471264367818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0.8294117647058824</v>
      </c>
      <c r="E8" s="13">
        <v>92</v>
      </c>
      <c r="F8" s="12">
        <f t="shared" si="1"/>
        <v>49</v>
      </c>
      <c r="G8" s="13">
        <f>VLOOKUP(B8,'Base Cobertura'!$A:$C,3,FALSE)</f>
        <v>170</v>
      </c>
      <c r="H8" s="13">
        <f>VLOOKUP(B8,'Base Cobertura'!$A:$C,2,FALSE)</f>
        <v>141</v>
      </c>
      <c r="I8" s="17">
        <f t="shared" si="2"/>
        <v>3.5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142 - GOLOSINAS</v>
      </c>
      <c r="S8" s="13">
        <v>58</v>
      </c>
      <c r="T8" s="13">
        <v>174</v>
      </c>
      <c r="U8" s="5">
        <f t="shared" si="3"/>
        <v>0.33333333333333331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0.69346733668341709</v>
      </c>
      <c r="E9" s="13">
        <v>64</v>
      </c>
      <c r="F9" s="12">
        <f t="shared" si="1"/>
        <v>74</v>
      </c>
      <c r="G9" s="13">
        <f>VLOOKUP(B9,'Base Cobertura'!$A:$C,3,FALSE)</f>
        <v>199</v>
      </c>
      <c r="H9" s="13">
        <f>VLOOKUP(B9,'Base Cobertura'!$A:$C,2,FALSE)</f>
        <v>138</v>
      </c>
      <c r="I9" s="17">
        <f t="shared" si="2"/>
        <v>31.150000000000006</v>
      </c>
      <c r="J9" t="s">
        <v>55</v>
      </c>
      <c r="K9" t="s">
        <v>65</v>
      </c>
      <c r="P9" s="13">
        <v>25</v>
      </c>
      <c r="Q9" s="13">
        <v>0</v>
      </c>
      <c r="R9" s="13" t="str">
        <v>142 - MASCOTAS</v>
      </c>
      <c r="S9" s="13">
        <v>55</v>
      </c>
      <c r="T9" s="13">
        <v>174</v>
      </c>
      <c r="U9" s="5">
        <f t="shared" si="3"/>
        <v>0.31609195402298851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0.54807692307692313</v>
      </c>
      <c r="E10" s="31">
        <v>19</v>
      </c>
      <c r="F10" s="33">
        <f t="shared" si="1"/>
        <v>38</v>
      </c>
      <c r="G10" s="13">
        <f>VLOOKUP(B10,'Base Cobertura'!$A:$C,3,FALSE)</f>
        <v>104</v>
      </c>
      <c r="H10" s="13">
        <f>VLOOKUP(B10,'Base Cobertura'!$A:$C,2,FALSE)</f>
        <v>57</v>
      </c>
      <c r="I10" s="34">
        <f t="shared" si="2"/>
        <v>31.399999999999991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142 - NO PERECEDEROS</v>
      </c>
      <c r="S10" s="13">
        <v>43</v>
      </c>
      <c r="T10" s="13">
        <v>174</v>
      </c>
      <c r="U10" s="5">
        <f t="shared" si="3"/>
        <v>0.2471264367816092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0.65714285714285714</v>
      </c>
      <c r="E11" s="31">
        <v>24</v>
      </c>
      <c r="F11" s="33">
        <f t="shared" si="1"/>
        <v>45</v>
      </c>
      <c r="G11" s="13">
        <f>VLOOKUP(B11,'Base Cobertura'!$A:$C,3,FALSE)</f>
        <v>105</v>
      </c>
      <c r="H11" s="13">
        <f>VLOOKUP(B11,'Base Cobertura'!$A:$C,2,FALSE)</f>
        <v>69</v>
      </c>
      <c r="I11" s="34">
        <f t="shared" si="2"/>
        <v>20.25</v>
      </c>
      <c r="J11" t="s">
        <v>59</v>
      </c>
      <c r="P11" s="13">
        <v>25</v>
      </c>
      <c r="Q11" s="13">
        <v>0</v>
      </c>
      <c r="R11" s="13" t="str">
        <v>142 - PILAS</v>
      </c>
      <c r="S11" s="13">
        <v>31</v>
      </c>
      <c r="T11" s="13">
        <v>174</v>
      </c>
      <c r="U11" s="5">
        <f t="shared" si="3"/>
        <v>0.17816091954022989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0.90114068441064643</v>
      </c>
      <c r="E12" s="13">
        <v>144</v>
      </c>
      <c r="F12" s="12">
        <f t="shared" si="1"/>
        <v>93</v>
      </c>
      <c r="G12" s="13">
        <f>VLOOKUP(B12,'Base Cobertura'!$A:$C,3,FALSE)</f>
        <v>263</v>
      </c>
      <c r="H12" s="13">
        <f>VLOOKUP(B12,'Base Cobertura'!$A:$C,2,FALSE)</f>
        <v>237</v>
      </c>
      <c r="I12" s="17">
        <f t="shared" si="2"/>
        <v>-13.450000000000017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0.87362637362637363</v>
      </c>
      <c r="E13" s="13">
        <v>85</v>
      </c>
      <c r="F13" s="12">
        <f t="shared" si="1"/>
        <v>74</v>
      </c>
      <c r="G13" s="13">
        <f>VLOOKUP(B13,'Base Cobertura'!$A:$C,3,FALSE)</f>
        <v>182</v>
      </c>
      <c r="H13" s="13">
        <f>VLOOKUP(B13,'Base Cobertura'!$A:$C,2,FALSE)</f>
        <v>159</v>
      </c>
      <c r="I13" s="17">
        <f t="shared" si="2"/>
        <v>-4.3000000000000114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798</v>
      </c>
      <c r="G14" s="8">
        <f>+SUM(G1:G13)</f>
        <v>2017</v>
      </c>
      <c r="H14" s="8">
        <f>+SUM(H1:H13)</f>
        <v>1676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0.81874999999999998</v>
      </c>
      <c r="E15" s="13">
        <v>90</v>
      </c>
      <c r="F15" s="12">
        <f t="shared" ref="F15:F36" si="6">+H15-E15</f>
        <v>41</v>
      </c>
      <c r="G15" s="13">
        <f>VLOOKUP(B15,'Base Cobertura'!$A:$C,3,FALSE)</f>
        <v>160</v>
      </c>
      <c r="H15" s="13">
        <f>VLOOKUP(B15,'Base Cobertura'!$A:$C,2,FALSE)</f>
        <v>131</v>
      </c>
      <c r="I15" s="17">
        <f t="shared" ref="I15:I36" si="7">(+G15*$M$2)-H15</f>
        <v>5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0.83499999999999996</v>
      </c>
      <c r="E16" s="13">
        <v>92</v>
      </c>
      <c r="F16" s="12">
        <f t="shared" si="6"/>
        <v>75</v>
      </c>
      <c r="G16" s="13">
        <f>VLOOKUP(B16,'Base Cobertura'!$A:$C,3,FALSE)</f>
        <v>200</v>
      </c>
      <c r="H16" s="13">
        <f>VLOOKUP(B16,'Base Cobertura'!$A:$C,2,FALSE)</f>
        <v>167</v>
      </c>
      <c r="I16" s="17">
        <f t="shared" si="7"/>
        <v>3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0.89759036144578308</v>
      </c>
      <c r="E17" s="13">
        <v>88</v>
      </c>
      <c r="F17" s="12">
        <f t="shared" si="6"/>
        <v>61</v>
      </c>
      <c r="G17" s="13">
        <f>VLOOKUP(B17,'Base Cobertura'!$A:$C,3,FALSE)</f>
        <v>166</v>
      </c>
      <c r="H17" s="13">
        <f>VLOOKUP(B17,'Base Cobertura'!$A:$C,2,FALSE)</f>
        <v>149</v>
      </c>
      <c r="I17" s="17">
        <f t="shared" si="7"/>
        <v>-7.9000000000000057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0.85161290322580641</v>
      </c>
      <c r="E18" s="13">
        <v>95</v>
      </c>
      <c r="F18" s="12">
        <f t="shared" si="6"/>
        <v>37</v>
      </c>
      <c r="G18" s="13">
        <f>VLOOKUP(B18,'Base Cobertura'!$A:$C,3,FALSE)</f>
        <v>155</v>
      </c>
      <c r="H18" s="13">
        <f>VLOOKUP(B18,'Base Cobertura'!$A:$C,2,FALSE)</f>
        <v>132</v>
      </c>
      <c r="I18" s="17">
        <f t="shared" si="7"/>
        <v>-0.25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0.88888888888888884</v>
      </c>
      <c r="E19" s="13">
        <v>83</v>
      </c>
      <c r="F19" s="12">
        <f t="shared" si="6"/>
        <v>77</v>
      </c>
      <c r="G19" s="13">
        <f>VLOOKUP(B19,'Base Cobertura'!$A:$C,3,FALSE)</f>
        <v>180</v>
      </c>
      <c r="H19" s="13">
        <f>VLOOKUP(B19,'Base Cobertura'!$A:$C,2,FALSE)</f>
        <v>160</v>
      </c>
      <c r="I19" s="17">
        <f t="shared" si="7"/>
        <v>-7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0.8529411764705882</v>
      </c>
      <c r="E20" s="13">
        <v>64</v>
      </c>
      <c r="F20" s="12">
        <f t="shared" si="6"/>
        <v>81</v>
      </c>
      <c r="G20" s="13">
        <f>VLOOKUP(B20,'Base Cobertura'!$A:$C,3,FALSE)</f>
        <v>170</v>
      </c>
      <c r="H20" s="13">
        <f>VLOOKUP(B20,'Base Cobertura'!$A:$C,2,FALSE)</f>
        <v>145</v>
      </c>
      <c r="I20" s="17">
        <f t="shared" si="7"/>
        <v>-0.5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0.80672268907563027</v>
      </c>
      <c r="E21" s="13">
        <v>70</v>
      </c>
      <c r="F21" s="12">
        <f t="shared" si="6"/>
        <v>26</v>
      </c>
      <c r="G21" s="13">
        <f>VLOOKUP(B21,'Base Cobertura'!$A:$C,3,FALSE)</f>
        <v>119</v>
      </c>
      <c r="H21" s="13">
        <f>VLOOKUP(B21,'Base Cobertura'!$A:$C,2,FALSE)</f>
        <v>96</v>
      </c>
      <c r="I21" s="17">
        <f t="shared" si="7"/>
        <v>5.1499999999999915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0.91176470588235292</v>
      </c>
      <c r="E22" s="13">
        <v>79</v>
      </c>
      <c r="F22" s="12">
        <f t="shared" si="6"/>
        <v>76</v>
      </c>
      <c r="G22" s="13">
        <f>VLOOKUP(B22,'Base Cobertura'!$A:$C,3,FALSE)</f>
        <v>170</v>
      </c>
      <c r="H22" s="13">
        <f>VLOOKUP(B22,'Base Cobertura'!$A:$C,2,FALSE)</f>
        <v>155</v>
      </c>
      <c r="I22" s="17">
        <f t="shared" si="7"/>
        <v>-10.5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474</v>
      </c>
      <c r="G23" s="8">
        <f>+SUM(G15:G22)</f>
        <v>1320</v>
      </c>
      <c r="H23" s="8">
        <f>+SUM(H15:H22)</f>
        <v>1135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0.89655172413793105</v>
      </c>
      <c r="E24" s="13">
        <v>20</v>
      </c>
      <c r="F24" s="12">
        <f>+H24-E24</f>
        <v>32</v>
      </c>
      <c r="G24" s="13">
        <f>VLOOKUP(B24,'Base Cobertura'!$A:$C,3,FALSE)</f>
        <v>58</v>
      </c>
      <c r="H24" s="13">
        <f>VLOOKUP(B24,'Base Cobertura'!$A:$C,2,FALSE)</f>
        <v>52</v>
      </c>
      <c r="I24" s="17">
        <f t="shared" si="7"/>
        <v>-2.7000000000000028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0.74842767295597479</v>
      </c>
      <c r="E25" s="13">
        <v>68</v>
      </c>
      <c r="F25" s="12">
        <f t="shared" si="6"/>
        <v>51</v>
      </c>
      <c r="G25" s="13">
        <f>VLOOKUP(B25,'Base Cobertura'!$A:$C,3,FALSE)</f>
        <v>159</v>
      </c>
      <c r="H25" s="13">
        <f>VLOOKUP(B25,'Base Cobertura'!$A:$C,2,FALSE)</f>
        <v>119</v>
      </c>
      <c r="I25" s="17">
        <f t="shared" si="7"/>
        <v>16.150000000000006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0.86624203821656054</v>
      </c>
      <c r="E26" s="13">
        <v>80</v>
      </c>
      <c r="F26" s="12">
        <f t="shared" si="6"/>
        <v>56</v>
      </c>
      <c r="G26" s="13">
        <f>VLOOKUP(B26,'Base Cobertura'!$A:$C,3,FALSE)</f>
        <v>157</v>
      </c>
      <c r="H26" s="13">
        <f>VLOOKUP(B26,'Base Cobertura'!$A:$C,2,FALSE)</f>
        <v>136</v>
      </c>
      <c r="I26" s="17">
        <f t="shared" si="7"/>
        <v>-2.5500000000000114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0.61711711711711714</v>
      </c>
      <c r="E27" s="13">
        <v>68</v>
      </c>
      <c r="F27" s="12">
        <f t="shared" si="6"/>
        <v>69</v>
      </c>
      <c r="G27" s="13">
        <f>VLOOKUP(B27,'Base Cobertura'!$A:$C,3,FALSE)</f>
        <v>222</v>
      </c>
      <c r="H27" s="13">
        <f>VLOOKUP(B27,'Base Cobertura'!$A:$C,2,FALSE)</f>
        <v>137</v>
      </c>
      <c r="I27" s="17">
        <f t="shared" si="7"/>
        <v>51.699999999999989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0.96946564885496178</v>
      </c>
      <c r="E28" s="13">
        <v>73</v>
      </c>
      <c r="F28" s="12">
        <f t="shared" si="6"/>
        <v>54</v>
      </c>
      <c r="G28" s="13">
        <f>VLOOKUP(B28,'Base Cobertura'!$A:$C,3,FALSE)</f>
        <v>131</v>
      </c>
      <c r="H28" s="13">
        <f>VLOOKUP(B28,'Base Cobertura'!$A:$C,2,FALSE)</f>
        <v>127</v>
      </c>
      <c r="I28" s="17">
        <f t="shared" si="7"/>
        <v>-15.650000000000006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0.70967741935483875</v>
      </c>
      <c r="E29" s="13">
        <v>40</v>
      </c>
      <c r="F29" s="12">
        <f t="shared" si="6"/>
        <v>92</v>
      </c>
      <c r="G29" s="13">
        <f>VLOOKUP(B29,'Base Cobertura'!$A:$C,3,FALSE)</f>
        <v>186</v>
      </c>
      <c r="H29" s="13">
        <f>VLOOKUP(B29,'Base Cobertura'!$A:$C,2,FALSE)</f>
        <v>132</v>
      </c>
      <c r="I29" s="17">
        <f t="shared" si="7"/>
        <v>26.099999999999994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0.88690476190476186</v>
      </c>
      <c r="E30" s="13">
        <v>67</v>
      </c>
      <c r="F30" s="12">
        <f t="shared" si="6"/>
        <v>82</v>
      </c>
      <c r="G30" s="13">
        <f>VLOOKUP(B30,'Base Cobertura'!$A:$C,3,FALSE)</f>
        <v>168</v>
      </c>
      <c r="H30" s="13">
        <f>VLOOKUP(B30,'Base Cobertura'!$A:$C,2,FALSE)</f>
        <v>149</v>
      </c>
      <c r="I30" s="17">
        <f t="shared" si="7"/>
        <v>-6.2000000000000171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0.85029940119760483</v>
      </c>
      <c r="E31" s="13">
        <v>66</v>
      </c>
      <c r="F31" s="12">
        <f t="shared" si="6"/>
        <v>76</v>
      </c>
      <c r="G31" s="13">
        <f>VLOOKUP(B31,'Base Cobertura'!$A:$C,3,FALSE)</f>
        <v>167</v>
      </c>
      <c r="H31" s="13">
        <f>VLOOKUP(B31,'Base Cobertura'!$A:$C,2,FALSE)</f>
        <v>142</v>
      </c>
      <c r="I31" s="17">
        <f t="shared" si="7"/>
        <v>-5.0000000000011369E-2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0.56551724137931036</v>
      </c>
      <c r="E32" s="13">
        <v>82</v>
      </c>
      <c r="F32" s="12">
        <f t="shared" si="6"/>
        <v>0</v>
      </c>
      <c r="G32" s="13">
        <f>VLOOKUP(B32,'Base Cobertura'!$A:$C,3,FALSE)</f>
        <v>145</v>
      </c>
      <c r="H32" s="13">
        <f>VLOOKUP(B32,'Base Cobertura'!$A:$C,2,FALSE)</f>
        <v>82</v>
      </c>
      <c r="I32" s="17">
        <f t="shared" si="7"/>
        <v>41.25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0.64130434782608692</v>
      </c>
      <c r="E33" s="13">
        <v>81</v>
      </c>
      <c r="F33" s="12">
        <f t="shared" si="6"/>
        <v>37</v>
      </c>
      <c r="G33" s="13">
        <f>VLOOKUP(B33,'Base Cobertura'!$A:$C,3,FALSE)</f>
        <v>184</v>
      </c>
      <c r="H33" s="13">
        <f>VLOOKUP(B33,'Base Cobertura'!$A:$C,2,FALSE)</f>
        <v>118</v>
      </c>
      <c r="I33" s="17">
        <f t="shared" si="7"/>
        <v>38.400000000000006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0.15384615384615385</v>
      </c>
      <c r="E34" s="13">
        <v>0</v>
      </c>
      <c r="F34" s="12">
        <f t="shared" si="6"/>
        <v>18</v>
      </c>
      <c r="G34" s="13">
        <f>VLOOKUP(B34,'Base Cobertura'!$A:$C,3,FALSE)</f>
        <v>117</v>
      </c>
      <c r="H34" s="13">
        <f>VLOOKUP(B34,'Base Cobertura'!$A:$C,2,FALSE)</f>
        <v>18</v>
      </c>
      <c r="I34" s="17">
        <f t="shared" si="7"/>
        <v>81.45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ROUBINEAU SEBASTIAN</v>
      </c>
      <c r="D35" s="22">
        <f t="shared" si="5"/>
        <v>0.41747572815533979</v>
      </c>
      <c r="E35" s="13">
        <v>17</v>
      </c>
      <c r="F35" s="12">
        <f t="shared" si="6"/>
        <v>26</v>
      </c>
      <c r="G35" s="13">
        <f>VLOOKUP(B35,'Base Cobertura'!$A:$C,3,FALSE)</f>
        <v>103</v>
      </c>
      <c r="H35" s="13">
        <f>VLOOKUP(B35,'Base Cobertura'!$A:$C,2,FALSE)</f>
        <v>43</v>
      </c>
      <c r="I35" s="17">
        <f t="shared" si="7"/>
        <v>44.55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0.89743589743589747</v>
      </c>
      <c r="E36" s="13">
        <v>60</v>
      </c>
      <c r="F36" s="12">
        <f t="shared" si="6"/>
        <v>45</v>
      </c>
      <c r="G36" s="13">
        <f>VLOOKUP(B36,'Base Cobertura'!$A:$C,3,FALSE)</f>
        <v>117</v>
      </c>
      <c r="H36" s="13">
        <f>VLOOKUP(B36,'Base Cobertura'!$A:$C,2,FALSE)</f>
        <v>105</v>
      </c>
      <c r="I36" s="17">
        <f t="shared" si="7"/>
        <v>-5.5499999999999972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638</v>
      </c>
      <c r="G37" s="8">
        <f>+SUM(G24:G36)</f>
        <v>1914</v>
      </c>
      <c r="H37" s="8">
        <f>+SUM(H24:H36)</f>
        <v>1360</v>
      </c>
      <c r="I37" s="8"/>
    </row>
    <row r="38" spans="1:12" x14ac:dyDescent="0.25">
      <c r="A38" s="148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0.27419354838709675</v>
      </c>
      <c r="E38" s="13">
        <v>60</v>
      </c>
      <c r="F38" s="12">
        <f t="shared" ref="F38:F45" si="9">+H38-E38</f>
        <v>-26</v>
      </c>
      <c r="G38" s="13">
        <f>VLOOKUP(B38,'Base Cobertura'!$A:$C,3,FALSE)</f>
        <v>124</v>
      </c>
      <c r="H38" s="13">
        <f>VLOOKUP(B38,'Base Cobertura'!$A:$C,2,FALSE)</f>
        <v>34</v>
      </c>
      <c r="I38" s="17">
        <f t="shared" ref="I38:I45" si="10">(+G38*$M$2)-H38</f>
        <v>71.399999999999991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0.49206349206349204</v>
      </c>
      <c r="E39" s="13">
        <v>60</v>
      </c>
      <c r="F39" s="12">
        <f t="shared" si="9"/>
        <v>2</v>
      </c>
      <c r="G39" s="13">
        <f>VLOOKUP(B39,'Base Cobertura'!$A:$C,3,FALSE)</f>
        <v>126</v>
      </c>
      <c r="H39" s="13">
        <f>VLOOKUP(B39,'Base Cobertura'!$A:$C,2,FALSE)</f>
        <v>62</v>
      </c>
      <c r="I39" s="17">
        <f t="shared" si="10"/>
        <v>45.099999999999994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0.41632653061224489</v>
      </c>
      <c r="E40" s="13">
        <v>60</v>
      </c>
      <c r="F40" s="12">
        <f t="shared" si="9"/>
        <v>42</v>
      </c>
      <c r="G40" s="13">
        <f>VLOOKUP(B40,'Base Cobertura'!$A:$C,3,FALSE)</f>
        <v>245</v>
      </c>
      <c r="H40" s="13">
        <f>VLOOKUP(B40,'Base Cobertura'!$A:$C,2,FALSE)</f>
        <v>102</v>
      </c>
      <c r="I40" s="17">
        <f t="shared" si="10"/>
        <v>106.25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0.49</v>
      </c>
      <c r="E41" s="13">
        <v>60</v>
      </c>
      <c r="F41" s="12">
        <f t="shared" si="9"/>
        <v>38</v>
      </c>
      <c r="G41" s="13">
        <f>VLOOKUP(B41,'Base Cobertura'!$A:$C,3,FALSE)</f>
        <v>200</v>
      </c>
      <c r="H41" s="13">
        <f>VLOOKUP(B41,'Base Cobertura'!$A:$C,2,FALSE)</f>
        <v>98</v>
      </c>
      <c r="I41" s="17">
        <f t="shared" si="10"/>
        <v>72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0.45833333333333331</v>
      </c>
      <c r="E42" s="13">
        <v>60</v>
      </c>
      <c r="F42" s="12">
        <f t="shared" si="9"/>
        <v>17</v>
      </c>
      <c r="G42" s="13">
        <f>VLOOKUP(B42,'Base Cobertura'!$A:$C,3,FALSE)</f>
        <v>168</v>
      </c>
      <c r="H42" s="13">
        <f>VLOOKUP(B42,'Base Cobertura'!$A:$C,2,FALSE)</f>
        <v>77</v>
      </c>
      <c r="I42" s="17">
        <f t="shared" si="10"/>
        <v>65.799999999999983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0.5</v>
      </c>
      <c r="E43" s="13">
        <v>60</v>
      </c>
      <c r="F43" s="12">
        <f t="shared" si="9"/>
        <v>27</v>
      </c>
      <c r="G43" s="13">
        <f>VLOOKUP(B43,'Base Cobertura'!$A:$C,3,FALSE)</f>
        <v>174</v>
      </c>
      <c r="H43" s="13">
        <f>VLOOKUP(B43,'Base Cobertura'!$A:$C,2,FALSE)</f>
        <v>87</v>
      </c>
      <c r="I43" s="17">
        <f t="shared" si="10"/>
        <v>60.900000000000006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0.53030303030303028</v>
      </c>
      <c r="E44" s="13">
        <v>61</v>
      </c>
      <c r="F44" s="12">
        <f t="shared" ref="F44" si="12">+H44-E44</f>
        <v>-26</v>
      </c>
      <c r="G44" s="13">
        <f>VLOOKUP(B44,'Base Cobertura'!$A:$C,3,FALSE)</f>
        <v>66</v>
      </c>
      <c r="H44" s="13">
        <f>VLOOKUP(B44,'Base Cobertura'!$A:$C,2,FALSE)</f>
        <v>35</v>
      </c>
      <c r="I44" s="17">
        <f t="shared" ref="I44" si="13">(+G44*$M$2)-H44</f>
        <v>21.1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0.25806451612903225</v>
      </c>
      <c r="E45" s="13">
        <v>60</v>
      </c>
      <c r="F45" s="12">
        <f t="shared" si="9"/>
        <v>-36</v>
      </c>
      <c r="G45" s="13">
        <f>VLOOKUP(B45,'Base Cobertura'!$A:$C,3,FALSE)</f>
        <v>93</v>
      </c>
      <c r="H45" s="13">
        <f>VLOOKUP(B45,'Base Cobertura'!$A:$C,2,FALSE)</f>
        <v>24</v>
      </c>
      <c r="I45" s="17">
        <f t="shared" si="10"/>
        <v>55.05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3776</v>
      </c>
      <c r="H46" s="8">
        <f>+SUM(H32:H45)</f>
        <v>2245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9027</v>
      </c>
      <c r="H47" s="8">
        <f>+H46+H23+H37+H14</f>
        <v>6416</v>
      </c>
      <c r="I47" s="8"/>
      <c r="L47" s="1">
        <f>+H47/G47</f>
        <v>0.71075661903179355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11</v>
      </c>
      <c r="C3" s="51">
        <v>3578</v>
      </c>
      <c r="G3" t="s">
        <v>275</v>
      </c>
      <c r="H3" s="51">
        <v>6</v>
      </c>
      <c r="I3" s="51">
        <v>3578</v>
      </c>
    </row>
    <row r="4" spans="1:9" x14ac:dyDescent="0.25">
      <c r="A4">
        <v>1</v>
      </c>
      <c r="B4" s="51">
        <v>105</v>
      </c>
      <c r="C4" s="51">
        <v>117</v>
      </c>
      <c r="G4" t="s">
        <v>276</v>
      </c>
      <c r="H4">
        <v>2</v>
      </c>
      <c r="I4" s="51">
        <v>3578</v>
      </c>
    </row>
    <row r="5" spans="1:9" x14ac:dyDescent="0.25">
      <c r="A5">
        <v>10</v>
      </c>
      <c r="B5" s="51">
        <v>132</v>
      </c>
      <c r="C5" s="51">
        <v>186</v>
      </c>
      <c r="G5" t="s">
        <v>277</v>
      </c>
      <c r="H5" s="51">
        <v>4</v>
      </c>
      <c r="I5" s="51">
        <v>3578</v>
      </c>
    </row>
    <row r="6" spans="1:9" x14ac:dyDescent="0.25">
      <c r="A6">
        <v>100</v>
      </c>
      <c r="B6" s="51">
        <v>44</v>
      </c>
      <c r="C6" s="51">
        <v>2033</v>
      </c>
      <c r="G6" t="s">
        <v>278</v>
      </c>
      <c r="H6" s="51">
        <v>3</v>
      </c>
      <c r="I6" s="51">
        <v>3578</v>
      </c>
    </row>
    <row r="7" spans="1:9" x14ac:dyDescent="0.25">
      <c r="A7">
        <v>11</v>
      </c>
      <c r="B7" s="51">
        <v>141</v>
      </c>
      <c r="C7" s="51">
        <v>170</v>
      </c>
      <c r="G7" t="s">
        <v>279</v>
      </c>
      <c r="H7" s="51">
        <v>7</v>
      </c>
      <c r="I7" s="51">
        <v>3578</v>
      </c>
    </row>
    <row r="8" spans="1:9" x14ac:dyDescent="0.25">
      <c r="A8">
        <v>12</v>
      </c>
      <c r="B8" s="51">
        <v>190</v>
      </c>
      <c r="C8" s="51">
        <v>214</v>
      </c>
      <c r="G8" t="s">
        <v>280</v>
      </c>
      <c r="H8" s="51">
        <v>5</v>
      </c>
      <c r="I8" s="51">
        <v>3578</v>
      </c>
    </row>
    <row r="9" spans="1:9" x14ac:dyDescent="0.25">
      <c r="A9">
        <v>123</v>
      </c>
      <c r="B9" s="51">
        <v>38</v>
      </c>
      <c r="C9" s="51">
        <v>488</v>
      </c>
      <c r="G9" t="s">
        <v>281</v>
      </c>
      <c r="H9" s="51">
        <v>2</v>
      </c>
      <c r="I9" s="51">
        <v>3578</v>
      </c>
    </row>
    <row r="10" spans="1:9" x14ac:dyDescent="0.25">
      <c r="A10">
        <v>15</v>
      </c>
      <c r="B10" s="51">
        <v>53</v>
      </c>
      <c r="C10" s="51">
        <v>65</v>
      </c>
      <c r="G10" t="s">
        <v>282</v>
      </c>
      <c r="I10" s="51">
        <v>3578</v>
      </c>
    </row>
    <row r="11" spans="1:9" x14ac:dyDescent="0.25">
      <c r="A11">
        <v>16</v>
      </c>
      <c r="B11" s="51">
        <v>172</v>
      </c>
      <c r="C11" s="51">
        <v>199</v>
      </c>
      <c r="G11" t="s">
        <v>283</v>
      </c>
      <c r="H11" s="51">
        <v>1</v>
      </c>
      <c r="I11" s="51">
        <v>3578</v>
      </c>
    </row>
    <row r="12" spans="1:9" x14ac:dyDescent="0.25">
      <c r="A12">
        <v>18</v>
      </c>
      <c r="B12" s="51">
        <v>160</v>
      </c>
      <c r="C12" s="51">
        <v>180</v>
      </c>
      <c r="E12">
        <f>+F12</f>
        <v>1</v>
      </c>
      <c r="F12">
        <v>1</v>
      </c>
      <c r="G12" t="s">
        <v>275</v>
      </c>
      <c r="H12">
        <v>48</v>
      </c>
      <c r="I12" s="51">
        <v>117</v>
      </c>
    </row>
    <row r="13" spans="1:9" x14ac:dyDescent="0.25">
      <c r="A13">
        <v>19</v>
      </c>
      <c r="B13" s="51">
        <v>183</v>
      </c>
      <c r="C13" s="51">
        <v>209</v>
      </c>
      <c r="E13">
        <f>+$E$12</f>
        <v>1</v>
      </c>
      <c r="G13" t="s">
        <v>276</v>
      </c>
      <c r="H13" s="51">
        <v>48</v>
      </c>
      <c r="I13" s="51">
        <v>117</v>
      </c>
    </row>
    <row r="14" spans="1:9" x14ac:dyDescent="0.25">
      <c r="A14">
        <v>2</v>
      </c>
      <c r="B14" s="51">
        <v>96</v>
      </c>
      <c r="C14" s="51">
        <v>119</v>
      </c>
      <c r="E14">
        <f t="shared" ref="E14:E20" si="0">+$E$12</f>
        <v>1</v>
      </c>
      <c r="G14" t="s">
        <v>277</v>
      </c>
      <c r="H14" s="51">
        <v>51</v>
      </c>
      <c r="I14" s="51">
        <v>117</v>
      </c>
    </row>
    <row r="15" spans="1:9" x14ac:dyDescent="0.25">
      <c r="A15">
        <v>20</v>
      </c>
      <c r="B15" s="51">
        <v>207</v>
      </c>
      <c r="C15" s="51">
        <v>228</v>
      </c>
      <c r="E15">
        <f t="shared" si="0"/>
        <v>1</v>
      </c>
      <c r="G15" t="s">
        <v>278</v>
      </c>
      <c r="H15" s="51">
        <v>44</v>
      </c>
      <c r="I15" s="51">
        <v>117</v>
      </c>
    </row>
    <row r="16" spans="1:9" x14ac:dyDescent="0.25">
      <c r="A16">
        <v>21</v>
      </c>
      <c r="B16" s="51">
        <v>149</v>
      </c>
      <c r="C16" s="51">
        <v>166</v>
      </c>
      <c r="E16">
        <f t="shared" si="0"/>
        <v>1</v>
      </c>
      <c r="G16" t="s">
        <v>279</v>
      </c>
      <c r="H16" s="51">
        <v>66</v>
      </c>
      <c r="I16" s="51">
        <v>117</v>
      </c>
    </row>
    <row r="17" spans="1:9" x14ac:dyDescent="0.25">
      <c r="A17">
        <v>22</v>
      </c>
      <c r="B17" s="51">
        <v>70</v>
      </c>
      <c r="C17" s="51">
        <v>79</v>
      </c>
      <c r="E17">
        <f t="shared" si="0"/>
        <v>1</v>
      </c>
      <c r="G17" t="s">
        <v>280</v>
      </c>
      <c r="H17" s="51">
        <v>58</v>
      </c>
      <c r="I17" s="51">
        <v>117</v>
      </c>
    </row>
    <row r="18" spans="1:9" x14ac:dyDescent="0.25">
      <c r="A18">
        <v>23</v>
      </c>
      <c r="B18" s="51">
        <v>132</v>
      </c>
      <c r="C18" s="51">
        <v>155</v>
      </c>
      <c r="E18">
        <f t="shared" si="0"/>
        <v>1</v>
      </c>
      <c r="G18" t="s">
        <v>281</v>
      </c>
      <c r="H18" s="51">
        <v>28</v>
      </c>
      <c r="I18" s="51">
        <v>117</v>
      </c>
    </row>
    <row r="19" spans="1:9" x14ac:dyDescent="0.25">
      <c r="A19">
        <v>24</v>
      </c>
      <c r="B19" s="51">
        <v>118</v>
      </c>
      <c r="C19" s="51">
        <v>184</v>
      </c>
      <c r="E19">
        <f t="shared" si="0"/>
        <v>1</v>
      </c>
      <c r="G19" t="s">
        <v>282</v>
      </c>
      <c r="H19" s="51">
        <v>34</v>
      </c>
      <c r="I19" s="51">
        <v>117</v>
      </c>
    </row>
    <row r="20" spans="1:9" x14ac:dyDescent="0.25">
      <c r="A20">
        <v>25</v>
      </c>
      <c r="B20" s="51">
        <v>87</v>
      </c>
      <c r="C20" s="51">
        <v>174</v>
      </c>
      <c r="E20">
        <f t="shared" si="0"/>
        <v>1</v>
      </c>
      <c r="G20" t="s">
        <v>283</v>
      </c>
      <c r="H20">
        <v>42</v>
      </c>
      <c r="I20" s="51">
        <v>117</v>
      </c>
    </row>
    <row r="21" spans="1:9" x14ac:dyDescent="0.25">
      <c r="A21">
        <v>26</v>
      </c>
      <c r="B21" s="51">
        <v>77</v>
      </c>
      <c r="C21" s="51">
        <v>168</v>
      </c>
      <c r="E21">
        <f>+$F$21</f>
        <v>10</v>
      </c>
      <c r="F21">
        <v>10</v>
      </c>
      <c r="G21" t="s">
        <v>275</v>
      </c>
      <c r="H21" s="51">
        <v>29</v>
      </c>
      <c r="I21" s="51">
        <v>186</v>
      </c>
    </row>
    <row r="22" spans="1:9" x14ac:dyDescent="0.25">
      <c r="A22">
        <v>27</v>
      </c>
      <c r="B22" s="51">
        <v>127</v>
      </c>
      <c r="C22" s="51">
        <v>131</v>
      </c>
      <c r="E22">
        <f t="shared" ref="E22:E29" si="1">+$F$21</f>
        <v>10</v>
      </c>
      <c r="G22" t="s">
        <v>276</v>
      </c>
      <c r="H22" s="51">
        <v>29</v>
      </c>
      <c r="I22" s="51">
        <v>186</v>
      </c>
    </row>
    <row r="23" spans="1:9" x14ac:dyDescent="0.25">
      <c r="A23">
        <v>28</v>
      </c>
      <c r="B23" s="51">
        <v>149</v>
      </c>
      <c r="C23" s="51">
        <v>168</v>
      </c>
      <c r="E23">
        <f t="shared" si="1"/>
        <v>10</v>
      </c>
      <c r="G23" t="s">
        <v>277</v>
      </c>
      <c r="H23" s="51">
        <v>78</v>
      </c>
      <c r="I23" s="51">
        <v>186</v>
      </c>
    </row>
    <row r="24" spans="1:9" x14ac:dyDescent="0.25">
      <c r="A24">
        <v>3</v>
      </c>
      <c r="B24" s="51">
        <v>155</v>
      </c>
      <c r="C24" s="51">
        <v>170</v>
      </c>
      <c r="E24">
        <f t="shared" si="1"/>
        <v>10</v>
      </c>
      <c r="G24" t="s">
        <v>278</v>
      </c>
      <c r="H24" s="51">
        <v>71</v>
      </c>
      <c r="I24" s="51">
        <v>186</v>
      </c>
    </row>
    <row r="25" spans="1:9" x14ac:dyDescent="0.25">
      <c r="A25">
        <v>30</v>
      </c>
      <c r="B25" s="51">
        <v>30</v>
      </c>
      <c r="C25" s="51">
        <v>122</v>
      </c>
      <c r="E25">
        <f t="shared" si="1"/>
        <v>10</v>
      </c>
      <c r="G25" t="s">
        <v>279</v>
      </c>
      <c r="H25" s="51">
        <v>67</v>
      </c>
      <c r="I25" s="51">
        <v>186</v>
      </c>
    </row>
    <row r="26" spans="1:9" x14ac:dyDescent="0.25">
      <c r="A26">
        <v>31</v>
      </c>
      <c r="B26" s="51">
        <v>131</v>
      </c>
      <c r="C26" s="51">
        <v>160</v>
      </c>
      <c r="E26">
        <f t="shared" si="1"/>
        <v>10</v>
      </c>
      <c r="G26" t="s">
        <v>280</v>
      </c>
      <c r="H26" s="51">
        <v>52</v>
      </c>
      <c r="I26" s="51">
        <v>186</v>
      </c>
    </row>
    <row r="27" spans="1:9" x14ac:dyDescent="0.25">
      <c r="A27">
        <v>32</v>
      </c>
      <c r="B27" s="51">
        <v>52</v>
      </c>
      <c r="C27" s="51">
        <v>58</v>
      </c>
      <c r="E27">
        <f t="shared" si="1"/>
        <v>10</v>
      </c>
      <c r="G27" t="s">
        <v>281</v>
      </c>
      <c r="H27" s="51">
        <v>22</v>
      </c>
      <c r="I27" s="51">
        <v>186</v>
      </c>
    </row>
    <row r="28" spans="1:9" x14ac:dyDescent="0.25">
      <c r="A28">
        <v>33</v>
      </c>
      <c r="B28" s="51">
        <v>142</v>
      </c>
      <c r="C28" s="51">
        <v>167</v>
      </c>
      <c r="E28">
        <f t="shared" si="1"/>
        <v>10</v>
      </c>
      <c r="G28" t="s">
        <v>282</v>
      </c>
      <c r="H28" s="51">
        <v>23</v>
      </c>
      <c r="I28" s="51">
        <v>186</v>
      </c>
    </row>
    <row r="29" spans="1:9" x14ac:dyDescent="0.25">
      <c r="A29">
        <v>36</v>
      </c>
      <c r="B29" s="51">
        <v>119</v>
      </c>
      <c r="C29" s="51">
        <v>159</v>
      </c>
      <c r="E29">
        <f t="shared" si="1"/>
        <v>10</v>
      </c>
      <c r="G29" t="s">
        <v>283</v>
      </c>
      <c r="H29" s="51">
        <v>24</v>
      </c>
      <c r="I29" s="51">
        <v>186</v>
      </c>
    </row>
    <row r="30" spans="1:9" x14ac:dyDescent="0.25">
      <c r="A30">
        <v>37</v>
      </c>
      <c r="B30" s="51">
        <v>82</v>
      </c>
      <c r="C30" s="51">
        <v>145</v>
      </c>
      <c r="E30">
        <f>+$F$30</f>
        <v>100</v>
      </c>
      <c r="F30">
        <v>100</v>
      </c>
      <c r="G30" t="s">
        <v>275</v>
      </c>
      <c r="H30" s="51">
        <v>29</v>
      </c>
      <c r="I30" s="51">
        <v>2033</v>
      </c>
    </row>
    <row r="31" spans="1:9" x14ac:dyDescent="0.25">
      <c r="A31">
        <v>4</v>
      </c>
      <c r="B31" s="51">
        <v>159</v>
      </c>
      <c r="C31" s="51">
        <v>182</v>
      </c>
      <c r="E31">
        <f t="shared" ref="E31:E38" si="2">+$F$30</f>
        <v>100</v>
      </c>
      <c r="G31" t="s">
        <v>276</v>
      </c>
      <c r="H31" s="51">
        <v>24</v>
      </c>
      <c r="I31" s="51">
        <v>2033</v>
      </c>
    </row>
    <row r="32" spans="1:9" x14ac:dyDescent="0.25">
      <c r="A32">
        <v>40</v>
      </c>
      <c r="B32" s="51">
        <v>137</v>
      </c>
      <c r="C32" s="51">
        <v>222</v>
      </c>
      <c r="E32">
        <f t="shared" si="2"/>
        <v>100</v>
      </c>
      <c r="G32" t="s">
        <v>277</v>
      </c>
      <c r="H32" s="51">
        <v>22</v>
      </c>
      <c r="I32" s="51">
        <v>2033</v>
      </c>
    </row>
    <row r="33" spans="1:9" x14ac:dyDescent="0.25">
      <c r="A33">
        <v>42</v>
      </c>
      <c r="B33" s="51">
        <v>14</v>
      </c>
      <c r="C33" s="51">
        <v>52</v>
      </c>
      <c r="E33">
        <f t="shared" si="2"/>
        <v>100</v>
      </c>
      <c r="G33" t="s">
        <v>278</v>
      </c>
      <c r="H33" s="51">
        <v>14</v>
      </c>
      <c r="I33" s="51">
        <v>2033</v>
      </c>
    </row>
    <row r="34" spans="1:9" x14ac:dyDescent="0.25">
      <c r="A34">
        <v>43</v>
      </c>
      <c r="B34" s="51">
        <v>24</v>
      </c>
      <c r="C34" s="51">
        <v>93</v>
      </c>
      <c r="E34">
        <f t="shared" si="2"/>
        <v>100</v>
      </c>
      <c r="G34" t="s">
        <v>279</v>
      </c>
      <c r="H34" s="51">
        <v>27</v>
      </c>
      <c r="I34" s="51">
        <v>2033</v>
      </c>
    </row>
    <row r="35" spans="1:9" x14ac:dyDescent="0.25">
      <c r="A35">
        <v>44</v>
      </c>
      <c r="B35" s="51">
        <v>145</v>
      </c>
      <c r="C35" s="51">
        <v>170</v>
      </c>
      <c r="E35">
        <f t="shared" si="2"/>
        <v>100</v>
      </c>
      <c r="G35" t="s">
        <v>280</v>
      </c>
      <c r="H35" s="51">
        <v>21</v>
      </c>
      <c r="I35" s="51">
        <v>2033</v>
      </c>
    </row>
    <row r="36" spans="1:9" x14ac:dyDescent="0.25">
      <c r="A36">
        <v>49</v>
      </c>
      <c r="B36" s="51">
        <v>102</v>
      </c>
      <c r="C36" s="51">
        <v>245</v>
      </c>
      <c r="E36">
        <f t="shared" si="2"/>
        <v>100</v>
      </c>
      <c r="G36" t="s">
        <v>281</v>
      </c>
      <c r="H36" s="51">
        <v>23</v>
      </c>
      <c r="I36" s="51">
        <v>2033</v>
      </c>
    </row>
    <row r="37" spans="1:9" x14ac:dyDescent="0.25">
      <c r="A37">
        <v>5</v>
      </c>
      <c r="B37" s="51">
        <v>237</v>
      </c>
      <c r="C37" s="51">
        <v>263</v>
      </c>
      <c r="E37">
        <f t="shared" si="2"/>
        <v>100</v>
      </c>
      <c r="G37" t="s">
        <v>282</v>
      </c>
      <c r="H37" s="51">
        <v>10</v>
      </c>
      <c r="I37" s="51">
        <v>2033</v>
      </c>
    </row>
    <row r="38" spans="1:9" x14ac:dyDescent="0.25">
      <c r="A38">
        <v>52</v>
      </c>
      <c r="B38" s="51">
        <v>57</v>
      </c>
      <c r="C38" s="51">
        <v>104</v>
      </c>
      <c r="E38">
        <f t="shared" si="2"/>
        <v>100</v>
      </c>
      <c r="G38" t="s">
        <v>283</v>
      </c>
      <c r="H38" s="51">
        <v>4</v>
      </c>
      <c r="I38" s="51">
        <v>2033</v>
      </c>
    </row>
    <row r="39" spans="1:9" x14ac:dyDescent="0.25">
      <c r="A39">
        <v>53</v>
      </c>
      <c r="B39" s="51">
        <v>69</v>
      </c>
      <c r="C39" s="51">
        <v>105</v>
      </c>
      <c r="E39">
        <f>+$F$39</f>
        <v>11</v>
      </c>
      <c r="F39">
        <v>11</v>
      </c>
      <c r="G39" t="s">
        <v>275</v>
      </c>
      <c r="H39" s="51">
        <v>65</v>
      </c>
      <c r="I39" s="51">
        <v>170</v>
      </c>
    </row>
    <row r="40" spans="1:9" x14ac:dyDescent="0.25">
      <c r="A40">
        <v>54</v>
      </c>
      <c r="B40" s="51">
        <v>167</v>
      </c>
      <c r="C40" s="51">
        <v>200</v>
      </c>
      <c r="E40">
        <f t="shared" ref="E40:E47" si="3">+$F$39</f>
        <v>11</v>
      </c>
      <c r="G40" t="s">
        <v>276</v>
      </c>
      <c r="H40" s="51">
        <v>40</v>
      </c>
      <c r="I40" s="51">
        <v>170</v>
      </c>
    </row>
    <row r="41" spans="1:9" x14ac:dyDescent="0.25">
      <c r="A41">
        <v>56</v>
      </c>
      <c r="B41">
        <v>98</v>
      </c>
      <c r="C41" s="51">
        <v>200</v>
      </c>
      <c r="E41">
        <f t="shared" si="3"/>
        <v>11</v>
      </c>
      <c r="G41" t="s">
        <v>277</v>
      </c>
      <c r="H41" s="51">
        <v>94</v>
      </c>
      <c r="I41" s="51">
        <v>170</v>
      </c>
    </row>
    <row r="42" spans="1:9" x14ac:dyDescent="0.25">
      <c r="A42">
        <v>57</v>
      </c>
      <c r="B42" s="51">
        <v>43</v>
      </c>
      <c r="C42" s="51">
        <v>103</v>
      </c>
      <c r="E42">
        <f t="shared" si="3"/>
        <v>11</v>
      </c>
      <c r="G42" t="s">
        <v>278</v>
      </c>
      <c r="H42" s="51">
        <v>61</v>
      </c>
      <c r="I42" s="51">
        <v>170</v>
      </c>
    </row>
    <row r="43" spans="1:9" x14ac:dyDescent="0.25">
      <c r="A43">
        <v>58</v>
      </c>
      <c r="B43" s="51">
        <v>34</v>
      </c>
      <c r="C43" s="51">
        <v>124</v>
      </c>
      <c r="E43">
        <f t="shared" si="3"/>
        <v>11</v>
      </c>
      <c r="G43" t="s">
        <v>279</v>
      </c>
      <c r="H43" s="51">
        <v>110</v>
      </c>
      <c r="I43" s="51">
        <v>170</v>
      </c>
    </row>
    <row r="44" spans="1:9" x14ac:dyDescent="0.25">
      <c r="A44">
        <v>59</v>
      </c>
      <c r="B44" s="51">
        <v>62</v>
      </c>
      <c r="C44" s="51">
        <v>126</v>
      </c>
      <c r="E44">
        <f t="shared" si="3"/>
        <v>11</v>
      </c>
      <c r="G44" t="s">
        <v>280</v>
      </c>
      <c r="H44" s="51">
        <v>68</v>
      </c>
      <c r="I44" s="51">
        <v>170</v>
      </c>
    </row>
    <row r="45" spans="1:9" x14ac:dyDescent="0.25">
      <c r="A45">
        <v>60</v>
      </c>
      <c r="B45" s="51">
        <v>35</v>
      </c>
      <c r="C45" s="51">
        <v>66</v>
      </c>
      <c r="E45">
        <f t="shared" si="3"/>
        <v>11</v>
      </c>
      <c r="G45" t="s">
        <v>281</v>
      </c>
      <c r="H45" s="51">
        <v>15</v>
      </c>
      <c r="I45" s="51">
        <v>170</v>
      </c>
    </row>
    <row r="46" spans="1:9" x14ac:dyDescent="0.25">
      <c r="A46">
        <v>7</v>
      </c>
      <c r="B46" s="51">
        <v>18</v>
      </c>
      <c r="C46" s="51">
        <v>117</v>
      </c>
      <c r="E46">
        <f t="shared" si="3"/>
        <v>11</v>
      </c>
      <c r="G46" t="s">
        <v>282</v>
      </c>
      <c r="H46" s="51">
        <v>33</v>
      </c>
      <c r="I46" s="51">
        <v>170</v>
      </c>
    </row>
    <row r="47" spans="1:9" x14ac:dyDescent="0.25">
      <c r="A47">
        <v>8</v>
      </c>
      <c r="B47" s="51">
        <v>138</v>
      </c>
      <c r="C47" s="51">
        <v>199</v>
      </c>
      <c r="E47">
        <f t="shared" si="3"/>
        <v>11</v>
      </c>
      <c r="G47" t="s">
        <v>283</v>
      </c>
      <c r="H47" s="51">
        <v>24</v>
      </c>
      <c r="I47" s="51">
        <v>170</v>
      </c>
    </row>
    <row r="48" spans="1:9" x14ac:dyDescent="0.25">
      <c r="A48">
        <v>9</v>
      </c>
      <c r="B48" s="51">
        <v>136</v>
      </c>
      <c r="C48" s="51">
        <v>157</v>
      </c>
      <c r="E48">
        <f>+$F$48</f>
        <v>12</v>
      </c>
      <c r="F48">
        <v>12</v>
      </c>
      <c r="G48" t="s">
        <v>275</v>
      </c>
      <c r="H48" s="51">
        <v>72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276</v>
      </c>
      <c r="H49" s="51">
        <v>79</v>
      </c>
      <c r="I49" s="51">
        <v>214</v>
      </c>
    </row>
    <row r="50" spans="2:9" x14ac:dyDescent="0.25">
      <c r="E50">
        <f t="shared" si="4"/>
        <v>12</v>
      </c>
      <c r="G50" t="s">
        <v>277</v>
      </c>
      <c r="H50" s="51">
        <v>94</v>
      </c>
      <c r="I50" s="51">
        <v>214</v>
      </c>
    </row>
    <row r="51" spans="2:9" x14ac:dyDescent="0.25">
      <c r="E51">
        <f t="shared" si="4"/>
        <v>12</v>
      </c>
      <c r="G51" t="s">
        <v>278</v>
      </c>
      <c r="H51" s="51">
        <v>73</v>
      </c>
      <c r="I51" s="51">
        <v>214</v>
      </c>
    </row>
    <row r="52" spans="2:9" x14ac:dyDescent="0.25">
      <c r="E52">
        <f t="shared" si="4"/>
        <v>12</v>
      </c>
      <c r="G52" t="s">
        <v>279</v>
      </c>
      <c r="H52" s="51">
        <v>106</v>
      </c>
      <c r="I52" s="51">
        <v>214</v>
      </c>
    </row>
    <row r="53" spans="2:9" x14ac:dyDescent="0.25">
      <c r="E53">
        <f t="shared" si="4"/>
        <v>12</v>
      </c>
      <c r="G53" t="s">
        <v>280</v>
      </c>
      <c r="H53" s="51">
        <v>79</v>
      </c>
      <c r="I53" s="51">
        <v>214</v>
      </c>
    </row>
    <row r="54" spans="2:9" x14ac:dyDescent="0.25">
      <c r="E54">
        <f t="shared" si="4"/>
        <v>12</v>
      </c>
      <c r="G54" t="s">
        <v>281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282</v>
      </c>
      <c r="H55" s="51">
        <v>48</v>
      </c>
      <c r="I55" s="51">
        <v>214</v>
      </c>
    </row>
    <row r="56" spans="2:9" x14ac:dyDescent="0.25">
      <c r="E56">
        <f t="shared" si="4"/>
        <v>12</v>
      </c>
      <c r="G56" t="s">
        <v>283</v>
      </c>
      <c r="H56" s="51">
        <v>44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275</v>
      </c>
      <c r="H57" s="51">
        <v>23</v>
      </c>
      <c r="I57" s="51">
        <v>488</v>
      </c>
    </row>
    <row r="58" spans="2:9" x14ac:dyDescent="0.25">
      <c r="E58">
        <f t="shared" ref="E58:E65" si="5">+$F$57</f>
        <v>123</v>
      </c>
      <c r="G58" t="s">
        <v>276</v>
      </c>
      <c r="H58" s="51">
        <v>23</v>
      </c>
      <c r="I58" s="51">
        <v>488</v>
      </c>
    </row>
    <row r="59" spans="2:9" x14ac:dyDescent="0.25">
      <c r="E59">
        <f t="shared" si="5"/>
        <v>123</v>
      </c>
      <c r="G59" t="s">
        <v>277</v>
      </c>
      <c r="H59" s="51">
        <v>23</v>
      </c>
      <c r="I59" s="51">
        <v>488</v>
      </c>
    </row>
    <row r="60" spans="2:9" x14ac:dyDescent="0.25">
      <c r="E60">
        <f t="shared" si="5"/>
        <v>123</v>
      </c>
      <c r="G60" t="s">
        <v>278</v>
      </c>
      <c r="H60" s="51">
        <v>15</v>
      </c>
      <c r="I60" s="51">
        <v>488</v>
      </c>
    </row>
    <row r="61" spans="2:9" x14ac:dyDescent="0.25">
      <c r="E61">
        <f t="shared" si="5"/>
        <v>123</v>
      </c>
      <c r="G61" t="s">
        <v>279</v>
      </c>
      <c r="H61" s="51">
        <v>22</v>
      </c>
      <c r="I61" s="51">
        <v>488</v>
      </c>
    </row>
    <row r="62" spans="2:9" x14ac:dyDescent="0.25">
      <c r="E62">
        <f t="shared" si="5"/>
        <v>123</v>
      </c>
      <c r="G62" t="s">
        <v>280</v>
      </c>
      <c r="H62" s="51">
        <v>19</v>
      </c>
      <c r="I62" s="51">
        <v>488</v>
      </c>
    </row>
    <row r="63" spans="2:9" x14ac:dyDescent="0.25">
      <c r="E63">
        <f t="shared" si="5"/>
        <v>123</v>
      </c>
      <c r="G63" t="s">
        <v>281</v>
      </c>
      <c r="H63" s="51">
        <v>15</v>
      </c>
      <c r="I63" s="51">
        <v>488</v>
      </c>
    </row>
    <row r="64" spans="2:9" x14ac:dyDescent="0.25">
      <c r="E64">
        <f t="shared" si="5"/>
        <v>123</v>
      </c>
      <c r="G64" t="s">
        <v>282</v>
      </c>
      <c r="H64" s="51">
        <v>9</v>
      </c>
      <c r="I64" s="51">
        <v>488</v>
      </c>
    </row>
    <row r="65" spans="5:9" x14ac:dyDescent="0.25">
      <c r="E65">
        <f t="shared" si="5"/>
        <v>123</v>
      </c>
      <c r="G65" t="s">
        <v>283</v>
      </c>
      <c r="H65" s="51">
        <v>8</v>
      </c>
      <c r="I65" s="51">
        <v>488</v>
      </c>
    </row>
    <row r="66" spans="5:9" x14ac:dyDescent="0.25">
      <c r="E66">
        <f>+$F$66</f>
        <v>15</v>
      </c>
      <c r="F66">
        <v>15</v>
      </c>
      <c r="G66" t="s">
        <v>275</v>
      </c>
      <c r="H66" s="51">
        <v>33</v>
      </c>
      <c r="I66" s="51">
        <v>65</v>
      </c>
    </row>
    <row r="67" spans="5:9" x14ac:dyDescent="0.25">
      <c r="E67">
        <f t="shared" ref="E67:E74" si="6">+$F$66</f>
        <v>15</v>
      </c>
      <c r="G67" t="s">
        <v>276</v>
      </c>
      <c r="H67" s="51">
        <v>12</v>
      </c>
      <c r="I67" s="51">
        <v>65</v>
      </c>
    </row>
    <row r="68" spans="5:9" x14ac:dyDescent="0.25">
      <c r="E68">
        <f t="shared" si="6"/>
        <v>15</v>
      </c>
      <c r="G68" t="s">
        <v>277</v>
      </c>
      <c r="H68" s="51">
        <v>32</v>
      </c>
      <c r="I68" s="51">
        <v>65</v>
      </c>
    </row>
    <row r="69" spans="5:9" x14ac:dyDescent="0.25">
      <c r="E69">
        <f t="shared" si="6"/>
        <v>15</v>
      </c>
      <c r="G69" t="s">
        <v>278</v>
      </c>
      <c r="H69" s="51">
        <v>23</v>
      </c>
      <c r="I69" s="51">
        <v>65</v>
      </c>
    </row>
    <row r="70" spans="5:9" x14ac:dyDescent="0.25">
      <c r="E70">
        <f t="shared" si="6"/>
        <v>15</v>
      </c>
      <c r="G70" t="s">
        <v>279</v>
      </c>
      <c r="H70" s="51">
        <v>40</v>
      </c>
      <c r="I70" s="51">
        <v>65</v>
      </c>
    </row>
    <row r="71" spans="5:9" x14ac:dyDescent="0.25">
      <c r="E71">
        <f t="shared" si="6"/>
        <v>15</v>
      </c>
      <c r="G71" t="s">
        <v>280</v>
      </c>
      <c r="H71" s="51">
        <v>22</v>
      </c>
      <c r="I71" s="51">
        <v>65</v>
      </c>
    </row>
    <row r="72" spans="5:9" x14ac:dyDescent="0.25">
      <c r="E72">
        <f t="shared" si="6"/>
        <v>15</v>
      </c>
      <c r="G72" t="s">
        <v>281</v>
      </c>
      <c r="H72" s="51">
        <v>24</v>
      </c>
      <c r="I72" s="51">
        <v>65</v>
      </c>
    </row>
    <row r="73" spans="5:9" x14ac:dyDescent="0.25">
      <c r="E73">
        <f t="shared" si="6"/>
        <v>15</v>
      </c>
      <c r="G73" t="s">
        <v>282</v>
      </c>
      <c r="H73" s="51">
        <v>13</v>
      </c>
      <c r="I73" s="51">
        <v>65</v>
      </c>
    </row>
    <row r="74" spans="5:9" x14ac:dyDescent="0.25">
      <c r="E74">
        <f t="shared" si="6"/>
        <v>15</v>
      </c>
      <c r="G74" t="s">
        <v>283</v>
      </c>
      <c r="H74" s="51">
        <v>16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275</v>
      </c>
      <c r="H75" s="51">
        <v>57</v>
      </c>
      <c r="I75" s="51">
        <v>199</v>
      </c>
    </row>
    <row r="76" spans="5:9" x14ac:dyDescent="0.25">
      <c r="E76">
        <f t="shared" ref="E76:E83" si="7">+$F$75</f>
        <v>16</v>
      </c>
      <c r="G76" t="s">
        <v>276</v>
      </c>
      <c r="H76">
        <v>48</v>
      </c>
      <c r="I76" s="51">
        <v>199</v>
      </c>
    </row>
    <row r="77" spans="5:9" x14ac:dyDescent="0.25">
      <c r="E77">
        <f t="shared" si="7"/>
        <v>16</v>
      </c>
      <c r="G77" t="s">
        <v>277</v>
      </c>
      <c r="H77" s="51">
        <v>97</v>
      </c>
      <c r="I77" s="51">
        <v>199</v>
      </c>
    </row>
    <row r="78" spans="5:9" x14ac:dyDescent="0.25">
      <c r="E78">
        <f t="shared" si="7"/>
        <v>16</v>
      </c>
      <c r="G78" t="s">
        <v>278</v>
      </c>
      <c r="H78" s="51">
        <v>68</v>
      </c>
      <c r="I78" s="51">
        <v>199</v>
      </c>
    </row>
    <row r="79" spans="5:9" x14ac:dyDescent="0.25">
      <c r="E79">
        <f t="shared" si="7"/>
        <v>16</v>
      </c>
      <c r="G79" t="s">
        <v>279</v>
      </c>
      <c r="H79" s="51">
        <v>100</v>
      </c>
      <c r="I79" s="51">
        <v>199</v>
      </c>
    </row>
    <row r="80" spans="5:9" x14ac:dyDescent="0.25">
      <c r="E80">
        <f t="shared" si="7"/>
        <v>16</v>
      </c>
      <c r="G80" t="s">
        <v>280</v>
      </c>
      <c r="H80" s="51">
        <v>73</v>
      </c>
      <c r="I80" s="51">
        <v>199</v>
      </c>
    </row>
    <row r="81" spans="5:9" x14ac:dyDescent="0.25">
      <c r="E81">
        <f t="shared" si="7"/>
        <v>16</v>
      </c>
      <c r="G81" t="s">
        <v>281</v>
      </c>
      <c r="H81" s="51">
        <v>13</v>
      </c>
      <c r="I81" s="51">
        <v>199</v>
      </c>
    </row>
    <row r="82" spans="5:9" x14ac:dyDescent="0.25">
      <c r="E82">
        <f t="shared" si="7"/>
        <v>16</v>
      </c>
      <c r="G82" t="s">
        <v>282</v>
      </c>
      <c r="H82" s="51">
        <v>47</v>
      </c>
      <c r="I82" s="51">
        <v>199</v>
      </c>
    </row>
    <row r="83" spans="5:9" x14ac:dyDescent="0.25">
      <c r="E83">
        <f t="shared" si="7"/>
        <v>16</v>
      </c>
      <c r="G83" t="s">
        <v>283</v>
      </c>
      <c r="H83" s="51">
        <v>33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275</v>
      </c>
      <c r="H84" s="51">
        <v>63</v>
      </c>
      <c r="I84" s="51">
        <v>180</v>
      </c>
    </row>
    <row r="85" spans="5:9" x14ac:dyDescent="0.25">
      <c r="E85">
        <f t="shared" ref="E85:E92" si="8">+$F$84</f>
        <v>18</v>
      </c>
      <c r="G85" t="s">
        <v>276</v>
      </c>
      <c r="H85" s="51">
        <v>61</v>
      </c>
      <c r="I85" s="51">
        <v>180</v>
      </c>
    </row>
    <row r="86" spans="5:9" x14ac:dyDescent="0.25">
      <c r="E86">
        <f t="shared" si="8"/>
        <v>18</v>
      </c>
      <c r="G86" t="s">
        <v>277</v>
      </c>
      <c r="H86" s="51">
        <v>78</v>
      </c>
      <c r="I86" s="51">
        <v>180</v>
      </c>
    </row>
    <row r="87" spans="5:9" x14ac:dyDescent="0.25">
      <c r="E87">
        <f t="shared" si="8"/>
        <v>18</v>
      </c>
      <c r="G87" t="s">
        <v>278</v>
      </c>
      <c r="H87" s="51">
        <v>70</v>
      </c>
      <c r="I87" s="51">
        <v>180</v>
      </c>
    </row>
    <row r="88" spans="5:9" x14ac:dyDescent="0.25">
      <c r="E88">
        <f t="shared" si="8"/>
        <v>18</v>
      </c>
      <c r="G88" t="s">
        <v>279</v>
      </c>
      <c r="H88" s="51">
        <v>122</v>
      </c>
      <c r="I88" s="51">
        <v>180</v>
      </c>
    </row>
    <row r="89" spans="5:9" x14ac:dyDescent="0.25">
      <c r="E89">
        <f t="shared" si="8"/>
        <v>18</v>
      </c>
      <c r="G89" t="s">
        <v>280</v>
      </c>
      <c r="H89" s="51">
        <v>94</v>
      </c>
      <c r="I89" s="51">
        <v>180</v>
      </c>
    </row>
    <row r="90" spans="5:9" x14ac:dyDescent="0.25">
      <c r="E90">
        <f t="shared" si="8"/>
        <v>18</v>
      </c>
      <c r="G90" t="s">
        <v>281</v>
      </c>
      <c r="H90" s="51">
        <v>21</v>
      </c>
      <c r="I90" s="51">
        <v>180</v>
      </c>
    </row>
    <row r="91" spans="5:9" x14ac:dyDescent="0.25">
      <c r="E91">
        <f t="shared" si="8"/>
        <v>18</v>
      </c>
      <c r="G91" t="s">
        <v>282</v>
      </c>
      <c r="H91" s="51">
        <v>50</v>
      </c>
      <c r="I91" s="51">
        <v>180</v>
      </c>
    </row>
    <row r="92" spans="5:9" x14ac:dyDescent="0.25">
      <c r="E92">
        <f t="shared" si="8"/>
        <v>18</v>
      </c>
      <c r="G92" t="s">
        <v>283</v>
      </c>
      <c r="H92" s="51">
        <v>61</v>
      </c>
      <c r="I92" s="51">
        <v>180</v>
      </c>
    </row>
    <row r="93" spans="5:9" x14ac:dyDescent="0.25">
      <c r="E93">
        <f>+$F$93</f>
        <v>19</v>
      </c>
      <c r="F93">
        <v>19</v>
      </c>
      <c r="G93" t="s">
        <v>275</v>
      </c>
      <c r="H93" s="51">
        <v>66</v>
      </c>
      <c r="I93" s="51">
        <v>209</v>
      </c>
    </row>
    <row r="94" spans="5:9" x14ac:dyDescent="0.25">
      <c r="E94">
        <f t="shared" ref="E94:E101" si="9">+$F$93</f>
        <v>19</v>
      </c>
      <c r="G94" t="s">
        <v>276</v>
      </c>
      <c r="H94" s="51">
        <v>53</v>
      </c>
      <c r="I94" s="51">
        <v>209</v>
      </c>
    </row>
    <row r="95" spans="5:9" x14ac:dyDescent="0.25">
      <c r="E95">
        <f t="shared" si="9"/>
        <v>19</v>
      </c>
      <c r="G95" t="s">
        <v>277</v>
      </c>
      <c r="H95" s="51">
        <v>96</v>
      </c>
      <c r="I95" s="51">
        <v>209</v>
      </c>
    </row>
    <row r="96" spans="5:9" x14ac:dyDescent="0.25">
      <c r="E96">
        <f t="shared" si="9"/>
        <v>19</v>
      </c>
      <c r="G96" t="s">
        <v>278</v>
      </c>
      <c r="H96" s="51">
        <v>82</v>
      </c>
      <c r="I96" s="51">
        <v>209</v>
      </c>
    </row>
    <row r="97" spans="5:9" x14ac:dyDescent="0.25">
      <c r="E97">
        <f t="shared" si="9"/>
        <v>19</v>
      </c>
      <c r="G97" t="s">
        <v>279</v>
      </c>
      <c r="H97" s="51">
        <v>120</v>
      </c>
      <c r="I97" s="51">
        <v>209</v>
      </c>
    </row>
    <row r="98" spans="5:9" x14ac:dyDescent="0.25">
      <c r="E98">
        <f t="shared" si="9"/>
        <v>19</v>
      </c>
      <c r="G98" t="s">
        <v>280</v>
      </c>
      <c r="H98" s="51">
        <v>96</v>
      </c>
      <c r="I98" s="51">
        <v>209</v>
      </c>
    </row>
    <row r="99" spans="5:9" x14ac:dyDescent="0.25">
      <c r="E99">
        <f t="shared" si="9"/>
        <v>19</v>
      </c>
      <c r="G99" t="s">
        <v>281</v>
      </c>
      <c r="H99" s="51">
        <v>17</v>
      </c>
      <c r="I99" s="51">
        <v>209</v>
      </c>
    </row>
    <row r="100" spans="5:9" x14ac:dyDescent="0.25">
      <c r="E100">
        <f t="shared" si="9"/>
        <v>19</v>
      </c>
      <c r="G100" t="s">
        <v>282</v>
      </c>
      <c r="H100" s="51">
        <v>48</v>
      </c>
      <c r="I100" s="51">
        <v>209</v>
      </c>
    </row>
    <row r="101" spans="5:9" x14ac:dyDescent="0.25">
      <c r="E101">
        <f t="shared" si="9"/>
        <v>19</v>
      </c>
      <c r="G101" t="s">
        <v>283</v>
      </c>
      <c r="H101" s="51">
        <v>45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275</v>
      </c>
      <c r="H102" s="51">
        <v>27</v>
      </c>
      <c r="I102" s="51">
        <v>119</v>
      </c>
    </row>
    <row r="103" spans="5:9" x14ac:dyDescent="0.25">
      <c r="E103">
        <f t="shared" ref="E103:E110" si="10">+$F$102</f>
        <v>2</v>
      </c>
      <c r="G103" t="s">
        <v>276</v>
      </c>
      <c r="H103" s="51">
        <v>26</v>
      </c>
      <c r="I103" s="51">
        <v>119</v>
      </c>
    </row>
    <row r="104" spans="5:9" x14ac:dyDescent="0.25">
      <c r="E104">
        <f t="shared" si="10"/>
        <v>2</v>
      </c>
      <c r="G104" t="s">
        <v>277</v>
      </c>
      <c r="H104" s="51">
        <v>52</v>
      </c>
      <c r="I104" s="51">
        <v>119</v>
      </c>
    </row>
    <row r="105" spans="5:9" x14ac:dyDescent="0.25">
      <c r="E105">
        <f t="shared" si="10"/>
        <v>2</v>
      </c>
      <c r="G105" t="s">
        <v>278</v>
      </c>
      <c r="H105" s="51">
        <v>44</v>
      </c>
      <c r="I105" s="51">
        <v>119</v>
      </c>
    </row>
    <row r="106" spans="5:9" x14ac:dyDescent="0.25">
      <c r="E106">
        <f t="shared" si="10"/>
        <v>2</v>
      </c>
      <c r="G106" t="s">
        <v>279</v>
      </c>
      <c r="H106" s="51">
        <v>62</v>
      </c>
      <c r="I106" s="51">
        <v>119</v>
      </c>
    </row>
    <row r="107" spans="5:9" x14ac:dyDescent="0.25">
      <c r="E107">
        <f t="shared" si="10"/>
        <v>2</v>
      </c>
      <c r="G107" t="s">
        <v>280</v>
      </c>
      <c r="H107" s="51">
        <v>39</v>
      </c>
      <c r="I107" s="51">
        <v>119</v>
      </c>
    </row>
    <row r="108" spans="5:9" x14ac:dyDescent="0.25">
      <c r="E108">
        <f t="shared" si="10"/>
        <v>2</v>
      </c>
      <c r="G108" t="s">
        <v>281</v>
      </c>
      <c r="H108" s="51">
        <v>17</v>
      </c>
      <c r="I108" s="51">
        <v>119</v>
      </c>
    </row>
    <row r="109" spans="5:9" x14ac:dyDescent="0.25">
      <c r="E109">
        <f t="shared" si="10"/>
        <v>2</v>
      </c>
      <c r="G109" t="s">
        <v>282</v>
      </c>
      <c r="H109" s="51">
        <v>27</v>
      </c>
      <c r="I109" s="51">
        <v>119</v>
      </c>
    </row>
    <row r="110" spans="5:9" x14ac:dyDescent="0.25">
      <c r="E110">
        <f t="shared" si="10"/>
        <v>2</v>
      </c>
      <c r="G110" t="s">
        <v>283</v>
      </c>
      <c r="H110" s="51">
        <v>29</v>
      </c>
      <c r="I110" s="51">
        <v>119</v>
      </c>
    </row>
    <row r="111" spans="5:9" x14ac:dyDescent="0.25">
      <c r="E111">
        <f>+$F$111</f>
        <v>20</v>
      </c>
      <c r="F111">
        <v>20</v>
      </c>
      <c r="G111" t="s">
        <v>275</v>
      </c>
      <c r="H111" s="51">
        <v>77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276</v>
      </c>
      <c r="H112" s="51">
        <v>60</v>
      </c>
      <c r="I112" s="51">
        <v>228</v>
      </c>
    </row>
    <row r="113" spans="5:9" x14ac:dyDescent="0.25">
      <c r="E113">
        <f t="shared" si="11"/>
        <v>20</v>
      </c>
      <c r="G113" t="s">
        <v>277</v>
      </c>
      <c r="H113" s="51">
        <v>126</v>
      </c>
      <c r="I113" s="51">
        <v>228</v>
      </c>
    </row>
    <row r="114" spans="5:9" x14ac:dyDescent="0.25">
      <c r="E114">
        <f t="shared" si="11"/>
        <v>20</v>
      </c>
      <c r="G114" t="s">
        <v>278</v>
      </c>
      <c r="H114" s="51">
        <v>89</v>
      </c>
      <c r="I114" s="51">
        <v>228</v>
      </c>
    </row>
    <row r="115" spans="5:9" x14ac:dyDescent="0.25">
      <c r="E115">
        <f t="shared" si="11"/>
        <v>20</v>
      </c>
      <c r="G115" t="s">
        <v>279</v>
      </c>
      <c r="H115" s="51">
        <v>144</v>
      </c>
      <c r="I115" s="51">
        <v>228</v>
      </c>
    </row>
    <row r="116" spans="5:9" x14ac:dyDescent="0.25">
      <c r="E116">
        <f t="shared" si="11"/>
        <v>20</v>
      </c>
      <c r="G116" t="s">
        <v>280</v>
      </c>
      <c r="H116">
        <v>96</v>
      </c>
      <c r="I116" s="51">
        <v>228</v>
      </c>
    </row>
    <row r="117" spans="5:9" x14ac:dyDescent="0.25">
      <c r="E117">
        <f t="shared" si="11"/>
        <v>20</v>
      </c>
      <c r="G117" t="s">
        <v>281</v>
      </c>
      <c r="H117" s="51">
        <v>16</v>
      </c>
      <c r="I117" s="51">
        <v>228</v>
      </c>
    </row>
    <row r="118" spans="5:9" x14ac:dyDescent="0.25">
      <c r="E118">
        <f t="shared" si="11"/>
        <v>20</v>
      </c>
      <c r="G118" t="s">
        <v>282</v>
      </c>
      <c r="H118" s="51">
        <v>44</v>
      </c>
      <c r="I118" s="51">
        <v>228</v>
      </c>
    </row>
    <row r="119" spans="5:9" x14ac:dyDescent="0.25">
      <c r="E119">
        <f t="shared" si="11"/>
        <v>20</v>
      </c>
      <c r="G119" t="s">
        <v>283</v>
      </c>
      <c r="H119" s="51">
        <v>51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275</v>
      </c>
      <c r="H120" s="51">
        <v>78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276</v>
      </c>
      <c r="H121" s="51">
        <v>63</v>
      </c>
      <c r="I121" s="51">
        <v>166</v>
      </c>
    </row>
    <row r="122" spans="5:9" x14ac:dyDescent="0.25">
      <c r="E122">
        <f t="shared" si="12"/>
        <v>21</v>
      </c>
      <c r="G122" t="s">
        <v>277</v>
      </c>
      <c r="H122" s="51">
        <v>110</v>
      </c>
      <c r="I122" s="51">
        <v>166</v>
      </c>
    </row>
    <row r="123" spans="5:9" x14ac:dyDescent="0.25">
      <c r="E123">
        <f t="shared" si="12"/>
        <v>21</v>
      </c>
      <c r="G123" t="s">
        <v>278</v>
      </c>
      <c r="H123" s="51">
        <v>71</v>
      </c>
      <c r="I123" s="51">
        <v>166</v>
      </c>
    </row>
    <row r="124" spans="5:9" x14ac:dyDescent="0.25">
      <c r="E124">
        <f t="shared" si="12"/>
        <v>21</v>
      </c>
      <c r="G124" t="s">
        <v>279</v>
      </c>
      <c r="H124">
        <v>132</v>
      </c>
      <c r="I124" s="51">
        <v>166</v>
      </c>
    </row>
    <row r="125" spans="5:9" x14ac:dyDescent="0.25">
      <c r="E125">
        <f t="shared" si="12"/>
        <v>21</v>
      </c>
      <c r="G125" t="s">
        <v>280</v>
      </c>
      <c r="H125" s="51">
        <v>98</v>
      </c>
      <c r="I125" s="51">
        <v>166</v>
      </c>
    </row>
    <row r="126" spans="5:9" x14ac:dyDescent="0.25">
      <c r="E126">
        <f t="shared" si="12"/>
        <v>21</v>
      </c>
      <c r="G126" t="s">
        <v>281</v>
      </c>
      <c r="H126" s="51">
        <v>27</v>
      </c>
      <c r="I126" s="51">
        <v>166</v>
      </c>
    </row>
    <row r="127" spans="5:9" x14ac:dyDescent="0.25">
      <c r="E127">
        <f t="shared" si="12"/>
        <v>21</v>
      </c>
      <c r="G127" t="s">
        <v>282</v>
      </c>
      <c r="H127" s="51">
        <v>34</v>
      </c>
      <c r="I127" s="51">
        <v>166</v>
      </c>
    </row>
    <row r="128" spans="5:9" x14ac:dyDescent="0.25">
      <c r="E128">
        <f t="shared" si="12"/>
        <v>21</v>
      </c>
      <c r="G128" t="s">
        <v>283</v>
      </c>
      <c r="H128" s="51">
        <v>36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275</v>
      </c>
      <c r="H129" s="51">
        <v>56</v>
      </c>
      <c r="I129" s="51">
        <v>79</v>
      </c>
    </row>
    <row r="130" spans="5:9" x14ac:dyDescent="0.25">
      <c r="E130">
        <f t="shared" ref="E130:E137" si="13">+$F$129</f>
        <v>22</v>
      </c>
      <c r="G130" t="s">
        <v>276</v>
      </c>
      <c r="H130" s="51">
        <v>49</v>
      </c>
      <c r="I130" s="51">
        <v>79</v>
      </c>
    </row>
    <row r="131" spans="5:9" x14ac:dyDescent="0.25">
      <c r="E131">
        <f t="shared" si="13"/>
        <v>22</v>
      </c>
      <c r="G131" t="s">
        <v>277</v>
      </c>
      <c r="H131" s="51">
        <v>40</v>
      </c>
      <c r="I131" s="51">
        <v>79</v>
      </c>
    </row>
    <row r="132" spans="5:9" x14ac:dyDescent="0.25">
      <c r="E132">
        <f t="shared" si="13"/>
        <v>22</v>
      </c>
      <c r="G132" t="s">
        <v>278</v>
      </c>
      <c r="H132" s="51">
        <v>42</v>
      </c>
      <c r="I132" s="51">
        <v>79</v>
      </c>
    </row>
    <row r="133" spans="5:9" x14ac:dyDescent="0.25">
      <c r="E133">
        <f t="shared" si="13"/>
        <v>22</v>
      </c>
      <c r="G133" t="s">
        <v>279</v>
      </c>
      <c r="H133" s="51">
        <v>54</v>
      </c>
      <c r="I133" s="51">
        <v>79</v>
      </c>
    </row>
    <row r="134" spans="5:9" x14ac:dyDescent="0.25">
      <c r="E134">
        <f t="shared" si="13"/>
        <v>22</v>
      </c>
      <c r="G134" t="s">
        <v>280</v>
      </c>
      <c r="H134" s="51">
        <v>47</v>
      </c>
      <c r="I134" s="51">
        <v>79</v>
      </c>
    </row>
    <row r="135" spans="5:9" x14ac:dyDescent="0.25">
      <c r="E135">
        <f t="shared" si="13"/>
        <v>22</v>
      </c>
      <c r="G135" t="s">
        <v>281</v>
      </c>
      <c r="H135" s="51">
        <v>48</v>
      </c>
      <c r="I135" s="51">
        <v>79</v>
      </c>
    </row>
    <row r="136" spans="5:9" x14ac:dyDescent="0.25">
      <c r="E136">
        <f t="shared" si="13"/>
        <v>22</v>
      </c>
      <c r="G136" t="s">
        <v>282</v>
      </c>
      <c r="H136" s="51">
        <v>38</v>
      </c>
      <c r="I136" s="51">
        <v>79</v>
      </c>
    </row>
    <row r="137" spans="5:9" x14ac:dyDescent="0.25">
      <c r="E137">
        <f t="shared" si="13"/>
        <v>22</v>
      </c>
      <c r="G137" t="s">
        <v>283</v>
      </c>
      <c r="H137" s="51">
        <v>43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275</v>
      </c>
      <c r="H138" s="51">
        <v>63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276</v>
      </c>
      <c r="H139" s="51">
        <v>42</v>
      </c>
      <c r="I139" s="51">
        <v>155</v>
      </c>
    </row>
    <row r="140" spans="5:9" x14ac:dyDescent="0.25">
      <c r="E140">
        <f t="shared" si="14"/>
        <v>23</v>
      </c>
      <c r="G140" t="s">
        <v>277</v>
      </c>
      <c r="H140">
        <v>77</v>
      </c>
      <c r="I140" s="51">
        <v>155</v>
      </c>
    </row>
    <row r="141" spans="5:9" x14ac:dyDescent="0.25">
      <c r="E141">
        <f t="shared" si="14"/>
        <v>23</v>
      </c>
      <c r="G141" t="s">
        <v>278</v>
      </c>
      <c r="H141" s="51">
        <v>52</v>
      </c>
      <c r="I141" s="51">
        <v>155</v>
      </c>
    </row>
    <row r="142" spans="5:9" x14ac:dyDescent="0.25">
      <c r="E142">
        <f t="shared" si="14"/>
        <v>23</v>
      </c>
      <c r="G142" t="s">
        <v>279</v>
      </c>
      <c r="H142" s="51">
        <v>107</v>
      </c>
      <c r="I142" s="51">
        <v>155</v>
      </c>
    </row>
    <row r="143" spans="5:9" x14ac:dyDescent="0.25">
      <c r="E143">
        <f t="shared" si="14"/>
        <v>23</v>
      </c>
      <c r="G143" t="s">
        <v>280</v>
      </c>
      <c r="H143" s="51">
        <v>81</v>
      </c>
      <c r="I143" s="51">
        <v>155</v>
      </c>
    </row>
    <row r="144" spans="5:9" x14ac:dyDescent="0.25">
      <c r="E144">
        <f t="shared" si="14"/>
        <v>23</v>
      </c>
      <c r="G144" t="s">
        <v>281</v>
      </c>
      <c r="H144" s="51">
        <v>15</v>
      </c>
      <c r="I144" s="51">
        <v>155</v>
      </c>
    </row>
    <row r="145" spans="5:9" x14ac:dyDescent="0.25">
      <c r="E145">
        <f t="shared" si="14"/>
        <v>23</v>
      </c>
      <c r="G145" t="s">
        <v>282</v>
      </c>
      <c r="H145" s="51">
        <v>35</v>
      </c>
      <c r="I145" s="51">
        <v>155</v>
      </c>
    </row>
    <row r="146" spans="5:9" x14ac:dyDescent="0.25">
      <c r="E146">
        <f t="shared" si="14"/>
        <v>23</v>
      </c>
      <c r="G146" t="s">
        <v>283</v>
      </c>
      <c r="H146" s="51">
        <v>30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275</v>
      </c>
      <c r="H147" s="51">
        <v>40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276</v>
      </c>
      <c r="H148">
        <v>23</v>
      </c>
      <c r="I148" s="51">
        <v>184</v>
      </c>
    </row>
    <row r="149" spans="5:9" x14ac:dyDescent="0.25">
      <c r="E149">
        <f t="shared" si="15"/>
        <v>24</v>
      </c>
      <c r="G149" t="s">
        <v>277</v>
      </c>
      <c r="H149" s="51">
        <v>59</v>
      </c>
      <c r="I149" s="51">
        <v>184</v>
      </c>
    </row>
    <row r="150" spans="5:9" x14ac:dyDescent="0.25">
      <c r="E150">
        <f t="shared" si="15"/>
        <v>24</v>
      </c>
      <c r="G150" t="s">
        <v>278</v>
      </c>
      <c r="H150" s="51">
        <v>42</v>
      </c>
      <c r="I150" s="51">
        <v>184</v>
      </c>
    </row>
    <row r="151" spans="5:9" x14ac:dyDescent="0.25">
      <c r="E151">
        <f t="shared" si="15"/>
        <v>24</v>
      </c>
      <c r="G151" t="s">
        <v>279</v>
      </c>
      <c r="H151" s="51">
        <v>71</v>
      </c>
      <c r="I151" s="51">
        <v>184</v>
      </c>
    </row>
    <row r="152" spans="5:9" x14ac:dyDescent="0.25">
      <c r="E152">
        <f t="shared" si="15"/>
        <v>24</v>
      </c>
      <c r="G152" t="s">
        <v>280</v>
      </c>
      <c r="H152" s="51">
        <v>46</v>
      </c>
      <c r="I152" s="51">
        <v>184</v>
      </c>
    </row>
    <row r="153" spans="5:9" x14ac:dyDescent="0.25">
      <c r="E153">
        <f t="shared" si="15"/>
        <v>24</v>
      </c>
      <c r="G153" t="s">
        <v>281</v>
      </c>
      <c r="H153" s="51">
        <v>24</v>
      </c>
      <c r="I153" s="51">
        <v>184</v>
      </c>
    </row>
    <row r="154" spans="5:9" x14ac:dyDescent="0.25">
      <c r="E154">
        <f t="shared" si="15"/>
        <v>24</v>
      </c>
      <c r="G154" t="s">
        <v>282</v>
      </c>
      <c r="H154" s="51">
        <v>35</v>
      </c>
      <c r="I154" s="51">
        <v>184</v>
      </c>
    </row>
    <row r="155" spans="5:9" x14ac:dyDescent="0.25">
      <c r="E155">
        <f t="shared" si="15"/>
        <v>24</v>
      </c>
      <c r="G155" t="s">
        <v>283</v>
      </c>
      <c r="H155" s="51">
        <v>23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275</v>
      </c>
      <c r="H156" s="51">
        <v>52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276</v>
      </c>
      <c r="H157" s="51">
        <v>48</v>
      </c>
      <c r="I157" s="51">
        <v>174</v>
      </c>
    </row>
    <row r="158" spans="5:9" x14ac:dyDescent="0.25">
      <c r="E158">
        <f t="shared" si="16"/>
        <v>25</v>
      </c>
      <c r="G158" t="s">
        <v>277</v>
      </c>
      <c r="H158" s="51">
        <v>53</v>
      </c>
      <c r="I158" s="51">
        <v>174</v>
      </c>
    </row>
    <row r="159" spans="5:9" x14ac:dyDescent="0.25">
      <c r="E159">
        <f t="shared" si="16"/>
        <v>25</v>
      </c>
      <c r="G159" t="s">
        <v>278</v>
      </c>
      <c r="H159" s="51">
        <v>53</v>
      </c>
      <c r="I159" s="51">
        <v>174</v>
      </c>
    </row>
    <row r="160" spans="5:9" x14ac:dyDescent="0.25">
      <c r="E160">
        <f t="shared" si="16"/>
        <v>25</v>
      </c>
      <c r="G160" t="s">
        <v>279</v>
      </c>
      <c r="H160" s="51">
        <v>61</v>
      </c>
      <c r="I160" s="51">
        <v>174</v>
      </c>
    </row>
    <row r="161" spans="5:9" x14ac:dyDescent="0.25">
      <c r="E161">
        <f t="shared" si="16"/>
        <v>25</v>
      </c>
      <c r="G161" t="s">
        <v>280</v>
      </c>
      <c r="H161" s="51">
        <v>58</v>
      </c>
      <c r="I161" s="51">
        <v>174</v>
      </c>
    </row>
    <row r="162" spans="5:9" x14ac:dyDescent="0.25">
      <c r="E162">
        <f t="shared" si="16"/>
        <v>25</v>
      </c>
      <c r="G162" t="s">
        <v>281</v>
      </c>
      <c r="H162" s="51">
        <v>55</v>
      </c>
      <c r="I162" s="51">
        <v>174</v>
      </c>
    </row>
    <row r="163" spans="5:9" x14ac:dyDescent="0.25">
      <c r="E163">
        <f t="shared" si="16"/>
        <v>25</v>
      </c>
      <c r="G163" t="s">
        <v>282</v>
      </c>
      <c r="H163" s="51">
        <v>43</v>
      </c>
      <c r="I163" s="51">
        <v>174</v>
      </c>
    </row>
    <row r="164" spans="5:9" x14ac:dyDescent="0.25">
      <c r="E164">
        <f t="shared" si="16"/>
        <v>25</v>
      </c>
      <c r="G164" t="s">
        <v>283</v>
      </c>
      <c r="H164">
        <v>31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275</v>
      </c>
      <c r="H165" s="51">
        <v>41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276</v>
      </c>
      <c r="H166" s="51">
        <v>20</v>
      </c>
      <c r="I166" s="51">
        <v>168</v>
      </c>
    </row>
    <row r="167" spans="5:9" x14ac:dyDescent="0.25">
      <c r="E167">
        <f t="shared" si="17"/>
        <v>26</v>
      </c>
      <c r="G167" t="s">
        <v>277</v>
      </c>
      <c r="H167" s="51">
        <v>16</v>
      </c>
      <c r="I167" s="51">
        <v>168</v>
      </c>
    </row>
    <row r="168" spans="5:9" x14ac:dyDescent="0.25">
      <c r="E168">
        <f t="shared" si="17"/>
        <v>26</v>
      </c>
      <c r="G168" t="s">
        <v>278</v>
      </c>
      <c r="H168" s="51">
        <v>29</v>
      </c>
      <c r="I168" s="51">
        <v>168</v>
      </c>
    </row>
    <row r="169" spans="5:9" x14ac:dyDescent="0.25">
      <c r="E169">
        <f t="shared" si="17"/>
        <v>26</v>
      </c>
      <c r="G169" t="s">
        <v>279</v>
      </c>
      <c r="H169" s="51">
        <v>37</v>
      </c>
      <c r="I169" s="51">
        <v>168</v>
      </c>
    </row>
    <row r="170" spans="5:9" x14ac:dyDescent="0.25">
      <c r="E170">
        <f t="shared" si="17"/>
        <v>26</v>
      </c>
      <c r="G170" t="s">
        <v>280</v>
      </c>
      <c r="H170" s="51">
        <v>22</v>
      </c>
      <c r="I170" s="51">
        <v>168</v>
      </c>
    </row>
    <row r="171" spans="5:9" x14ac:dyDescent="0.25">
      <c r="E171">
        <f t="shared" si="17"/>
        <v>26</v>
      </c>
      <c r="G171" t="s">
        <v>281</v>
      </c>
      <c r="H171" s="51">
        <v>42</v>
      </c>
      <c r="I171" s="51">
        <v>168</v>
      </c>
    </row>
    <row r="172" spans="5:9" x14ac:dyDescent="0.25">
      <c r="E172">
        <f t="shared" si="17"/>
        <v>26</v>
      </c>
      <c r="G172" t="s">
        <v>282</v>
      </c>
      <c r="H172" s="51">
        <v>26</v>
      </c>
      <c r="I172" s="51">
        <v>168</v>
      </c>
    </row>
    <row r="173" spans="5:9" x14ac:dyDescent="0.25">
      <c r="E173">
        <f t="shared" si="17"/>
        <v>26</v>
      </c>
      <c r="G173" t="s">
        <v>283</v>
      </c>
      <c r="H173" s="51">
        <v>18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275</v>
      </c>
      <c r="H174" s="51">
        <v>52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276</v>
      </c>
      <c r="H175" s="51">
        <v>41</v>
      </c>
      <c r="I175" s="51">
        <v>131</v>
      </c>
    </row>
    <row r="176" spans="5:9" x14ac:dyDescent="0.25">
      <c r="E176">
        <f t="shared" si="18"/>
        <v>27</v>
      </c>
      <c r="G176" t="s">
        <v>277</v>
      </c>
      <c r="H176" s="51">
        <v>67</v>
      </c>
      <c r="I176" s="51">
        <v>131</v>
      </c>
    </row>
    <row r="177" spans="5:9" x14ac:dyDescent="0.25">
      <c r="E177">
        <f t="shared" si="18"/>
        <v>27</v>
      </c>
      <c r="G177" t="s">
        <v>278</v>
      </c>
      <c r="H177" s="51">
        <v>66</v>
      </c>
      <c r="I177" s="51">
        <v>131</v>
      </c>
    </row>
    <row r="178" spans="5:9" x14ac:dyDescent="0.25">
      <c r="E178">
        <f t="shared" si="18"/>
        <v>27</v>
      </c>
      <c r="G178" t="s">
        <v>279</v>
      </c>
      <c r="H178" s="51">
        <v>106</v>
      </c>
      <c r="I178" s="51">
        <v>131</v>
      </c>
    </row>
    <row r="179" spans="5:9" x14ac:dyDescent="0.25">
      <c r="E179">
        <f t="shared" si="18"/>
        <v>27</v>
      </c>
      <c r="G179" t="s">
        <v>280</v>
      </c>
      <c r="H179" s="51">
        <v>76</v>
      </c>
      <c r="I179" s="51">
        <v>131</v>
      </c>
    </row>
    <row r="180" spans="5:9" x14ac:dyDescent="0.25">
      <c r="E180">
        <f t="shared" si="18"/>
        <v>27</v>
      </c>
      <c r="G180" t="s">
        <v>281</v>
      </c>
      <c r="H180">
        <v>32</v>
      </c>
      <c r="I180" s="51">
        <v>131</v>
      </c>
    </row>
    <row r="181" spans="5:9" x14ac:dyDescent="0.25">
      <c r="E181">
        <f t="shared" si="18"/>
        <v>27</v>
      </c>
      <c r="G181" t="s">
        <v>282</v>
      </c>
      <c r="H181" s="51">
        <v>36</v>
      </c>
      <c r="I181" s="51">
        <v>131</v>
      </c>
    </row>
    <row r="182" spans="5:9" x14ac:dyDescent="0.25">
      <c r="E182">
        <f t="shared" si="18"/>
        <v>27</v>
      </c>
      <c r="G182" t="s">
        <v>283</v>
      </c>
      <c r="H182" s="51">
        <v>28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275</v>
      </c>
      <c r="H183" s="51">
        <v>45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276</v>
      </c>
      <c r="H184" s="51">
        <v>36</v>
      </c>
      <c r="I184" s="51">
        <v>168</v>
      </c>
    </row>
    <row r="185" spans="5:9" x14ac:dyDescent="0.25">
      <c r="E185">
        <f t="shared" si="19"/>
        <v>28</v>
      </c>
      <c r="G185" t="s">
        <v>277</v>
      </c>
      <c r="H185" s="51">
        <v>70</v>
      </c>
      <c r="I185" s="51">
        <v>168</v>
      </c>
    </row>
    <row r="186" spans="5:9" x14ac:dyDescent="0.25">
      <c r="E186">
        <f t="shared" si="19"/>
        <v>28</v>
      </c>
      <c r="G186" t="s">
        <v>278</v>
      </c>
      <c r="H186">
        <v>67</v>
      </c>
      <c r="I186" s="51">
        <v>168</v>
      </c>
    </row>
    <row r="187" spans="5:9" x14ac:dyDescent="0.25">
      <c r="E187">
        <f t="shared" si="19"/>
        <v>28</v>
      </c>
      <c r="G187" t="s">
        <v>279</v>
      </c>
      <c r="H187" s="51">
        <v>96</v>
      </c>
      <c r="I187" s="51">
        <v>168</v>
      </c>
    </row>
    <row r="188" spans="5:9" x14ac:dyDescent="0.25">
      <c r="E188">
        <f t="shared" si="19"/>
        <v>28</v>
      </c>
      <c r="G188" t="s">
        <v>280</v>
      </c>
      <c r="H188" s="51">
        <v>76</v>
      </c>
      <c r="I188" s="51">
        <v>168</v>
      </c>
    </row>
    <row r="189" spans="5:9" x14ac:dyDescent="0.25">
      <c r="E189">
        <f t="shared" si="19"/>
        <v>28</v>
      </c>
      <c r="G189" t="s">
        <v>281</v>
      </c>
      <c r="H189" s="51">
        <v>18</v>
      </c>
      <c r="I189" s="51">
        <v>168</v>
      </c>
    </row>
    <row r="190" spans="5:9" x14ac:dyDescent="0.25">
      <c r="E190">
        <f t="shared" si="19"/>
        <v>28</v>
      </c>
      <c r="G190" t="s">
        <v>282</v>
      </c>
      <c r="H190" s="51">
        <v>38</v>
      </c>
      <c r="I190" s="51">
        <v>168</v>
      </c>
    </row>
    <row r="191" spans="5:9" x14ac:dyDescent="0.25">
      <c r="E191">
        <f t="shared" si="19"/>
        <v>28</v>
      </c>
      <c r="G191" t="s">
        <v>283</v>
      </c>
      <c r="H191" s="51">
        <v>20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275</v>
      </c>
      <c r="H192" s="51">
        <v>64</v>
      </c>
      <c r="I192" s="51">
        <v>170</v>
      </c>
    </row>
    <row r="193" spans="5:9" x14ac:dyDescent="0.25">
      <c r="E193">
        <f t="shared" ref="E193:E200" si="20">+$F$192</f>
        <v>3</v>
      </c>
      <c r="G193" t="s">
        <v>276</v>
      </c>
      <c r="H193" s="51">
        <v>56</v>
      </c>
      <c r="I193" s="51">
        <v>170</v>
      </c>
    </row>
    <row r="194" spans="5:9" x14ac:dyDescent="0.25">
      <c r="E194">
        <f t="shared" si="20"/>
        <v>3</v>
      </c>
      <c r="G194" t="s">
        <v>277</v>
      </c>
      <c r="H194" s="51">
        <v>97</v>
      </c>
      <c r="I194" s="51">
        <v>170</v>
      </c>
    </row>
    <row r="195" spans="5:9" x14ac:dyDescent="0.25">
      <c r="E195">
        <f t="shared" si="20"/>
        <v>3</v>
      </c>
      <c r="G195" t="s">
        <v>278</v>
      </c>
      <c r="H195" s="51">
        <v>69</v>
      </c>
      <c r="I195" s="51">
        <v>170</v>
      </c>
    </row>
    <row r="196" spans="5:9" x14ac:dyDescent="0.25">
      <c r="E196">
        <f t="shared" si="20"/>
        <v>3</v>
      </c>
      <c r="G196" t="s">
        <v>279</v>
      </c>
      <c r="H196">
        <v>105</v>
      </c>
      <c r="I196" s="51">
        <v>170</v>
      </c>
    </row>
    <row r="197" spans="5:9" x14ac:dyDescent="0.25">
      <c r="E197">
        <f t="shared" si="20"/>
        <v>3</v>
      </c>
      <c r="G197" t="s">
        <v>280</v>
      </c>
      <c r="H197" s="51">
        <v>96</v>
      </c>
      <c r="I197" s="51">
        <v>170</v>
      </c>
    </row>
    <row r="198" spans="5:9" x14ac:dyDescent="0.25">
      <c r="E198">
        <f t="shared" si="20"/>
        <v>3</v>
      </c>
      <c r="G198" t="s">
        <v>281</v>
      </c>
      <c r="H198" s="51">
        <v>24</v>
      </c>
      <c r="I198" s="51">
        <v>170</v>
      </c>
    </row>
    <row r="199" spans="5:9" x14ac:dyDescent="0.25">
      <c r="E199">
        <f t="shared" si="20"/>
        <v>3</v>
      </c>
      <c r="G199" t="s">
        <v>282</v>
      </c>
      <c r="H199" s="51">
        <v>36</v>
      </c>
      <c r="I199" s="51">
        <v>170</v>
      </c>
    </row>
    <row r="200" spans="5:9" x14ac:dyDescent="0.25">
      <c r="E200">
        <f t="shared" si="20"/>
        <v>3</v>
      </c>
      <c r="G200" t="s">
        <v>283</v>
      </c>
      <c r="H200" s="51">
        <v>43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275</v>
      </c>
      <c r="H201" s="51">
        <v>11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276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277</v>
      </c>
      <c r="H203" s="51">
        <v>13</v>
      </c>
      <c r="I203" s="51">
        <v>122</v>
      </c>
    </row>
    <row r="204" spans="5:9" x14ac:dyDescent="0.25">
      <c r="E204">
        <f t="shared" si="21"/>
        <v>30</v>
      </c>
      <c r="G204" t="s">
        <v>278</v>
      </c>
      <c r="H204" s="51">
        <v>4</v>
      </c>
      <c r="I204" s="51">
        <v>122</v>
      </c>
    </row>
    <row r="205" spans="5:9" x14ac:dyDescent="0.25">
      <c r="E205">
        <f t="shared" si="21"/>
        <v>30</v>
      </c>
      <c r="G205" t="s">
        <v>279</v>
      </c>
      <c r="H205" s="51">
        <v>8</v>
      </c>
      <c r="I205" s="51">
        <v>122</v>
      </c>
    </row>
    <row r="206" spans="5:9" x14ac:dyDescent="0.25">
      <c r="E206">
        <f t="shared" si="21"/>
        <v>30</v>
      </c>
      <c r="G206" t="s">
        <v>280</v>
      </c>
      <c r="H206" s="51">
        <v>1</v>
      </c>
      <c r="I206" s="51">
        <v>122</v>
      </c>
    </row>
    <row r="207" spans="5:9" x14ac:dyDescent="0.25">
      <c r="E207">
        <f t="shared" si="21"/>
        <v>30</v>
      </c>
      <c r="G207" t="s">
        <v>281</v>
      </c>
      <c r="H207" s="51">
        <v>15</v>
      </c>
      <c r="I207" s="51">
        <v>122</v>
      </c>
    </row>
    <row r="208" spans="5:9" x14ac:dyDescent="0.25">
      <c r="E208">
        <f t="shared" si="21"/>
        <v>30</v>
      </c>
      <c r="G208" t="s">
        <v>282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283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275</v>
      </c>
      <c r="H210" s="51">
        <v>49</v>
      </c>
      <c r="I210" s="51">
        <v>160</v>
      </c>
    </row>
    <row r="211" spans="5:9" x14ac:dyDescent="0.25">
      <c r="E211">
        <f t="shared" ref="E211:E218" si="22">+$F$210</f>
        <v>31</v>
      </c>
      <c r="G211" t="s">
        <v>276</v>
      </c>
      <c r="H211" s="51">
        <v>51</v>
      </c>
      <c r="I211" s="51">
        <v>160</v>
      </c>
    </row>
    <row r="212" spans="5:9" x14ac:dyDescent="0.25">
      <c r="E212">
        <f t="shared" si="22"/>
        <v>31</v>
      </c>
      <c r="G212" t="s">
        <v>277</v>
      </c>
      <c r="H212">
        <v>71</v>
      </c>
      <c r="I212" s="51">
        <v>160</v>
      </c>
    </row>
    <row r="213" spans="5:9" x14ac:dyDescent="0.25">
      <c r="E213">
        <f t="shared" si="22"/>
        <v>31</v>
      </c>
      <c r="G213" t="s">
        <v>278</v>
      </c>
      <c r="H213" s="51">
        <v>52</v>
      </c>
      <c r="I213" s="51">
        <v>160</v>
      </c>
    </row>
    <row r="214" spans="5:9" x14ac:dyDescent="0.25">
      <c r="E214">
        <f t="shared" si="22"/>
        <v>31</v>
      </c>
      <c r="G214" t="s">
        <v>279</v>
      </c>
      <c r="H214" s="51">
        <v>100</v>
      </c>
      <c r="I214" s="51">
        <v>160</v>
      </c>
    </row>
    <row r="215" spans="5:9" x14ac:dyDescent="0.25">
      <c r="E215">
        <f t="shared" si="22"/>
        <v>31</v>
      </c>
      <c r="G215" t="s">
        <v>280</v>
      </c>
      <c r="H215" s="51">
        <v>76</v>
      </c>
      <c r="I215" s="51">
        <v>160</v>
      </c>
    </row>
    <row r="216" spans="5:9" x14ac:dyDescent="0.25">
      <c r="E216">
        <f t="shared" si="22"/>
        <v>31</v>
      </c>
      <c r="G216" t="s">
        <v>281</v>
      </c>
      <c r="H216" s="51">
        <v>28</v>
      </c>
      <c r="I216" s="51">
        <v>160</v>
      </c>
    </row>
    <row r="217" spans="5:9" x14ac:dyDescent="0.25">
      <c r="E217">
        <f t="shared" si="22"/>
        <v>31</v>
      </c>
      <c r="G217" t="s">
        <v>282</v>
      </c>
      <c r="H217" s="51">
        <v>39</v>
      </c>
      <c r="I217" s="51">
        <v>160</v>
      </c>
    </row>
    <row r="218" spans="5:9" x14ac:dyDescent="0.25">
      <c r="E218">
        <f t="shared" si="22"/>
        <v>31</v>
      </c>
      <c r="G218" t="s">
        <v>283</v>
      </c>
      <c r="H218" s="51">
        <v>26</v>
      </c>
      <c r="I218" s="51">
        <v>160</v>
      </c>
    </row>
    <row r="219" spans="5:9" x14ac:dyDescent="0.25">
      <c r="E219">
        <f>+$F$219</f>
        <v>32</v>
      </c>
      <c r="F219">
        <v>32</v>
      </c>
      <c r="G219" t="s">
        <v>275</v>
      </c>
      <c r="H219" s="51">
        <v>34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276</v>
      </c>
      <c r="H220" s="51">
        <v>16</v>
      </c>
      <c r="I220" s="51">
        <v>58</v>
      </c>
    </row>
    <row r="221" spans="5:9" x14ac:dyDescent="0.25">
      <c r="E221">
        <f t="shared" si="23"/>
        <v>32</v>
      </c>
      <c r="G221" t="s">
        <v>277</v>
      </c>
      <c r="H221" s="51">
        <v>26</v>
      </c>
      <c r="I221" s="51">
        <v>58</v>
      </c>
    </row>
    <row r="222" spans="5:9" x14ac:dyDescent="0.25">
      <c r="E222">
        <f t="shared" si="23"/>
        <v>32</v>
      </c>
      <c r="G222" t="s">
        <v>278</v>
      </c>
      <c r="H222" s="51">
        <v>30</v>
      </c>
      <c r="I222" s="51">
        <v>58</v>
      </c>
    </row>
    <row r="223" spans="5:9" x14ac:dyDescent="0.25">
      <c r="E223">
        <f t="shared" si="23"/>
        <v>32</v>
      </c>
      <c r="G223" t="s">
        <v>279</v>
      </c>
      <c r="H223" s="51">
        <v>47</v>
      </c>
      <c r="I223" s="51">
        <v>58</v>
      </c>
    </row>
    <row r="224" spans="5:9" x14ac:dyDescent="0.25">
      <c r="E224">
        <f t="shared" si="23"/>
        <v>32</v>
      </c>
      <c r="G224" t="s">
        <v>280</v>
      </c>
      <c r="H224" s="51">
        <v>34</v>
      </c>
      <c r="I224" s="51">
        <v>58</v>
      </c>
    </row>
    <row r="225" spans="5:9" x14ac:dyDescent="0.25">
      <c r="E225">
        <f t="shared" si="23"/>
        <v>32</v>
      </c>
      <c r="G225" t="s">
        <v>281</v>
      </c>
      <c r="H225" s="51">
        <v>29</v>
      </c>
      <c r="I225" s="51">
        <v>58</v>
      </c>
    </row>
    <row r="226" spans="5:9" x14ac:dyDescent="0.25">
      <c r="E226">
        <f t="shared" si="23"/>
        <v>32</v>
      </c>
      <c r="G226" t="s">
        <v>282</v>
      </c>
      <c r="H226" s="51">
        <v>20</v>
      </c>
      <c r="I226" s="51">
        <v>58</v>
      </c>
    </row>
    <row r="227" spans="5:9" x14ac:dyDescent="0.25">
      <c r="E227">
        <f t="shared" si="23"/>
        <v>32</v>
      </c>
      <c r="G227" t="s">
        <v>283</v>
      </c>
      <c r="H227" s="51">
        <v>24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275</v>
      </c>
      <c r="H228" s="51">
        <v>39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276</v>
      </c>
      <c r="H229" s="51">
        <v>37</v>
      </c>
      <c r="I229" s="51">
        <v>167</v>
      </c>
    </row>
    <row r="230" spans="5:9" x14ac:dyDescent="0.25">
      <c r="E230">
        <f t="shared" si="24"/>
        <v>33</v>
      </c>
      <c r="G230" t="s">
        <v>277</v>
      </c>
      <c r="H230" s="51">
        <v>77</v>
      </c>
      <c r="I230" s="51">
        <v>167</v>
      </c>
    </row>
    <row r="231" spans="5:9" x14ac:dyDescent="0.25">
      <c r="E231">
        <f t="shared" si="24"/>
        <v>33</v>
      </c>
      <c r="G231" t="s">
        <v>278</v>
      </c>
      <c r="H231" s="51">
        <v>54</v>
      </c>
      <c r="I231" s="51">
        <v>167</v>
      </c>
    </row>
    <row r="232" spans="5:9" x14ac:dyDescent="0.25">
      <c r="E232">
        <f t="shared" si="24"/>
        <v>33</v>
      </c>
      <c r="G232" t="s">
        <v>279</v>
      </c>
      <c r="H232" s="51">
        <v>94</v>
      </c>
      <c r="I232" s="51">
        <v>167</v>
      </c>
    </row>
    <row r="233" spans="5:9" x14ac:dyDescent="0.25">
      <c r="E233">
        <f t="shared" si="24"/>
        <v>33</v>
      </c>
      <c r="G233" t="s">
        <v>280</v>
      </c>
      <c r="H233" s="51">
        <v>70</v>
      </c>
      <c r="I233" s="51">
        <v>167</v>
      </c>
    </row>
    <row r="234" spans="5:9" x14ac:dyDescent="0.25">
      <c r="E234">
        <f t="shared" si="24"/>
        <v>33</v>
      </c>
      <c r="G234" t="s">
        <v>281</v>
      </c>
      <c r="H234" s="51">
        <v>13</v>
      </c>
      <c r="I234" s="51">
        <v>167</v>
      </c>
    </row>
    <row r="235" spans="5:9" x14ac:dyDescent="0.25">
      <c r="E235">
        <f t="shared" si="24"/>
        <v>33</v>
      </c>
      <c r="G235" t="s">
        <v>282</v>
      </c>
      <c r="H235" s="51">
        <v>32</v>
      </c>
      <c r="I235" s="51">
        <v>167</v>
      </c>
    </row>
    <row r="236" spans="5:9" x14ac:dyDescent="0.25">
      <c r="E236">
        <f t="shared" si="24"/>
        <v>33</v>
      </c>
      <c r="G236" t="s">
        <v>283</v>
      </c>
      <c r="H236">
        <v>25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275</v>
      </c>
      <c r="H237" s="51">
        <v>35</v>
      </c>
      <c r="I237" s="51">
        <v>159</v>
      </c>
    </row>
    <row r="238" spans="5:9" x14ac:dyDescent="0.25">
      <c r="E238">
        <f t="shared" ref="E238:E245" si="25">+$F$237</f>
        <v>36</v>
      </c>
      <c r="G238" t="s">
        <v>276</v>
      </c>
      <c r="H238" s="51">
        <v>25</v>
      </c>
      <c r="I238" s="51">
        <v>159</v>
      </c>
    </row>
    <row r="239" spans="5:9" x14ac:dyDescent="0.25">
      <c r="E239">
        <f t="shared" si="25"/>
        <v>36</v>
      </c>
      <c r="G239" t="s">
        <v>277</v>
      </c>
      <c r="H239" s="51">
        <v>71</v>
      </c>
      <c r="I239" s="51">
        <v>159</v>
      </c>
    </row>
    <row r="240" spans="5:9" x14ac:dyDescent="0.25">
      <c r="E240">
        <f t="shared" si="25"/>
        <v>36</v>
      </c>
      <c r="G240" t="s">
        <v>278</v>
      </c>
      <c r="H240" s="51">
        <v>49</v>
      </c>
      <c r="I240" s="51">
        <v>159</v>
      </c>
    </row>
    <row r="241" spans="5:9" x14ac:dyDescent="0.25">
      <c r="E241">
        <f t="shared" si="25"/>
        <v>36</v>
      </c>
      <c r="G241" t="s">
        <v>279</v>
      </c>
      <c r="H241" s="51">
        <v>85</v>
      </c>
      <c r="I241" s="51">
        <v>159</v>
      </c>
    </row>
    <row r="242" spans="5:9" x14ac:dyDescent="0.25">
      <c r="E242">
        <f t="shared" si="25"/>
        <v>36</v>
      </c>
      <c r="G242" t="s">
        <v>280</v>
      </c>
      <c r="H242" s="51">
        <v>41</v>
      </c>
      <c r="I242" s="51">
        <v>159</v>
      </c>
    </row>
    <row r="243" spans="5:9" x14ac:dyDescent="0.25">
      <c r="E243">
        <f t="shared" si="25"/>
        <v>36</v>
      </c>
      <c r="G243" t="s">
        <v>281</v>
      </c>
      <c r="H243" s="51">
        <v>25</v>
      </c>
      <c r="I243" s="51">
        <v>159</v>
      </c>
    </row>
    <row r="244" spans="5:9" x14ac:dyDescent="0.25">
      <c r="E244">
        <f t="shared" si="25"/>
        <v>36</v>
      </c>
      <c r="G244" t="s">
        <v>282</v>
      </c>
      <c r="H244">
        <v>21</v>
      </c>
      <c r="I244" s="51">
        <v>159</v>
      </c>
    </row>
    <row r="245" spans="5:9" x14ac:dyDescent="0.25">
      <c r="E245">
        <f t="shared" si="25"/>
        <v>36</v>
      </c>
      <c r="G245" t="s">
        <v>283</v>
      </c>
      <c r="H245" s="51">
        <v>23</v>
      </c>
      <c r="I245" s="51">
        <v>159</v>
      </c>
    </row>
    <row r="246" spans="5:9" x14ac:dyDescent="0.25">
      <c r="E246">
        <f>+$F$246</f>
        <v>37</v>
      </c>
      <c r="F246">
        <v>37</v>
      </c>
      <c r="G246" t="s">
        <v>275</v>
      </c>
      <c r="H246" s="51">
        <v>27</v>
      </c>
      <c r="I246" s="51">
        <v>145</v>
      </c>
    </row>
    <row r="247" spans="5:9" x14ac:dyDescent="0.25">
      <c r="E247">
        <f t="shared" ref="E247:E254" si="26">+$F$246</f>
        <v>37</v>
      </c>
      <c r="G247" t="s">
        <v>276</v>
      </c>
      <c r="H247" s="51">
        <v>16</v>
      </c>
      <c r="I247" s="51">
        <v>145</v>
      </c>
    </row>
    <row r="248" spans="5:9" x14ac:dyDescent="0.25">
      <c r="E248">
        <f t="shared" si="26"/>
        <v>37</v>
      </c>
      <c r="G248" t="s">
        <v>277</v>
      </c>
      <c r="H248" s="51">
        <v>28</v>
      </c>
      <c r="I248" s="51">
        <v>145</v>
      </c>
    </row>
    <row r="249" spans="5:9" x14ac:dyDescent="0.25">
      <c r="E249">
        <f t="shared" si="26"/>
        <v>37</v>
      </c>
      <c r="G249" t="s">
        <v>278</v>
      </c>
      <c r="H249" s="51">
        <v>36</v>
      </c>
      <c r="I249" s="51">
        <v>145</v>
      </c>
    </row>
    <row r="250" spans="5:9" x14ac:dyDescent="0.25">
      <c r="E250">
        <f t="shared" si="26"/>
        <v>37</v>
      </c>
      <c r="G250" t="s">
        <v>279</v>
      </c>
      <c r="H250" s="51">
        <v>57</v>
      </c>
      <c r="I250" s="51">
        <v>145</v>
      </c>
    </row>
    <row r="251" spans="5:9" x14ac:dyDescent="0.25">
      <c r="E251">
        <f t="shared" si="26"/>
        <v>37</v>
      </c>
      <c r="G251" t="s">
        <v>280</v>
      </c>
      <c r="H251" s="51">
        <v>30</v>
      </c>
      <c r="I251" s="51">
        <v>145</v>
      </c>
    </row>
    <row r="252" spans="5:9" x14ac:dyDescent="0.25">
      <c r="E252">
        <f t="shared" si="26"/>
        <v>37</v>
      </c>
      <c r="G252" t="s">
        <v>281</v>
      </c>
      <c r="H252">
        <v>14</v>
      </c>
      <c r="I252" s="51">
        <v>145</v>
      </c>
    </row>
    <row r="253" spans="5:9" x14ac:dyDescent="0.25">
      <c r="E253">
        <f t="shared" si="26"/>
        <v>37</v>
      </c>
      <c r="G253" t="s">
        <v>282</v>
      </c>
      <c r="H253" s="51">
        <v>30</v>
      </c>
      <c r="I253" s="51">
        <v>145</v>
      </c>
    </row>
    <row r="254" spans="5:9" x14ac:dyDescent="0.25">
      <c r="E254">
        <f t="shared" si="26"/>
        <v>37</v>
      </c>
      <c r="G254" t="s">
        <v>283</v>
      </c>
      <c r="H254" s="51">
        <v>20</v>
      </c>
      <c r="I254" s="51">
        <v>145</v>
      </c>
    </row>
    <row r="255" spans="5:9" x14ac:dyDescent="0.25">
      <c r="E255">
        <f>+$F$255</f>
        <v>4</v>
      </c>
      <c r="F255">
        <v>4</v>
      </c>
      <c r="G255" t="s">
        <v>275</v>
      </c>
      <c r="H255" s="51">
        <v>48</v>
      </c>
      <c r="I255" s="51">
        <v>182</v>
      </c>
    </row>
    <row r="256" spans="5:9" x14ac:dyDescent="0.25">
      <c r="E256">
        <f t="shared" ref="E256:E263" si="27">+$F$255</f>
        <v>4</v>
      </c>
      <c r="G256" t="s">
        <v>276</v>
      </c>
      <c r="H256" s="51">
        <v>49</v>
      </c>
      <c r="I256" s="51">
        <v>182</v>
      </c>
    </row>
    <row r="257" spans="5:9" x14ac:dyDescent="0.25">
      <c r="E257">
        <f t="shared" si="27"/>
        <v>4</v>
      </c>
      <c r="G257" t="s">
        <v>277</v>
      </c>
      <c r="H257" s="51">
        <v>82</v>
      </c>
      <c r="I257" s="51">
        <v>182</v>
      </c>
    </row>
    <row r="258" spans="5:9" x14ac:dyDescent="0.25">
      <c r="E258">
        <f t="shared" si="27"/>
        <v>4</v>
      </c>
      <c r="G258" t="s">
        <v>278</v>
      </c>
      <c r="H258">
        <v>63</v>
      </c>
      <c r="I258" s="51">
        <v>182</v>
      </c>
    </row>
    <row r="259" spans="5:9" x14ac:dyDescent="0.25">
      <c r="E259">
        <f t="shared" si="27"/>
        <v>4</v>
      </c>
      <c r="G259" t="s">
        <v>279</v>
      </c>
      <c r="H259" s="51">
        <v>99</v>
      </c>
      <c r="I259" s="51">
        <v>182</v>
      </c>
    </row>
    <row r="260" spans="5:9" x14ac:dyDescent="0.25">
      <c r="E260">
        <f t="shared" si="27"/>
        <v>4</v>
      </c>
      <c r="G260" t="s">
        <v>280</v>
      </c>
      <c r="H260">
        <v>72</v>
      </c>
      <c r="I260" s="51">
        <v>182</v>
      </c>
    </row>
    <row r="261" spans="5:9" x14ac:dyDescent="0.25">
      <c r="E261">
        <f t="shared" si="27"/>
        <v>4</v>
      </c>
      <c r="G261" t="s">
        <v>281</v>
      </c>
      <c r="H261" s="51">
        <v>21</v>
      </c>
      <c r="I261" s="51">
        <v>182</v>
      </c>
    </row>
    <row r="262" spans="5:9" x14ac:dyDescent="0.25">
      <c r="E262">
        <f t="shared" si="27"/>
        <v>4</v>
      </c>
      <c r="G262" t="s">
        <v>282</v>
      </c>
      <c r="H262" s="51">
        <v>37</v>
      </c>
      <c r="I262" s="51">
        <v>182</v>
      </c>
    </row>
    <row r="263" spans="5:9" x14ac:dyDescent="0.25">
      <c r="E263">
        <f t="shared" si="27"/>
        <v>4</v>
      </c>
      <c r="G263" t="s">
        <v>283</v>
      </c>
      <c r="H263" s="51">
        <v>48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275</v>
      </c>
      <c r="H264" s="51">
        <v>41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276</v>
      </c>
      <c r="H265">
        <v>29</v>
      </c>
      <c r="I265" s="51">
        <v>222</v>
      </c>
    </row>
    <row r="266" spans="5:9" x14ac:dyDescent="0.25">
      <c r="E266">
        <f t="shared" si="28"/>
        <v>40</v>
      </c>
      <c r="G266" t="s">
        <v>277</v>
      </c>
      <c r="H266" s="51">
        <v>63</v>
      </c>
      <c r="I266" s="51">
        <v>222</v>
      </c>
    </row>
    <row r="267" spans="5:9" x14ac:dyDescent="0.25">
      <c r="E267">
        <f t="shared" si="28"/>
        <v>40</v>
      </c>
      <c r="G267" t="s">
        <v>278</v>
      </c>
      <c r="H267" s="51">
        <v>58</v>
      </c>
      <c r="I267" s="51">
        <v>222</v>
      </c>
    </row>
    <row r="268" spans="5:9" x14ac:dyDescent="0.25">
      <c r="E268">
        <f t="shared" si="28"/>
        <v>40</v>
      </c>
      <c r="G268" t="s">
        <v>279</v>
      </c>
      <c r="H268">
        <v>82</v>
      </c>
      <c r="I268" s="51">
        <v>222</v>
      </c>
    </row>
    <row r="269" spans="5:9" x14ac:dyDescent="0.25">
      <c r="E269">
        <f t="shared" si="28"/>
        <v>40</v>
      </c>
      <c r="G269" t="s">
        <v>280</v>
      </c>
      <c r="H269" s="51">
        <v>64</v>
      </c>
      <c r="I269" s="51">
        <v>222</v>
      </c>
    </row>
    <row r="270" spans="5:9" x14ac:dyDescent="0.25">
      <c r="E270">
        <f t="shared" si="28"/>
        <v>40</v>
      </c>
      <c r="G270" t="s">
        <v>281</v>
      </c>
      <c r="H270" s="51">
        <v>43</v>
      </c>
      <c r="I270" s="51">
        <v>222</v>
      </c>
    </row>
    <row r="271" spans="5:9" x14ac:dyDescent="0.25">
      <c r="E271">
        <f t="shared" si="28"/>
        <v>40</v>
      </c>
      <c r="G271" t="s">
        <v>282</v>
      </c>
      <c r="H271" s="51">
        <v>32</v>
      </c>
      <c r="I271" s="51">
        <v>222</v>
      </c>
    </row>
    <row r="272" spans="5:9" x14ac:dyDescent="0.25">
      <c r="E272">
        <f t="shared" si="28"/>
        <v>40</v>
      </c>
      <c r="G272" t="s">
        <v>283</v>
      </c>
      <c r="H272" s="51">
        <v>20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275</v>
      </c>
      <c r="H273" s="51">
        <v>4</v>
      </c>
      <c r="I273" s="51">
        <v>52</v>
      </c>
    </row>
    <row r="274" spans="5:9" x14ac:dyDescent="0.25">
      <c r="E274">
        <f t="shared" ref="E274:E281" si="29">+$F$273</f>
        <v>42</v>
      </c>
      <c r="G274" t="s">
        <v>276</v>
      </c>
      <c r="H274" s="51">
        <v>7</v>
      </c>
      <c r="I274" s="51">
        <v>52</v>
      </c>
    </row>
    <row r="275" spans="5:9" x14ac:dyDescent="0.25">
      <c r="E275">
        <f t="shared" si="29"/>
        <v>42</v>
      </c>
      <c r="G275" t="s">
        <v>277</v>
      </c>
      <c r="H275" s="51">
        <v>6</v>
      </c>
      <c r="I275" s="51">
        <v>52</v>
      </c>
    </row>
    <row r="276" spans="5:9" x14ac:dyDescent="0.25">
      <c r="E276">
        <f t="shared" si="29"/>
        <v>42</v>
      </c>
      <c r="G276" t="s">
        <v>278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279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280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281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282</v>
      </c>
      <c r="H280" s="51">
        <v>9</v>
      </c>
      <c r="I280" s="51">
        <v>52</v>
      </c>
    </row>
    <row r="281" spans="5:9" x14ac:dyDescent="0.25">
      <c r="E281">
        <f t="shared" si="29"/>
        <v>42</v>
      </c>
      <c r="G281" t="s">
        <v>283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275</v>
      </c>
      <c r="H282" s="51">
        <v>14</v>
      </c>
      <c r="I282" s="51">
        <v>93</v>
      </c>
    </row>
    <row r="283" spans="5:9" x14ac:dyDescent="0.25">
      <c r="E283">
        <f t="shared" ref="E283:E290" si="30">+$F$282</f>
        <v>43</v>
      </c>
      <c r="G283" t="s">
        <v>276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277</v>
      </c>
      <c r="H284">
        <v>5</v>
      </c>
      <c r="I284" s="51">
        <v>93</v>
      </c>
    </row>
    <row r="285" spans="5:9" x14ac:dyDescent="0.25">
      <c r="E285">
        <f t="shared" si="30"/>
        <v>43</v>
      </c>
      <c r="G285" t="s">
        <v>278</v>
      </c>
      <c r="H285">
        <v>1</v>
      </c>
      <c r="I285" s="51">
        <v>93</v>
      </c>
    </row>
    <row r="286" spans="5:9" x14ac:dyDescent="0.25">
      <c r="E286">
        <f t="shared" si="30"/>
        <v>43</v>
      </c>
      <c r="G286" t="s">
        <v>279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280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281</v>
      </c>
      <c r="H288">
        <v>7</v>
      </c>
      <c r="I288" s="51">
        <v>93</v>
      </c>
    </row>
    <row r="289" spans="5:9" x14ac:dyDescent="0.25">
      <c r="E289">
        <f t="shared" si="30"/>
        <v>43</v>
      </c>
      <c r="G289" t="s">
        <v>282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283</v>
      </c>
      <c r="H290">
        <v>7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275</v>
      </c>
      <c r="H291">
        <v>54</v>
      </c>
      <c r="I291" s="51">
        <v>170</v>
      </c>
    </row>
    <row r="292" spans="5:9" x14ac:dyDescent="0.25">
      <c r="E292">
        <f t="shared" ref="E292:E299" si="31">+$F$291</f>
        <v>44</v>
      </c>
      <c r="G292" t="s">
        <v>276</v>
      </c>
      <c r="H292">
        <v>53</v>
      </c>
      <c r="I292" s="51">
        <v>170</v>
      </c>
    </row>
    <row r="293" spans="5:9" x14ac:dyDescent="0.25">
      <c r="E293">
        <f t="shared" si="31"/>
        <v>44</v>
      </c>
      <c r="G293" t="s">
        <v>277</v>
      </c>
      <c r="H293">
        <v>101</v>
      </c>
      <c r="I293" s="51">
        <v>170</v>
      </c>
    </row>
    <row r="294" spans="5:9" x14ac:dyDescent="0.25">
      <c r="E294">
        <f t="shared" si="31"/>
        <v>44</v>
      </c>
      <c r="G294" t="s">
        <v>278</v>
      </c>
      <c r="H294">
        <v>59</v>
      </c>
      <c r="I294" s="51">
        <v>170</v>
      </c>
    </row>
    <row r="295" spans="5:9" x14ac:dyDescent="0.25">
      <c r="E295">
        <f t="shared" si="31"/>
        <v>44</v>
      </c>
      <c r="G295" t="s">
        <v>279</v>
      </c>
      <c r="H295">
        <v>111</v>
      </c>
      <c r="I295" s="51">
        <v>170</v>
      </c>
    </row>
    <row r="296" spans="5:9" x14ac:dyDescent="0.25">
      <c r="E296">
        <f t="shared" si="31"/>
        <v>44</v>
      </c>
      <c r="G296" t="s">
        <v>280</v>
      </c>
      <c r="H296">
        <v>92</v>
      </c>
      <c r="I296" s="51">
        <v>170</v>
      </c>
    </row>
    <row r="297" spans="5:9" x14ac:dyDescent="0.25">
      <c r="E297">
        <f t="shared" si="31"/>
        <v>44</v>
      </c>
      <c r="G297" t="s">
        <v>281</v>
      </c>
      <c r="H297" s="51">
        <v>20</v>
      </c>
      <c r="I297" s="51">
        <v>170</v>
      </c>
    </row>
    <row r="298" spans="5:9" x14ac:dyDescent="0.25">
      <c r="E298">
        <f t="shared" si="31"/>
        <v>44</v>
      </c>
      <c r="G298" t="s">
        <v>282</v>
      </c>
      <c r="H298">
        <v>44</v>
      </c>
      <c r="I298" s="51">
        <v>170</v>
      </c>
    </row>
    <row r="299" spans="5:9" x14ac:dyDescent="0.25">
      <c r="E299">
        <f t="shared" si="31"/>
        <v>44</v>
      </c>
      <c r="G299" t="s">
        <v>283</v>
      </c>
      <c r="H299" s="51">
        <v>46</v>
      </c>
      <c r="I299" s="51">
        <v>170</v>
      </c>
    </row>
    <row r="300" spans="5:9" x14ac:dyDescent="0.25">
      <c r="E300">
        <f>+$F$300</f>
        <v>49</v>
      </c>
      <c r="F300">
        <v>49</v>
      </c>
      <c r="G300" t="s">
        <v>275</v>
      </c>
      <c r="H300" s="51">
        <v>26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276</v>
      </c>
      <c r="H301" s="51">
        <v>20</v>
      </c>
      <c r="I301" s="51">
        <v>245</v>
      </c>
    </row>
    <row r="302" spans="5:9" x14ac:dyDescent="0.25">
      <c r="E302">
        <f t="shared" si="32"/>
        <v>49</v>
      </c>
      <c r="G302" t="s">
        <v>277</v>
      </c>
      <c r="H302" s="51">
        <v>57</v>
      </c>
      <c r="I302" s="51">
        <v>245</v>
      </c>
    </row>
    <row r="303" spans="5:9" x14ac:dyDescent="0.25">
      <c r="E303">
        <f t="shared" si="32"/>
        <v>49</v>
      </c>
      <c r="G303" t="s">
        <v>278</v>
      </c>
      <c r="H303" s="51">
        <v>19</v>
      </c>
      <c r="I303" s="51">
        <v>245</v>
      </c>
    </row>
    <row r="304" spans="5:9" x14ac:dyDescent="0.25">
      <c r="E304">
        <f t="shared" si="32"/>
        <v>49</v>
      </c>
      <c r="G304" t="s">
        <v>279</v>
      </c>
      <c r="H304" s="51">
        <v>50</v>
      </c>
      <c r="I304" s="51">
        <v>245</v>
      </c>
    </row>
    <row r="305" spans="5:9" x14ac:dyDescent="0.25">
      <c r="E305">
        <f t="shared" si="32"/>
        <v>49</v>
      </c>
      <c r="G305" t="s">
        <v>280</v>
      </c>
      <c r="H305" s="51">
        <v>25</v>
      </c>
      <c r="I305" s="51">
        <v>245</v>
      </c>
    </row>
    <row r="306" spans="5:9" x14ac:dyDescent="0.25">
      <c r="E306">
        <f t="shared" si="32"/>
        <v>49</v>
      </c>
      <c r="G306" t="s">
        <v>281</v>
      </c>
      <c r="H306" s="51">
        <v>35</v>
      </c>
      <c r="I306" s="51">
        <v>245</v>
      </c>
    </row>
    <row r="307" spans="5:9" x14ac:dyDescent="0.25">
      <c r="E307">
        <f t="shared" si="32"/>
        <v>49</v>
      </c>
      <c r="G307" t="s">
        <v>282</v>
      </c>
      <c r="H307">
        <v>19</v>
      </c>
      <c r="I307" s="51">
        <v>245</v>
      </c>
    </row>
    <row r="308" spans="5:9" x14ac:dyDescent="0.25">
      <c r="E308">
        <f t="shared" si="32"/>
        <v>49</v>
      </c>
      <c r="G308" t="s">
        <v>283</v>
      </c>
      <c r="H308">
        <v>27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275</v>
      </c>
      <c r="H309">
        <v>113</v>
      </c>
      <c r="I309" s="51">
        <v>263</v>
      </c>
    </row>
    <row r="310" spans="5:9" x14ac:dyDescent="0.25">
      <c r="E310">
        <f t="shared" ref="E310:E317" si="33">+$F$309</f>
        <v>5</v>
      </c>
      <c r="G310" t="s">
        <v>276</v>
      </c>
      <c r="H310">
        <v>66</v>
      </c>
      <c r="I310" s="51">
        <v>263</v>
      </c>
    </row>
    <row r="311" spans="5:9" x14ac:dyDescent="0.25">
      <c r="E311">
        <f t="shared" si="33"/>
        <v>5</v>
      </c>
      <c r="G311" t="s">
        <v>277</v>
      </c>
      <c r="H311">
        <v>149</v>
      </c>
      <c r="I311" s="51">
        <v>263</v>
      </c>
    </row>
    <row r="312" spans="5:9" x14ac:dyDescent="0.25">
      <c r="E312">
        <f t="shared" si="33"/>
        <v>5</v>
      </c>
      <c r="G312" t="s">
        <v>278</v>
      </c>
      <c r="H312">
        <v>80</v>
      </c>
      <c r="I312" s="51">
        <v>263</v>
      </c>
    </row>
    <row r="313" spans="5:9" x14ac:dyDescent="0.25">
      <c r="E313">
        <f t="shared" si="33"/>
        <v>5</v>
      </c>
      <c r="G313" t="s">
        <v>279</v>
      </c>
      <c r="H313">
        <v>176</v>
      </c>
      <c r="I313" s="51">
        <v>263</v>
      </c>
    </row>
    <row r="314" spans="5:9" x14ac:dyDescent="0.25">
      <c r="E314">
        <f t="shared" si="33"/>
        <v>5</v>
      </c>
      <c r="G314" t="s">
        <v>280</v>
      </c>
      <c r="H314">
        <v>131</v>
      </c>
      <c r="I314" s="51">
        <v>263</v>
      </c>
    </row>
    <row r="315" spans="5:9" x14ac:dyDescent="0.25">
      <c r="E315">
        <f t="shared" si="33"/>
        <v>5</v>
      </c>
      <c r="G315" t="s">
        <v>281</v>
      </c>
      <c r="H315" s="51">
        <v>50</v>
      </c>
      <c r="I315" s="51">
        <v>263</v>
      </c>
    </row>
    <row r="316" spans="5:9" x14ac:dyDescent="0.25">
      <c r="E316">
        <f t="shared" si="33"/>
        <v>5</v>
      </c>
      <c r="G316" t="s">
        <v>282</v>
      </c>
      <c r="H316">
        <v>51</v>
      </c>
      <c r="I316" s="51">
        <v>263</v>
      </c>
    </row>
    <row r="317" spans="5:9" x14ac:dyDescent="0.25">
      <c r="E317">
        <f t="shared" si="33"/>
        <v>5</v>
      </c>
      <c r="G317" t="s">
        <v>283</v>
      </c>
      <c r="H317" s="51">
        <v>53</v>
      </c>
      <c r="I317" s="51">
        <v>263</v>
      </c>
    </row>
    <row r="318" spans="5:9" x14ac:dyDescent="0.25">
      <c r="E318">
        <f>+$F$318</f>
        <v>52</v>
      </c>
      <c r="F318">
        <v>52</v>
      </c>
      <c r="G318" t="s">
        <v>275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276</v>
      </c>
      <c r="H319" s="51">
        <v>5</v>
      </c>
      <c r="I319" s="51">
        <v>104</v>
      </c>
    </row>
    <row r="320" spans="5:9" x14ac:dyDescent="0.25">
      <c r="E320">
        <f t="shared" si="34"/>
        <v>52</v>
      </c>
      <c r="G320" t="s">
        <v>277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278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279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280</v>
      </c>
      <c r="I323" s="51">
        <v>104</v>
      </c>
    </row>
    <row r="324" spans="5:9" x14ac:dyDescent="0.25">
      <c r="E324">
        <f t="shared" si="34"/>
        <v>52</v>
      </c>
      <c r="G324" t="s">
        <v>281</v>
      </c>
      <c r="H324" s="51">
        <v>57</v>
      </c>
      <c r="I324" s="51">
        <v>104</v>
      </c>
    </row>
    <row r="325" spans="5:9" x14ac:dyDescent="0.25">
      <c r="E325">
        <f t="shared" si="34"/>
        <v>52</v>
      </c>
      <c r="G325" t="s">
        <v>282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283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275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276</v>
      </c>
      <c r="H328">
        <v>10</v>
      </c>
      <c r="I328" s="51">
        <v>105</v>
      </c>
    </row>
    <row r="329" spans="5:9" x14ac:dyDescent="0.25">
      <c r="E329">
        <f t="shared" si="35"/>
        <v>53</v>
      </c>
      <c r="G329" t="s">
        <v>277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278</v>
      </c>
      <c r="I330" s="51">
        <v>105</v>
      </c>
    </row>
    <row r="331" spans="5:9" x14ac:dyDescent="0.25">
      <c r="E331">
        <f t="shared" si="35"/>
        <v>53</v>
      </c>
      <c r="G331" t="s">
        <v>279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280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281</v>
      </c>
      <c r="H333" s="51">
        <v>69</v>
      </c>
      <c r="I333" s="51">
        <v>105</v>
      </c>
    </row>
    <row r="334" spans="5:9" x14ac:dyDescent="0.25">
      <c r="E334">
        <f t="shared" si="35"/>
        <v>53</v>
      </c>
      <c r="G334" t="s">
        <v>282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283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275</v>
      </c>
      <c r="H336" s="51">
        <v>75</v>
      </c>
      <c r="I336" s="51">
        <v>200</v>
      </c>
    </row>
    <row r="337" spans="5:9" x14ac:dyDescent="0.25">
      <c r="E337">
        <f t="shared" ref="E337:E344" si="36">+$F$336</f>
        <v>54</v>
      </c>
      <c r="G337" t="s">
        <v>276</v>
      </c>
      <c r="H337" s="51">
        <v>63</v>
      </c>
      <c r="I337" s="51">
        <v>200</v>
      </c>
    </row>
    <row r="338" spans="5:9" x14ac:dyDescent="0.25">
      <c r="E338">
        <f t="shared" si="36"/>
        <v>54</v>
      </c>
      <c r="G338" t="s">
        <v>277</v>
      </c>
      <c r="H338" s="51">
        <v>112</v>
      </c>
      <c r="I338" s="51">
        <v>200</v>
      </c>
    </row>
    <row r="339" spans="5:9" x14ac:dyDescent="0.25">
      <c r="E339">
        <f t="shared" si="36"/>
        <v>54</v>
      </c>
      <c r="G339" t="s">
        <v>278</v>
      </c>
      <c r="H339" s="51">
        <v>87</v>
      </c>
      <c r="I339" s="51">
        <v>200</v>
      </c>
    </row>
    <row r="340" spans="5:9" x14ac:dyDescent="0.25">
      <c r="E340">
        <f t="shared" si="36"/>
        <v>54</v>
      </c>
      <c r="G340" t="s">
        <v>279</v>
      </c>
      <c r="H340">
        <v>117</v>
      </c>
      <c r="I340" s="51">
        <v>200</v>
      </c>
    </row>
    <row r="341" spans="5:9" x14ac:dyDescent="0.25">
      <c r="E341">
        <f t="shared" si="36"/>
        <v>54</v>
      </c>
      <c r="G341" t="s">
        <v>280</v>
      </c>
      <c r="H341" s="51">
        <v>82</v>
      </c>
      <c r="I341" s="51">
        <v>200</v>
      </c>
    </row>
    <row r="342" spans="5:9" x14ac:dyDescent="0.25">
      <c r="E342">
        <f t="shared" si="36"/>
        <v>54</v>
      </c>
      <c r="G342" t="s">
        <v>281</v>
      </c>
      <c r="H342" s="51">
        <v>29</v>
      </c>
      <c r="I342" s="51">
        <v>200</v>
      </c>
    </row>
    <row r="343" spans="5:9" x14ac:dyDescent="0.25">
      <c r="E343">
        <f t="shared" si="36"/>
        <v>54</v>
      </c>
      <c r="G343" t="s">
        <v>282</v>
      </c>
      <c r="H343" s="51">
        <v>49</v>
      </c>
      <c r="I343" s="51">
        <v>200</v>
      </c>
    </row>
    <row r="344" spans="5:9" x14ac:dyDescent="0.25">
      <c r="E344">
        <f t="shared" si="36"/>
        <v>54</v>
      </c>
      <c r="G344" t="s">
        <v>283</v>
      </c>
      <c r="H344" s="51">
        <v>42</v>
      </c>
      <c r="I344" s="51">
        <v>200</v>
      </c>
    </row>
    <row r="345" spans="5:9" x14ac:dyDescent="0.25">
      <c r="E345">
        <f>+$F$345</f>
        <v>56</v>
      </c>
      <c r="F345">
        <v>56</v>
      </c>
      <c r="G345" t="s">
        <v>275</v>
      </c>
      <c r="H345">
        <v>29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276</v>
      </c>
      <c r="H346" s="51">
        <v>18</v>
      </c>
      <c r="I346" s="51">
        <v>200</v>
      </c>
    </row>
    <row r="347" spans="5:9" x14ac:dyDescent="0.25">
      <c r="E347">
        <f t="shared" si="37"/>
        <v>56</v>
      </c>
      <c r="G347" t="s">
        <v>277</v>
      </c>
      <c r="H347" s="51">
        <v>62</v>
      </c>
      <c r="I347" s="51">
        <v>200</v>
      </c>
    </row>
    <row r="348" spans="5:9" x14ac:dyDescent="0.25">
      <c r="E348">
        <f t="shared" si="37"/>
        <v>56</v>
      </c>
      <c r="G348" t="s">
        <v>278</v>
      </c>
      <c r="H348">
        <v>31</v>
      </c>
      <c r="I348" s="51">
        <v>200</v>
      </c>
    </row>
    <row r="349" spans="5:9" x14ac:dyDescent="0.25">
      <c r="E349">
        <f t="shared" si="37"/>
        <v>56</v>
      </c>
      <c r="G349" t="s">
        <v>279</v>
      </c>
      <c r="H349" s="51">
        <v>42</v>
      </c>
      <c r="I349" s="51">
        <v>200</v>
      </c>
    </row>
    <row r="350" spans="5:9" x14ac:dyDescent="0.25">
      <c r="E350">
        <f t="shared" si="37"/>
        <v>56</v>
      </c>
      <c r="G350" t="s">
        <v>280</v>
      </c>
      <c r="H350" s="51">
        <v>32</v>
      </c>
      <c r="I350" s="51">
        <v>200</v>
      </c>
    </row>
    <row r="351" spans="5:9" x14ac:dyDescent="0.25">
      <c r="E351">
        <f t="shared" si="37"/>
        <v>56</v>
      </c>
      <c r="G351" t="s">
        <v>281</v>
      </c>
      <c r="H351" s="51">
        <v>45</v>
      </c>
      <c r="I351" s="51">
        <v>200</v>
      </c>
    </row>
    <row r="352" spans="5:9" x14ac:dyDescent="0.25">
      <c r="E352">
        <f t="shared" si="37"/>
        <v>56</v>
      </c>
      <c r="G352" t="s">
        <v>282</v>
      </c>
      <c r="H352">
        <v>18</v>
      </c>
      <c r="I352" s="51">
        <v>200</v>
      </c>
    </row>
    <row r="353" spans="5:9" x14ac:dyDescent="0.25">
      <c r="E353">
        <f t="shared" si="37"/>
        <v>56</v>
      </c>
      <c r="G353" t="s">
        <v>283</v>
      </c>
      <c r="H353" s="51">
        <v>20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275</v>
      </c>
      <c r="H354" s="51"/>
      <c r="I354" s="51">
        <v>103</v>
      </c>
    </row>
    <row r="355" spans="5:9" x14ac:dyDescent="0.25">
      <c r="E355">
        <f t="shared" ref="E355:E362" si="38">+$F$354</f>
        <v>57</v>
      </c>
      <c r="G355" t="s">
        <v>276</v>
      </c>
      <c r="H355" s="51">
        <v>11</v>
      </c>
      <c r="I355" s="51">
        <v>103</v>
      </c>
    </row>
    <row r="356" spans="5:9" x14ac:dyDescent="0.25">
      <c r="E356">
        <f t="shared" si="38"/>
        <v>57</v>
      </c>
      <c r="G356" t="s">
        <v>277</v>
      </c>
      <c r="H356" s="51">
        <v>1</v>
      </c>
      <c r="I356" s="51">
        <v>103</v>
      </c>
    </row>
    <row r="357" spans="5:9" x14ac:dyDescent="0.25">
      <c r="E357">
        <f t="shared" si="38"/>
        <v>57</v>
      </c>
      <c r="G357" t="s">
        <v>278</v>
      </c>
      <c r="H357" s="51"/>
      <c r="I357" s="51">
        <v>103</v>
      </c>
    </row>
    <row r="358" spans="5:9" x14ac:dyDescent="0.25">
      <c r="E358">
        <f t="shared" si="38"/>
        <v>57</v>
      </c>
      <c r="G358" t="s">
        <v>279</v>
      </c>
      <c r="H358" s="51"/>
      <c r="I358" s="51">
        <v>103</v>
      </c>
    </row>
    <row r="359" spans="5:9" x14ac:dyDescent="0.25">
      <c r="E359">
        <f t="shared" si="38"/>
        <v>57</v>
      </c>
      <c r="G359" t="s">
        <v>280</v>
      </c>
      <c r="H359" s="51"/>
      <c r="I359" s="51">
        <v>103</v>
      </c>
    </row>
    <row r="360" spans="5:9" x14ac:dyDescent="0.25">
      <c r="E360">
        <f t="shared" si="38"/>
        <v>57</v>
      </c>
      <c r="G360" t="s">
        <v>281</v>
      </c>
      <c r="H360" s="51">
        <v>41</v>
      </c>
      <c r="I360" s="51">
        <v>103</v>
      </c>
    </row>
    <row r="361" spans="5:9" x14ac:dyDescent="0.25">
      <c r="E361">
        <f t="shared" si="38"/>
        <v>57</v>
      </c>
      <c r="G361" t="s">
        <v>282</v>
      </c>
      <c r="H361" s="51"/>
      <c r="I361" s="51">
        <v>103</v>
      </c>
    </row>
    <row r="362" spans="5:9" x14ac:dyDescent="0.25">
      <c r="E362">
        <f t="shared" si="38"/>
        <v>57</v>
      </c>
      <c r="G362" t="s">
        <v>283</v>
      </c>
      <c r="H362" s="51">
        <v>1</v>
      </c>
      <c r="I362" s="51">
        <v>103</v>
      </c>
    </row>
    <row r="363" spans="5:9" x14ac:dyDescent="0.25">
      <c r="E363">
        <f>+$F$363</f>
        <v>58</v>
      </c>
      <c r="F363">
        <v>58</v>
      </c>
      <c r="G363" t="s">
        <v>275</v>
      </c>
      <c r="H363" s="51">
        <v>5</v>
      </c>
      <c r="I363" s="51">
        <v>124</v>
      </c>
    </row>
    <row r="364" spans="5:9" x14ac:dyDescent="0.25">
      <c r="E364">
        <f t="shared" ref="E364:E371" si="39">+$F$363</f>
        <v>58</v>
      </c>
      <c r="G364" t="s">
        <v>276</v>
      </c>
      <c r="H364" s="51">
        <v>12</v>
      </c>
      <c r="I364" s="51">
        <v>124</v>
      </c>
    </row>
    <row r="365" spans="5:9" x14ac:dyDescent="0.25">
      <c r="E365">
        <f t="shared" si="39"/>
        <v>58</v>
      </c>
      <c r="G365" t="s">
        <v>277</v>
      </c>
      <c r="H365" s="51">
        <v>9</v>
      </c>
      <c r="I365" s="51">
        <v>124</v>
      </c>
    </row>
    <row r="366" spans="5:9" x14ac:dyDescent="0.25">
      <c r="E366">
        <f t="shared" si="39"/>
        <v>58</v>
      </c>
      <c r="G366" t="s">
        <v>278</v>
      </c>
      <c r="H366" s="51">
        <v>22</v>
      </c>
      <c r="I366" s="51">
        <v>124</v>
      </c>
    </row>
    <row r="367" spans="5:9" x14ac:dyDescent="0.25">
      <c r="E367">
        <f t="shared" si="39"/>
        <v>58</v>
      </c>
      <c r="G367" t="s">
        <v>279</v>
      </c>
      <c r="H367" s="51">
        <v>23</v>
      </c>
      <c r="I367" s="51">
        <v>124</v>
      </c>
    </row>
    <row r="368" spans="5:9" x14ac:dyDescent="0.25">
      <c r="E368">
        <f t="shared" si="39"/>
        <v>58</v>
      </c>
      <c r="G368" t="s">
        <v>280</v>
      </c>
      <c r="H368" s="51">
        <v>25</v>
      </c>
      <c r="I368" s="51">
        <v>124</v>
      </c>
    </row>
    <row r="369" spans="5:9" x14ac:dyDescent="0.25">
      <c r="E369">
        <f t="shared" si="39"/>
        <v>58</v>
      </c>
      <c r="G369" t="s">
        <v>281</v>
      </c>
      <c r="H369" s="51">
        <v>8</v>
      </c>
      <c r="I369" s="51">
        <v>124</v>
      </c>
    </row>
    <row r="370" spans="5:9" x14ac:dyDescent="0.25">
      <c r="E370">
        <f t="shared" si="39"/>
        <v>58</v>
      </c>
      <c r="G370" t="s">
        <v>282</v>
      </c>
      <c r="H370" s="51">
        <v>5</v>
      </c>
      <c r="I370" s="51">
        <v>124</v>
      </c>
    </row>
    <row r="371" spans="5:9" x14ac:dyDescent="0.25">
      <c r="E371">
        <f t="shared" si="39"/>
        <v>58</v>
      </c>
      <c r="G371" t="s">
        <v>283</v>
      </c>
      <c r="H371" s="35">
        <v>7</v>
      </c>
      <c r="I371" s="35">
        <v>124</v>
      </c>
    </row>
    <row r="372" spans="5:9" x14ac:dyDescent="0.25">
      <c r="E372">
        <f>+$F$372</f>
        <v>59</v>
      </c>
      <c r="F372">
        <v>59</v>
      </c>
      <c r="G372" t="s">
        <v>275</v>
      </c>
      <c r="H372">
        <v>29</v>
      </c>
      <c r="I372">
        <v>126</v>
      </c>
    </row>
    <row r="373" spans="5:9" x14ac:dyDescent="0.25">
      <c r="E373">
        <f t="shared" ref="E373:E380" si="40">+$F$372</f>
        <v>59</v>
      </c>
      <c r="G373" t="s">
        <v>276</v>
      </c>
      <c r="H373">
        <v>24</v>
      </c>
      <c r="I373">
        <v>126</v>
      </c>
    </row>
    <row r="374" spans="5:9" x14ac:dyDescent="0.25">
      <c r="E374">
        <f t="shared" si="40"/>
        <v>59</v>
      </c>
      <c r="G374" t="s">
        <v>277</v>
      </c>
      <c r="H374">
        <v>19</v>
      </c>
      <c r="I374">
        <v>126</v>
      </c>
    </row>
    <row r="375" spans="5:9" x14ac:dyDescent="0.25">
      <c r="E375">
        <f t="shared" si="40"/>
        <v>59</v>
      </c>
      <c r="G375" t="s">
        <v>278</v>
      </c>
      <c r="H375">
        <v>34</v>
      </c>
      <c r="I375">
        <v>126</v>
      </c>
    </row>
    <row r="376" spans="5:9" x14ac:dyDescent="0.25">
      <c r="E376">
        <f t="shared" si="40"/>
        <v>59</v>
      </c>
      <c r="G376" t="s">
        <v>279</v>
      </c>
      <c r="H376">
        <v>40</v>
      </c>
      <c r="I376">
        <v>126</v>
      </c>
    </row>
    <row r="377" spans="5:9" x14ac:dyDescent="0.25">
      <c r="E377">
        <f t="shared" si="40"/>
        <v>59</v>
      </c>
      <c r="G377" t="s">
        <v>280</v>
      </c>
      <c r="H377">
        <v>30</v>
      </c>
      <c r="I377">
        <v>126</v>
      </c>
    </row>
    <row r="378" spans="5:9" x14ac:dyDescent="0.25">
      <c r="E378">
        <f t="shared" si="40"/>
        <v>59</v>
      </c>
      <c r="G378" t="s">
        <v>281</v>
      </c>
      <c r="H378">
        <v>11</v>
      </c>
      <c r="I378">
        <v>126</v>
      </c>
    </row>
    <row r="379" spans="5:9" x14ac:dyDescent="0.25">
      <c r="E379">
        <f t="shared" si="40"/>
        <v>59</v>
      </c>
      <c r="G379" t="s">
        <v>282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283</v>
      </c>
      <c r="H380">
        <v>4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275</v>
      </c>
      <c r="H381">
        <v>21</v>
      </c>
      <c r="I381">
        <v>66</v>
      </c>
    </row>
    <row r="382" spans="5:9" x14ac:dyDescent="0.25">
      <c r="E382">
        <f t="shared" ref="E382:E389" si="41">+$F$381</f>
        <v>60</v>
      </c>
      <c r="G382" t="s">
        <v>276</v>
      </c>
      <c r="H382">
        <v>16</v>
      </c>
      <c r="I382">
        <v>66</v>
      </c>
    </row>
    <row r="383" spans="5:9" x14ac:dyDescent="0.25">
      <c r="E383">
        <f t="shared" si="41"/>
        <v>60</v>
      </c>
      <c r="G383" t="s">
        <v>277</v>
      </c>
      <c r="H383">
        <v>25</v>
      </c>
      <c r="I383">
        <v>66</v>
      </c>
    </row>
    <row r="384" spans="5:9" x14ac:dyDescent="0.25">
      <c r="E384">
        <f t="shared" si="41"/>
        <v>60</v>
      </c>
      <c r="G384" t="s">
        <v>278</v>
      </c>
      <c r="H384">
        <v>12</v>
      </c>
      <c r="I384">
        <v>66</v>
      </c>
    </row>
    <row r="385" spans="5:9" x14ac:dyDescent="0.25">
      <c r="E385">
        <f t="shared" si="41"/>
        <v>60</v>
      </c>
      <c r="G385" t="s">
        <v>279</v>
      </c>
      <c r="H385">
        <v>13</v>
      </c>
      <c r="I385">
        <v>66</v>
      </c>
    </row>
    <row r="386" spans="5:9" x14ac:dyDescent="0.25">
      <c r="E386">
        <f t="shared" si="41"/>
        <v>60</v>
      </c>
      <c r="G386" t="s">
        <v>280</v>
      </c>
      <c r="H386">
        <v>15</v>
      </c>
      <c r="I386">
        <v>66</v>
      </c>
    </row>
    <row r="387" spans="5:9" x14ac:dyDescent="0.25">
      <c r="E387">
        <f t="shared" si="41"/>
        <v>60</v>
      </c>
      <c r="G387" t="s">
        <v>281</v>
      </c>
      <c r="H387">
        <v>8</v>
      </c>
      <c r="I387">
        <v>66</v>
      </c>
    </row>
    <row r="388" spans="5:9" x14ac:dyDescent="0.25">
      <c r="E388">
        <f t="shared" si="41"/>
        <v>60</v>
      </c>
      <c r="G388" t="s">
        <v>282</v>
      </c>
      <c r="H388">
        <v>8</v>
      </c>
      <c r="I388">
        <v>66</v>
      </c>
    </row>
    <row r="389" spans="5:9" x14ac:dyDescent="0.25">
      <c r="E389">
        <f t="shared" si="41"/>
        <v>60</v>
      </c>
      <c r="G389" t="s">
        <v>283</v>
      </c>
      <c r="H389">
        <v>15</v>
      </c>
      <c r="I389">
        <v>66</v>
      </c>
    </row>
    <row r="390" spans="5:9" x14ac:dyDescent="0.25">
      <c r="E390">
        <f>+$F$390</f>
        <v>7</v>
      </c>
      <c r="F390">
        <v>7</v>
      </c>
      <c r="G390" t="s">
        <v>275</v>
      </c>
      <c r="H390">
        <v>4</v>
      </c>
      <c r="I390">
        <v>117</v>
      </c>
    </row>
    <row r="391" spans="5:9" x14ac:dyDescent="0.25">
      <c r="E391">
        <f t="shared" ref="E391:E398" si="42">+$F$390</f>
        <v>7</v>
      </c>
      <c r="G391" t="s">
        <v>276</v>
      </c>
      <c r="H391">
        <v>3</v>
      </c>
      <c r="I391">
        <v>117</v>
      </c>
    </row>
    <row r="392" spans="5:9" x14ac:dyDescent="0.25">
      <c r="E392">
        <f t="shared" si="42"/>
        <v>7</v>
      </c>
      <c r="G392" t="s">
        <v>277</v>
      </c>
      <c r="H392">
        <v>9</v>
      </c>
      <c r="I392">
        <v>117</v>
      </c>
    </row>
    <row r="393" spans="5:9" x14ac:dyDescent="0.25">
      <c r="E393">
        <f t="shared" si="42"/>
        <v>7</v>
      </c>
      <c r="G393" t="s">
        <v>278</v>
      </c>
      <c r="I393">
        <v>117</v>
      </c>
    </row>
    <row r="394" spans="5:9" x14ac:dyDescent="0.25">
      <c r="E394">
        <f t="shared" si="42"/>
        <v>7</v>
      </c>
      <c r="G394" t="s">
        <v>279</v>
      </c>
      <c r="H394">
        <v>6</v>
      </c>
      <c r="I394">
        <v>117</v>
      </c>
    </row>
    <row r="395" spans="5:9" x14ac:dyDescent="0.25">
      <c r="E395">
        <f t="shared" si="42"/>
        <v>7</v>
      </c>
      <c r="G395" t="s">
        <v>280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281</v>
      </c>
      <c r="H396">
        <v>13</v>
      </c>
      <c r="I396">
        <v>117</v>
      </c>
    </row>
    <row r="397" spans="5:9" x14ac:dyDescent="0.25">
      <c r="E397">
        <f t="shared" si="42"/>
        <v>7</v>
      </c>
      <c r="G397" t="s">
        <v>282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283</v>
      </c>
      <c r="H398">
        <v>7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275</v>
      </c>
      <c r="H399">
        <v>54</v>
      </c>
      <c r="I399">
        <v>199</v>
      </c>
    </row>
    <row r="400" spans="5:9" x14ac:dyDescent="0.25">
      <c r="E400">
        <f t="shared" ref="E400:E407" si="43">+$F$399</f>
        <v>8</v>
      </c>
      <c r="G400" t="s">
        <v>276</v>
      </c>
      <c r="H400">
        <v>30</v>
      </c>
      <c r="I400">
        <v>199</v>
      </c>
    </row>
    <row r="401" spans="5:9" x14ac:dyDescent="0.25">
      <c r="E401">
        <f t="shared" si="43"/>
        <v>8</v>
      </c>
      <c r="G401" t="s">
        <v>277</v>
      </c>
      <c r="H401">
        <v>74</v>
      </c>
      <c r="I401">
        <v>199</v>
      </c>
    </row>
    <row r="402" spans="5:9" x14ac:dyDescent="0.25">
      <c r="E402">
        <f t="shared" si="43"/>
        <v>8</v>
      </c>
      <c r="G402" t="s">
        <v>278</v>
      </c>
      <c r="H402">
        <v>50</v>
      </c>
      <c r="I402">
        <v>199</v>
      </c>
    </row>
    <row r="403" spans="5:9" x14ac:dyDescent="0.25">
      <c r="E403">
        <f t="shared" si="43"/>
        <v>8</v>
      </c>
      <c r="G403" t="s">
        <v>279</v>
      </c>
      <c r="H403">
        <v>94</v>
      </c>
      <c r="I403">
        <v>199</v>
      </c>
    </row>
    <row r="404" spans="5:9" x14ac:dyDescent="0.25">
      <c r="E404">
        <f t="shared" si="43"/>
        <v>8</v>
      </c>
      <c r="G404" t="s">
        <v>280</v>
      </c>
      <c r="H404">
        <v>70</v>
      </c>
      <c r="I404">
        <v>199</v>
      </c>
    </row>
    <row r="405" spans="5:9" x14ac:dyDescent="0.25">
      <c r="E405">
        <f t="shared" si="43"/>
        <v>8</v>
      </c>
      <c r="G405" t="s">
        <v>281</v>
      </c>
      <c r="H405">
        <v>14</v>
      </c>
      <c r="I405">
        <v>199</v>
      </c>
    </row>
    <row r="406" spans="5:9" x14ac:dyDescent="0.25">
      <c r="E406">
        <f t="shared" si="43"/>
        <v>8</v>
      </c>
      <c r="G406" t="s">
        <v>282</v>
      </c>
      <c r="H406">
        <v>31</v>
      </c>
      <c r="I406">
        <v>199</v>
      </c>
    </row>
    <row r="407" spans="5:9" x14ac:dyDescent="0.25">
      <c r="E407">
        <f t="shared" si="43"/>
        <v>8</v>
      </c>
      <c r="G407" t="s">
        <v>283</v>
      </c>
      <c r="H407">
        <v>38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275</v>
      </c>
      <c r="H408">
        <v>44</v>
      </c>
      <c r="I408">
        <v>157</v>
      </c>
    </row>
    <row r="409" spans="5:9" x14ac:dyDescent="0.25">
      <c r="E409">
        <f t="shared" ref="E409:E416" si="44">+$F$408</f>
        <v>9</v>
      </c>
      <c r="G409" t="s">
        <v>276</v>
      </c>
      <c r="H409">
        <v>50</v>
      </c>
      <c r="I409">
        <v>157</v>
      </c>
    </row>
    <row r="410" spans="5:9" x14ac:dyDescent="0.25">
      <c r="E410">
        <f t="shared" si="44"/>
        <v>9</v>
      </c>
      <c r="G410" t="s">
        <v>277</v>
      </c>
      <c r="H410">
        <v>59</v>
      </c>
      <c r="I410">
        <v>157</v>
      </c>
    </row>
    <row r="411" spans="5:9" x14ac:dyDescent="0.25">
      <c r="E411">
        <f t="shared" si="44"/>
        <v>9</v>
      </c>
      <c r="G411" t="s">
        <v>278</v>
      </c>
      <c r="H411">
        <v>50</v>
      </c>
      <c r="I411">
        <v>157</v>
      </c>
    </row>
    <row r="412" spans="5:9" x14ac:dyDescent="0.25">
      <c r="E412">
        <f t="shared" si="44"/>
        <v>9</v>
      </c>
      <c r="G412" t="s">
        <v>279</v>
      </c>
      <c r="H412">
        <v>85</v>
      </c>
      <c r="I412">
        <v>157</v>
      </c>
    </row>
    <row r="413" spans="5:9" x14ac:dyDescent="0.25">
      <c r="E413">
        <f t="shared" si="44"/>
        <v>9</v>
      </c>
      <c r="G413" t="s">
        <v>280</v>
      </c>
      <c r="H413">
        <v>70</v>
      </c>
      <c r="I413">
        <v>157</v>
      </c>
    </row>
    <row r="414" spans="5:9" x14ac:dyDescent="0.25">
      <c r="E414">
        <f t="shared" si="44"/>
        <v>9</v>
      </c>
      <c r="G414" t="s">
        <v>281</v>
      </c>
      <c r="H414">
        <v>10</v>
      </c>
      <c r="I414">
        <v>157</v>
      </c>
    </row>
    <row r="415" spans="5:9" x14ac:dyDescent="0.25">
      <c r="E415">
        <f t="shared" si="44"/>
        <v>9</v>
      </c>
      <c r="G415" t="s">
        <v>282</v>
      </c>
      <c r="H415">
        <v>26</v>
      </c>
      <c r="I415">
        <v>157</v>
      </c>
    </row>
    <row r="416" spans="5:9" x14ac:dyDescent="0.25">
      <c r="E416">
        <f t="shared" si="44"/>
        <v>9</v>
      </c>
      <c r="G416" t="s">
        <v>283</v>
      </c>
      <c r="H416">
        <v>39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0.15744212962962961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0.26850852623456783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0.24963344907407406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0.24469591049382716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0.20990466820987655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0.24200717592592597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0.23399363425925929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0.22786828703703704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8.0912229938271615E-2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0.25179293981481476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0.28457172067901232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0.23771267361111109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0.26836628086419756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0.23249093364197529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0.23022222222222219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0.24317395833333336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0.24278236882716051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0.23740659722222221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0.28654907407407404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0.2347968364197531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0.23024490740740741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0.20368923611111109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0.25054151234567901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0.20259826388888894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0.232595100308642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0.23375231481481479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0.24728626543209875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0.21169733796296297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0.20017040895061727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0.18370933641975312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0.15833055555555556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0.18762202932098765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0.1113418209876543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0.13120347222222223</v>
      </c>
    </row>
    <row r="36" spans="1:4" x14ac:dyDescent="0.25">
      <c r="A36" s="133" t="s">
        <v>263</v>
      </c>
      <c r="B36" s="133" t="str">
        <f>+AVANCE!B36</f>
        <v>57 - ROUBINEAU SEBASTIAN</v>
      </c>
      <c r="C36" s="131"/>
      <c r="D36" s="131">
        <v>0.16292992862654318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221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2026-08-01T15:27:10Z</dcterms:modified>
</cp:coreProperties>
</file>