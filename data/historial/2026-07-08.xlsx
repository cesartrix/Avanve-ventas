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\Desktop\Reportes Ventas Rap\"/>
    </mc:Choice>
  </mc:AlternateContent>
  <xr:revisionPtr revIDLastSave="0" documentId="13_ncr:1_{9725DD61-B1CD-482B-8E81-7342DE71804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  <sheet name="Historico Junio" sheetId="19" r:id="rId13"/>
  </sheets>
  <definedNames>
    <definedName name="_xlnm._FilterDatabase" localSheetId="1" hidden="1">AVANCE!$B$1:$N$47</definedName>
    <definedName name="_xlnm._FilterDatabase" localSheetId="2" hidden="1">COBERTURA!$C$1:$N$48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6" l="1"/>
  <c r="H46" i="6" l="1"/>
  <c r="F46" i="6" s="1"/>
  <c r="G46" i="6"/>
  <c r="H45" i="6"/>
  <c r="F45" i="6" s="1"/>
  <c r="G45" i="6"/>
  <c r="H44" i="6"/>
  <c r="F44" i="6" s="1"/>
  <c r="G44" i="6"/>
  <c r="H43" i="6"/>
  <c r="F43" i="6" s="1"/>
  <c r="G43" i="6"/>
  <c r="H42" i="6"/>
  <c r="G42" i="6"/>
  <c r="H41" i="6"/>
  <c r="F41" i="6" s="1"/>
  <c r="G41" i="6"/>
  <c r="H40" i="6"/>
  <c r="G40" i="6"/>
  <c r="D45" i="3"/>
  <c r="F45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C37" i="6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I43" i="6" l="1"/>
  <c r="D41" i="6"/>
  <c r="I41" i="6"/>
  <c r="D42" i="6"/>
  <c r="D46" i="6"/>
  <c r="F42" i="6"/>
  <c r="I46" i="6"/>
  <c r="I42" i="6"/>
  <c r="F46" i="3"/>
  <c r="G40" i="3"/>
  <c r="D40" i="6"/>
  <c r="F40" i="6"/>
  <c r="I40" i="6"/>
  <c r="D43" i="6"/>
  <c r="I45" i="6"/>
  <c r="D45" i="6"/>
  <c r="I44" i="6"/>
  <c r="D44" i="6"/>
  <c r="K44" i="3"/>
  <c r="K45" i="3"/>
  <c r="K41" i="3"/>
  <c r="D46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7" i="6"/>
  <c r="C28" i="6"/>
  <c r="C29" i="6"/>
  <c r="C30" i="6"/>
  <c r="C31" i="6"/>
  <c r="C32" i="6"/>
  <c r="C33" i="6"/>
  <c r="C34" i="6"/>
  <c r="C35" i="6"/>
  <c r="C36" i="6"/>
  <c r="C38" i="6"/>
  <c r="C26" i="6"/>
  <c r="C24" i="6"/>
  <c r="C23" i="6"/>
  <c r="C21" i="6"/>
  <c r="C20" i="6"/>
  <c r="C19" i="6"/>
  <c r="C18" i="6"/>
  <c r="C17" i="6"/>
  <c r="C16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G33" i="6"/>
  <c r="H33" i="6"/>
  <c r="K46" i="3" l="1"/>
  <c r="G46" i="3"/>
  <c r="G43" i="3"/>
  <c r="D33" i="6"/>
  <c r="I33" i="6"/>
  <c r="F33" i="6"/>
  <c r="R2" i="6"/>
  <c r="Q2" i="6"/>
  <c r="G45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38" i="6"/>
  <c r="G38" i="6"/>
  <c r="H37" i="6"/>
  <c r="G37" i="6"/>
  <c r="H36" i="6"/>
  <c r="G36" i="6"/>
  <c r="H35" i="6"/>
  <c r="G35" i="6"/>
  <c r="H34" i="6"/>
  <c r="G34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G4" i="6"/>
  <c r="H3" i="6"/>
  <c r="G3" i="6"/>
  <c r="H2" i="6"/>
  <c r="G2" i="6"/>
  <c r="J45" i="3" l="1"/>
  <c r="H45" i="3"/>
  <c r="I45" i="3" s="1"/>
  <c r="L45" i="3" s="1" a="1"/>
  <c r="L45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6" i="3"/>
  <c r="H46" i="3"/>
  <c r="I46" i="3" s="1"/>
  <c r="G37" i="3"/>
  <c r="P3" i="6"/>
  <c r="U11" i="6"/>
  <c r="D15" i="3"/>
  <c r="F15" i="3" s="1"/>
  <c r="D24" i="3"/>
  <c r="F24" i="3" s="1"/>
  <c r="D38" i="3"/>
  <c r="D10" i="3"/>
  <c r="F10" i="3" s="1"/>
  <c r="F38" i="3" l="1"/>
  <c r="D47" i="3"/>
  <c r="F47" i="3" s="1"/>
  <c r="G38" i="3"/>
  <c r="D9" i="6"/>
  <c r="G34" i="3" l="1"/>
  <c r="G6" i="3"/>
  <c r="K3" i="3"/>
  <c r="G2" i="3"/>
  <c r="G39" i="6" l="1"/>
  <c r="G47" i="6" s="1"/>
  <c r="G15" i="6"/>
  <c r="G25" i="6"/>
  <c r="G22" i="3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D19" i="6"/>
  <c r="F19" i="6"/>
  <c r="I5" i="6"/>
  <c r="I6" i="6"/>
  <c r="I7" i="6"/>
  <c r="I8" i="6"/>
  <c r="I9" i="6"/>
  <c r="I14" i="6"/>
  <c r="H39" i="6" l="1"/>
  <c r="H47" i="6" s="1"/>
  <c r="H15" i="6"/>
  <c r="H25" i="6"/>
  <c r="G48" i="6"/>
  <c r="D37" i="6"/>
  <c r="F37" i="6"/>
  <c r="D36" i="6"/>
  <c r="F36" i="6"/>
  <c r="D35" i="6"/>
  <c r="F35" i="6"/>
  <c r="D32" i="6"/>
  <c r="F32" i="6"/>
  <c r="D27" i="6"/>
  <c r="F27" i="6"/>
  <c r="D34" i="6"/>
  <c r="F34" i="6"/>
  <c r="D31" i="6"/>
  <c r="F31" i="6"/>
  <c r="D30" i="6"/>
  <c r="F30" i="6"/>
  <c r="D29" i="6"/>
  <c r="F29" i="6"/>
  <c r="D28" i="6"/>
  <c r="F28" i="6"/>
  <c r="D38" i="6"/>
  <c r="F38" i="6"/>
  <c r="D26" i="6"/>
  <c r="F26" i="6"/>
  <c r="H11" i="3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4" i="6"/>
  <c r="D4" i="6"/>
  <c r="F2" i="6"/>
  <c r="D2" i="6"/>
  <c r="F3" i="6"/>
  <c r="D3" i="6"/>
  <c r="F14" i="6"/>
  <c r="D14" i="6"/>
  <c r="F13" i="6"/>
  <c r="D13" i="6"/>
  <c r="I13" i="6"/>
  <c r="F12" i="6"/>
  <c r="D12" i="6"/>
  <c r="F23" i="6"/>
  <c r="D23" i="6"/>
  <c r="F11" i="6"/>
  <c r="D11" i="6"/>
  <c r="F22" i="6"/>
  <c r="D22" i="6"/>
  <c r="F10" i="6"/>
  <c r="D10" i="6"/>
  <c r="F21" i="6"/>
  <c r="D21" i="6"/>
  <c r="F8" i="6"/>
  <c r="D8" i="6"/>
  <c r="F7" i="6"/>
  <c r="D7" i="6"/>
  <c r="F18" i="6"/>
  <c r="D18" i="6"/>
  <c r="F17" i="6"/>
  <c r="D17" i="6"/>
  <c r="F24" i="6"/>
  <c r="D24" i="6"/>
  <c r="I12" i="6"/>
  <c r="F9" i="6"/>
  <c r="F20" i="6"/>
  <c r="D20" i="6"/>
  <c r="F6" i="6"/>
  <c r="D6" i="6"/>
  <c r="I3" i="6"/>
  <c r="F5" i="6"/>
  <c r="D5" i="6"/>
  <c r="F16" i="6"/>
  <c r="D16" i="6"/>
  <c r="I10" i="6"/>
  <c r="K22" i="3"/>
  <c r="I30" i="6"/>
  <c r="I34" i="6"/>
  <c r="G14" i="3"/>
  <c r="I4" i="6"/>
  <c r="I29" i="6"/>
  <c r="I31" i="6"/>
  <c r="I28" i="6"/>
  <c r="I37" i="6"/>
  <c r="I27" i="6"/>
  <c r="I38" i="6"/>
  <c r="I11" i="6"/>
  <c r="I17" i="6"/>
  <c r="I2" i="6"/>
  <c r="I26" i="6"/>
  <c r="I16" i="6"/>
  <c r="I18" i="6"/>
  <c r="I21" i="6"/>
  <c r="I24" i="6"/>
  <c r="I36" i="6"/>
  <c r="I23" i="6"/>
  <c r="I35" i="6"/>
  <c r="I22" i="6"/>
  <c r="I20" i="6"/>
  <c r="I32" i="6"/>
  <c r="I19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H48" i="6" l="1"/>
  <c r="L48" i="6" s="1"/>
  <c r="F39" i="6"/>
  <c r="H38" i="3"/>
  <c r="J38" i="3"/>
  <c r="J10" i="3"/>
  <c r="H10" i="3"/>
  <c r="K15" i="3"/>
  <c r="G15" i="3"/>
  <c r="H15" i="3"/>
  <c r="I15" i="3" s="1"/>
  <c r="J15" i="3"/>
  <c r="F25" i="6"/>
  <c r="F15" i="6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8" i="6" l="1"/>
  <c r="H47" i="3"/>
  <c r="J47" i="3"/>
  <c r="I38" i="3"/>
  <c r="I24" i="3"/>
  <c r="I10" i="3"/>
  <c r="K47" i="3"/>
  <c r="G47" i="3"/>
  <c r="I47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<sst xmlns="http://schemas.openxmlformats.org/spreadsheetml/2006/main" count="1586" uniqueCount="289">
  <si>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</si>
  <si>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</si>
  <si>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</si>
  <si>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</si>
  <si>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</si>
  <si>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</si>
  <si>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</si>
  <si>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</si>
  <si>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</si>
  <si>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</si>
  <si>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</si>
  <si>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</si>
  <si>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</si>
  <si>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</si>
  <si>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</si>
  <si>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</si>
  <si>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</si>
  <si>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</si>
  <si>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</si>
  <si>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</si>
  <si>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</si>
  <si>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</si>
  <si>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</si>
  <si>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</si>
  <si>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</si>
  <si>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</si>
  <si>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</si>
  <si>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</si>
  <si>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</si>
  <si>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</si>
  <si>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</si>
  <si>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</si>
  <si>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</si>
  <si>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</si>
  <si>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</si>
  <si>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</si>
  <si>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</si>
  <si>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</si>
  <si>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</si>
  <si>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</si>
  <si>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</si>
  <si>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</si>
  <si>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</si>
  <si>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</si>
  <si>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</si>
  <si>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</si>
  <si>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</si>
  <si>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</si>
  <si>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</si>
  <si>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</si>
  <si>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</si>
  <si>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</si>
  <si>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</si>
  <si>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</si>
  <si>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</si>
  <si>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</si>
  <si>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</si>
  <si>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</si>
  <si>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</si>
  <si>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</si>
  <si>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</si>
  <si>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</si>
  <si>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</si>
  <si>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</si>
  <si>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</si>
  <si>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</si>
  <si>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apretar/charlar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</si>
  <si>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</si>
  <si>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</si>
  <si>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</si>
  <si>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</si>
  <si>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</si>
  <si>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</si>
  <si>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</si>
  <si>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</si>
  <si>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</si>
  <si>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</si>
  <si>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</si>
  <si>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</si>
  <si>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</si>
  <si>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</si>
  <si>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</si>
  <si>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</si>
  <si>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</si>
  <si>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</si>
  <si>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</si>
  <si>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</si>
  <si>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</si>
  <si>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</si>
  <si>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</si>
  <si>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</si>
  <si>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</si>
  <si>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</si>
  <si>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</si>
  <si>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</si>
  <si>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</si>
  <si>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</si>
  <si>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</si>
  <si>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</si>
  <si>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</si>
  <si>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</si>
  <si>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</si>
  <si>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</si>
  <si>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</si>
  <si>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</si>
  <si>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</si>
  <si>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</si>
  <si>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</si>
  <si>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</si>
  <si>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</si>
  <si>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</si>
  <si>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</si>
  <si>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</si>
  <si>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</si>
  <si>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</si>
  <si>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</si>
  <si>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</si>
  <si>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</si>
  <si>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</si>
  <si>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</si>
  <si>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</si>
  <si>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</si>
  <si>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</si>
  <si>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</si>
  <si>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</si>
  <si>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</si>
  <si>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</si>
  <si>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</si>
  <si>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</si>
  <si>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</si>
  <si>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</si>
  <si>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</si>
  <si>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</si>
  <si>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</si>
  <si>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</si>
  <si>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</si>
  <si>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</si>
  <si>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</si>
  <si>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</si>
  <si>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</si>
  <si>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</si>
  <si>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</si>
  <si>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</si>
  <si>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</si>
  <si>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</si>
  <si>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</si>
  <si>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</si>
  <si>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</si>
  <si>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</si>
  <si>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</si>
  <si>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</si>
  <si>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</si>
  <si>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</si>
  <si>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</si>
  <si>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</si>
  <si>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</si>
  <si>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</si>
  <si>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</si>
  <si>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</si>
  <si>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</si>
  <si>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</si>
  <si>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</si>
  <si>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</si>
  <si>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</si>
  <si>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</si>
  <si>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</si>
  <si>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</si>
  <si>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</si>
  <si>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</si>
  <si>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</si>
  <si>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</si>
  <si>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</si>
  <si>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</si>
  <si>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</si>
  <si>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</si>
  <si>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</si>
  <si>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</si>
  <si>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</si>
  <si>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</si>
  <si>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</si>
  <si>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</si>
  <si>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</si>
  <si>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</si>
  <si>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</si>
  <si>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</si>
  <si>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</si>
  <si>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</si>
  <si>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</si>
  <si>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</si>
  <si>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</si>
  <si>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</si>
  <si>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</si>
  <si>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</si>
  <si>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</si>
  <si>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</si>
  <si>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</si>
  <si>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</si>
  <si>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</si>
  <si>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</si>
  <si>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</si>
  <si>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</si>
  <si>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</si>
  <si>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</si>
  <si>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</si>
  <si>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</si>
  <si>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</si>
  <si>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</si>
  <si>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</si>
  <si>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</si>
  <si>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</si>
  <si>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</si>
  <si>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</si>
  <si>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</si>
  <si>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</si>
  <si>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</si>
  <si>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</si>
  <si>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</si>
  <si>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</si>
  <si>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30 - GOMEZ MARTÍN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</si>
  <si>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</si>
  <si>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</si>
  <si>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</si>
  <si>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</si>
  <si>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</si>
  <si>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</si>
  <si>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</si>
  <si>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</si>
  <si>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</si>
  <si>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</si>
  <si>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</si>
  <si>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</si>
  <si>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</si>
  <si>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</si>
  <si>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</si>
  <si>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</si>
  <si>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</si>
  <si>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</si>
  <si>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</si>
  <si>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</si>
  <si>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</si>
  <si>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</si>
  <si>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</si>
  <si>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</si>
  <si>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</si>
  <si>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</si>
  <si>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</si>
  <si>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</si>
  <si>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</si>
  <si>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</si>
  <si>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</si>
  <si>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</si>
  <si>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</si>
  <si>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</si>
  <si>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</si>
  <si>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</si>
  <si>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</si>
  <si>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</si>
  <si>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</si>
  <si>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</si>
  <si>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</si>
  <si>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</si>
  <si>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</si>
  <si>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</si>
  <si>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</si>
  <si>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</si>
  <si>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</si>
  <si>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RENZO RAMOS</t>
  </si>
  <si>
    <t>SANCHEZ RICARDO</t>
  </si>
  <si>
    <t>MARTINEZ JORGE NICOLAS</t>
  </si>
  <si>
    <t>BRITEZ EMMANUEL</t>
  </si>
  <si>
    <t>COSARINSKI DIEGO</t>
  </si>
  <si>
    <t>IBARROLA JORGE</t>
  </si>
  <si>
    <t>CABRAL GONZALO</t>
  </si>
  <si>
    <t>ROUBINEAU SEBASTIAN</t>
  </si>
  <si>
    <t>MAXI</t>
  </si>
  <si>
    <t>26 - PUJOL ERNESTO</t>
  </si>
  <si>
    <t>25 - KALATAKI GUSTAVO</t>
  </si>
  <si>
    <t>43 - COLHER DIEGO</t>
  </si>
  <si>
    <t>MAXI (SUPERVISOR)</t>
  </si>
  <si>
    <t>42 - ROMERO ARIEL</t>
  </si>
  <si>
    <t>147 - ALMACEN</t>
  </si>
  <si>
    <t>147 - Articulos Sin Asociar Agrupacion</t>
  </si>
  <si>
    <t>147 - BEBIDAS</t>
  </si>
  <si>
    <t>147 - CHOCOLATE</t>
  </si>
  <si>
    <t>147 - GALLETITAS</t>
  </si>
  <si>
    <t>147 - GOLOSINAS</t>
  </si>
  <si>
    <t>147 - MASCOTAS</t>
  </si>
  <si>
    <t>147 - NO PERECEDEROS</t>
  </si>
  <si>
    <t>147 - PILAS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</si>
</sst>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4">
    <xf numFmtId="0" fontId="0" fillId="0" borderId="0" xfId="0"/>
    <xf numFmtId="9" fontId="0" fillId="0" borderId="0" xfId="2" applyFont="1"/>
    <xf numFmtId="164" fontId="0" fillId="0" borderId="0" xfId="1" applyFont="1"/>
    <xf numFmtId="165" fontId="18" fillId="34" borderId="14" xfId="47" applyFont="1" applyFill="1" applyBorder="1" applyAlignment="1">
      <alignment horizontal="left"/>
    </xf>
    <xf numFmtId="16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164" fontId="0" fillId="0" borderId="0" xfId="132" applyFont="1"/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16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164" fontId="0" fillId="0" borderId="27" xfId="133" applyFont="1" applyBorder="1"/>
    <xf numFmtId="164" fontId="0" fillId="0" borderId="26" xfId="1" applyFont="1" applyBorder="1"/>
    <xf numFmtId="9" fontId="0" fillId="0" borderId="26" xfId="2" applyFont="1" applyBorder="1"/>
    <xf numFmtId="164" fontId="0" fillId="0" borderId="28" xfId="1" applyFont="1" applyBorder="1"/>
    <xf numFmtId="164" fontId="0" fillId="0" borderId="0" xfId="133" applyFont="1" applyBorder="1"/>
    <xf numFmtId="164" fontId="0" fillId="0" borderId="13" xfId="1" applyFont="1" applyBorder="1"/>
    <xf numFmtId="164" fontId="0" fillId="34" borderId="29" xfId="1" applyFont="1" applyFill="1" applyBorder="1"/>
    <xf numFmtId="164" fontId="0" fillId="0" borderId="30" xfId="1" applyFont="1" applyBorder="1"/>
    <xf numFmtId="9" fontId="0" fillId="34" borderId="30" xfId="2" applyFont="1" applyFill="1" applyBorder="1"/>
    <xf numFmtId="164" fontId="0" fillId="34" borderId="30" xfId="1" applyFont="1" applyFill="1" applyBorder="1"/>
    <xf numFmtId="16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44" fontId="0" fillId="0" borderId="27" xfId="0" applyNumberFormat="1" applyBorder="1"/>
    <xf numFmtId="44" fontId="0" fillId="0" borderId="0" xfId="0" applyNumberFormat="1"/>
    <xf numFmtId="165" fontId="18" fillId="34" borderId="30" xfId="47" applyFont="1" applyFill="1" applyBorder="1" applyAlignment="1">
      <alignment horizontal="left"/>
    </xf>
    <xf numFmtId="164" fontId="0" fillId="0" borderId="27" xfId="1" applyFont="1" applyBorder="1"/>
    <xf numFmtId="164" fontId="0" fillId="0" borderId="0" xfId="1" applyFont="1" applyBorder="1"/>
    <xf numFmtId="16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164" fontId="0" fillId="36" borderId="39" xfId="1" applyFont="1" applyFill="1" applyBorder="1"/>
    <xf numFmtId="164" fontId="0" fillId="0" borderId="39" xfId="1" applyFont="1" applyBorder="1"/>
    <xf numFmtId="9" fontId="0" fillId="36" borderId="39" xfId="2" applyFont="1" applyFill="1" applyBorder="1"/>
    <xf numFmtId="16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164" fontId="19" fillId="35" borderId="13" xfId="1" applyFont="1" applyFill="1" applyBorder="1" applyAlignment="1">
      <alignment horizontal="center" vertical="center"/>
    </xf>
    <xf numFmtId="164" fontId="0" fillId="0" borderId="0" xfId="133" applyFont="1" applyAlignment="1"/>
    <xf numFmtId="164" fontId="0" fillId="0" borderId="12" xfId="1" applyFont="1" applyBorder="1" applyAlignment="1"/>
    <xf numFmtId="9" fontId="0" fillId="0" borderId="12" xfId="2" applyFont="1" applyBorder="1" applyAlignment="1"/>
    <xf numFmtId="164" fontId="0" fillId="34" borderId="11" xfId="1" applyFont="1" applyFill="1" applyBorder="1" applyAlignment="1"/>
    <xf numFmtId="9" fontId="0" fillId="34" borderId="12" xfId="2" applyFont="1" applyFill="1" applyBorder="1" applyAlignment="1"/>
    <xf numFmtId="16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164" fontId="0" fillId="0" borderId="0" xfId="136" applyFont="1" applyAlignment="1"/>
    <xf numFmtId="16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164" fontId="0" fillId="36" borderId="12" xfId="1" applyFont="1" applyFill="1" applyBorder="1" applyAlignment="1"/>
    <xf numFmtId="9" fontId="0" fillId="36" borderId="12" xfId="2" applyFont="1" applyFill="1" applyBorder="1" applyAlignment="1"/>
    <xf numFmtId="16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164" fontId="19" fillId="35" borderId="20" xfId="1" applyFont="1" applyFill="1" applyBorder="1" applyAlignment="1">
      <alignment horizontal="center" vertical="center"/>
    </xf>
    <xf numFmtId="164" fontId="0" fillId="0" borderId="27" xfId="133" applyFont="1" applyBorder="1" applyAlignment="1"/>
    <xf numFmtId="164" fontId="0" fillId="0" borderId="26" xfId="1" applyFont="1" applyBorder="1" applyAlignment="1"/>
    <xf numFmtId="9" fontId="0" fillId="0" borderId="26" xfId="2" applyFont="1" applyBorder="1" applyAlignment="1"/>
    <xf numFmtId="164" fontId="0" fillId="0" borderId="28" xfId="1" applyFont="1" applyBorder="1" applyAlignment="1"/>
    <xf numFmtId="164" fontId="0" fillId="0" borderId="0" xfId="133" applyFont="1" applyBorder="1" applyAlignment="1"/>
    <xf numFmtId="164" fontId="0" fillId="0" borderId="13" xfId="1" applyFont="1" applyBorder="1" applyAlignment="1"/>
    <xf numFmtId="164" fontId="0" fillId="34" borderId="29" xfId="1" applyFont="1" applyFill="1" applyBorder="1" applyAlignment="1"/>
    <xf numFmtId="164" fontId="0" fillId="0" borderId="30" xfId="1" applyFont="1" applyBorder="1" applyAlignment="1"/>
    <xf numFmtId="9" fontId="0" fillId="34" borderId="30" xfId="2" applyFont="1" applyFill="1" applyBorder="1" applyAlignment="1"/>
    <xf numFmtId="164" fontId="0" fillId="34" borderId="30" xfId="1" applyFont="1" applyFill="1" applyBorder="1" applyAlignment="1"/>
    <xf numFmtId="164" fontId="0" fillId="34" borderId="31" xfId="1" applyFont="1" applyFill="1" applyBorder="1" applyAlignment="1"/>
    <xf numFmtId="164" fontId="0" fillId="0" borderId="27" xfId="1" applyFont="1" applyBorder="1" applyAlignment="1"/>
    <xf numFmtId="164" fontId="0" fillId="0" borderId="0" xfId="1" applyFont="1" applyBorder="1" applyAlignment="1"/>
    <xf numFmtId="16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164" fontId="0" fillId="36" borderId="39" xfId="1" applyFont="1" applyFill="1" applyBorder="1" applyAlignment="1"/>
    <xf numFmtId="164" fontId="0" fillId="0" borderId="39" xfId="1" applyFont="1" applyBorder="1" applyAlignment="1"/>
    <xf numFmtId="9" fontId="0" fillId="36" borderId="39" xfId="2" applyFont="1" applyFill="1" applyBorder="1" applyAlignment="1"/>
    <xf numFmtId="16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16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16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workbookViewId="0">
      <selection sqref="A1:H46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3" t="s">
        <v>76</v>
      </c>
      <c r="B1" s="153" t="s">
        <v>147</v>
      </c>
      <c r="C1" s="153" t="s">
        <v>148</v>
      </c>
      <c r="D1" s="153" t="s">
        <v>149</v>
      </c>
      <c r="E1" s="153" t="s">
        <v>150</v>
      </c>
      <c r="F1" s="153" t="s">
        <v>151</v>
      </c>
      <c r="G1" s="153" t="s">
        <v>152</v>
      </c>
      <c r="H1" s="153" t="s">
        <v>153</v>
      </c>
    </row>
    <row r="2" spans="1:8" x14ac:dyDescent="0.25">
      <c r="A2" s="152" t="s">
        <v>154</v>
      </c>
      <c r="B2" s="152">
        <v>0</v>
      </c>
      <c r="C2" s="152">
        <v>30788.376569525299</v>
      </c>
      <c r="D2" s="152">
        <v>142424.04854966659</v>
      </c>
      <c r="E2" s="152">
        <v>528178373.58321506</v>
      </c>
      <c r="F2" s="152">
        <v>0</v>
      </c>
      <c r="G2" s="152">
        <v>269984.81861017598</v>
      </c>
      <c r="H2" s="152">
        <v>269984.95</v>
      </c>
    </row>
    <row r="3" spans="1:8" x14ac:dyDescent="0.25">
      <c r="A3" s="152" t="s">
        <v>81</v>
      </c>
      <c r="B3" s="152">
        <v>1</v>
      </c>
      <c r="C3" s="152">
        <v>324.08581349029998</v>
      </c>
      <c r="D3" s="152">
        <v>756.68120535449998</v>
      </c>
      <c r="E3" s="152">
        <v>8999493.9536725059</v>
      </c>
      <c r="F3" s="152">
        <v>0</v>
      </c>
      <c r="G3" s="152">
        <v>269984.81861017598</v>
      </c>
      <c r="H3" s="152">
        <v>269984.95</v>
      </c>
    </row>
    <row r="4" spans="1:8" x14ac:dyDescent="0.25">
      <c r="A4" s="152" t="s">
        <v>82</v>
      </c>
      <c r="B4" s="152">
        <v>1</v>
      </c>
      <c r="C4" s="152">
        <v>201.60790343759999</v>
      </c>
      <c r="D4" s="152">
        <v>562.3128928612</v>
      </c>
      <c r="E4" s="152">
        <v>6261378.078395946</v>
      </c>
      <c r="F4" s="152">
        <v>0</v>
      </c>
      <c r="G4" s="152">
        <v>0</v>
      </c>
      <c r="H4" s="152">
        <v>0</v>
      </c>
    </row>
    <row r="5" spans="1:8" x14ac:dyDescent="0.25">
      <c r="A5" s="152" t="s">
        <v>83</v>
      </c>
      <c r="B5" s="152">
        <v>1</v>
      </c>
      <c r="C5" s="152">
        <v>399.42535714180002</v>
      </c>
      <c r="D5" s="152">
        <v>2700.6860833414999</v>
      </c>
      <c r="E5" s="152">
        <v>9460618.595991917</v>
      </c>
      <c r="F5" s="152">
        <v>0</v>
      </c>
      <c r="G5" s="152">
        <v>0</v>
      </c>
      <c r="H5" s="152">
        <v>0</v>
      </c>
    </row>
    <row r="6" spans="1:8" x14ac:dyDescent="0.25">
      <c r="A6" s="152" t="s">
        <v>84</v>
      </c>
      <c r="B6" s="152">
        <v>1</v>
      </c>
      <c r="C6" s="152">
        <v>560.53948412579996</v>
      </c>
      <c r="D6" s="152">
        <v>1597.8489821486</v>
      </c>
      <c r="E6" s="152">
        <v>14035213.529072771</v>
      </c>
      <c r="F6" s="152">
        <v>0</v>
      </c>
      <c r="G6" s="152">
        <v>0</v>
      </c>
      <c r="H6" s="152">
        <v>0</v>
      </c>
    </row>
    <row r="7" spans="1:8" x14ac:dyDescent="0.25">
      <c r="A7" s="152" t="s">
        <v>85</v>
      </c>
      <c r="B7" s="152">
        <v>1</v>
      </c>
      <c r="C7" s="152">
        <v>687.93940255530003</v>
      </c>
      <c r="D7" s="152">
        <v>3185.6058932963001</v>
      </c>
      <c r="E7" s="152">
        <v>12957322.422553651</v>
      </c>
      <c r="F7" s="152">
        <v>0</v>
      </c>
      <c r="G7" s="152">
        <v>0</v>
      </c>
      <c r="H7" s="152">
        <v>0</v>
      </c>
    </row>
    <row r="8" spans="1:8" x14ac:dyDescent="0.25">
      <c r="A8" s="152" t="s">
        <v>111</v>
      </c>
      <c r="B8" s="152">
        <v>1</v>
      </c>
      <c r="C8" s="152">
        <v>675.5</v>
      </c>
      <c r="D8" s="152">
        <v>3732.4</v>
      </c>
      <c r="E8" s="152">
        <v>19525903.446049999</v>
      </c>
      <c r="F8" s="152">
        <v>0</v>
      </c>
      <c r="G8" s="152">
        <v>0</v>
      </c>
      <c r="H8" s="152">
        <v>0</v>
      </c>
    </row>
    <row r="9" spans="1:8" x14ac:dyDescent="0.25">
      <c r="A9" s="152" t="s">
        <v>86</v>
      </c>
      <c r="B9" s="152">
        <v>1</v>
      </c>
      <c r="C9" s="152">
        <v>329.03948412689999</v>
      </c>
      <c r="D9" s="152">
        <v>1008.7550000074</v>
      </c>
      <c r="E9" s="152">
        <v>5812276.1733843116</v>
      </c>
      <c r="F9" s="152">
        <v>0</v>
      </c>
      <c r="G9" s="152">
        <v>0</v>
      </c>
      <c r="H9" s="152">
        <v>0</v>
      </c>
    </row>
    <row r="10" spans="1:8" x14ac:dyDescent="0.25">
      <c r="A10" s="152" t="s">
        <v>87</v>
      </c>
      <c r="B10" s="152">
        <v>1</v>
      </c>
      <c r="C10" s="152">
        <v>187.91281349240001</v>
      </c>
      <c r="D10" s="152">
        <v>964.71207144120001</v>
      </c>
      <c r="E10" s="152">
        <v>7126797.8034117194</v>
      </c>
      <c r="F10" s="152">
        <v>0</v>
      </c>
      <c r="G10" s="152">
        <v>0</v>
      </c>
      <c r="H10" s="152">
        <v>0</v>
      </c>
    </row>
    <row r="11" spans="1:8" x14ac:dyDescent="0.25">
      <c r="A11" s="152" t="s">
        <v>211</v>
      </c>
      <c r="B11" s="152">
        <v>1</v>
      </c>
      <c r="C11" s="152">
        <v>222.95849206349999</v>
      </c>
      <c r="D11" s="152">
        <v>767.70500000660002</v>
      </c>
      <c r="E11" s="152">
        <v>4554834.8143899385</v>
      </c>
      <c r="F11" s="152">
        <v>0</v>
      </c>
      <c r="G11" s="152">
        <v>0</v>
      </c>
      <c r="H11" s="152">
        <v>0</v>
      </c>
    </row>
    <row r="12" spans="1:8" x14ac:dyDescent="0.25">
      <c r="A12" s="152" t="s">
        <v>210</v>
      </c>
      <c r="B12" s="152">
        <v>1</v>
      </c>
      <c r="C12" s="152">
        <v>534.68321428460001</v>
      </c>
      <c r="D12" s="152">
        <v>1787.2759166774999</v>
      </c>
      <c r="E12" s="152">
        <v>8992535.0811157338</v>
      </c>
      <c r="F12" s="152">
        <v>0</v>
      </c>
      <c r="G12" s="152">
        <v>0</v>
      </c>
      <c r="H12" s="152">
        <v>0</v>
      </c>
    </row>
    <row r="13" spans="1:8" x14ac:dyDescent="0.25">
      <c r="A13" s="152" t="s">
        <v>90</v>
      </c>
      <c r="B13" s="152">
        <v>1</v>
      </c>
      <c r="C13" s="152">
        <v>591.0779285699</v>
      </c>
      <c r="D13" s="152">
        <v>1658.3949761901999</v>
      </c>
      <c r="E13" s="152">
        <v>10390040.635626717</v>
      </c>
      <c r="F13" s="152">
        <v>0</v>
      </c>
      <c r="G13" s="152">
        <v>0</v>
      </c>
      <c r="H13" s="152">
        <v>0</v>
      </c>
    </row>
    <row r="14" spans="1:8" x14ac:dyDescent="0.25">
      <c r="A14" s="152" t="s">
        <v>91</v>
      </c>
      <c r="B14" s="152">
        <v>1</v>
      </c>
      <c r="C14" s="152">
        <v>2570.2864583327</v>
      </c>
      <c r="D14" s="152">
        <v>11802.698218748301</v>
      </c>
      <c r="E14" s="152">
        <v>38023954.294990294</v>
      </c>
      <c r="F14" s="152">
        <v>0</v>
      </c>
      <c r="G14" s="152">
        <v>0</v>
      </c>
      <c r="H14" s="152">
        <v>0</v>
      </c>
    </row>
    <row r="15" spans="1:8" x14ac:dyDescent="0.25">
      <c r="A15" s="152" t="s">
        <v>92</v>
      </c>
      <c r="B15" s="152">
        <v>1</v>
      </c>
      <c r="C15" s="152">
        <v>458.2164682531</v>
      </c>
      <c r="D15" s="152">
        <v>2303.3277619056998</v>
      </c>
      <c r="E15" s="152">
        <v>9867076.7446629275</v>
      </c>
      <c r="F15" s="152">
        <v>0</v>
      </c>
      <c r="G15" s="152">
        <v>0</v>
      </c>
      <c r="H15" s="152">
        <v>0</v>
      </c>
    </row>
    <row r="16" spans="1:8" x14ac:dyDescent="0.25">
      <c r="A16" s="152" t="s">
        <v>93</v>
      </c>
      <c r="B16" s="152">
        <v>1</v>
      </c>
      <c r="C16" s="152">
        <v>327.91621031749997</v>
      </c>
      <c r="D16" s="152">
        <v>1568.6760119242999</v>
      </c>
      <c r="E16" s="152">
        <v>7858775.6280422518</v>
      </c>
      <c r="F16" s="152">
        <v>0</v>
      </c>
      <c r="G16" s="152">
        <v>0</v>
      </c>
      <c r="H16" s="152">
        <v>0</v>
      </c>
    </row>
    <row r="17" spans="1:8" x14ac:dyDescent="0.25">
      <c r="A17" s="152" t="s">
        <v>94</v>
      </c>
      <c r="B17" s="152">
        <v>1</v>
      </c>
      <c r="C17" s="152">
        <v>529.54563492049999</v>
      </c>
      <c r="D17" s="152">
        <v>2061.3008214336</v>
      </c>
      <c r="E17" s="152">
        <v>11886358.979323033</v>
      </c>
      <c r="F17" s="152">
        <v>0</v>
      </c>
      <c r="G17" s="152">
        <v>0</v>
      </c>
      <c r="H17" s="152">
        <v>0</v>
      </c>
    </row>
    <row r="18" spans="1:8" x14ac:dyDescent="0.25">
      <c r="A18" s="152" t="s">
        <v>95</v>
      </c>
      <c r="B18" s="152">
        <v>1</v>
      </c>
      <c r="C18" s="152">
        <v>717.68565476100002</v>
      </c>
      <c r="D18" s="152">
        <v>3706.5789285851001</v>
      </c>
      <c r="E18" s="152">
        <v>16628945.591418875</v>
      </c>
      <c r="F18" s="152">
        <v>0</v>
      </c>
      <c r="G18" s="152">
        <v>0</v>
      </c>
      <c r="H18" s="152">
        <v>0</v>
      </c>
    </row>
    <row r="19" spans="1:8" x14ac:dyDescent="0.25">
      <c r="A19" s="152" t="s">
        <v>96</v>
      </c>
      <c r="B19" s="152">
        <v>1</v>
      </c>
      <c r="C19" s="152">
        <v>513.12573412439997</v>
      </c>
      <c r="D19" s="152">
        <v>2240.3479940469001</v>
      </c>
      <c r="E19" s="152">
        <v>12244351.110223034</v>
      </c>
      <c r="F19" s="152">
        <v>0</v>
      </c>
      <c r="G19" s="152">
        <v>0</v>
      </c>
      <c r="H19" s="152">
        <v>0</v>
      </c>
    </row>
    <row r="20" spans="1:8" x14ac:dyDescent="0.25">
      <c r="A20" s="152" t="s">
        <v>97</v>
      </c>
      <c r="B20" s="152">
        <v>1</v>
      </c>
      <c r="C20" s="152">
        <v>1474.5152777779001</v>
      </c>
      <c r="D20" s="152">
        <v>9539.4802499985999</v>
      </c>
      <c r="E20" s="152">
        <v>27856176.904166874</v>
      </c>
      <c r="F20" s="152">
        <v>0</v>
      </c>
      <c r="G20" s="152">
        <v>0</v>
      </c>
      <c r="H20" s="152">
        <v>0</v>
      </c>
    </row>
    <row r="21" spans="1:8" x14ac:dyDescent="0.25">
      <c r="A21" s="152" t="s">
        <v>98</v>
      </c>
      <c r="B21" s="152">
        <v>1</v>
      </c>
      <c r="C21" s="152">
        <v>211.90386904650001</v>
      </c>
      <c r="D21" s="152">
        <v>864.01483334039995</v>
      </c>
      <c r="E21" s="152">
        <v>4838288.5017334437</v>
      </c>
      <c r="F21" s="152">
        <v>0</v>
      </c>
      <c r="G21" s="152">
        <v>0</v>
      </c>
      <c r="H21" s="152">
        <v>0</v>
      </c>
    </row>
    <row r="22" spans="1:8" x14ac:dyDescent="0.25">
      <c r="A22" s="152" t="s">
        <v>205</v>
      </c>
      <c r="B22" s="152">
        <v>1</v>
      </c>
      <c r="C22" s="152">
        <v>187.4454563493</v>
      </c>
      <c r="D22" s="152">
        <v>818.36025001309997</v>
      </c>
      <c r="E22" s="152">
        <v>2982879.3714401107</v>
      </c>
      <c r="F22" s="152">
        <v>0</v>
      </c>
      <c r="G22" s="152">
        <v>0</v>
      </c>
      <c r="H22" s="152">
        <v>0</v>
      </c>
    </row>
    <row r="23" spans="1:8" x14ac:dyDescent="0.25">
      <c r="A23" s="152" t="s">
        <v>276</v>
      </c>
      <c r="B23" s="152">
        <v>1</v>
      </c>
      <c r="C23" s="152">
        <v>2370.0852777770001</v>
      </c>
      <c r="D23" s="152">
        <v>13725.165095238601</v>
      </c>
      <c r="E23" s="152">
        <v>39774106.503884219</v>
      </c>
      <c r="F23" s="152">
        <v>0</v>
      </c>
      <c r="G23" s="152">
        <v>0</v>
      </c>
      <c r="H23" s="152">
        <v>0</v>
      </c>
    </row>
    <row r="24" spans="1:8" x14ac:dyDescent="0.25">
      <c r="A24" s="152" t="s">
        <v>275</v>
      </c>
      <c r="B24" s="152">
        <v>1</v>
      </c>
      <c r="C24" s="152">
        <v>1648.796428571</v>
      </c>
      <c r="D24" s="152">
        <v>16624.9816071393</v>
      </c>
      <c r="E24" s="152">
        <v>25636026.757140994</v>
      </c>
      <c r="F24" s="152">
        <v>0</v>
      </c>
      <c r="G24" s="152">
        <v>0</v>
      </c>
      <c r="H24" s="152">
        <v>0</v>
      </c>
    </row>
    <row r="25" spans="1:8" x14ac:dyDescent="0.25">
      <c r="A25" s="152" t="s">
        <v>99</v>
      </c>
      <c r="B25" s="152">
        <v>1</v>
      </c>
      <c r="C25" s="152">
        <v>334.80263095129999</v>
      </c>
      <c r="D25" s="152">
        <v>1625.8884166747</v>
      </c>
      <c r="E25" s="152">
        <v>7422677.0696163466</v>
      </c>
      <c r="F25" s="152">
        <v>0</v>
      </c>
      <c r="G25" s="152">
        <v>0</v>
      </c>
      <c r="H25" s="152">
        <v>0</v>
      </c>
    </row>
    <row r="26" spans="1:8" x14ac:dyDescent="0.25">
      <c r="A26" s="152" t="s">
        <v>100</v>
      </c>
      <c r="B26" s="152">
        <v>1</v>
      </c>
      <c r="C26" s="152">
        <v>391.82734126819997</v>
      </c>
      <c r="D26" s="152">
        <v>924.87285713539995</v>
      </c>
      <c r="E26" s="152">
        <v>7002022.9748091027</v>
      </c>
      <c r="F26" s="152">
        <v>0</v>
      </c>
      <c r="G26" s="152">
        <v>0</v>
      </c>
      <c r="H26" s="152">
        <v>0</v>
      </c>
    </row>
    <row r="27" spans="1:8" x14ac:dyDescent="0.25">
      <c r="A27" s="152" t="s">
        <v>218</v>
      </c>
      <c r="B27" s="152">
        <v>1</v>
      </c>
      <c r="C27" s="152">
        <v>4600.0555555556002</v>
      </c>
      <c r="D27" s="152">
        <v>5675.68</v>
      </c>
      <c r="E27" s="152">
        <v>46357229.943393067</v>
      </c>
      <c r="F27" s="152">
        <v>0</v>
      </c>
      <c r="G27" s="152">
        <v>0</v>
      </c>
      <c r="H27" s="152">
        <v>0</v>
      </c>
    </row>
    <row r="28" spans="1:8" x14ac:dyDescent="0.25">
      <c r="A28" s="152" t="s">
        <v>220</v>
      </c>
      <c r="B28" s="152">
        <v>1</v>
      </c>
      <c r="C28" s="152">
        <v>479.9147817434</v>
      </c>
      <c r="D28" s="152">
        <v>1674.6692857131</v>
      </c>
      <c r="E28" s="152">
        <v>9430624.7786040641</v>
      </c>
      <c r="F28" s="152">
        <v>0</v>
      </c>
      <c r="G28" s="152">
        <v>0</v>
      </c>
      <c r="H28" s="152">
        <v>0</v>
      </c>
    </row>
    <row r="29" spans="1:8" x14ac:dyDescent="0.25">
      <c r="A29" s="152" t="s">
        <v>212</v>
      </c>
      <c r="B29" s="152">
        <v>1</v>
      </c>
      <c r="C29" s="152">
        <v>1264.888095238</v>
      </c>
      <c r="D29" s="152">
        <v>6375.7106904764996</v>
      </c>
      <c r="E29" s="152">
        <v>21462574.306330234</v>
      </c>
      <c r="F29" s="152">
        <v>0</v>
      </c>
      <c r="G29" s="152">
        <v>0</v>
      </c>
      <c r="H29" s="152">
        <v>0</v>
      </c>
    </row>
    <row r="30" spans="1:8" x14ac:dyDescent="0.25">
      <c r="A30" s="152" t="s">
        <v>139</v>
      </c>
      <c r="B30" s="152">
        <v>1</v>
      </c>
      <c r="C30" s="152">
        <v>154.3401388881</v>
      </c>
      <c r="D30" s="152">
        <v>580.03259523309998</v>
      </c>
      <c r="E30" s="152">
        <v>3474651.3351865308</v>
      </c>
      <c r="F30" s="152">
        <v>0</v>
      </c>
      <c r="G30" s="152">
        <v>0</v>
      </c>
      <c r="H30" s="152">
        <v>0</v>
      </c>
    </row>
    <row r="31" spans="1:8" x14ac:dyDescent="0.25">
      <c r="A31" s="152" t="s">
        <v>214</v>
      </c>
      <c r="B31" s="152">
        <v>1</v>
      </c>
      <c r="C31" s="152">
        <v>301.19236111049997</v>
      </c>
      <c r="D31" s="152">
        <v>655.40500000550003</v>
      </c>
      <c r="E31" s="152">
        <v>4400883.6721328031</v>
      </c>
      <c r="F31" s="152">
        <v>0</v>
      </c>
      <c r="G31" s="152">
        <v>0</v>
      </c>
      <c r="H31" s="152">
        <v>0</v>
      </c>
    </row>
    <row r="32" spans="1:8" x14ac:dyDescent="0.25">
      <c r="A32" s="152" t="s">
        <v>104</v>
      </c>
      <c r="B32" s="152">
        <v>1</v>
      </c>
      <c r="C32" s="152">
        <v>36.086111110499999</v>
      </c>
      <c r="D32" s="152">
        <v>276.77249999859998</v>
      </c>
      <c r="E32" s="152">
        <v>1496121.9766184406</v>
      </c>
      <c r="F32" s="152">
        <v>0</v>
      </c>
      <c r="G32" s="152">
        <v>0</v>
      </c>
      <c r="H32" s="152">
        <v>0</v>
      </c>
    </row>
    <row r="33" spans="1:8" x14ac:dyDescent="0.25">
      <c r="A33" s="152" t="s">
        <v>213</v>
      </c>
      <c r="B33" s="152">
        <v>1</v>
      </c>
      <c r="C33" s="152">
        <v>464.62637566030003</v>
      </c>
      <c r="D33" s="152">
        <v>1298.4062500012999</v>
      </c>
      <c r="E33" s="152">
        <v>7390748.2158776922</v>
      </c>
      <c r="F33" s="152">
        <v>0</v>
      </c>
      <c r="G33" s="152">
        <v>0</v>
      </c>
      <c r="H33" s="152">
        <v>0</v>
      </c>
    </row>
    <row r="34" spans="1:8" x14ac:dyDescent="0.25">
      <c r="A34" s="152" t="s">
        <v>279</v>
      </c>
      <c r="B34" s="152">
        <v>1</v>
      </c>
      <c r="C34" s="152">
        <v>78.721971288500001</v>
      </c>
      <c r="D34" s="152">
        <v>1027.4044166659</v>
      </c>
      <c r="E34" s="152">
        <v>2547128.6650645342</v>
      </c>
      <c r="F34" s="152">
        <v>0</v>
      </c>
      <c r="G34" s="152">
        <v>0</v>
      </c>
      <c r="H34" s="152">
        <v>0</v>
      </c>
    </row>
    <row r="35" spans="1:8" x14ac:dyDescent="0.25">
      <c r="A35" s="152" t="s">
        <v>277</v>
      </c>
      <c r="B35" s="152">
        <v>1</v>
      </c>
      <c r="C35" s="152">
        <v>818.53750000000002</v>
      </c>
      <c r="D35" s="152">
        <v>6072.2000000001999</v>
      </c>
      <c r="E35" s="152">
        <v>10465826.931419414</v>
      </c>
      <c r="F35" s="152">
        <v>0</v>
      </c>
      <c r="G35" s="152">
        <v>0</v>
      </c>
      <c r="H35" s="152">
        <v>0</v>
      </c>
    </row>
    <row r="36" spans="1:8" x14ac:dyDescent="0.25">
      <c r="A36" s="152" t="s">
        <v>161</v>
      </c>
      <c r="B36" s="152">
        <v>1</v>
      </c>
      <c r="C36" s="152">
        <v>426.1004960313</v>
      </c>
      <c r="D36" s="152">
        <v>1859.0326666711001</v>
      </c>
      <c r="E36" s="152">
        <v>9566078.389481416</v>
      </c>
      <c r="F36" s="152">
        <v>0</v>
      </c>
      <c r="G36" s="152">
        <v>0</v>
      </c>
      <c r="H36" s="152">
        <v>0</v>
      </c>
    </row>
    <row r="37" spans="1:8" x14ac:dyDescent="0.25">
      <c r="A37" s="152" t="s">
        <v>107</v>
      </c>
      <c r="B37" s="152">
        <v>1</v>
      </c>
      <c r="C37" s="152">
        <v>262.3272222224</v>
      </c>
      <c r="D37" s="152">
        <v>1333.226666673</v>
      </c>
      <c r="E37" s="152">
        <v>4979694.1161729163</v>
      </c>
      <c r="F37" s="152">
        <v>0</v>
      </c>
      <c r="G37" s="152">
        <v>0</v>
      </c>
      <c r="H37" s="152">
        <v>0</v>
      </c>
    </row>
    <row r="38" spans="1:8" x14ac:dyDescent="0.25">
      <c r="A38" s="152" t="s">
        <v>112</v>
      </c>
      <c r="B38" s="152">
        <v>1</v>
      </c>
      <c r="C38" s="152">
        <v>450.99999999990001</v>
      </c>
      <c r="D38" s="152">
        <v>4493.0199999983997</v>
      </c>
      <c r="E38" s="152">
        <v>9933289.5310260672</v>
      </c>
      <c r="F38" s="152">
        <v>0</v>
      </c>
      <c r="G38" s="152">
        <v>0</v>
      </c>
      <c r="H38" s="152">
        <v>0</v>
      </c>
    </row>
    <row r="39" spans="1:8" x14ac:dyDescent="0.25">
      <c r="A39" s="152" t="s">
        <v>108</v>
      </c>
      <c r="B39" s="152">
        <v>1</v>
      </c>
      <c r="C39" s="152">
        <v>636.48544372289996</v>
      </c>
      <c r="D39" s="152">
        <v>7169.5250000004999</v>
      </c>
      <c r="E39" s="152">
        <v>14309461.954308074</v>
      </c>
      <c r="F39" s="152">
        <v>0</v>
      </c>
      <c r="G39" s="152">
        <v>0</v>
      </c>
      <c r="H39" s="152">
        <v>0</v>
      </c>
    </row>
    <row r="40" spans="1:8" x14ac:dyDescent="0.25">
      <c r="A40" s="152" t="s">
        <v>221</v>
      </c>
      <c r="B40" s="152">
        <v>1</v>
      </c>
      <c r="C40" s="152">
        <v>691.02196097779995</v>
      </c>
      <c r="D40" s="152">
        <v>3251.4965253061</v>
      </c>
      <c r="E40" s="152">
        <v>11848776.401082568</v>
      </c>
      <c r="F40" s="152">
        <v>0</v>
      </c>
      <c r="G40" s="152">
        <v>0</v>
      </c>
      <c r="H40" s="152">
        <v>0</v>
      </c>
    </row>
    <row r="41" spans="1:8" x14ac:dyDescent="0.25">
      <c r="A41" s="152" t="s">
        <v>140</v>
      </c>
      <c r="B41" s="152">
        <v>1</v>
      </c>
      <c r="C41" s="152">
        <v>2013.596825397</v>
      </c>
      <c r="D41" s="152">
        <v>9365.2134166669002</v>
      </c>
      <c r="E41" s="152">
        <v>22063590.162943512</v>
      </c>
      <c r="F41" s="152">
        <v>0</v>
      </c>
      <c r="G41" s="152">
        <v>0</v>
      </c>
      <c r="H41" s="152">
        <v>0</v>
      </c>
    </row>
    <row r="42" spans="1:8" x14ac:dyDescent="0.25">
      <c r="A42" s="152" t="s">
        <v>215</v>
      </c>
      <c r="B42" s="152">
        <v>1</v>
      </c>
      <c r="C42" s="152">
        <v>230.625</v>
      </c>
      <c r="D42" s="152">
        <v>1855.24</v>
      </c>
      <c r="E42" s="152">
        <v>4129091.2566</v>
      </c>
      <c r="F42" s="152">
        <v>0</v>
      </c>
      <c r="G42" s="152">
        <v>0</v>
      </c>
      <c r="H42" s="152">
        <v>0</v>
      </c>
    </row>
    <row r="43" spans="1:8" x14ac:dyDescent="0.25">
      <c r="A43" s="152" t="s">
        <v>145</v>
      </c>
      <c r="B43" s="152">
        <v>1</v>
      </c>
      <c r="C43" s="152">
        <v>175.62073412699999</v>
      </c>
      <c r="D43" s="152">
        <v>656.22693452349995</v>
      </c>
      <c r="E43" s="152">
        <v>9026889.2760015707</v>
      </c>
      <c r="F43" s="152">
        <v>0</v>
      </c>
      <c r="G43" s="152">
        <v>0</v>
      </c>
      <c r="H43" s="152">
        <v>0</v>
      </c>
    </row>
    <row r="44" spans="1:8" x14ac:dyDescent="0.25">
      <c r="A44" s="152" t="s">
        <v>146</v>
      </c>
      <c r="B44" s="152">
        <v>1</v>
      </c>
      <c r="C44" s="152">
        <v>102.7335317462</v>
      </c>
      <c r="D44" s="152">
        <v>688.63703572149996</v>
      </c>
      <c r="E44" s="152">
        <v>3030443.4341183412</v>
      </c>
      <c r="F44" s="152">
        <v>0</v>
      </c>
      <c r="G44" s="152">
        <v>0</v>
      </c>
      <c r="H44" s="152">
        <v>0</v>
      </c>
    </row>
    <row r="45" spans="1:8" x14ac:dyDescent="0.25">
      <c r="A45" s="152" t="s">
        <v>155</v>
      </c>
      <c r="B45" s="152">
        <v>1</v>
      </c>
      <c r="C45" s="152">
        <v>940.33012896740001</v>
      </c>
      <c r="D45" s="152">
        <v>1539.0584985024</v>
      </c>
      <c r="E45" s="152">
        <v>7293376.0390783381</v>
      </c>
      <c r="F45" s="152">
        <v>0</v>
      </c>
      <c r="G45" s="152">
        <v>0</v>
      </c>
      <c r="H45" s="152">
        <v>0</v>
      </c>
    </row>
    <row r="46" spans="1:8" x14ac:dyDescent="0.25">
      <c r="A46" s="152" t="s">
        <v>219</v>
      </c>
      <c r="B46" s="152">
        <v>1</v>
      </c>
      <c r="C46" s="152">
        <v>209.25</v>
      </c>
      <c r="D46" s="152">
        <v>49.02</v>
      </c>
      <c r="E46" s="152">
        <v>4833838.2326587504</v>
      </c>
      <c r="F46" s="152">
        <v>0</v>
      </c>
      <c r="G46" s="152">
        <v>0</v>
      </c>
      <c r="H46" s="1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7"/>
  <sheetViews>
    <sheetView tabSelected="1" zoomScale="80" zoomScaleNormal="80" workbookViewId="0">
      <selection activeCell="H10" sqref="H10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7.14062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206</v>
      </c>
      <c r="B1" s="54" t="s">
        <v>76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43" t="s">
        <v>207</v>
      </c>
      <c r="B2" s="57" t="s">
        <v>95</v>
      </c>
      <c r="C2" s="58">
        <v>32279076.638250753</v>
      </c>
      <c r="D2" s="59">
        <f>IFERROR(+VLOOKUP(B2,COMISIONES!A:E,5,FALSE),"0")*1</f>
        <v>16628945.591418875</v>
      </c>
      <c r="E2" s="59">
        <v>13911354.040010642</v>
      </c>
      <c r="F2" s="59">
        <f t="shared" ref="F2:F9" si="0">+D2-E2</f>
        <v>2717591.5514082331</v>
      </c>
      <c r="G2" s="60">
        <f t="shared" ref="G2:G46" si="1">+D2/C2</f>
        <v>0.51516174944464022</v>
      </c>
      <c r="H2" s="59">
        <f>+D2/$N$3*$N$4</f>
        <v>61764655.053841539</v>
      </c>
      <c r="I2" s="60">
        <f t="shared" ref="I2:I47" si="2">+H2/C2</f>
        <v>1.913457926508664</v>
      </c>
      <c r="J2" s="59">
        <f>+D2/$N$3</f>
        <v>2375563.6559169823</v>
      </c>
      <c r="K2" s="59">
        <f t="shared" ref="K2:K38" si="3">+(C2-D2)/$N$2</f>
        <v>823691.10772799363</v>
      </c>
      <c r="L2" s="61" cm="1">
        <f t="array" ref="L2">+_xlfn.IFS(I2&gt;114%,H2*0.02,I2&gt;109%,H2*0.015,I2&gt;104%,H2*0.0125,I2&gt;99%,H2*0.01,I2&lt;99%,H2*0)</f>
        <v>1235293.1010768309</v>
      </c>
      <c r="M2" s="53" t="s">
        <v>36</v>
      </c>
      <c r="N2">
        <v>19</v>
      </c>
    </row>
    <row r="3" spans="1:14" ht="16.5" thickBot="1" x14ac:dyDescent="0.3">
      <c r="A3" s="144"/>
      <c r="B3" s="36" t="s">
        <v>94</v>
      </c>
      <c r="C3" s="62">
        <v>30982728.178883255</v>
      </c>
      <c r="D3" s="4">
        <f>IFERROR(+VLOOKUP(B3,COMISIONES!A:E,5,FALSE),"0")*1</f>
        <v>11886358.979323033</v>
      </c>
      <c r="E3" s="4">
        <v>8879789.0161817223</v>
      </c>
      <c r="F3" s="59">
        <f t="shared" si="0"/>
        <v>3006569.963141311</v>
      </c>
      <c r="G3" s="5">
        <f t="shared" si="1"/>
        <v>0.38364468457055889</v>
      </c>
      <c r="H3" s="4">
        <f t="shared" ref="H3:H38" si="4">+D3/$N$3*$N$4</f>
        <v>44149333.351771265</v>
      </c>
      <c r="I3" s="5">
        <f t="shared" si="2"/>
        <v>1.4249659712620759</v>
      </c>
      <c r="J3" s="4">
        <f t="shared" ref="J3:J38" si="5">+D3/$N$3</f>
        <v>1698051.2827604334</v>
      </c>
      <c r="K3" s="4">
        <f t="shared" si="3"/>
        <v>1005072.0631347485</v>
      </c>
      <c r="L3" s="63" cm="1">
        <f t="array" ref="L3">+_xlfn.IFS(I3&gt;114%,H3*0.02,I3&gt;109%,H3*0.015,I3&gt;104%,H3*0.0125,I3&gt;99%,H3*0.01,I3&lt;99%,H3*0)</f>
        <v>882986.66703542531</v>
      </c>
      <c r="M3" s="53" t="s">
        <v>40</v>
      </c>
      <c r="N3">
        <f>N4-N2</f>
        <v>7</v>
      </c>
    </row>
    <row r="4" spans="1:14" ht="16.5" thickBot="1" x14ac:dyDescent="0.3">
      <c r="A4" s="144"/>
      <c r="B4" s="36" t="s">
        <v>92</v>
      </c>
      <c r="C4" s="62">
        <v>28390031.260148253</v>
      </c>
      <c r="D4" s="4">
        <f>IFERROR(+VLOOKUP(B4,COMISIONES!A:E,5,FALSE),"0")*1</f>
        <v>9867076.7446629275</v>
      </c>
      <c r="E4" s="4">
        <v>8278290.6827022722</v>
      </c>
      <c r="F4" s="59">
        <f t="shared" si="0"/>
        <v>1588786.0619606553</v>
      </c>
      <c r="G4" s="5">
        <f t="shared" si="1"/>
        <v>0.34755427545138257</v>
      </c>
      <c r="H4" s="4">
        <f t="shared" si="4"/>
        <v>36649142.194462299</v>
      </c>
      <c r="I4" s="5">
        <f t="shared" si="2"/>
        <v>1.2909158802479923</v>
      </c>
      <c r="J4" s="4">
        <f t="shared" si="5"/>
        <v>1409582.3920947039</v>
      </c>
      <c r="K4" s="4">
        <f t="shared" si="3"/>
        <v>974892.34292028018</v>
      </c>
      <c r="L4" s="63" cm="1">
        <f t="array" ref="L4">+_xlfn.IFS(I4&gt;114%,H4*0.02,I4&gt;109%,H4*0.015,I4&gt;104%,H4*0.0125,I4&gt;99%,H4*0.01,I4&lt;99%,H4*0)</f>
        <v>732982.843889246</v>
      </c>
      <c r="M4" s="53" t="s">
        <v>47</v>
      </c>
      <c r="N4">
        <v>26</v>
      </c>
    </row>
    <row r="5" spans="1:14" ht="16.5" thickBot="1" x14ac:dyDescent="0.3">
      <c r="A5" s="144"/>
      <c r="B5" s="36" t="s">
        <v>90</v>
      </c>
      <c r="C5" s="62">
        <v>28390031.260148253</v>
      </c>
      <c r="D5" s="4">
        <f>IFERROR(+VLOOKUP(B5,COMISIONES!A:E,5,FALSE),"0")*1</f>
        <v>10390040.635626717</v>
      </c>
      <c r="E5" s="4">
        <v>8096124.1249580067</v>
      </c>
      <c r="F5" s="59">
        <f t="shared" si="0"/>
        <v>2293916.5106687099</v>
      </c>
      <c r="G5" s="5">
        <f t="shared" si="1"/>
        <v>0.3659749628459007</v>
      </c>
      <c r="H5" s="4">
        <f t="shared" si="4"/>
        <v>38591579.503756382</v>
      </c>
      <c r="I5" s="5">
        <f t="shared" si="2"/>
        <v>1.3593355762847743</v>
      </c>
      <c r="J5" s="4">
        <f t="shared" si="5"/>
        <v>1484291.5193752453</v>
      </c>
      <c r="K5" s="4">
        <f t="shared" si="3"/>
        <v>947367.92760639673</v>
      </c>
      <c r="L5" s="63" cm="1">
        <f t="array" ref="L5">+_xlfn.IFS(I5&gt;114%,H5*0.02,I5&gt;109%,H5*0.015,I5&gt;104%,H5*0.0125,I5&gt;99%,H5*0.01,I5&lt;99%,H5*0)</f>
        <v>771831.59007512766</v>
      </c>
    </row>
    <row r="6" spans="1:14" ht="16.5" thickBot="1" x14ac:dyDescent="0.3">
      <c r="A6" s="144"/>
      <c r="B6" s="36" t="s">
        <v>210</v>
      </c>
      <c r="C6" s="62">
        <v>23528724.537520126</v>
      </c>
      <c r="D6" s="4">
        <f>IFERROR(+VLOOKUP(B6,COMISIONES!A:E,5,FALSE),"0")*1</f>
        <v>8992535.0811157338</v>
      </c>
      <c r="E6" s="4">
        <v>6880529.5903249942</v>
      </c>
      <c r="F6" s="59">
        <f t="shared" si="0"/>
        <v>2112005.4907907397</v>
      </c>
      <c r="G6" s="5">
        <f t="shared" si="1"/>
        <v>0.38219390374415624</v>
      </c>
      <c r="H6" s="4">
        <f t="shared" si="4"/>
        <v>33400844.587001298</v>
      </c>
      <c r="I6" s="5">
        <f t="shared" si="2"/>
        <v>1.4195773567640089</v>
      </c>
      <c r="J6" s="4">
        <f t="shared" si="5"/>
        <v>1284647.8687308191</v>
      </c>
      <c r="K6" s="4">
        <f t="shared" si="3"/>
        <v>765062.60296865215</v>
      </c>
      <c r="L6" s="63" cm="1">
        <f t="array" ref="L6">+_xlfn.IFS(I6&gt;114%,H6*0.02,I6&gt;109%,H6*0.015,I6&gt;104%,H6*0.0125,I6&gt;99%,H6*0.01,I6&lt;99%,H6*0)</f>
        <v>668016.89174002595</v>
      </c>
    </row>
    <row r="7" spans="1:14" ht="16.5" thickBot="1" x14ac:dyDescent="0.3">
      <c r="A7" s="144"/>
      <c r="B7" s="36" t="s">
        <v>86</v>
      </c>
      <c r="C7" s="62">
        <v>27741857.030464504</v>
      </c>
      <c r="D7" s="4">
        <f>IFERROR(+VLOOKUP(B7,COMISIONES!A:E,5,FALSE),"0")*1</f>
        <v>5812276.1733843116</v>
      </c>
      <c r="E7" s="4">
        <v>4783722.413790998</v>
      </c>
      <c r="F7" s="59">
        <f t="shared" si="0"/>
        <v>1028553.7595933136</v>
      </c>
      <c r="G7" s="5">
        <f t="shared" si="1"/>
        <v>0.20951287316496534</v>
      </c>
      <c r="H7" s="4">
        <f t="shared" si="4"/>
        <v>21588454.358284589</v>
      </c>
      <c r="I7" s="5">
        <f t="shared" si="2"/>
        <v>0.77819067175558565</v>
      </c>
      <c r="J7" s="4">
        <f t="shared" si="5"/>
        <v>830325.16762633028</v>
      </c>
      <c r="K7" s="4">
        <f t="shared" si="3"/>
        <v>1154188.4661621153</v>
      </c>
      <c r="L7" s="63" cm="1">
        <f t="array" ref="L7">+_xlfn.IFS(I7&gt;114%,H7*0.02,I7&gt;109%,H7*0.015,I7&gt;104%,H7*0.0125,I7&gt;99%,H7*0.01,I7&lt;99%,H7*0)</f>
        <v>0</v>
      </c>
    </row>
    <row r="8" spans="1:14" ht="16.5" thickBot="1" x14ac:dyDescent="0.3">
      <c r="A8" s="144"/>
      <c r="B8" s="36" t="s">
        <v>85</v>
      </c>
      <c r="C8" s="62">
        <v>35831071.416917704</v>
      </c>
      <c r="D8" s="4">
        <f>IFERROR(+VLOOKUP(B8,COMISIONES!A:E,5,FALSE),"0")*1</f>
        <v>12957322.422553651</v>
      </c>
      <c r="E8" s="4">
        <v>9526760.602672549</v>
      </c>
      <c r="F8" s="59">
        <f t="shared" si="0"/>
        <v>3430561.8198811021</v>
      </c>
      <c r="G8" s="5">
        <f t="shared" si="1"/>
        <v>0.36162252230157504</v>
      </c>
      <c r="H8" s="4">
        <f t="shared" si="4"/>
        <v>48127197.569484986</v>
      </c>
      <c r="I8" s="5">
        <f t="shared" si="2"/>
        <v>1.3431693685487072</v>
      </c>
      <c r="J8" s="4">
        <f t="shared" si="5"/>
        <v>1851046.0603648073</v>
      </c>
      <c r="K8" s="4">
        <f t="shared" si="3"/>
        <v>1203881.5260191606</v>
      </c>
      <c r="L8" s="63" cm="1">
        <f t="array" ref="L8">+_xlfn.IFS(I8&gt;114%,H8*0.02,I8&gt;109%,H8*0.015,I8&gt;104%,H8*0.0125,I8&gt;99%,H8*0.01,I8&lt;99%,H8*0)</f>
        <v>962543.95138969971</v>
      </c>
    </row>
    <row r="9" spans="1:14" ht="15.75" x14ac:dyDescent="0.25">
      <c r="A9" s="144"/>
      <c r="B9" s="36" t="s">
        <v>84</v>
      </c>
      <c r="C9" s="62">
        <v>35831071.416917704</v>
      </c>
      <c r="D9" s="4">
        <f>IFERROR(+VLOOKUP(B9,COMISIONES!A:E,5,FALSE),"0")*1</f>
        <v>14035213.529072771</v>
      </c>
      <c r="E9" s="4">
        <v>11871337.410239052</v>
      </c>
      <c r="F9" s="59">
        <f t="shared" si="0"/>
        <v>2163876.1188337188</v>
      </c>
      <c r="G9" s="5">
        <f t="shared" si="1"/>
        <v>0.39170510325421137</v>
      </c>
      <c r="H9" s="4">
        <f t="shared" si="4"/>
        <v>52130793.10798458</v>
      </c>
      <c r="I9" s="5">
        <f t="shared" si="2"/>
        <v>1.4549046692299281</v>
      </c>
      <c r="J9" s="4">
        <f t="shared" si="5"/>
        <v>2005030.504153253</v>
      </c>
      <c r="K9" s="4">
        <f t="shared" si="3"/>
        <v>1147150.4151497334</v>
      </c>
      <c r="L9" s="63" cm="1">
        <f t="array" ref="L9">+_xlfn.IFS(I9&gt;114%,H9*0.02,I9&gt;109%,H9*0.015,I9&gt;104%,H9*0.0125,I9&gt;99%,H9*0.01,I9&lt;99%,H9*0)</f>
        <v>1042615.8621596916</v>
      </c>
    </row>
    <row r="10" spans="1:14" ht="16.5" thickBot="1" x14ac:dyDescent="0.3">
      <c r="A10" s="145"/>
      <c r="B10" s="3"/>
      <c r="C10" s="64">
        <v>242974591.73925051</v>
      </c>
      <c r="D10" s="64">
        <f>+SUM(D2:D9)</f>
        <v>90569769.157158032</v>
      </c>
      <c r="E10" s="65">
        <v>72227907.880880237</v>
      </c>
      <c r="F10" s="67">
        <f>+D10-E10</f>
        <v>18341861.276277795</v>
      </c>
      <c r="G10" s="66">
        <f t="shared" si="1"/>
        <v>0.37275407485550366</v>
      </c>
      <c r="H10" s="64">
        <f t="shared" si="4"/>
        <v>336401999.726587</v>
      </c>
      <c r="I10" s="66">
        <f t="shared" si="2"/>
        <v>1.3845151351775853</v>
      </c>
      <c r="J10" s="64">
        <f t="shared" si="5"/>
        <v>12938538.451022577</v>
      </c>
      <c r="K10" s="67">
        <f t="shared" si="3"/>
        <v>8021306.4516890766</v>
      </c>
      <c r="L10" s="68"/>
    </row>
    <row r="11" spans="1:14" ht="16.5" thickBot="1" x14ac:dyDescent="0.3">
      <c r="A11" s="143" t="s">
        <v>208</v>
      </c>
      <c r="B11" s="57" t="s">
        <v>97</v>
      </c>
      <c r="C11" s="58">
        <v>96971948.480137512</v>
      </c>
      <c r="D11" s="59">
        <f>IFERROR(+VLOOKUP(B11,COMISIONES!A:E,5,FALSE),"0")*1</f>
        <v>27856176.904166874</v>
      </c>
      <c r="E11" s="59">
        <v>21516685.562818773</v>
      </c>
      <c r="F11" s="59">
        <f t="shared" ref="F11:F14" si="6">+D11-E11</f>
        <v>6339491.3413481005</v>
      </c>
      <c r="G11" s="60">
        <f t="shared" si="1"/>
        <v>0.28726015451646386</v>
      </c>
      <c r="H11" s="59">
        <f t="shared" si="4"/>
        <v>103465799.92976266</v>
      </c>
      <c r="I11" s="60">
        <f t="shared" si="2"/>
        <v>1.0669662882040085</v>
      </c>
      <c r="J11" s="59">
        <f t="shared" si="5"/>
        <v>3979453.8434524103</v>
      </c>
      <c r="K11" s="59">
        <f t="shared" si="3"/>
        <v>3637672.188208981</v>
      </c>
      <c r="L11" s="61" cm="1">
        <f t="array" ref="L11">+_xlfn.IFS(I11&gt;114%,H11*0.0125,I11&gt;109%,H11*0.01,I11&gt;104%,H11*0.0075,I11&gt;99%,H11*0.005,I11&lt;99%,H11*0)</f>
        <v>775993.49947321997</v>
      </c>
    </row>
    <row r="12" spans="1:14" ht="16.5" thickBot="1" x14ac:dyDescent="0.3">
      <c r="A12" s="144"/>
      <c r="B12" s="36" t="s">
        <v>91</v>
      </c>
      <c r="C12" s="62">
        <v>128363916.07462499</v>
      </c>
      <c r="D12" s="4">
        <f>IFERROR(+VLOOKUP(B12,COMISIONES!A:E,5,FALSE),"0")*1</f>
        <v>38023954.294990294</v>
      </c>
      <c r="E12" s="4">
        <v>37249203.928116158</v>
      </c>
      <c r="F12" s="59">
        <f t="shared" si="6"/>
        <v>774750.36687413603</v>
      </c>
      <c r="G12" s="5">
        <f t="shared" si="1"/>
        <v>0.29621996163536241</v>
      </c>
      <c r="H12" s="4">
        <f t="shared" si="4"/>
        <v>141231830.23853537</v>
      </c>
      <c r="I12" s="5">
        <f t="shared" si="2"/>
        <v>1.1002455717884889</v>
      </c>
      <c r="J12" s="4">
        <f t="shared" si="5"/>
        <v>5431993.4707128992</v>
      </c>
      <c r="K12" s="4">
        <f t="shared" si="3"/>
        <v>4754734.8305070885</v>
      </c>
      <c r="L12" s="63" cm="1">
        <f t="array" ref="L12">+_xlfn.IFS(I12&gt;114%,H12*0.0125,I12&gt;109%,H12*0.01,I12&gt;104%,H12*0.0075,I12&gt;99%,H12*0.005,I12&lt;99%,H12*0)</f>
        <v>1412318.3023853537</v>
      </c>
      <c r="M12" s="53" t="s">
        <v>61</v>
      </c>
      <c r="N12" s="25">
        <v>0.02</v>
      </c>
    </row>
    <row r="13" spans="1:14" ht="16.5" thickBot="1" x14ac:dyDescent="0.3">
      <c r="A13" s="144"/>
      <c r="B13" s="36" t="s">
        <v>112</v>
      </c>
      <c r="C13" s="62">
        <v>42449057.394974999</v>
      </c>
      <c r="D13" s="4">
        <f>IFERROR(+VLOOKUP(B13,COMISIONES!A:E,5,FALSE),"0")*1</f>
        <v>9933289.5310260672</v>
      </c>
      <c r="E13" s="4">
        <v>6964058.3553260667</v>
      </c>
      <c r="F13" s="59">
        <f t="shared" si="6"/>
        <v>2969231.1757000005</v>
      </c>
      <c r="G13" s="5">
        <f t="shared" si="1"/>
        <v>0.23400494947626191</v>
      </c>
      <c r="H13" s="4">
        <f t="shared" si="4"/>
        <v>36895075.400953963</v>
      </c>
      <c r="I13" s="5">
        <f t="shared" si="2"/>
        <v>0.86916124091183</v>
      </c>
      <c r="J13" s="4">
        <f t="shared" si="5"/>
        <v>1419041.3615751525</v>
      </c>
      <c r="K13" s="4">
        <f t="shared" si="3"/>
        <v>1711356.2033657334</v>
      </c>
      <c r="L13" s="63" cm="1">
        <f t="array" ref="L13">+_xlfn.IFS(I13&gt;109%,H13*0.015,I13&gt;104%,H13*0.0125,I13&gt;99%,H13*0.01,I13&lt;99%,H13*0)</f>
        <v>0</v>
      </c>
      <c r="N13" s="28"/>
    </row>
    <row r="14" spans="1:14" ht="15.75" x14ac:dyDescent="0.25">
      <c r="A14" s="144"/>
      <c r="B14" s="36" t="s">
        <v>108</v>
      </c>
      <c r="C14" s="62">
        <v>42449057.394974999</v>
      </c>
      <c r="D14" s="4">
        <f>IFERROR(+VLOOKUP(B14,COMISIONES!A:E,5,FALSE),"0")*1</f>
        <v>14309461.954308074</v>
      </c>
      <c r="E14" s="4">
        <v>9931647.9337061867</v>
      </c>
      <c r="F14" s="59">
        <f t="shared" si="6"/>
        <v>4377814.0206018873</v>
      </c>
      <c r="G14" s="5">
        <f t="shared" si="1"/>
        <v>0.33709728395528493</v>
      </c>
      <c r="H14" s="4">
        <f t="shared" si="4"/>
        <v>53149430.11600142</v>
      </c>
      <c r="I14" s="5">
        <f t="shared" si="2"/>
        <v>1.2520756261196297</v>
      </c>
      <c r="J14" s="4">
        <f t="shared" si="5"/>
        <v>2044208.8506154392</v>
      </c>
      <c r="K14" s="4">
        <f t="shared" si="3"/>
        <v>1481031.3389824696</v>
      </c>
      <c r="L14" s="63" cm="1">
        <f t="array" ref="L14">+_xlfn.IFS(I14&gt;109%,H14*0.015,I14&gt;104%,H14*0.0125,I14&gt;99%,H14*0.01,I14&lt;99%,H14*0)</f>
        <v>797241.45174002124</v>
      </c>
    </row>
    <row r="15" spans="1:14" ht="16.5" thickBot="1" x14ac:dyDescent="0.3">
      <c r="A15" s="145"/>
      <c r="B15" s="3"/>
      <c r="C15" s="64">
        <v>341864881.75327951</v>
      </c>
      <c r="D15" s="64">
        <f>+SUM(D11:D14)</f>
        <v>90122882.684491307</v>
      </c>
      <c r="E15" s="65">
        <v>75661595.779967189</v>
      </c>
      <c r="F15" s="67">
        <f>+D15-E15</f>
        <v>14461286.904524118</v>
      </c>
      <c r="G15" s="66">
        <f t="shared" si="1"/>
        <v>0.26362135303950901</v>
      </c>
      <c r="H15" s="64">
        <f t="shared" si="4"/>
        <v>334742135.68525344</v>
      </c>
      <c r="I15" s="66">
        <f t="shared" si="2"/>
        <v>0.97916502557531926</v>
      </c>
      <c r="J15" s="64">
        <f t="shared" si="5"/>
        <v>12874697.526355902</v>
      </c>
      <c r="K15" s="67">
        <f t="shared" si="3"/>
        <v>13249578.898357274</v>
      </c>
      <c r="L15" s="68"/>
    </row>
    <row r="16" spans="1:14" ht="16.5" thickBot="1" x14ac:dyDescent="0.3">
      <c r="A16" s="146" t="s">
        <v>209</v>
      </c>
      <c r="B16" s="69" t="s">
        <v>82</v>
      </c>
      <c r="C16" s="70">
        <v>28430000</v>
      </c>
      <c r="D16" s="59">
        <f>IFERROR(+VLOOKUP(B16,COMISIONES!A:E,5,FALSE),"0")*1</f>
        <v>6261378.078395946</v>
      </c>
      <c r="E16" s="59">
        <v>4466259.1614110144</v>
      </c>
      <c r="F16" s="59">
        <f t="shared" ref="F16:F45" si="7">+D16-E16</f>
        <v>1795118.9169849316</v>
      </c>
      <c r="G16" s="60">
        <f t="shared" si="1"/>
        <v>0.22023841288765197</v>
      </c>
      <c r="H16" s="59">
        <f t="shared" si="4"/>
        <v>23256547.148327798</v>
      </c>
      <c r="I16" s="60">
        <f t="shared" si="2"/>
        <v>0.81802839072556444</v>
      </c>
      <c r="J16" s="59">
        <f t="shared" si="5"/>
        <v>894482.58262799226</v>
      </c>
      <c r="K16" s="59">
        <f t="shared" si="3"/>
        <v>1166769.5748212659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7"/>
      <c r="B17" s="19" t="s">
        <v>83</v>
      </c>
      <c r="C17" s="71">
        <v>25000000</v>
      </c>
      <c r="D17" s="4">
        <f>IFERROR(+VLOOKUP(B17,COMISIONES!A:E,5,FALSE),"0")*1</f>
        <v>9460618.595991917</v>
      </c>
      <c r="E17" s="4">
        <v>7580994.7001742441</v>
      </c>
      <c r="F17" s="59">
        <f t="shared" si="7"/>
        <v>1879623.8958176728</v>
      </c>
      <c r="G17" s="5">
        <f t="shared" si="1"/>
        <v>0.37842474383967667</v>
      </c>
      <c r="H17" s="4">
        <f t="shared" si="4"/>
        <v>35139440.499398552</v>
      </c>
      <c r="I17" s="5">
        <f t="shared" si="2"/>
        <v>1.405577619975942</v>
      </c>
      <c r="J17" s="4">
        <f t="shared" si="5"/>
        <v>1351516.9422845596</v>
      </c>
      <c r="K17" s="4">
        <f t="shared" si="3"/>
        <v>817862.17915832018</v>
      </c>
      <c r="L17" s="63" cm="1">
        <f t="array" ref="L17">+_xlfn.IFS(I17&gt;114%,H17*0.02,I17&gt;109%,H17*0.015,I17&gt;104%,H17*0.0125,I17&gt;99%,H17*0.01,I17&lt;99%,H17*0)</f>
        <v>702788.80998797109</v>
      </c>
    </row>
    <row r="18" spans="1:13" ht="16.5" thickBot="1" x14ac:dyDescent="0.3">
      <c r="A18" s="147"/>
      <c r="B18" s="19" t="s">
        <v>93</v>
      </c>
      <c r="C18" s="71">
        <v>25500000</v>
      </c>
      <c r="D18" s="4">
        <f>IFERROR(+VLOOKUP(B18,COMISIONES!A:E,5,FALSE),"0")*1</f>
        <v>7858775.6280422518</v>
      </c>
      <c r="E18" s="4">
        <v>6530982.5903502256</v>
      </c>
      <c r="F18" s="59">
        <f t="shared" si="7"/>
        <v>1327793.0376920262</v>
      </c>
      <c r="G18" s="5">
        <f t="shared" si="1"/>
        <v>0.30818727953106873</v>
      </c>
      <c r="H18" s="4">
        <f t="shared" si="4"/>
        <v>29189738.04701408</v>
      </c>
      <c r="I18" s="5">
        <f t="shared" si="2"/>
        <v>1.1446956096868266</v>
      </c>
      <c r="J18" s="4">
        <f t="shared" si="5"/>
        <v>1122682.2325774645</v>
      </c>
      <c r="K18" s="4">
        <f t="shared" si="3"/>
        <v>928485.49326093413</v>
      </c>
      <c r="L18" s="63" cm="1">
        <f t="array" ref="L18">+_xlfn.IFS(I18&gt;114%,H18*0.02,I18&gt;109%,H18*0.015,I18&gt;104%,H18*0.0125,I18&gt;99%,H18*0.01,I18&lt;99%,H18*0)</f>
        <v>583794.76094028156</v>
      </c>
    </row>
    <row r="19" spans="1:13" ht="16.5" thickBot="1" x14ac:dyDescent="0.3">
      <c r="A19" s="147"/>
      <c r="B19" s="19" t="s">
        <v>96</v>
      </c>
      <c r="C19" s="71">
        <v>35200000</v>
      </c>
      <c r="D19" s="4">
        <f>IFERROR(+VLOOKUP(B19,COMISIONES!A:E,5,FALSE),"0")*1</f>
        <v>12244351.110223034</v>
      </c>
      <c r="E19" s="4">
        <v>9769786.7721711751</v>
      </c>
      <c r="F19" s="59">
        <f t="shared" si="7"/>
        <v>2474564.3380518593</v>
      </c>
      <c r="G19" s="5">
        <f t="shared" si="1"/>
        <v>0.34785088381315438</v>
      </c>
      <c r="H19" s="4">
        <f t="shared" si="4"/>
        <v>45479018.409399845</v>
      </c>
      <c r="I19" s="5">
        <f t="shared" si="2"/>
        <v>1.2920175684488593</v>
      </c>
      <c r="J19" s="4">
        <f t="shared" si="5"/>
        <v>1749193.0157461478</v>
      </c>
      <c r="K19" s="4">
        <f t="shared" si="3"/>
        <v>1208192.0468303666</v>
      </c>
      <c r="L19" s="63" cm="1">
        <f t="array" ref="L19">+_xlfn.IFS(I19&gt;114%,H19*0.02,I19&gt;109%,H19*0.015,I19&gt;104%,H19*0.0125,I19&gt;99%,H19*0.01,I19&lt;99%,H19*0)</f>
        <v>909580.36818799691</v>
      </c>
    </row>
    <row r="20" spans="1:13" ht="16.5" thickBot="1" x14ac:dyDescent="0.3">
      <c r="A20" s="147"/>
      <c r="B20" s="19" t="s">
        <v>98</v>
      </c>
      <c r="C20" s="71">
        <v>26100000</v>
      </c>
      <c r="D20" s="4">
        <f>IFERROR(+VLOOKUP(B20,COMISIONES!A:E,5,FALSE),"0")*1</f>
        <v>4838288.5017334437</v>
      </c>
      <c r="E20" s="4">
        <v>4304146.7052491438</v>
      </c>
      <c r="F20" s="59">
        <f t="shared" si="7"/>
        <v>534141.79648429994</v>
      </c>
      <c r="G20" s="5">
        <f t="shared" si="1"/>
        <v>0.18537503838059172</v>
      </c>
      <c r="H20" s="4">
        <f t="shared" si="4"/>
        <v>17970785.863581359</v>
      </c>
      <c r="I20" s="5">
        <f t="shared" si="2"/>
        <v>0.68853585684219765</v>
      </c>
      <c r="J20" s="4">
        <f t="shared" si="5"/>
        <v>691184.07167620619</v>
      </c>
      <c r="K20" s="4">
        <f t="shared" si="3"/>
        <v>1119037.4472771871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7"/>
      <c r="B21" s="19" t="s">
        <v>220</v>
      </c>
      <c r="C21" s="71">
        <v>32600000</v>
      </c>
      <c r="D21" s="4">
        <f>IFERROR(+VLOOKUP(B21,COMISIONES!A:E,5,FALSE),"0")*1</f>
        <v>9430624.7786040641</v>
      </c>
      <c r="E21" s="4">
        <v>8141604.2348882407</v>
      </c>
      <c r="F21" s="59">
        <f t="shared" si="7"/>
        <v>1289020.5437158234</v>
      </c>
      <c r="G21" s="5">
        <f t="shared" si="1"/>
        <v>0.28928296866883635</v>
      </c>
      <c r="H21" s="4">
        <f t="shared" si="4"/>
        <v>35028034.891957954</v>
      </c>
      <c r="I21" s="5">
        <f t="shared" si="2"/>
        <v>1.0744795979128208</v>
      </c>
      <c r="J21" s="4">
        <f t="shared" si="5"/>
        <v>1347232.111229152</v>
      </c>
      <c r="K21" s="4">
        <f t="shared" si="3"/>
        <v>1219440.801126102</v>
      </c>
      <c r="L21" s="63" cm="1">
        <f t="array" ref="L21">+_xlfn.IFS(I21&gt;114%,H21*0.02,I21&gt;109%,H21*0.015,I21&gt;104%,H21*0.0125,I21&gt;99%,H21*0.01,I21&lt;99%,H21*0)</f>
        <v>437850.43614947447</v>
      </c>
    </row>
    <row r="22" spans="1:13" ht="16.5" thickBot="1" x14ac:dyDescent="0.3">
      <c r="A22" s="147"/>
      <c r="B22" s="19" t="s">
        <v>161</v>
      </c>
      <c r="C22" s="71">
        <v>28200000</v>
      </c>
      <c r="D22" s="4">
        <f>IFERROR(+VLOOKUP(B22,COMISIONES!A:E,5,FALSE),"0")*1</f>
        <v>9566078.389481416</v>
      </c>
      <c r="E22" s="4">
        <v>7148454.7044179728</v>
      </c>
      <c r="F22" s="59">
        <f t="shared" si="7"/>
        <v>2417623.6850634431</v>
      </c>
      <c r="G22" s="5">
        <f t="shared" si="1"/>
        <v>0.33922263792487289</v>
      </c>
      <c r="H22" s="4">
        <f t="shared" si="4"/>
        <v>35531148.303788111</v>
      </c>
      <c r="I22" s="5">
        <f t="shared" si="2"/>
        <v>1.2599697980066706</v>
      </c>
      <c r="J22" s="4">
        <f t="shared" si="5"/>
        <v>1366582.6270687736</v>
      </c>
      <c r="K22" s="4">
        <f t="shared" si="3"/>
        <v>980732.7163430833</v>
      </c>
      <c r="L22" s="63" cm="1">
        <f t="array" ref="L22">+_xlfn.IFS(I22&gt;114%,H22*0.02,I22&gt;109%,H22*0.015,I22&gt;104%,H22*0.0125,I22&gt;99%,H22*0.01,I22&lt;99%,H22*0)</f>
        <v>710622.96607576218</v>
      </c>
    </row>
    <row r="23" spans="1:13" ht="15.75" x14ac:dyDescent="0.25">
      <c r="A23" s="147"/>
      <c r="B23" s="19" t="s">
        <v>221</v>
      </c>
      <c r="C23" s="71">
        <v>36600000</v>
      </c>
      <c r="D23" s="4">
        <f>IFERROR(+VLOOKUP(B23,COMISIONES!A:E,5,FALSE),"0")*1</f>
        <v>11848776.401082568</v>
      </c>
      <c r="E23" s="4">
        <v>11571671.922533076</v>
      </c>
      <c r="F23" s="59">
        <f t="shared" si="7"/>
        <v>277104.47854949161</v>
      </c>
      <c r="G23" s="5">
        <f t="shared" si="1"/>
        <v>0.32373706013886799</v>
      </c>
      <c r="H23" s="4">
        <f t="shared" si="4"/>
        <v>44009740.918306679</v>
      </c>
      <c r="I23" s="5">
        <f t="shared" si="2"/>
        <v>1.2024519376586524</v>
      </c>
      <c r="J23" s="4">
        <f t="shared" si="5"/>
        <v>1692682.3430117953</v>
      </c>
      <c r="K23" s="4">
        <f t="shared" si="3"/>
        <v>1302695.9788903911</v>
      </c>
      <c r="L23" s="63" cm="1">
        <f t="array" ref="L23">+_xlfn.IFS(I23&gt;114%,H23*0.02,I23&gt;109%,H23*0.015,I23&gt;104%,H23*0.0125,I23&gt;99%,H23*0.01,I23&lt;99%,H23*0)</f>
        <v>880194.81836613361</v>
      </c>
    </row>
    <row r="24" spans="1:13" ht="16.5" thickBot="1" x14ac:dyDescent="0.3">
      <c r="A24" s="148"/>
      <c r="B24" s="72"/>
      <c r="C24" s="67">
        <v>237630000</v>
      </c>
      <c r="D24" s="67">
        <f>+SUM(D16:D23)</f>
        <v>71508891.483554646</v>
      </c>
      <c r="E24" s="65">
        <v>59513900.791195095</v>
      </c>
      <c r="F24" s="67">
        <f>+D24-E24</f>
        <v>11994990.692359552</v>
      </c>
      <c r="G24" s="66">
        <f t="shared" si="1"/>
        <v>0.30092535236945944</v>
      </c>
      <c r="H24" s="64">
        <f t="shared" si="4"/>
        <v>265604454.08177438</v>
      </c>
      <c r="I24" s="66">
        <f t="shared" si="2"/>
        <v>1.1177227373722778</v>
      </c>
      <c r="J24" s="64">
        <f t="shared" si="5"/>
        <v>10215555.926222092</v>
      </c>
      <c r="K24" s="67">
        <f t="shared" si="3"/>
        <v>8743216.2377076503</v>
      </c>
      <c r="L24" s="68"/>
    </row>
    <row r="25" spans="1:13" ht="16.5" thickBot="1" x14ac:dyDescent="0.3">
      <c r="A25" s="143" t="s">
        <v>217</v>
      </c>
      <c r="B25" s="57" t="s">
        <v>212</v>
      </c>
      <c r="C25" s="73">
        <v>84027142.5</v>
      </c>
      <c r="D25" s="59">
        <f>IFERROR(+VLOOKUP(B25,COMISIONES!A:E,5,FALSE),"0")*1</f>
        <v>21462574.306330234</v>
      </c>
      <c r="E25" s="59">
        <v>19451010.367430974</v>
      </c>
      <c r="F25" s="59">
        <f t="shared" si="7"/>
        <v>2011563.93889926</v>
      </c>
      <c r="G25" s="60">
        <f t="shared" si="1"/>
        <v>0.25542430300221425</v>
      </c>
      <c r="H25" s="59">
        <f t="shared" si="4"/>
        <v>79718133.137798011</v>
      </c>
      <c r="I25" s="60">
        <f t="shared" si="2"/>
        <v>0.94871883972251003</v>
      </c>
      <c r="J25" s="59">
        <f t="shared" si="5"/>
        <v>3066082.043761462</v>
      </c>
      <c r="K25" s="59">
        <f t="shared" si="3"/>
        <v>3292872.0101931454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44"/>
      <c r="B26" s="36" t="s">
        <v>214</v>
      </c>
      <c r="C26" s="74">
        <v>21524999.999999996</v>
      </c>
      <c r="D26" s="4">
        <f>IFERROR(+VLOOKUP(B26,COMISIONES!A:E,5,FALSE),"0")*1</f>
        <v>4400883.6721328031</v>
      </c>
      <c r="E26" s="4">
        <v>3180836.44882074</v>
      </c>
      <c r="F26" s="59">
        <f t="shared" si="7"/>
        <v>1220047.2233120631</v>
      </c>
      <c r="G26" s="5">
        <f t="shared" si="1"/>
        <v>0.20445452599920111</v>
      </c>
      <c r="H26" s="4">
        <f t="shared" si="4"/>
        <v>16346139.353636127</v>
      </c>
      <c r="I26" s="5">
        <f t="shared" si="2"/>
        <v>0.75940252513988993</v>
      </c>
      <c r="J26" s="4">
        <f t="shared" si="5"/>
        <v>628697.66744754335</v>
      </c>
      <c r="K26" s="4">
        <f t="shared" si="3"/>
        <v>901269.2804140629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4"/>
      <c r="B27" s="36" t="s">
        <v>87</v>
      </c>
      <c r="C27" s="74">
        <v>26383192.499999996</v>
      </c>
      <c r="D27" s="4">
        <f>IFERROR(+VLOOKUP(B27,COMISIONES!A:E,5,FALSE),"0")*1</f>
        <v>7126797.8034117194</v>
      </c>
      <c r="E27" s="4">
        <v>6539718.422459811</v>
      </c>
      <c r="F27" s="59">
        <f t="shared" si="7"/>
        <v>587079.38095190842</v>
      </c>
      <c r="G27" s="5">
        <f t="shared" si="1"/>
        <v>0.27012643763303928</v>
      </c>
      <c r="H27" s="4">
        <f t="shared" si="4"/>
        <v>26470963.269814961</v>
      </c>
      <c r="I27" s="5">
        <f t="shared" si="2"/>
        <v>1.003326768351289</v>
      </c>
      <c r="J27" s="4">
        <f t="shared" si="5"/>
        <v>1018113.97191596</v>
      </c>
      <c r="K27" s="4">
        <f t="shared" si="3"/>
        <v>1013494.4577151726</v>
      </c>
      <c r="L27" s="63" cm="1">
        <f t="array" ref="L27">+_xlfn.IFS(I27&gt;114%,H27*0.02,I27&gt;109%,H27*0.015,I27&gt;104%,H27*0.0125,I27&gt;99%,H27*0.01,I27&lt;99%,H27*0)</f>
        <v>264709.63269814959</v>
      </c>
      <c r="M27" s="27"/>
    </row>
    <row r="28" spans="1:13" ht="16.5" thickBot="1" x14ac:dyDescent="0.3">
      <c r="A28" s="144"/>
      <c r="B28" s="36" t="s">
        <v>213</v>
      </c>
      <c r="C28" s="74">
        <v>39189035.239928812</v>
      </c>
      <c r="D28" s="4">
        <f>IFERROR(+VLOOKUP(B28,COMISIONES!A:E,5,FALSE),"0")*1</f>
        <v>7390748.2158776922</v>
      </c>
      <c r="E28" s="4">
        <v>6439384.8968146378</v>
      </c>
      <c r="F28" s="59">
        <f t="shared" si="7"/>
        <v>951363.3190630544</v>
      </c>
      <c r="G28" s="5">
        <f t="shared" si="1"/>
        <v>0.18859224705658045</v>
      </c>
      <c r="H28" s="4">
        <f t="shared" si="4"/>
        <v>27451350.516117141</v>
      </c>
      <c r="I28" s="5">
        <f t="shared" si="2"/>
        <v>0.70048548906729879</v>
      </c>
      <c r="J28" s="4">
        <f t="shared" si="5"/>
        <v>1055821.1736968132</v>
      </c>
      <c r="K28" s="4">
        <f t="shared" si="3"/>
        <v>1673594.0538974274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4"/>
      <c r="B29" s="36" t="s">
        <v>99</v>
      </c>
      <c r="C29" s="74">
        <v>26050631.249999996</v>
      </c>
      <c r="D29" s="4">
        <f>IFERROR(+VLOOKUP(B29,COMISIONES!A:E,5,FALSE),"0")*1</f>
        <v>7422677.0696163466</v>
      </c>
      <c r="E29" s="4">
        <v>5781970.7559834626</v>
      </c>
      <c r="F29" s="59">
        <f t="shared" si="7"/>
        <v>1640706.3136328841</v>
      </c>
      <c r="G29" s="5">
        <f t="shared" si="1"/>
        <v>0.28493271423571925</v>
      </c>
      <c r="H29" s="4">
        <f t="shared" si="4"/>
        <v>27569943.401432145</v>
      </c>
      <c r="I29" s="5">
        <f t="shared" si="2"/>
        <v>1.0583215100183858</v>
      </c>
      <c r="J29" s="4">
        <f t="shared" si="5"/>
        <v>1060382.438516621</v>
      </c>
      <c r="K29" s="4">
        <f t="shared" si="3"/>
        <v>980418.64107282367</v>
      </c>
      <c r="L29" s="63" cm="1">
        <f t="array" ref="L29">+_xlfn.IFS(I29&gt;114%,H29*0.02,I29&gt;109%,H29*0.015,I29&gt;104%,H29*0.0125,I29&gt;99%,H29*0.01,I29&lt;99%,H29*0)</f>
        <v>344624.29251790186</v>
      </c>
      <c r="M29" s="27"/>
    </row>
    <row r="30" spans="1:13" ht="16.5" thickBot="1" x14ac:dyDescent="0.3">
      <c r="A30" s="144"/>
      <c r="B30" s="36" t="s">
        <v>211</v>
      </c>
      <c r="C30" s="74">
        <v>25829999.999999996</v>
      </c>
      <c r="D30" s="4">
        <f>IFERROR(+VLOOKUP(B30,COMISIONES!A:E,5,FALSE),"0")*1</f>
        <v>4554834.8143899385</v>
      </c>
      <c r="E30" s="4">
        <v>3468935.9804098122</v>
      </c>
      <c r="F30" s="59">
        <f t="shared" si="7"/>
        <v>1085898.8339801263</v>
      </c>
      <c r="G30" s="5">
        <f t="shared" si="1"/>
        <v>0.1763389397750654</v>
      </c>
      <c r="H30" s="4">
        <f t="shared" si="4"/>
        <v>16917957.882019773</v>
      </c>
      <c r="I30" s="5">
        <f t="shared" si="2"/>
        <v>0.65497320487881439</v>
      </c>
      <c r="J30" s="4">
        <f t="shared" si="5"/>
        <v>650690.68776999123</v>
      </c>
      <c r="K30" s="4">
        <f t="shared" si="3"/>
        <v>1119745.5360847397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4"/>
      <c r="B31" s="36" t="s">
        <v>100</v>
      </c>
      <c r="C31" s="74">
        <v>27159168.749999996</v>
      </c>
      <c r="D31" s="4">
        <f>IFERROR(+VLOOKUP(B31,COMISIONES!A:E,5,FALSE),"0")*1</f>
        <v>7002022.9748091027</v>
      </c>
      <c r="E31" s="4">
        <v>6151017.2207734967</v>
      </c>
      <c r="F31" s="59">
        <f t="shared" si="7"/>
        <v>851005.75403560605</v>
      </c>
      <c r="G31" s="5">
        <f t="shared" si="1"/>
        <v>0.25781433295189138</v>
      </c>
      <c r="H31" s="4">
        <f t="shared" si="4"/>
        <v>26007513.90643381</v>
      </c>
      <c r="I31" s="5">
        <f t="shared" si="2"/>
        <v>0.95759609382131083</v>
      </c>
      <c r="J31" s="4">
        <f t="shared" si="5"/>
        <v>1000288.9964013004</v>
      </c>
      <c r="K31" s="4">
        <f t="shared" si="3"/>
        <v>1060902.4092205733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44"/>
      <c r="B32" s="36" t="s">
        <v>139</v>
      </c>
      <c r="C32" s="74">
        <v>21524999.999999996</v>
      </c>
      <c r="D32" s="4">
        <f>IFERROR(+VLOOKUP(B32,COMISIONES!A:E,5,FALSE),"0")*1</f>
        <v>3474651.3351865308</v>
      </c>
      <c r="E32" s="4">
        <v>3221988.4678373332</v>
      </c>
      <c r="F32" s="59">
        <f t="shared" si="7"/>
        <v>252662.86734919762</v>
      </c>
      <c r="G32" s="5">
        <f t="shared" si="1"/>
        <v>0.16142398769739982</v>
      </c>
      <c r="H32" s="4">
        <f t="shared" si="4"/>
        <v>12905847.816407114</v>
      </c>
      <c r="I32" s="5">
        <f t="shared" si="2"/>
        <v>0.59957481144748503</v>
      </c>
      <c r="J32" s="4">
        <f t="shared" si="5"/>
        <v>496378.76216950442</v>
      </c>
      <c r="K32" s="4">
        <f t="shared" si="3"/>
        <v>950018.35077965609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4"/>
      <c r="B33" s="19" t="s">
        <v>104</v>
      </c>
      <c r="C33" s="74">
        <v>25274654.999999996</v>
      </c>
      <c r="D33" s="4">
        <f>IFERROR(+VLOOKUP(B33,COMISIONES!A:E,5,FALSE),"0")*1</f>
        <v>1496121.9766184406</v>
      </c>
      <c r="E33" s="4">
        <v>1157597.7525669506</v>
      </c>
      <c r="F33" s="59">
        <f t="shared" si="7"/>
        <v>338524.22405148996</v>
      </c>
      <c r="G33" s="5">
        <f t="shared" si="1"/>
        <v>5.9194555835418557E-2</v>
      </c>
      <c r="H33" s="4">
        <f t="shared" si="4"/>
        <v>5557024.484582779</v>
      </c>
      <c r="I33" s="5">
        <f t="shared" si="2"/>
        <v>0.2198654931029832</v>
      </c>
      <c r="J33" s="4">
        <f t="shared" si="5"/>
        <v>213731.7109454915</v>
      </c>
      <c r="K33" s="4">
        <f t="shared" si="3"/>
        <v>1251501.7380727136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4"/>
      <c r="B34" s="36" t="s">
        <v>205</v>
      </c>
      <c r="C34" s="74">
        <v>25865874.999999996</v>
      </c>
      <c r="D34" s="4">
        <f>IFERROR(+VLOOKUP(B34,COMISIONES!A:E,5,FALSE),"0")*1</f>
        <v>2982879.3714401107</v>
      </c>
      <c r="E34" s="4">
        <v>2916724.67383772</v>
      </c>
      <c r="F34" s="59">
        <f t="shared" si="7"/>
        <v>66154.697602390777</v>
      </c>
      <c r="G34" s="5">
        <f t="shared" si="1"/>
        <v>0.1153210309506294</v>
      </c>
      <c r="H34" s="4">
        <f t="shared" si="4"/>
        <v>11079266.236777553</v>
      </c>
      <c r="I34" s="5">
        <f t="shared" si="2"/>
        <v>0.42833525781662346</v>
      </c>
      <c r="J34" s="4">
        <f t="shared" si="5"/>
        <v>426125.62449144438</v>
      </c>
      <c r="K34" s="4">
        <f t="shared" si="3"/>
        <v>1204368.1909768363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4"/>
      <c r="B35" s="36" t="s">
        <v>111</v>
      </c>
      <c r="C35" s="74">
        <v>125062043.74999999</v>
      </c>
      <c r="D35" s="4">
        <f>IFERROR(+VLOOKUP(B35,COMISIONES!A:E,5,FALSE),"0")*1</f>
        <v>19525903.446049999</v>
      </c>
      <c r="E35" s="4">
        <v>19525903.446049999</v>
      </c>
      <c r="F35" s="59">
        <f t="shared" si="7"/>
        <v>0</v>
      </c>
      <c r="G35" s="5">
        <f t="shared" si="1"/>
        <v>0.15612973257563609</v>
      </c>
      <c r="H35" s="4">
        <f t="shared" si="4"/>
        <v>72524784.228185713</v>
      </c>
      <c r="I35" s="5">
        <f t="shared" si="2"/>
        <v>0.57991043528093411</v>
      </c>
      <c r="J35" s="4">
        <f t="shared" si="5"/>
        <v>2789414.7780071427</v>
      </c>
      <c r="K35" s="4">
        <f t="shared" si="3"/>
        <v>5554533.7002078937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4"/>
      <c r="B36" s="36" t="s">
        <v>215</v>
      </c>
      <c r="C36" s="74">
        <v>36592500</v>
      </c>
      <c r="D36" s="4">
        <f>IFERROR(+VLOOKUP(B36,COMISIONES!A:E,5,FALSE),"0")*1</f>
        <v>4129091.2566</v>
      </c>
      <c r="E36" s="4">
        <v>2930824.1016000002</v>
      </c>
      <c r="F36" s="59">
        <f t="shared" si="7"/>
        <v>1198267.1549999998</v>
      </c>
      <c r="G36" s="5">
        <f t="shared" si="1"/>
        <v>0.11283982391473663</v>
      </c>
      <c r="H36" s="4">
        <f t="shared" si="4"/>
        <v>15336624.66737143</v>
      </c>
      <c r="I36" s="5">
        <f t="shared" si="2"/>
        <v>0.41911934596902178</v>
      </c>
      <c r="J36" s="4">
        <f t="shared" si="5"/>
        <v>589870.17951428576</v>
      </c>
      <c r="K36" s="4">
        <f t="shared" si="3"/>
        <v>1708600.4601789473</v>
      </c>
      <c r="L36" s="63" cm="1">
        <f t="array" ref="L36">+_xlfn.IFS(I36&gt;109%,H36*0.015,I36&gt;104%,H36*0.0125,I36&gt;99%,H36*0.01,I36&lt;99%,H36*0)</f>
        <v>0</v>
      </c>
    </row>
    <row r="37" spans="1:12" ht="15.75" x14ac:dyDescent="0.25">
      <c r="A37" s="144"/>
      <c r="B37" s="36" t="s">
        <v>81</v>
      </c>
      <c r="C37" s="74">
        <v>37270463.432474993</v>
      </c>
      <c r="D37" s="4">
        <f>IFERROR(+VLOOKUP(B37,COMISIONES!A:E,5,FALSE),"0")*1</f>
        <v>8999493.9536725059</v>
      </c>
      <c r="E37" s="4">
        <v>6948452.6001043124</v>
      </c>
      <c r="F37" s="59">
        <f t="shared" si="7"/>
        <v>2051041.3535681935</v>
      </c>
      <c r="G37" s="5">
        <f t="shared" si="1"/>
        <v>0.24146450365387589</v>
      </c>
      <c r="H37" s="4">
        <f t="shared" si="4"/>
        <v>33426691.827926453</v>
      </c>
      <c r="I37" s="5">
        <f t="shared" si="2"/>
        <v>0.89686815642868201</v>
      </c>
      <c r="J37" s="4">
        <f t="shared" si="5"/>
        <v>1285641.9933817866</v>
      </c>
      <c r="K37" s="4">
        <f t="shared" si="3"/>
        <v>1487945.7620422363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5"/>
      <c r="B38" s="3"/>
      <c r="C38" s="75">
        <v>521754707.42240375</v>
      </c>
      <c r="D38" s="67">
        <f>+SUM(D25:D37)</f>
        <v>99968680.196135432</v>
      </c>
      <c r="E38" s="65">
        <v>87714365.134689257</v>
      </c>
      <c r="F38" s="67">
        <f>+D38-E38</f>
        <v>12254315.061446175</v>
      </c>
      <c r="G38" s="66">
        <f t="shared" si="1"/>
        <v>0.19160091662613882</v>
      </c>
      <c r="H38" s="64">
        <f t="shared" si="4"/>
        <v>371312240.72850305</v>
      </c>
      <c r="I38" s="66">
        <f t="shared" si="2"/>
        <v>0.71166054746851559</v>
      </c>
      <c r="J38" s="64">
        <f t="shared" si="5"/>
        <v>14281240.028019348</v>
      </c>
      <c r="K38" s="67">
        <f t="shared" si="3"/>
        <v>22199264.590856224</v>
      </c>
      <c r="L38" s="68"/>
    </row>
    <row r="39" spans="1:12" ht="16.5" thickBot="1" x14ac:dyDescent="0.3">
      <c r="A39" s="143" t="s">
        <v>274</v>
      </c>
      <c r="B39" s="138" t="s">
        <v>145</v>
      </c>
      <c r="C39" s="4">
        <v>35000000</v>
      </c>
      <c r="D39" s="4">
        <f>IFERROR(+VLOOKUP(B39,COMISIONES!A:E,5,FALSE),"0")*1</f>
        <v>9026889.2760015707</v>
      </c>
      <c r="E39" s="4">
        <v>9026889.2760015707</v>
      </c>
      <c r="F39" s="59">
        <f t="shared" si="7"/>
        <v>0</v>
      </c>
      <c r="G39" s="5">
        <f t="shared" si="1"/>
        <v>0.25791112217147344</v>
      </c>
      <c r="H39" s="4">
        <f t="shared" ref="H39:H46" si="8">+D39/$N$3*$N$4</f>
        <v>33528445.882291548</v>
      </c>
      <c r="I39" s="5">
        <f t="shared" ref="I39:I46" si="9">+H39/C39</f>
        <v>0.95795559663690133</v>
      </c>
      <c r="J39" s="4">
        <f t="shared" ref="J39:J46" si="10">+D39/$N$3</f>
        <v>1289555.6108573673</v>
      </c>
      <c r="K39" s="4">
        <f t="shared" ref="K39:K46" si="11">+(C39-D39)/$N$2</f>
        <v>1367005.8275788645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44"/>
      <c r="B40" s="138" t="s">
        <v>146</v>
      </c>
      <c r="C40" s="4">
        <v>30000000</v>
      </c>
      <c r="D40" s="4">
        <f>IFERROR(+VLOOKUP(B40,COMISIONES!A:E,5,FALSE),"0")*1</f>
        <v>3030443.4341183412</v>
      </c>
      <c r="E40" s="4">
        <v>3030443.4341183412</v>
      </c>
      <c r="F40" s="59">
        <f t="shared" si="7"/>
        <v>0</v>
      </c>
      <c r="G40" s="5">
        <f t="shared" si="1"/>
        <v>0.10101478113727803</v>
      </c>
      <c r="H40" s="4">
        <f t="shared" si="8"/>
        <v>11255932.755296696</v>
      </c>
      <c r="I40" s="5">
        <f t="shared" si="9"/>
        <v>0.37519775850988984</v>
      </c>
      <c r="J40" s="4">
        <f t="shared" si="10"/>
        <v>432920.49058833445</v>
      </c>
      <c r="K40" s="4">
        <f t="shared" si="11"/>
        <v>1419450.3455727189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4"/>
      <c r="B41" s="138" t="s">
        <v>107</v>
      </c>
      <c r="C41" s="4">
        <v>32421674.968781177</v>
      </c>
      <c r="D41" s="4">
        <f>IFERROR(+VLOOKUP(B41,COMISIONES!A:E,5,FALSE),"0")*1</f>
        <v>4979694.1161729163</v>
      </c>
      <c r="E41" s="4">
        <v>5244486.2984635467</v>
      </c>
      <c r="F41" s="59">
        <f t="shared" si="7"/>
        <v>-264792.18229063042</v>
      </c>
      <c r="G41" s="5">
        <f t="shared" si="1"/>
        <v>0.1535915131148487</v>
      </c>
      <c r="H41" s="4">
        <f t="shared" si="8"/>
        <v>18496006.71721369</v>
      </c>
      <c r="I41" s="5">
        <f t="shared" si="9"/>
        <v>0.57048276299800948</v>
      </c>
      <c r="J41" s="4">
        <f t="shared" si="10"/>
        <v>711384.87373898807</v>
      </c>
      <c r="K41" s="4">
        <f t="shared" si="11"/>
        <v>1444314.7817162243</v>
      </c>
      <c r="L41" s="63" cm="1">
        <f t="array" ref="L41">+_xlfn.IFS(I41&gt;114%,H41*0.02,I41&gt;109%,H41*0.015,I41&gt;104%,H41*0.0125,I41&gt;99%,H41*0.01,I41&lt;99%,H41*0)</f>
        <v>0</v>
      </c>
    </row>
    <row r="42" spans="1:12" ht="16.5" thickBot="1" x14ac:dyDescent="0.3">
      <c r="A42" s="144"/>
      <c r="B42" s="139" t="s">
        <v>140</v>
      </c>
      <c r="C42" s="4">
        <v>55416576.686625004</v>
      </c>
      <c r="D42" s="4">
        <f>IFERROR(+VLOOKUP(B42,COMISIONES!A:E,5,FALSE),"0")*1</f>
        <v>22063590.162943512</v>
      </c>
      <c r="E42" s="4">
        <v>10047912.842928981</v>
      </c>
      <c r="F42" s="59">
        <f t="shared" si="7"/>
        <v>12015677.320014531</v>
      </c>
      <c r="G42" s="5">
        <f t="shared" si="1"/>
        <v>0.39814061932606964</v>
      </c>
      <c r="H42" s="4">
        <f t="shared" si="8"/>
        <v>81950477.748075902</v>
      </c>
      <c r="I42" s="5">
        <f t="shared" si="9"/>
        <v>1.4788080146396874</v>
      </c>
      <c r="J42" s="4">
        <f t="shared" si="10"/>
        <v>3151941.4518490732</v>
      </c>
      <c r="K42" s="4">
        <f t="shared" si="11"/>
        <v>1755420.3433516575</v>
      </c>
      <c r="L42" s="63" cm="1">
        <f t="array" ref="L42">+_xlfn.IFS(I42&gt;114%,H42*0.02,I42&gt;109%,H42*0.015,I42&gt;104%,H42*0.0125,I42&gt;99%,H42*0.01,I42&lt;99%,H42*0)</f>
        <v>1639009.5549615182</v>
      </c>
    </row>
    <row r="43" spans="1:12" ht="16.5" thickBot="1" x14ac:dyDescent="0.3">
      <c r="A43" s="144"/>
      <c r="B43" s="140" t="s">
        <v>275</v>
      </c>
      <c r="C43" s="4">
        <v>100000000</v>
      </c>
      <c r="D43" s="4">
        <f>IFERROR(+VLOOKUP(B43,COMISIONES!A:E,5,FALSE),"0")*1</f>
        <v>25636026.757140994</v>
      </c>
      <c r="E43" s="4">
        <v>24327996.095405031</v>
      </c>
      <c r="F43" s="59">
        <f t="shared" si="7"/>
        <v>1308030.6617359631</v>
      </c>
      <c r="G43" s="5">
        <f t="shared" si="1"/>
        <v>0.25636026757140995</v>
      </c>
      <c r="H43" s="4">
        <f t="shared" si="8"/>
        <v>95219527.955095127</v>
      </c>
      <c r="I43" s="5">
        <f t="shared" si="9"/>
        <v>0.95219527955095129</v>
      </c>
      <c r="J43" s="4">
        <f t="shared" si="10"/>
        <v>3662289.5367344278</v>
      </c>
      <c r="K43" s="4">
        <f t="shared" si="11"/>
        <v>3913893.3285715268</v>
      </c>
      <c r="L43" s="63" cm="1">
        <f t="array" ref="L43">+_xlfn.IFS(I43&gt;114%,H43*0.02,I43&gt;109%,H43*0.015,I43&gt;104%,H43*0.0125,I43&gt;99%,H43*0.01,I43&lt;99%,H43*0)</f>
        <v>0</v>
      </c>
    </row>
    <row r="44" spans="1:12" ht="16.5" thickBot="1" x14ac:dyDescent="0.3">
      <c r="A44" s="144"/>
      <c r="B44" s="140" t="s">
        <v>276</v>
      </c>
      <c r="C44" s="4">
        <v>100000000</v>
      </c>
      <c r="D44" s="4">
        <f>IFERROR(+VLOOKUP(B44,COMISIONES!A:E,5,FALSE),"0")*1</f>
        <v>39774106.503884219</v>
      </c>
      <c r="E44" s="4">
        <v>29057692.786722347</v>
      </c>
      <c r="F44" s="59">
        <f t="shared" si="7"/>
        <v>10716413.717161871</v>
      </c>
      <c r="G44" s="5">
        <f t="shared" si="1"/>
        <v>0.39774106503884221</v>
      </c>
      <c r="H44" s="4">
        <f t="shared" si="8"/>
        <v>147732395.58585569</v>
      </c>
      <c r="I44" s="5">
        <f t="shared" si="9"/>
        <v>1.4773239558585569</v>
      </c>
      <c r="J44" s="4">
        <f t="shared" si="10"/>
        <v>5682015.2148406031</v>
      </c>
      <c r="K44" s="4">
        <f t="shared" si="11"/>
        <v>3169783.8682166203</v>
      </c>
      <c r="L44" s="63" cm="1">
        <f t="array" ref="L44">+_xlfn.IFS(I44&gt;114%,H44*0.02,I44&gt;109%,H44*0.015,I44&gt;104%,H44*0.0125,I44&gt;99%,H44*0.01,I44&lt;99%,H44*0)</f>
        <v>2954647.911717114</v>
      </c>
    </row>
    <row r="45" spans="1:12" ht="15.75" x14ac:dyDescent="0.25">
      <c r="A45" s="144"/>
      <c r="B45" s="140" t="s">
        <v>277</v>
      </c>
      <c r="C45" s="4">
        <v>100000000</v>
      </c>
      <c r="D45" s="4">
        <f>IFERROR(+VLOOKUP(B45,COMISIONES!A:E,5,FALSE),"0")*1</f>
        <v>10465826.931419414</v>
      </c>
      <c r="E45" s="4">
        <v>10465826.931419414</v>
      </c>
      <c r="F45" s="59">
        <f t="shared" si="7"/>
        <v>0</v>
      </c>
      <c r="G45" s="5">
        <f t="shared" si="1"/>
        <v>0.10465826931419414</v>
      </c>
      <c r="H45" s="4">
        <f t="shared" si="8"/>
        <v>38873071.459557824</v>
      </c>
      <c r="I45" s="5">
        <f t="shared" si="9"/>
        <v>0.38873071459557823</v>
      </c>
      <c r="J45" s="4">
        <f t="shared" si="10"/>
        <v>1495118.1330599163</v>
      </c>
      <c r="K45" s="4">
        <f t="shared" si="11"/>
        <v>4712324.8983463468</v>
      </c>
      <c r="L45" s="63" cm="1">
        <f t="array" ref="L45">+_xlfn.IFS(I45&gt;114%,H45*0.02,I45&gt;109%,H45*0.015,I45&gt;104%,H45*0.0125,I45&gt;99%,H45*0.01,I45&lt;99%,H45*0)</f>
        <v>0</v>
      </c>
    </row>
    <row r="46" spans="1:12" ht="16.5" thickBot="1" x14ac:dyDescent="0.3">
      <c r="A46" s="145"/>
      <c r="B46" s="137"/>
      <c r="C46" s="67">
        <v>455695855.27356702</v>
      </c>
      <c r="D46" s="67">
        <f>SUM(D39:D45)</f>
        <v>114976577.18168096</v>
      </c>
      <c r="E46" s="67">
        <v>91201247.665059239</v>
      </c>
      <c r="F46" s="67">
        <f>+SUM(F39:F45)</f>
        <v>23775329.516621735</v>
      </c>
      <c r="G46" s="66">
        <f t="shared" si="1"/>
        <v>0.2523099033074534</v>
      </c>
      <c r="H46" s="64">
        <f t="shared" si="8"/>
        <v>427055858.1033864</v>
      </c>
      <c r="I46" s="66">
        <f t="shared" si="9"/>
        <v>0.93715106942768389</v>
      </c>
      <c r="J46" s="64">
        <f t="shared" si="10"/>
        <v>16425225.311668709</v>
      </c>
      <c r="K46" s="67">
        <f t="shared" si="11"/>
        <v>17932593.583783478</v>
      </c>
      <c r="L46" s="68"/>
    </row>
    <row r="47" spans="1:12" ht="16.5" thickBot="1" x14ac:dyDescent="0.3">
      <c r="A47" s="76" t="s">
        <v>42</v>
      </c>
      <c r="B47" s="77"/>
      <c r="C47" s="78">
        <v>1379767147.0931361</v>
      </c>
      <c r="D47" s="78">
        <f>+D38+D24+D10+D15+D46</f>
        <v>467146800.70302039</v>
      </c>
      <c r="E47" s="79">
        <v>386319017.251791</v>
      </c>
      <c r="F47" s="78">
        <f>+D47-E47</f>
        <v>80827783.451229393</v>
      </c>
      <c r="G47" s="80">
        <f>+D47/C47</f>
        <v>0.33856930257195594</v>
      </c>
      <c r="H47" s="78">
        <f>+D47/$N$3*$N$4</f>
        <v>1735116688.3255043</v>
      </c>
      <c r="I47" s="142">
        <f t="shared" si="2"/>
        <v>1.2575431238386934</v>
      </c>
      <c r="J47" s="78">
        <f>+D47/$N$3</f>
        <v>66735257.243288629</v>
      </c>
      <c r="K47" s="78">
        <f>+(C47-D47)/$N$2</f>
        <v>48032649.81000609</v>
      </c>
      <c r="L47" s="81"/>
    </row>
  </sheetData>
  <mergeCells count="5">
    <mergeCell ref="A2:A10"/>
    <mergeCell ref="A11:A15"/>
    <mergeCell ref="A16:A24"/>
    <mergeCell ref="A25:A38"/>
    <mergeCell ref="A39:A46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8"/>
  <sheetViews>
    <sheetView workbookViewId="0">
      <selection activeCell="C46" sqref="C46"/>
    </sheetView>
  </sheetViews>
  <sheetFormatPr baseColWidth="10" defaultRowHeight="15" x14ac:dyDescent="0.25"/>
  <cols>
    <col min="1" max="1" width="23.5703125" bestFit="1" customWidth="1"/>
    <col min="2" max="2" width="3" hidden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2" t="s">
        <v>206</v>
      </c>
      <c r="C1" s="83" t="s">
        <v>76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115</v>
      </c>
      <c r="R1" s="40" t="s">
        <v>114</v>
      </c>
    </row>
    <row r="2" spans="1:21" ht="15.75" thickBot="1" x14ac:dyDescent="0.3">
      <c r="A2" s="149" t="s">
        <v>37</v>
      </c>
      <c r="B2">
        <v>22</v>
      </c>
      <c r="C2" s="12" t="str">
        <f>+AVANCE!B11</f>
        <v>22 - ALMIRON NICOLAS</v>
      </c>
      <c r="D2" s="22">
        <f>H2/G2</f>
        <v>0.52</v>
      </c>
      <c r="E2" s="13">
        <v>33</v>
      </c>
      <c r="F2" s="12">
        <f>+H2-E2</f>
        <v>6</v>
      </c>
      <c r="G2" s="13">
        <f>VLOOKUP(B2,'Base Cobertura'!$A:$C,3,FALSE)</f>
        <v>75</v>
      </c>
      <c r="H2" s="13">
        <f>VLOOKUP(B2,'Base Cobertura'!$A:$C,2,FALSE)</f>
        <v>39</v>
      </c>
      <c r="I2" s="17">
        <f>(+G2*$M$2)-H2</f>
        <v>24.75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116</v>
      </c>
    </row>
    <row r="3" spans="1:21" x14ac:dyDescent="0.25">
      <c r="A3" s="149"/>
      <c r="B3">
        <v>49</v>
      </c>
      <c r="C3" s="13" t="e">
        <f>+AVANCE!#REF!</f>
        <v>#REF!</v>
      </c>
      <c r="D3" s="22">
        <f t="shared" ref="D3:D38" si="0">H3/G3</f>
        <v>0.21311475409836064</v>
      </c>
      <c r="E3" s="13">
        <v>1</v>
      </c>
      <c r="F3" s="12">
        <f t="shared" ref="F3:F38" si="1">+H3-E3</f>
        <v>51</v>
      </c>
      <c r="G3" s="13">
        <f>VLOOKUP(B3,'Base Cobertura'!$A:$C,3,FALSE)</f>
        <v>244</v>
      </c>
      <c r="H3" s="13">
        <f>VLOOKUP(B3,'Base Cobertura'!$A:$C,2,FALSE)</f>
        <v>52</v>
      </c>
      <c r="I3" s="17">
        <f t="shared" ref="I3:I38" si="2">(+G3*$M$2)-H3</f>
        <v>155.4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147 - ALMACEN</v>
      </c>
      <c r="S3" s="12">
        <v>29</v>
      </c>
      <c r="T3" s="12">
        <v>172</v>
      </c>
      <c r="U3" s="41">
        <f>+S3/T3</f>
        <v>0.16860465116279069</v>
      </c>
    </row>
    <row r="4" spans="1:21" x14ac:dyDescent="0.25">
      <c r="A4" s="149"/>
      <c r="B4">
        <v>20</v>
      </c>
      <c r="C4" s="13" t="str">
        <f>+AVANCE!B2</f>
        <v>20 - FLORES JAVIER</v>
      </c>
      <c r="D4" s="22">
        <f t="shared" si="0"/>
        <v>0.62995594713656389</v>
      </c>
      <c r="E4" s="13">
        <v>126</v>
      </c>
      <c r="F4" s="12">
        <f t="shared" si="1"/>
        <v>17</v>
      </c>
      <c r="G4" s="13">
        <f>VLOOKUP(B4,'Base Cobertura'!$A:$C,3,FALSE)</f>
        <v>227</v>
      </c>
      <c r="H4" s="13">
        <f>VLOOKUP(B4,'Base Cobertura'!$A:$C,2,FALSE)</f>
        <v>143</v>
      </c>
      <c r="I4" s="17">
        <f t="shared" si="2"/>
        <v>49.949999999999989</v>
      </c>
      <c r="J4" t="s">
        <v>57</v>
      </c>
      <c r="K4" t="s">
        <v>64</v>
      </c>
      <c r="P4" s="13">
        <v>25</v>
      </c>
      <c r="Q4" s="13">
        <v>0</v>
      </c>
      <c r="R4" s="13" t="str">
        <v>147 - Articulos Sin Asociar Agrupacion</v>
      </c>
      <c r="S4" s="13">
        <v>22</v>
      </c>
      <c r="T4" s="13">
        <v>172</v>
      </c>
      <c r="U4" s="5">
        <f t="shared" ref="U4:U11" si="3">+S4/T4</f>
        <v>0.12790697674418605</v>
      </c>
    </row>
    <row r="5" spans="1:21" x14ac:dyDescent="0.25">
      <c r="A5" s="149"/>
      <c r="B5">
        <v>15</v>
      </c>
      <c r="C5" s="13" t="str">
        <f>+AVANCE!B12</f>
        <v>15 - GALARZA GERARDO</v>
      </c>
      <c r="D5" s="22">
        <f t="shared" si="0"/>
        <v>0.43076923076923079</v>
      </c>
      <c r="E5" s="13">
        <v>21</v>
      </c>
      <c r="F5" s="12">
        <f t="shared" si="1"/>
        <v>7</v>
      </c>
      <c r="G5" s="13">
        <f>VLOOKUP(B5,'Base Cobertura'!$A:$C,3,FALSE)</f>
        <v>65</v>
      </c>
      <c r="H5" s="13">
        <f>VLOOKUP(B5,'Base Cobertura'!$A:$C,2,FALSE)</f>
        <v>28</v>
      </c>
      <c r="I5" s="17">
        <f t="shared" si="2"/>
        <v>27.25</v>
      </c>
      <c r="K5" t="s">
        <v>64</v>
      </c>
      <c r="P5" s="13">
        <v>25</v>
      </c>
      <c r="Q5" s="13">
        <v>0</v>
      </c>
      <c r="R5" s="13" t="str">
        <v>147 - BEBIDAS</v>
      </c>
      <c r="S5" s="13">
        <v>22</v>
      </c>
      <c r="T5" s="13">
        <v>172</v>
      </c>
      <c r="U5" s="5">
        <f t="shared" si="3"/>
        <v>0.12790697674418605</v>
      </c>
    </row>
    <row r="6" spans="1:21" x14ac:dyDescent="0.25">
      <c r="A6" s="149"/>
      <c r="B6">
        <v>19</v>
      </c>
      <c r="C6" s="13" t="str">
        <f>+AVANCE!B3</f>
        <v>19 - GONZALEZ MARCELO</v>
      </c>
      <c r="D6" s="22">
        <f t="shared" si="0"/>
        <v>0.55288461538461542</v>
      </c>
      <c r="E6" s="13">
        <v>100</v>
      </c>
      <c r="F6" s="12">
        <f t="shared" si="1"/>
        <v>15</v>
      </c>
      <c r="G6" s="13">
        <f>VLOOKUP(B6,'Base Cobertura'!$A:$C,3,FALSE)</f>
        <v>208</v>
      </c>
      <c r="H6" s="13">
        <f>VLOOKUP(B6,'Base Cobertura'!$A:$C,2,FALSE)</f>
        <v>115</v>
      </c>
      <c r="I6" s="17">
        <f t="shared" si="2"/>
        <v>61.799999999999983</v>
      </c>
      <c r="J6" t="s">
        <v>58</v>
      </c>
      <c r="K6" t="s">
        <v>58</v>
      </c>
      <c r="P6" s="13">
        <v>25</v>
      </c>
      <c r="Q6" s="13">
        <v>0</v>
      </c>
      <c r="R6" s="13" t="str">
        <v>147 - CHOCOLATE</v>
      </c>
      <c r="S6" s="13">
        <v>25</v>
      </c>
      <c r="T6" s="13">
        <v>172</v>
      </c>
      <c r="U6" s="5">
        <f t="shared" si="3"/>
        <v>0.14534883720930233</v>
      </c>
    </row>
    <row r="7" spans="1:21" x14ac:dyDescent="0.25">
      <c r="A7" s="149"/>
      <c r="B7">
        <v>16</v>
      </c>
      <c r="C7" s="13" t="str">
        <f>+AVANCE!B4</f>
        <v>16 - GOMEZ MATÍAS</v>
      </c>
      <c r="D7" s="22">
        <f t="shared" si="0"/>
        <v>0.52763819095477382</v>
      </c>
      <c r="E7" s="13">
        <v>81</v>
      </c>
      <c r="F7" s="12">
        <f t="shared" si="1"/>
        <v>24</v>
      </c>
      <c r="G7" s="13">
        <f>VLOOKUP(B7,'Base Cobertura'!$A:$C,3,FALSE)</f>
        <v>199</v>
      </c>
      <c r="H7" s="13">
        <f>VLOOKUP(B7,'Base Cobertura'!$A:$C,2,FALSE)</f>
        <v>105</v>
      </c>
      <c r="I7" s="17">
        <f t="shared" si="2"/>
        <v>64.150000000000006</v>
      </c>
      <c r="J7" t="s">
        <v>58</v>
      </c>
      <c r="K7" t="s">
        <v>58</v>
      </c>
      <c r="P7" s="13">
        <v>25</v>
      </c>
      <c r="Q7" s="13">
        <v>0</v>
      </c>
      <c r="R7" s="13" t="str">
        <v>147 - GALLETITAS</v>
      </c>
      <c r="S7" s="13">
        <v>33</v>
      </c>
      <c r="T7" s="13">
        <v>172</v>
      </c>
      <c r="U7" s="5">
        <f t="shared" si="3"/>
        <v>0.19186046511627908</v>
      </c>
    </row>
    <row r="8" spans="1:21" x14ac:dyDescent="0.25">
      <c r="A8" s="149"/>
      <c r="B8">
        <v>12</v>
      </c>
      <c r="C8" s="13" t="str">
        <f>+AVANCE!B5</f>
        <v>12 - GUTIERREZ MARCOS DAVID</v>
      </c>
      <c r="D8" s="22">
        <f t="shared" si="0"/>
        <v>0.57943925233644855</v>
      </c>
      <c r="E8" s="13">
        <v>89</v>
      </c>
      <c r="F8" s="12">
        <f t="shared" si="1"/>
        <v>35</v>
      </c>
      <c r="G8" s="13">
        <f>VLOOKUP(B8,'Base Cobertura'!$A:$C,3,FALSE)</f>
        <v>214</v>
      </c>
      <c r="H8" s="13">
        <f>VLOOKUP(B8,'Base Cobertura'!$A:$C,2,FALSE)</f>
        <v>124</v>
      </c>
      <c r="I8" s="17">
        <f t="shared" si="2"/>
        <v>57.900000000000006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147 - GOLOSINAS</v>
      </c>
      <c r="S8" s="13">
        <v>24</v>
      </c>
      <c r="T8" s="13">
        <v>172</v>
      </c>
      <c r="U8" s="5">
        <f t="shared" si="3"/>
        <v>0.13953488372093023</v>
      </c>
    </row>
    <row r="9" spans="1:21" x14ac:dyDescent="0.25">
      <c r="A9" s="149"/>
      <c r="B9">
        <v>11</v>
      </c>
      <c r="C9" s="30" t="str">
        <f>+AVANCE!B6</f>
        <v>11 - SANCHEZ RICARDO</v>
      </c>
      <c r="D9" s="22">
        <f>H9/G9</f>
        <v>0.59649122807017541</v>
      </c>
      <c r="E9" s="13">
        <v>92</v>
      </c>
      <c r="F9" s="12">
        <f t="shared" si="1"/>
        <v>10</v>
      </c>
      <c r="G9" s="13">
        <f>VLOOKUP(B9,'Base Cobertura'!$A:$C,3,FALSE)</f>
        <v>171</v>
      </c>
      <c r="H9" s="13">
        <f>VLOOKUP(B9,'Base Cobertura'!$A:$C,2,FALSE)</f>
        <v>102</v>
      </c>
      <c r="I9" s="17">
        <f t="shared" si="2"/>
        <v>43.349999999999994</v>
      </c>
      <c r="J9" t="s">
        <v>55</v>
      </c>
      <c r="K9" t="s">
        <v>65</v>
      </c>
      <c r="P9" s="13">
        <v>25</v>
      </c>
      <c r="Q9" s="13">
        <v>0</v>
      </c>
      <c r="R9" s="13" t="str">
        <v>147 - MASCOTAS</v>
      </c>
      <c r="S9" s="13">
        <v>35</v>
      </c>
      <c r="T9" s="13">
        <v>172</v>
      </c>
      <c r="U9" s="5">
        <f t="shared" si="3"/>
        <v>0.20348837209302326</v>
      </c>
    </row>
    <row r="10" spans="1:21" x14ac:dyDescent="0.25">
      <c r="A10" s="149"/>
      <c r="B10">
        <v>8</v>
      </c>
      <c r="C10" s="13" t="str">
        <f>+AVANCE!B7</f>
        <v>8 - RAVAROTTO EMANUEL</v>
      </c>
      <c r="D10" s="22">
        <f t="shared" si="0"/>
        <v>0.24615384615384617</v>
      </c>
      <c r="E10" s="13">
        <v>64</v>
      </c>
      <c r="F10" s="12">
        <f t="shared" si="1"/>
        <v>-16</v>
      </c>
      <c r="G10" s="13">
        <f>VLOOKUP(B10,'Base Cobertura'!$A:$C,3,FALSE)</f>
        <v>195</v>
      </c>
      <c r="H10" s="13">
        <f>VLOOKUP(B10,'Base Cobertura'!$A:$C,2,FALSE)</f>
        <v>48</v>
      </c>
      <c r="I10" s="17">
        <f t="shared" si="2"/>
        <v>117.75</v>
      </c>
      <c r="J10" t="s">
        <v>58</v>
      </c>
      <c r="K10" t="s">
        <v>58</v>
      </c>
      <c r="P10" s="13">
        <v>25</v>
      </c>
      <c r="Q10" s="13">
        <v>0</v>
      </c>
      <c r="R10" s="13" t="str">
        <v>147 - NO PERECEDEROS</v>
      </c>
      <c r="S10" s="13">
        <v>18</v>
      </c>
      <c r="T10" s="13">
        <v>172</v>
      </c>
      <c r="U10" s="5">
        <f t="shared" si="3"/>
        <v>0.10465116279069768</v>
      </c>
    </row>
    <row r="11" spans="1:21" x14ac:dyDescent="0.25">
      <c r="A11" s="149"/>
      <c r="B11">
        <v>52</v>
      </c>
      <c r="C11" s="31" t="str">
        <f>+AVANCE!B13</f>
        <v>52 - MARSALL NICOLAS</v>
      </c>
      <c r="D11" s="32">
        <f t="shared" si="0"/>
        <v>0.15686274509803921</v>
      </c>
      <c r="E11" s="31">
        <v>19</v>
      </c>
      <c r="F11" s="33">
        <f t="shared" si="1"/>
        <v>-3</v>
      </c>
      <c r="G11" s="13">
        <f>VLOOKUP(B11,'Base Cobertura'!$A:$C,3,FALSE)</f>
        <v>102</v>
      </c>
      <c r="H11" s="13">
        <f>VLOOKUP(B11,'Base Cobertura'!$A:$C,2,FALSE)</f>
        <v>16</v>
      </c>
      <c r="I11" s="34">
        <f t="shared" si="2"/>
        <v>70.7</v>
      </c>
      <c r="J11" t="s">
        <v>59</v>
      </c>
      <c r="P11" s="13">
        <v>25</v>
      </c>
      <c r="Q11" s="13">
        <v>0</v>
      </c>
      <c r="R11" s="13" t="str">
        <v>147 - PILAS</v>
      </c>
      <c r="S11" s="13">
        <v>13</v>
      </c>
      <c r="T11" s="13">
        <v>172</v>
      </c>
      <c r="U11" s="5">
        <f t="shared" si="3"/>
        <v>7.5581395348837205E-2</v>
      </c>
    </row>
    <row r="12" spans="1:21" x14ac:dyDescent="0.25">
      <c r="A12" s="149"/>
      <c r="B12">
        <v>53</v>
      </c>
      <c r="C12" s="31" t="str">
        <f>+AVANCE!B14</f>
        <v>53 - SANDOVAL RODRIGO</v>
      </c>
      <c r="D12" s="32">
        <f t="shared" si="0"/>
        <v>0.22857142857142856</v>
      </c>
      <c r="E12" s="31">
        <v>24</v>
      </c>
      <c r="F12" s="33">
        <f t="shared" si="1"/>
        <v>0</v>
      </c>
      <c r="G12" s="13">
        <f>VLOOKUP(B12,'Base Cobertura'!$A:$C,3,FALSE)</f>
        <v>105</v>
      </c>
      <c r="H12" s="13">
        <f>VLOOKUP(B12,'Base Cobertura'!$A:$C,2,FALSE)</f>
        <v>24</v>
      </c>
      <c r="I12" s="34">
        <f t="shared" si="2"/>
        <v>65.25</v>
      </c>
      <c r="J12" t="s">
        <v>59</v>
      </c>
    </row>
    <row r="13" spans="1:21" x14ac:dyDescent="0.25">
      <c r="A13" s="149"/>
      <c r="B13">
        <v>5</v>
      </c>
      <c r="C13" s="13" t="str">
        <f>+AVANCE!B8</f>
        <v>5 - SCHELOVER RAUL</v>
      </c>
      <c r="D13" s="22">
        <f t="shared" si="0"/>
        <v>0.59003831417624519</v>
      </c>
      <c r="E13" s="13">
        <v>144</v>
      </c>
      <c r="F13" s="12">
        <f t="shared" si="1"/>
        <v>10</v>
      </c>
      <c r="G13" s="13">
        <f>VLOOKUP(B13,'Base Cobertura'!$A:$C,3,FALSE)</f>
        <v>261</v>
      </c>
      <c r="H13" s="13">
        <f>VLOOKUP(B13,'Base Cobertura'!$A:$C,2,FALSE)</f>
        <v>154</v>
      </c>
      <c r="I13" s="17">
        <f t="shared" si="2"/>
        <v>67.849999999999994</v>
      </c>
      <c r="J13" t="s">
        <v>57</v>
      </c>
      <c r="K13" t="s">
        <v>64</v>
      </c>
    </row>
    <row r="14" spans="1:21" ht="15.75" thickBot="1" x14ac:dyDescent="0.3">
      <c r="A14" s="149"/>
      <c r="B14">
        <v>4</v>
      </c>
      <c r="C14" s="10" t="str">
        <f>+AVANCE!B9</f>
        <v>4 - TUR SPRINGER FERNANDO</v>
      </c>
      <c r="D14" s="22">
        <f t="shared" si="0"/>
        <v>0.51648351648351654</v>
      </c>
      <c r="E14" s="13">
        <v>85</v>
      </c>
      <c r="F14" s="12">
        <f t="shared" si="1"/>
        <v>9</v>
      </c>
      <c r="G14" s="13">
        <f>VLOOKUP(B14,'Base Cobertura'!$A:$C,3,FALSE)</f>
        <v>182</v>
      </c>
      <c r="H14" s="13">
        <f>VLOOKUP(B14,'Base Cobertura'!$A:$C,2,FALSE)</f>
        <v>94</v>
      </c>
      <c r="I14" s="17">
        <f t="shared" si="2"/>
        <v>60.699999999999989</v>
      </c>
      <c r="J14" t="s">
        <v>55</v>
      </c>
      <c r="K14" t="s">
        <v>64</v>
      </c>
    </row>
    <row r="15" spans="1:21" ht="15.75" thickBot="1" x14ac:dyDescent="0.3">
      <c r="A15" s="150"/>
      <c r="C15" s="9"/>
      <c r="D15" s="23"/>
      <c r="E15" s="14"/>
      <c r="F15" s="16">
        <f>+SUM(F2:F14)</f>
        <v>165</v>
      </c>
      <c r="G15" s="8">
        <f>+SUM(G2:G14)</f>
        <v>2248</v>
      </c>
      <c r="H15" s="8">
        <f>+SUM(H2:H14)</f>
        <v>1044</v>
      </c>
      <c r="I15" s="8"/>
    </row>
    <row r="16" spans="1:21" x14ac:dyDescent="0.25">
      <c r="A16" s="151" t="s">
        <v>38</v>
      </c>
      <c r="B16">
        <v>31</v>
      </c>
      <c r="C16" s="12" t="str">
        <f>+AVANCE!B21</f>
        <v>31 - RENZO RAMOS</v>
      </c>
      <c r="D16" s="22">
        <f t="shared" si="0"/>
        <v>0.48148148148148145</v>
      </c>
      <c r="E16" s="13">
        <v>90</v>
      </c>
      <c r="F16" s="12">
        <f t="shared" si="1"/>
        <v>-12</v>
      </c>
      <c r="G16" s="13">
        <f>VLOOKUP(B16,'Base Cobertura'!$A:$C,3,FALSE)</f>
        <v>162</v>
      </c>
      <c r="H16" s="13">
        <f>VLOOKUP(B16,'Base Cobertura'!$A:$C,2,FALSE)</f>
        <v>78</v>
      </c>
      <c r="I16" s="17">
        <f t="shared" si="2"/>
        <v>59.699999999999989</v>
      </c>
      <c r="J16" t="s">
        <v>55</v>
      </c>
      <c r="K16" t="s">
        <v>55</v>
      </c>
    </row>
    <row r="17" spans="1:11" x14ac:dyDescent="0.25">
      <c r="A17" s="149"/>
      <c r="B17">
        <v>54</v>
      </c>
      <c r="C17" s="13" t="str">
        <f>+AVANCE!B23</f>
        <v>54 - BARTSCHAT EMILIANO NAHUEL</v>
      </c>
      <c r="D17" s="22">
        <f t="shared" si="0"/>
        <v>0.51776649746192893</v>
      </c>
      <c r="E17" s="13">
        <v>92</v>
      </c>
      <c r="F17" s="12">
        <f t="shared" si="1"/>
        <v>10</v>
      </c>
      <c r="G17" s="13">
        <f>VLOOKUP(B17,'Base Cobertura'!$A:$C,3,FALSE)</f>
        <v>197</v>
      </c>
      <c r="H17" s="13">
        <f>VLOOKUP(B17,'Base Cobertura'!$A:$C,2,FALSE)</f>
        <v>102</v>
      </c>
      <c r="I17" s="17">
        <f t="shared" si="2"/>
        <v>65.449999999999989</v>
      </c>
      <c r="J17" t="s">
        <v>55</v>
      </c>
      <c r="K17" t="s">
        <v>63</v>
      </c>
    </row>
    <row r="18" spans="1:11" x14ac:dyDescent="0.25">
      <c r="A18" s="149"/>
      <c r="B18">
        <v>21</v>
      </c>
      <c r="C18" s="13" t="str">
        <f>+AVANCE!B19</f>
        <v>21 - CATAN MATIAS</v>
      </c>
      <c r="D18" s="22">
        <f t="shared" si="0"/>
        <v>0.60818713450292394</v>
      </c>
      <c r="E18" s="13">
        <v>88</v>
      </c>
      <c r="F18" s="12">
        <f t="shared" si="1"/>
        <v>16</v>
      </c>
      <c r="G18" s="13">
        <f>VLOOKUP(B18,'Base Cobertura'!$A:$C,3,FALSE)</f>
        <v>171</v>
      </c>
      <c r="H18" s="13">
        <f>VLOOKUP(B18,'Base Cobertura'!$A:$C,2,FALSE)</f>
        <v>104</v>
      </c>
      <c r="I18" s="17">
        <f t="shared" si="2"/>
        <v>41.349999999999994</v>
      </c>
      <c r="J18" t="s">
        <v>58</v>
      </c>
      <c r="K18" t="s">
        <v>55</v>
      </c>
    </row>
    <row r="19" spans="1:11" x14ac:dyDescent="0.25">
      <c r="A19" s="149"/>
      <c r="B19">
        <v>23</v>
      </c>
      <c r="C19" s="13" t="str">
        <f>+AVANCE!B20</f>
        <v>23 - DELGADO JOSÉ</v>
      </c>
      <c r="D19" s="22">
        <f t="shared" si="0"/>
        <v>0.54838709677419351</v>
      </c>
      <c r="E19" s="13">
        <v>95</v>
      </c>
      <c r="F19" s="12">
        <f t="shared" si="1"/>
        <v>-10</v>
      </c>
      <c r="G19" s="13">
        <f>VLOOKUP(B19,'Base Cobertura'!$A:$C,3,FALSE)</f>
        <v>155</v>
      </c>
      <c r="H19" s="13">
        <f>VLOOKUP(B19,'Base Cobertura'!$A:$C,2,FALSE)</f>
        <v>85</v>
      </c>
      <c r="I19" s="17">
        <f t="shared" si="2"/>
        <v>46.75</v>
      </c>
      <c r="J19" t="s">
        <v>58</v>
      </c>
      <c r="K19" t="s">
        <v>64</v>
      </c>
    </row>
    <row r="20" spans="1:11" x14ac:dyDescent="0.25">
      <c r="A20" s="149"/>
      <c r="B20">
        <v>18</v>
      </c>
      <c r="C20" s="13" t="str">
        <f>+AVANCE!B18</f>
        <v>18 - HERRERA PABLO</v>
      </c>
      <c r="D20" s="22">
        <f t="shared" si="0"/>
        <v>0.58563535911602205</v>
      </c>
      <c r="E20" s="13">
        <v>83</v>
      </c>
      <c r="F20" s="12">
        <f t="shared" si="1"/>
        <v>23</v>
      </c>
      <c r="G20" s="13">
        <f>VLOOKUP(B20,'Base Cobertura'!$A:$C,3,FALSE)</f>
        <v>181</v>
      </c>
      <c r="H20" s="13">
        <f>VLOOKUP(B20,'Base Cobertura'!$A:$C,2,FALSE)</f>
        <v>106</v>
      </c>
      <c r="I20" s="17">
        <f t="shared" si="2"/>
        <v>47.849999999999994</v>
      </c>
      <c r="J20" t="s">
        <v>55</v>
      </c>
      <c r="K20" t="s">
        <v>55</v>
      </c>
    </row>
    <row r="21" spans="1:11" x14ac:dyDescent="0.25">
      <c r="A21" s="149"/>
      <c r="B21">
        <v>44</v>
      </c>
      <c r="C21" s="13" t="str">
        <f>+AVANCE!B22</f>
        <v>44 - MONGES CESAR LUIS</v>
      </c>
      <c r="D21" s="22">
        <f t="shared" si="0"/>
        <v>0.54022988505747127</v>
      </c>
      <c r="E21" s="13">
        <v>64</v>
      </c>
      <c r="F21" s="12">
        <f t="shared" si="1"/>
        <v>30</v>
      </c>
      <c r="G21" s="13">
        <f>VLOOKUP(B21,'Base Cobertura'!$A:$C,3,FALSE)</f>
        <v>174</v>
      </c>
      <c r="H21" s="13">
        <f>VLOOKUP(B21,'Base Cobertura'!$A:$C,2,FALSE)</f>
        <v>94</v>
      </c>
      <c r="I21" s="17">
        <f t="shared" si="2"/>
        <v>53.900000000000006</v>
      </c>
      <c r="J21" t="s">
        <v>58</v>
      </c>
      <c r="K21" t="s">
        <v>64</v>
      </c>
    </row>
    <row r="22" spans="1:11" x14ac:dyDescent="0.25">
      <c r="A22" s="149"/>
      <c r="B22">
        <v>56</v>
      </c>
      <c r="C22" s="13" t="str">
        <f>+AVANCE!B42</f>
        <v>56 - JUAN ANDRES SANCHEZ</v>
      </c>
      <c r="D22" s="22">
        <f t="shared" si="0"/>
        <v>0.23737373737373738</v>
      </c>
      <c r="E22" s="13">
        <v>66</v>
      </c>
      <c r="F22" s="12">
        <f t="shared" si="1"/>
        <v>-19</v>
      </c>
      <c r="G22" s="13">
        <f>VLOOKUP(B22,'Base Cobertura'!$A:$C,3,FALSE)</f>
        <v>198</v>
      </c>
      <c r="H22" s="13">
        <f>VLOOKUP(B22,'Base Cobertura'!$A:$C,2,FALSE)</f>
        <v>47</v>
      </c>
      <c r="I22" s="17">
        <f t="shared" si="2"/>
        <v>121.29999999999998</v>
      </c>
      <c r="J22" t="s">
        <v>58</v>
      </c>
      <c r="K22" t="s">
        <v>66</v>
      </c>
    </row>
    <row r="23" spans="1:11" x14ac:dyDescent="0.25">
      <c r="A23" s="149"/>
      <c r="B23">
        <v>2</v>
      </c>
      <c r="C23" s="13" t="str">
        <f>+AVANCE!B16</f>
        <v>2 - OJEDA NORBERTO</v>
      </c>
      <c r="D23" s="22">
        <f t="shared" si="0"/>
        <v>0.53389830508474578</v>
      </c>
      <c r="E23" s="13">
        <v>70</v>
      </c>
      <c r="F23" s="12">
        <f t="shared" si="1"/>
        <v>-7</v>
      </c>
      <c r="G23" s="13">
        <f>VLOOKUP(B23,'Base Cobertura'!$A:$C,3,FALSE)</f>
        <v>118</v>
      </c>
      <c r="H23" s="13">
        <f>VLOOKUP(B23,'Base Cobertura'!$A:$C,2,FALSE)</f>
        <v>63</v>
      </c>
      <c r="I23" s="17">
        <f t="shared" si="2"/>
        <v>37.299999999999997</v>
      </c>
      <c r="J23" t="s">
        <v>58</v>
      </c>
      <c r="K23" t="s">
        <v>67</v>
      </c>
    </row>
    <row r="24" spans="1:11" ht="15.75" thickBot="1" x14ac:dyDescent="0.3">
      <c r="A24" s="149"/>
      <c r="B24">
        <v>3</v>
      </c>
      <c r="C24" s="10" t="str">
        <f>+AVANCE!B17</f>
        <v>3 - VIDAL NAHUEL</v>
      </c>
      <c r="D24" s="22">
        <f t="shared" si="0"/>
        <v>0.61176470588235299</v>
      </c>
      <c r="E24" s="13">
        <v>79</v>
      </c>
      <c r="F24" s="12">
        <f t="shared" si="1"/>
        <v>25</v>
      </c>
      <c r="G24" s="13">
        <f>VLOOKUP(B24,'Base Cobertura'!$A:$C,3,FALSE)</f>
        <v>170</v>
      </c>
      <c r="H24" s="13">
        <f>VLOOKUP(B24,'Base Cobertura'!$A:$C,2,FALSE)</f>
        <v>104</v>
      </c>
      <c r="I24" s="17">
        <f t="shared" si="2"/>
        <v>40.5</v>
      </c>
      <c r="J24" t="s">
        <v>60</v>
      </c>
      <c r="K24" t="s">
        <v>64</v>
      </c>
    </row>
    <row r="25" spans="1:11" ht="15.75" thickBot="1" x14ac:dyDescent="0.3">
      <c r="A25" s="150"/>
      <c r="C25" s="9"/>
      <c r="D25" s="23"/>
      <c r="E25" s="14"/>
      <c r="F25" s="16">
        <f>+SUM(F16:F24)</f>
        <v>56</v>
      </c>
      <c r="G25" s="8">
        <f>+SUM(G16:G24)</f>
        <v>1526</v>
      </c>
      <c r="H25" s="8">
        <f>+SUM(H16:H24)</f>
        <v>783</v>
      </c>
      <c r="I25" s="8"/>
    </row>
    <row r="26" spans="1:11" x14ac:dyDescent="0.25">
      <c r="A26" s="151" t="s">
        <v>216</v>
      </c>
      <c r="B26">
        <v>32</v>
      </c>
      <c r="C26" s="12" t="str">
        <f>+AVANCE!B25</f>
        <v>32 - CABRAL GONZALO</v>
      </c>
      <c r="D26" s="22">
        <f t="shared" si="0"/>
        <v>0.39655172413793105</v>
      </c>
      <c r="E26" s="13">
        <v>20</v>
      </c>
      <c r="F26" s="12">
        <f>+H26-E26</f>
        <v>3</v>
      </c>
      <c r="G26" s="13">
        <f>VLOOKUP(B26,'Base Cobertura'!$A:$C,3,FALSE)</f>
        <v>58</v>
      </c>
      <c r="H26" s="13">
        <f>VLOOKUP(B26,'Base Cobertura'!$A:$C,2,FALSE)</f>
        <v>23</v>
      </c>
      <c r="I26" s="17">
        <f t="shared" si="2"/>
        <v>26.299999999999997</v>
      </c>
      <c r="J26" t="s">
        <v>55</v>
      </c>
      <c r="K26" t="s">
        <v>67</v>
      </c>
    </row>
    <row r="27" spans="1:11" x14ac:dyDescent="0.25">
      <c r="A27" s="149"/>
      <c r="B27">
        <v>36</v>
      </c>
      <c r="C27" s="12" t="str">
        <f>+AVANCE!B26</f>
        <v>36 - COSARINSKI DIEGO</v>
      </c>
      <c r="D27" s="22">
        <f t="shared" si="0"/>
        <v>0.42499999999999999</v>
      </c>
      <c r="E27" s="13">
        <v>68</v>
      </c>
      <c r="F27" s="12">
        <f t="shared" si="1"/>
        <v>0</v>
      </c>
      <c r="G27" s="13">
        <f>VLOOKUP(B27,'Base Cobertura'!$A:$C,3,FALSE)</f>
        <v>160</v>
      </c>
      <c r="H27" s="13">
        <f>VLOOKUP(B27,'Base Cobertura'!$A:$C,2,FALSE)</f>
        <v>68</v>
      </c>
      <c r="I27" s="17">
        <f t="shared" si="2"/>
        <v>68</v>
      </c>
      <c r="J27" t="s">
        <v>58</v>
      </c>
      <c r="K27" t="s">
        <v>67</v>
      </c>
    </row>
    <row r="28" spans="1:11" x14ac:dyDescent="0.25">
      <c r="A28" s="149"/>
      <c r="B28">
        <v>9</v>
      </c>
      <c r="C28" s="12" t="str">
        <f>+AVANCE!B27</f>
        <v>9 - ESTIGARRIBIA DAVID</v>
      </c>
      <c r="D28" s="22">
        <f t="shared" si="0"/>
        <v>0.55128205128205132</v>
      </c>
      <c r="E28" s="13">
        <v>80</v>
      </c>
      <c r="F28" s="12">
        <f t="shared" si="1"/>
        <v>6</v>
      </c>
      <c r="G28" s="13">
        <f>VLOOKUP(B28,'Base Cobertura'!$A:$C,3,FALSE)</f>
        <v>156</v>
      </c>
      <c r="H28" s="13">
        <f>VLOOKUP(B28,'Base Cobertura'!$A:$C,2,FALSE)</f>
        <v>86</v>
      </c>
      <c r="I28" s="17">
        <f t="shared" si="2"/>
        <v>46.599999999999994</v>
      </c>
      <c r="J28" t="s">
        <v>58</v>
      </c>
      <c r="K28" t="s">
        <v>55</v>
      </c>
    </row>
    <row r="29" spans="1:11" x14ac:dyDescent="0.25">
      <c r="A29" s="149"/>
      <c r="B29">
        <v>40</v>
      </c>
      <c r="C29" s="12" t="str">
        <f>+AVANCE!B28</f>
        <v>40 - IBARROLA JORGE</v>
      </c>
      <c r="D29" s="22">
        <f t="shared" si="0"/>
        <v>0.29880478087649404</v>
      </c>
      <c r="E29" s="13">
        <v>68</v>
      </c>
      <c r="F29" s="12">
        <f t="shared" si="1"/>
        <v>7</v>
      </c>
      <c r="G29" s="13">
        <f>VLOOKUP(B29,'Base Cobertura'!$A:$C,3,FALSE)</f>
        <v>251</v>
      </c>
      <c r="H29" s="13">
        <f>VLOOKUP(B29,'Base Cobertura'!$A:$C,2,FALSE)</f>
        <v>75</v>
      </c>
      <c r="I29" s="17">
        <f t="shared" si="2"/>
        <v>138.35</v>
      </c>
      <c r="J29" t="s">
        <v>58</v>
      </c>
      <c r="K29" t="s">
        <v>67</v>
      </c>
    </row>
    <row r="30" spans="1:11" x14ac:dyDescent="0.25">
      <c r="A30" s="149"/>
      <c r="B30">
        <v>27</v>
      </c>
      <c r="C30" s="12" t="str">
        <f>+AVANCE!B29</f>
        <v>27 - GOMEZ ADRIÁN</v>
      </c>
      <c r="D30" s="22">
        <f t="shared" si="0"/>
        <v>0.60150375939849621</v>
      </c>
      <c r="E30" s="13">
        <v>73</v>
      </c>
      <c r="F30" s="12">
        <f t="shared" si="1"/>
        <v>7</v>
      </c>
      <c r="G30" s="13">
        <f>VLOOKUP(B30,'Base Cobertura'!$A:$C,3,FALSE)</f>
        <v>133</v>
      </c>
      <c r="H30" s="13">
        <f>VLOOKUP(B30,'Base Cobertura'!$A:$C,2,FALSE)</f>
        <v>80</v>
      </c>
      <c r="I30" s="17">
        <f t="shared" si="2"/>
        <v>33.049999999999997</v>
      </c>
      <c r="J30" t="s">
        <v>55</v>
      </c>
      <c r="K30" t="s">
        <v>67</v>
      </c>
    </row>
    <row r="31" spans="1:11" x14ac:dyDescent="0.25">
      <c r="A31" s="149"/>
      <c r="B31">
        <v>10</v>
      </c>
      <c r="C31" s="12" t="str">
        <f>+AVANCE!B30</f>
        <v>10 - BRITEZ EMMANUEL</v>
      </c>
      <c r="D31" s="22">
        <f t="shared" si="0"/>
        <v>0.45355191256830601</v>
      </c>
      <c r="E31" s="13">
        <v>40</v>
      </c>
      <c r="F31" s="12">
        <f t="shared" si="1"/>
        <v>43</v>
      </c>
      <c r="G31" s="13">
        <f>VLOOKUP(B31,'Base Cobertura'!$A:$C,3,FALSE)</f>
        <v>183</v>
      </c>
      <c r="H31" s="13">
        <f>VLOOKUP(B31,'Base Cobertura'!$A:$C,2,FALSE)</f>
        <v>83</v>
      </c>
      <c r="I31" s="17">
        <f t="shared" si="2"/>
        <v>72.549999999999983</v>
      </c>
      <c r="J31" t="s">
        <v>58</v>
      </c>
      <c r="K31" t="s">
        <v>67</v>
      </c>
    </row>
    <row r="32" spans="1:11" x14ac:dyDescent="0.25">
      <c r="A32" s="149"/>
      <c r="B32">
        <v>28</v>
      </c>
      <c r="C32" s="12" t="str">
        <f>+AVANCE!B31</f>
        <v>28 - GOMEZ PABLO</v>
      </c>
      <c r="D32" s="22">
        <f t="shared" si="0"/>
        <v>0.54761904761904767</v>
      </c>
      <c r="E32" s="13">
        <v>67</v>
      </c>
      <c r="F32" s="12">
        <f t="shared" si="1"/>
        <v>25</v>
      </c>
      <c r="G32" s="13">
        <f>VLOOKUP(B32,'Base Cobertura'!$A:$C,3,FALSE)</f>
        <v>168</v>
      </c>
      <c r="H32" s="13">
        <f>VLOOKUP(B32,'Base Cobertura'!$A:$C,2,FALSE)</f>
        <v>92</v>
      </c>
      <c r="I32" s="17">
        <f t="shared" si="2"/>
        <v>50.799999999999983</v>
      </c>
      <c r="J32" t="s">
        <v>58</v>
      </c>
      <c r="K32" t="s">
        <v>67</v>
      </c>
    </row>
    <row r="33" spans="1:12" x14ac:dyDescent="0.25">
      <c r="A33" s="149"/>
      <c r="B33">
        <v>33</v>
      </c>
      <c r="C33" s="12" t="str">
        <f>+AVANCE!B32</f>
        <v>33 - NICOLAS AZULA</v>
      </c>
      <c r="D33" s="22">
        <f t="shared" si="0"/>
        <v>0.45508982035928142</v>
      </c>
      <c r="E33" s="13">
        <v>66</v>
      </c>
      <c r="F33" s="12">
        <f t="shared" si="1"/>
        <v>10</v>
      </c>
      <c r="G33" s="13">
        <f>VLOOKUP(B33,'Base Cobertura'!$A:$C,3,FALSE)</f>
        <v>167</v>
      </c>
      <c r="H33" s="13">
        <f>VLOOKUP(B33,'Base Cobertura'!$A:$C,2,FALSE)</f>
        <v>76</v>
      </c>
      <c r="I33" s="17">
        <f t="shared" si="2"/>
        <v>65.949999999999989</v>
      </c>
      <c r="J33" t="s">
        <v>58</v>
      </c>
      <c r="K33" t="s">
        <v>67</v>
      </c>
    </row>
    <row r="34" spans="1:12" x14ac:dyDescent="0.25">
      <c r="A34" s="149"/>
      <c r="B34">
        <v>37</v>
      </c>
      <c r="C34" s="12" t="str">
        <f>+AVANCE!B33</f>
        <v>37 - PEREZ ESQUIVEL BRUNO NICOLAS</v>
      </c>
      <c r="D34" s="22">
        <f t="shared" si="0"/>
        <v>0.176056338028169</v>
      </c>
      <c r="E34" s="13">
        <v>82</v>
      </c>
      <c r="F34" s="12">
        <f t="shared" si="1"/>
        <v>-57</v>
      </c>
      <c r="G34" s="13">
        <f>VLOOKUP(B34,'Base Cobertura'!$A:$C,3,FALSE)</f>
        <v>142</v>
      </c>
      <c r="H34" s="13">
        <f>VLOOKUP(B34,'Base Cobertura'!$A:$C,2,FALSE)</f>
        <v>25</v>
      </c>
      <c r="I34" s="17">
        <f t="shared" si="2"/>
        <v>95.7</v>
      </c>
      <c r="J34" t="s">
        <v>55</v>
      </c>
      <c r="K34" t="s">
        <v>67</v>
      </c>
    </row>
    <row r="35" spans="1:12" x14ac:dyDescent="0.25">
      <c r="A35" s="149"/>
      <c r="B35">
        <v>24</v>
      </c>
      <c r="C35" s="12" t="str">
        <f>+AVANCE!B34</f>
        <v>24 - MARTINEZ JORGE NICOLAS</v>
      </c>
      <c r="D35" s="22">
        <f t="shared" si="0"/>
        <v>0.30337078651685395</v>
      </c>
      <c r="E35" s="13">
        <v>81</v>
      </c>
      <c r="F35" s="12">
        <f t="shared" si="1"/>
        <v>-27</v>
      </c>
      <c r="G35" s="13">
        <f>VLOOKUP(B35,'Base Cobertura'!$A:$C,3,FALSE)</f>
        <v>178</v>
      </c>
      <c r="H35" s="13">
        <f>VLOOKUP(B35,'Base Cobertura'!$A:$C,2,FALSE)</f>
        <v>54</v>
      </c>
      <c r="I35" s="17">
        <f t="shared" si="2"/>
        <v>97.299999999999983</v>
      </c>
      <c r="J35" t="s">
        <v>58</v>
      </c>
      <c r="K35" t="s">
        <v>67</v>
      </c>
    </row>
    <row r="36" spans="1:12" x14ac:dyDescent="0.25">
      <c r="A36" s="149"/>
      <c r="B36">
        <v>7</v>
      </c>
      <c r="C36" s="12" t="str">
        <f>+AVANCE!B35</f>
        <v>7 - VALLEJOS EDUARDO</v>
      </c>
      <c r="D36" s="22">
        <f t="shared" si="0"/>
        <v>5.1724137931034482E-2</v>
      </c>
      <c r="E36" s="13">
        <v>0</v>
      </c>
      <c r="F36" s="12">
        <f t="shared" si="1"/>
        <v>6</v>
      </c>
      <c r="G36" s="13">
        <f>VLOOKUP(B36,'Base Cobertura'!$A:$C,3,FALSE)</f>
        <v>116</v>
      </c>
      <c r="H36" s="13">
        <f>VLOOKUP(B36,'Base Cobertura'!$A:$C,2,FALSE)</f>
        <v>6</v>
      </c>
      <c r="I36" s="17">
        <f t="shared" si="2"/>
        <v>92.6</v>
      </c>
      <c r="J36" t="s">
        <v>58</v>
      </c>
    </row>
    <row r="37" spans="1:12" x14ac:dyDescent="0.25">
      <c r="A37" s="149"/>
      <c r="B37">
        <v>57</v>
      </c>
      <c r="C37" s="12" t="str">
        <f>+AVANCE!B36</f>
        <v>57 - ROUBINEAU SEBASTIAN</v>
      </c>
      <c r="D37" s="22">
        <f t="shared" si="0"/>
        <v>0.14285714285714285</v>
      </c>
      <c r="E37" s="13">
        <v>17</v>
      </c>
      <c r="F37" s="12">
        <f t="shared" si="1"/>
        <v>-2</v>
      </c>
      <c r="G37" s="13">
        <f>VLOOKUP(B37,'Base Cobertura'!$A:$C,3,FALSE)</f>
        <v>105</v>
      </c>
      <c r="H37" s="13">
        <f>VLOOKUP(B37,'Base Cobertura'!$A:$C,2,FALSE)</f>
        <v>15</v>
      </c>
      <c r="I37" s="17">
        <f t="shared" si="2"/>
        <v>74.25</v>
      </c>
      <c r="J37" t="s">
        <v>59</v>
      </c>
    </row>
    <row r="38" spans="1:12" ht="15.75" thickBot="1" x14ac:dyDescent="0.3">
      <c r="A38" s="149"/>
      <c r="B38">
        <v>1</v>
      </c>
      <c r="C38" s="12" t="str">
        <f>+AVANCE!B37</f>
        <v>1 - VERA ERNESTO</v>
      </c>
      <c r="D38" s="22">
        <f t="shared" si="0"/>
        <v>0.55905511811023623</v>
      </c>
      <c r="E38" s="13">
        <v>60</v>
      </c>
      <c r="F38" s="12">
        <f t="shared" si="1"/>
        <v>11</v>
      </c>
      <c r="G38" s="13">
        <f>VLOOKUP(B38,'Base Cobertura'!$A:$C,3,FALSE)</f>
        <v>127</v>
      </c>
      <c r="H38" s="13">
        <f>VLOOKUP(B38,'Base Cobertura'!$A:$C,2,FALSE)</f>
        <v>71</v>
      </c>
      <c r="I38" s="17">
        <f t="shared" si="2"/>
        <v>36.950000000000003</v>
      </c>
      <c r="J38" t="s">
        <v>55</v>
      </c>
      <c r="K38" t="s">
        <v>55</v>
      </c>
    </row>
    <row r="39" spans="1:12" ht="15.75" thickBot="1" x14ac:dyDescent="0.3">
      <c r="A39" s="150"/>
      <c r="C39" s="9"/>
      <c r="D39" s="23"/>
      <c r="E39" s="14"/>
      <c r="F39" s="8">
        <f>+SUM(F26:F38)</f>
        <v>32</v>
      </c>
      <c r="G39" s="8">
        <f>+SUM(G26:G38)</f>
        <v>1944</v>
      </c>
      <c r="H39" s="8">
        <f>+SUM(H26:H38)</f>
        <v>754</v>
      </c>
      <c r="I39" s="8"/>
    </row>
    <row r="40" spans="1:12" x14ac:dyDescent="0.25">
      <c r="A40" s="151" t="s">
        <v>278</v>
      </c>
      <c r="B40">
        <v>58</v>
      </c>
      <c r="C40" t="s">
        <v>145</v>
      </c>
      <c r="D40" s="22">
        <f t="shared" ref="D40:D46" si="4">H40/G40</f>
        <v>0.14754098360655737</v>
      </c>
      <c r="E40" s="13">
        <v>60</v>
      </c>
      <c r="F40" s="12">
        <f t="shared" ref="F40:F46" si="5">+H40-E40</f>
        <v>-42</v>
      </c>
      <c r="G40" s="13">
        <f>VLOOKUP(B40,'Base Cobertura'!$A:$C,3,FALSE)</f>
        <v>122</v>
      </c>
      <c r="H40" s="13">
        <f>VLOOKUP(B40,'Base Cobertura'!$A:$C,2,FALSE)</f>
        <v>18</v>
      </c>
      <c r="I40" s="17">
        <f t="shared" ref="I40:I46" si="6">(+G40*$M$2)-H40</f>
        <v>85.7</v>
      </c>
    </row>
    <row r="41" spans="1:12" x14ac:dyDescent="0.25">
      <c r="A41" s="149"/>
      <c r="B41">
        <v>59</v>
      </c>
      <c r="C41" t="s">
        <v>146</v>
      </c>
      <c r="D41" s="22">
        <f t="shared" si="4"/>
        <v>0.26400000000000001</v>
      </c>
      <c r="E41" s="13">
        <v>60</v>
      </c>
      <c r="F41" s="12">
        <f t="shared" si="5"/>
        <v>-27</v>
      </c>
      <c r="G41" s="13">
        <f>VLOOKUP(B41,'Base Cobertura'!$A:$C,3,FALSE)</f>
        <v>125</v>
      </c>
      <c r="H41" s="13">
        <f>VLOOKUP(B41,'Base Cobertura'!$A:$C,2,FALSE)</f>
        <v>33</v>
      </c>
      <c r="I41" s="17">
        <f t="shared" si="6"/>
        <v>73.25</v>
      </c>
    </row>
    <row r="42" spans="1:12" x14ac:dyDescent="0.25">
      <c r="A42" s="149"/>
      <c r="B42">
        <v>49</v>
      </c>
      <c r="C42" t="s">
        <v>107</v>
      </c>
      <c r="D42" s="22">
        <f t="shared" si="4"/>
        <v>0.21311475409836064</v>
      </c>
      <c r="E42" s="13">
        <v>60</v>
      </c>
      <c r="F42" s="12">
        <f t="shared" si="5"/>
        <v>-8</v>
      </c>
      <c r="G42" s="13">
        <f>VLOOKUP(B42,'Base Cobertura'!$A:$C,3,FALSE)</f>
        <v>244</v>
      </c>
      <c r="H42" s="13">
        <f>VLOOKUP(B42,'Base Cobertura'!$A:$C,2,FALSE)</f>
        <v>52</v>
      </c>
      <c r="I42" s="17">
        <f t="shared" si="6"/>
        <v>155.4</v>
      </c>
    </row>
    <row r="43" spans="1:12" x14ac:dyDescent="0.25">
      <c r="A43" s="149"/>
      <c r="B43">
        <v>56</v>
      </c>
      <c r="C43" t="s">
        <v>140</v>
      </c>
      <c r="D43" s="22">
        <f t="shared" si="4"/>
        <v>0.23737373737373738</v>
      </c>
      <c r="E43" s="13">
        <v>60</v>
      </c>
      <c r="F43" s="12">
        <f t="shared" si="5"/>
        <v>-13</v>
      </c>
      <c r="G43" s="13">
        <f>VLOOKUP(B43,'Base Cobertura'!$A:$C,3,FALSE)</f>
        <v>198</v>
      </c>
      <c r="H43" s="13">
        <f>VLOOKUP(B43,'Base Cobertura'!$A:$C,2,FALSE)</f>
        <v>47</v>
      </c>
      <c r="I43" s="17">
        <f t="shared" si="6"/>
        <v>121.29999999999998</v>
      </c>
    </row>
    <row r="44" spans="1:12" x14ac:dyDescent="0.25">
      <c r="A44" s="149"/>
      <c r="B44">
        <v>26</v>
      </c>
      <c r="C44" t="s">
        <v>275</v>
      </c>
      <c r="D44" s="22">
        <f t="shared" si="4"/>
        <v>0.20359281437125748</v>
      </c>
      <c r="E44" s="13">
        <v>60</v>
      </c>
      <c r="F44" s="12">
        <f t="shared" si="5"/>
        <v>-26</v>
      </c>
      <c r="G44" s="13">
        <f>VLOOKUP(B44,'Base Cobertura'!$A:$C,3,FALSE)</f>
        <v>167</v>
      </c>
      <c r="H44" s="13">
        <f>VLOOKUP(B44,'Base Cobertura'!$A:$C,2,FALSE)</f>
        <v>34</v>
      </c>
      <c r="I44" s="17">
        <f t="shared" si="6"/>
        <v>107.94999999999999</v>
      </c>
    </row>
    <row r="45" spans="1:12" x14ac:dyDescent="0.25">
      <c r="A45" s="149"/>
      <c r="B45">
        <v>25</v>
      </c>
      <c r="C45" t="s">
        <v>276</v>
      </c>
      <c r="D45" s="22">
        <f t="shared" si="4"/>
        <v>0.30813953488372092</v>
      </c>
      <c r="E45" s="13">
        <v>60</v>
      </c>
      <c r="F45" s="12">
        <f t="shared" si="5"/>
        <v>-7</v>
      </c>
      <c r="G45" s="13">
        <f>VLOOKUP(B45,'Base Cobertura'!$A:$C,3,FALSE)</f>
        <v>172</v>
      </c>
      <c r="H45" s="13">
        <f>VLOOKUP(B45,'Base Cobertura'!$A:$C,2,FALSE)</f>
        <v>53</v>
      </c>
      <c r="I45" s="17">
        <f t="shared" si="6"/>
        <v>93.199999999999989</v>
      </c>
    </row>
    <row r="46" spans="1:12" ht="15.75" thickBot="1" x14ac:dyDescent="0.3">
      <c r="A46" s="149"/>
      <c r="B46">
        <v>43</v>
      </c>
      <c r="C46" t="s">
        <v>277</v>
      </c>
      <c r="D46" s="22">
        <f t="shared" si="4"/>
        <v>8.6021505376344093E-2</v>
      </c>
      <c r="E46" s="13">
        <v>60</v>
      </c>
      <c r="F46" s="12">
        <f t="shared" si="5"/>
        <v>-52</v>
      </c>
      <c r="G46" s="13">
        <f>VLOOKUP(B46,'Base Cobertura'!$A:$C,3,FALSE)</f>
        <v>93</v>
      </c>
      <c r="H46" s="13">
        <f>VLOOKUP(B46,'Base Cobertura'!$A:$C,2,FALSE)</f>
        <v>8</v>
      </c>
      <c r="I46" s="17">
        <f t="shared" si="6"/>
        <v>71.05</v>
      </c>
    </row>
    <row r="47" spans="1:12" ht="15.75" thickBot="1" x14ac:dyDescent="0.3">
      <c r="A47" s="136"/>
      <c r="C47" s="9"/>
      <c r="D47" s="23"/>
      <c r="E47" s="13"/>
      <c r="F47" s="12"/>
      <c r="G47" s="8">
        <f>+SUM(G34:G46)</f>
        <v>3733</v>
      </c>
      <c r="H47" s="8">
        <f>+SUM(H34:H46)</f>
        <v>1170</v>
      </c>
      <c r="I47" s="8"/>
      <c r="L47" t="s">
        <v>68</v>
      </c>
    </row>
    <row r="48" spans="1:12" x14ac:dyDescent="0.25">
      <c r="A48" s="11" t="s">
        <v>42</v>
      </c>
      <c r="C48" s="11"/>
      <c r="D48" s="24"/>
      <c r="E48" s="6"/>
      <c r="F48" s="8">
        <f>+SUM(F39+F25+F15)</f>
        <v>253</v>
      </c>
      <c r="G48" s="8">
        <f>+G15+G25+G39</f>
        <v>5718</v>
      </c>
      <c r="H48" s="8">
        <f>+H15+H25+H39</f>
        <v>2581</v>
      </c>
      <c r="I48" s="8"/>
      <c r="L48" s="1">
        <f>+H48/G48</f>
        <v>0.45138160195872684</v>
      </c>
    </row>
  </sheetData>
  <autoFilter ref="C1:N48" xr:uid="{00000000-0001-0000-0500-000000000000}"/>
  <mergeCells count="4">
    <mergeCell ref="A2:A15"/>
    <mergeCell ref="A16:A25"/>
    <mergeCell ref="A26:A39"/>
    <mergeCell ref="A40:A46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6:D2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26:D38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40:D46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15 F2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138</v>
      </c>
    </row>
    <row r="2" spans="1:3" ht="16.5" thickBot="1" x14ac:dyDescent="0.3">
      <c r="A2">
        <v>20</v>
      </c>
      <c r="B2" s="36" t="s">
        <v>95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94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92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90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89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86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85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84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97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107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91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112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108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82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83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93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96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98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101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106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109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140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102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103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87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105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99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88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100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139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104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113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111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110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81</v>
      </c>
      <c r="C39" s="46">
        <f>IFERROR(VLOOKUP(A39,'Base venta C'!$E:$P,12,FALSE),"0")*1</f>
        <v>1671221.44</v>
      </c>
    </row>
    <row r="40" spans="1:3" ht="16.5" thickBot="1" x14ac:dyDescent="0.3">
      <c r="B40" s="3" t="s">
        <v>216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07"/>
  <sheetViews>
    <sheetView workbookViewId="0">
      <selection activeCell="F2" sqref="F2:I407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141</v>
      </c>
      <c r="F1" t="s">
        <v>142</v>
      </c>
    </row>
    <row r="2" spans="1:9" x14ac:dyDescent="0.25">
      <c r="A2" t="s">
        <v>77</v>
      </c>
      <c r="B2" t="s">
        <v>78</v>
      </c>
      <c r="C2" t="s">
        <v>79</v>
      </c>
      <c r="F2" t="s">
        <v>77</v>
      </c>
      <c r="G2" t="s">
        <v>74</v>
      </c>
      <c r="H2" t="s">
        <v>78</v>
      </c>
      <c r="I2" t="s">
        <v>79</v>
      </c>
    </row>
    <row r="3" spans="1:9" x14ac:dyDescent="0.25">
      <c r="B3" s="51">
        <v>2</v>
      </c>
      <c r="C3" s="51">
        <v>3480</v>
      </c>
      <c r="G3" t="s">
        <v>280</v>
      </c>
      <c r="H3" s="51">
        <v>1</v>
      </c>
      <c r="I3" s="51">
        <v>3480</v>
      </c>
    </row>
    <row r="4" spans="1:9" x14ac:dyDescent="0.25">
      <c r="A4">
        <v>1</v>
      </c>
      <c r="B4" s="51">
        <v>71</v>
      </c>
      <c r="C4" s="51">
        <v>127</v>
      </c>
      <c r="G4" t="s">
        <v>281</v>
      </c>
      <c r="H4">
        <v>1</v>
      </c>
      <c r="I4" s="51">
        <v>3480</v>
      </c>
    </row>
    <row r="5" spans="1:9" x14ac:dyDescent="0.25">
      <c r="A5">
        <v>10</v>
      </c>
      <c r="B5" s="51">
        <v>83</v>
      </c>
      <c r="C5" s="51">
        <v>183</v>
      </c>
      <c r="G5" t="s">
        <v>282</v>
      </c>
      <c r="H5" s="51">
        <v>1</v>
      </c>
      <c r="I5" s="51">
        <v>3480</v>
      </c>
    </row>
    <row r="6" spans="1:9" x14ac:dyDescent="0.25">
      <c r="A6">
        <v>100</v>
      </c>
      <c r="B6" s="51">
        <v>34</v>
      </c>
      <c r="C6" s="51">
        <v>2032</v>
      </c>
      <c r="G6" t="s">
        <v>283</v>
      </c>
      <c r="H6" s="51"/>
      <c r="I6" s="51">
        <v>3480</v>
      </c>
    </row>
    <row r="7" spans="1:9" x14ac:dyDescent="0.25">
      <c r="A7">
        <v>11</v>
      </c>
      <c r="B7" s="51">
        <v>102</v>
      </c>
      <c r="C7" s="51">
        <v>171</v>
      </c>
      <c r="G7" t="s">
        <v>284</v>
      </c>
      <c r="H7" s="51">
        <v>1</v>
      </c>
      <c r="I7" s="51">
        <v>3480</v>
      </c>
    </row>
    <row r="8" spans="1:9" x14ac:dyDescent="0.25">
      <c r="A8">
        <v>12</v>
      </c>
      <c r="B8" s="51">
        <v>124</v>
      </c>
      <c r="C8" s="51">
        <v>214</v>
      </c>
      <c r="G8" t="s">
        <v>285</v>
      </c>
      <c r="H8" s="51">
        <v>2</v>
      </c>
      <c r="I8" s="51">
        <v>3480</v>
      </c>
    </row>
    <row r="9" spans="1:9" x14ac:dyDescent="0.25">
      <c r="A9">
        <v>123</v>
      </c>
      <c r="B9" s="51">
        <v>29</v>
      </c>
      <c r="C9" s="51">
        <v>491</v>
      </c>
      <c r="G9" t="s">
        <v>286</v>
      </c>
      <c r="H9" s="51">
        <v>1</v>
      </c>
      <c r="I9" s="51">
        <v>3480</v>
      </c>
    </row>
    <row r="10" spans="1:9" x14ac:dyDescent="0.25">
      <c r="A10">
        <v>15</v>
      </c>
      <c r="B10" s="51">
        <v>28</v>
      </c>
      <c r="C10" s="51">
        <v>65</v>
      </c>
      <c r="G10" t="s">
        <v>287</v>
      </c>
      <c r="I10" s="51">
        <v>3480</v>
      </c>
    </row>
    <row r="11" spans="1:9" x14ac:dyDescent="0.25">
      <c r="A11">
        <v>16</v>
      </c>
      <c r="B11" s="51">
        <v>105</v>
      </c>
      <c r="C11" s="51">
        <v>199</v>
      </c>
      <c r="G11" t="s">
        <v>288</v>
      </c>
      <c r="H11" s="51"/>
      <c r="I11" s="51">
        <v>3480</v>
      </c>
    </row>
    <row r="12" spans="1:9" x14ac:dyDescent="0.25">
      <c r="A12">
        <v>18</v>
      </c>
      <c r="B12" s="51">
        <v>106</v>
      </c>
      <c r="C12" s="51">
        <v>181</v>
      </c>
      <c r="E12">
        <f>+F12</f>
        <v>1</v>
      </c>
      <c r="F12">
        <v>1</v>
      </c>
      <c r="G12" t="s">
        <v>280</v>
      </c>
      <c r="H12">
        <v>26</v>
      </c>
      <c r="I12" s="51">
        <v>127</v>
      </c>
    </row>
    <row r="13" spans="1:9" x14ac:dyDescent="0.25">
      <c r="A13">
        <v>19</v>
      </c>
      <c r="B13" s="51">
        <v>115</v>
      </c>
      <c r="C13" s="51">
        <v>208</v>
      </c>
      <c r="E13">
        <f>+$E$12</f>
        <v>1</v>
      </c>
      <c r="G13" t="s">
        <v>281</v>
      </c>
      <c r="H13" s="51">
        <v>17</v>
      </c>
      <c r="I13" s="51">
        <v>127</v>
      </c>
    </row>
    <row r="14" spans="1:9" x14ac:dyDescent="0.25">
      <c r="A14">
        <v>2</v>
      </c>
      <c r="B14" s="51">
        <v>63</v>
      </c>
      <c r="C14" s="51">
        <v>118</v>
      </c>
      <c r="E14">
        <f t="shared" ref="E14:E20" si="0">+$E$12</f>
        <v>1</v>
      </c>
      <c r="G14" t="s">
        <v>282</v>
      </c>
      <c r="H14" s="51">
        <v>32</v>
      </c>
      <c r="I14" s="51">
        <v>127</v>
      </c>
    </row>
    <row r="15" spans="1:9" x14ac:dyDescent="0.25">
      <c r="A15">
        <v>20</v>
      </c>
      <c r="B15" s="51">
        <v>143</v>
      </c>
      <c r="C15" s="51">
        <v>227</v>
      </c>
      <c r="E15">
        <f t="shared" si="0"/>
        <v>1</v>
      </c>
      <c r="G15" t="s">
        <v>283</v>
      </c>
      <c r="H15" s="51">
        <v>28</v>
      </c>
      <c r="I15" s="51">
        <v>127</v>
      </c>
    </row>
    <row r="16" spans="1:9" x14ac:dyDescent="0.25">
      <c r="A16">
        <v>21</v>
      </c>
      <c r="B16" s="51">
        <v>104</v>
      </c>
      <c r="C16" s="51">
        <v>171</v>
      </c>
      <c r="E16">
        <f t="shared" si="0"/>
        <v>1</v>
      </c>
      <c r="G16" t="s">
        <v>284</v>
      </c>
      <c r="H16" s="51">
        <v>44</v>
      </c>
      <c r="I16" s="51">
        <v>127</v>
      </c>
    </row>
    <row r="17" spans="1:9" x14ac:dyDescent="0.25">
      <c r="A17">
        <v>22</v>
      </c>
      <c r="B17" s="51">
        <v>39</v>
      </c>
      <c r="C17" s="51">
        <v>75</v>
      </c>
      <c r="E17">
        <f t="shared" si="0"/>
        <v>1</v>
      </c>
      <c r="G17" t="s">
        <v>285</v>
      </c>
      <c r="H17" s="51">
        <v>41</v>
      </c>
      <c r="I17" s="51">
        <v>127</v>
      </c>
    </row>
    <row r="18" spans="1:9" x14ac:dyDescent="0.25">
      <c r="A18">
        <v>23</v>
      </c>
      <c r="B18" s="51">
        <v>85</v>
      </c>
      <c r="C18" s="51">
        <v>155</v>
      </c>
      <c r="E18">
        <f t="shared" si="0"/>
        <v>1</v>
      </c>
      <c r="G18" t="s">
        <v>286</v>
      </c>
      <c r="H18" s="51">
        <v>15</v>
      </c>
      <c r="I18" s="51">
        <v>127</v>
      </c>
    </row>
    <row r="19" spans="1:9" x14ac:dyDescent="0.25">
      <c r="A19">
        <v>24</v>
      </c>
      <c r="B19" s="51">
        <v>54</v>
      </c>
      <c r="C19" s="51">
        <v>178</v>
      </c>
      <c r="E19">
        <f t="shared" si="0"/>
        <v>1</v>
      </c>
      <c r="G19" t="s">
        <v>287</v>
      </c>
      <c r="H19" s="51">
        <v>16</v>
      </c>
      <c r="I19" s="51">
        <v>127</v>
      </c>
    </row>
    <row r="20" spans="1:9" x14ac:dyDescent="0.25">
      <c r="A20">
        <v>25</v>
      </c>
      <c r="B20" s="51">
        <v>53</v>
      </c>
      <c r="C20" s="51">
        <v>172</v>
      </c>
      <c r="E20">
        <f t="shared" si="0"/>
        <v>1</v>
      </c>
      <c r="G20" t="s">
        <v>288</v>
      </c>
      <c r="H20">
        <v>16</v>
      </c>
      <c r="I20" s="51">
        <v>127</v>
      </c>
    </row>
    <row r="21" spans="1:9" x14ac:dyDescent="0.25">
      <c r="A21">
        <v>26</v>
      </c>
      <c r="B21" s="51">
        <v>34</v>
      </c>
      <c r="C21" s="51">
        <v>167</v>
      </c>
      <c r="E21">
        <f>+$F$21</f>
        <v>10</v>
      </c>
      <c r="F21">
        <v>10</v>
      </c>
      <c r="G21" t="s">
        <v>280</v>
      </c>
      <c r="H21" s="51">
        <v>13</v>
      </c>
      <c r="I21" s="51">
        <v>183</v>
      </c>
    </row>
    <row r="22" spans="1:9" x14ac:dyDescent="0.25">
      <c r="A22">
        <v>27</v>
      </c>
      <c r="B22" s="51">
        <v>80</v>
      </c>
      <c r="C22" s="51">
        <v>133</v>
      </c>
      <c r="E22">
        <f t="shared" ref="E22:E29" si="1">+$F$21</f>
        <v>10</v>
      </c>
      <c r="G22" t="s">
        <v>281</v>
      </c>
      <c r="H22" s="51">
        <v>4</v>
      </c>
      <c r="I22" s="51">
        <v>183</v>
      </c>
    </row>
    <row r="23" spans="1:9" x14ac:dyDescent="0.25">
      <c r="A23">
        <v>28</v>
      </c>
      <c r="B23" s="51">
        <v>92</v>
      </c>
      <c r="C23" s="51">
        <v>168</v>
      </c>
      <c r="E23">
        <f t="shared" si="1"/>
        <v>10</v>
      </c>
      <c r="G23" t="s">
        <v>282</v>
      </c>
      <c r="H23" s="51">
        <v>31</v>
      </c>
      <c r="I23" s="51">
        <v>183</v>
      </c>
    </row>
    <row r="24" spans="1:9" x14ac:dyDescent="0.25">
      <c r="A24">
        <v>3</v>
      </c>
      <c r="B24" s="51">
        <v>104</v>
      </c>
      <c r="C24" s="51">
        <v>170</v>
      </c>
      <c r="E24">
        <f t="shared" si="1"/>
        <v>10</v>
      </c>
      <c r="G24" t="s">
        <v>283</v>
      </c>
      <c r="H24" s="51">
        <v>34</v>
      </c>
      <c r="I24" s="51">
        <v>183</v>
      </c>
    </row>
    <row r="25" spans="1:9" x14ac:dyDescent="0.25">
      <c r="A25">
        <v>30</v>
      </c>
      <c r="B25" s="51">
        <v>7</v>
      </c>
      <c r="C25" s="51">
        <v>140</v>
      </c>
      <c r="E25">
        <f t="shared" si="1"/>
        <v>10</v>
      </c>
      <c r="G25" t="s">
        <v>284</v>
      </c>
      <c r="H25" s="51">
        <v>37</v>
      </c>
      <c r="I25" s="51">
        <v>183</v>
      </c>
    </row>
    <row r="26" spans="1:9" x14ac:dyDescent="0.25">
      <c r="A26">
        <v>31</v>
      </c>
      <c r="B26" s="51">
        <v>78</v>
      </c>
      <c r="C26" s="51">
        <v>162</v>
      </c>
      <c r="E26">
        <f t="shared" si="1"/>
        <v>10</v>
      </c>
      <c r="G26" t="s">
        <v>285</v>
      </c>
      <c r="H26" s="51">
        <v>22</v>
      </c>
      <c r="I26" s="51">
        <v>183</v>
      </c>
    </row>
    <row r="27" spans="1:9" x14ac:dyDescent="0.25">
      <c r="A27">
        <v>32</v>
      </c>
      <c r="B27" s="51">
        <v>23</v>
      </c>
      <c r="C27" s="51">
        <v>58</v>
      </c>
      <c r="E27">
        <f t="shared" si="1"/>
        <v>10</v>
      </c>
      <c r="G27" t="s">
        <v>286</v>
      </c>
      <c r="H27" s="51">
        <v>9</v>
      </c>
      <c r="I27" s="51">
        <v>183</v>
      </c>
    </row>
    <row r="28" spans="1:9" x14ac:dyDescent="0.25">
      <c r="A28">
        <v>33</v>
      </c>
      <c r="B28" s="51">
        <v>76</v>
      </c>
      <c r="C28" s="51">
        <v>167</v>
      </c>
      <c r="E28">
        <f t="shared" si="1"/>
        <v>10</v>
      </c>
      <c r="G28" t="s">
        <v>287</v>
      </c>
      <c r="H28" s="51">
        <v>6</v>
      </c>
      <c r="I28" s="51">
        <v>183</v>
      </c>
    </row>
    <row r="29" spans="1:9" x14ac:dyDescent="0.25">
      <c r="A29">
        <v>36</v>
      </c>
      <c r="B29" s="51">
        <v>68</v>
      </c>
      <c r="C29" s="51">
        <v>160</v>
      </c>
      <c r="E29">
        <f t="shared" si="1"/>
        <v>10</v>
      </c>
      <c r="G29" t="s">
        <v>288</v>
      </c>
      <c r="H29" s="51">
        <v>6</v>
      </c>
      <c r="I29" s="51">
        <v>183</v>
      </c>
    </row>
    <row r="30" spans="1:9" x14ac:dyDescent="0.25">
      <c r="A30">
        <v>37</v>
      </c>
      <c r="B30" s="51">
        <v>25</v>
      </c>
      <c r="C30" s="51">
        <v>142</v>
      </c>
      <c r="E30">
        <f>+$F$30</f>
        <v>100</v>
      </c>
      <c r="F30">
        <v>100</v>
      </c>
      <c r="G30" t="s">
        <v>280</v>
      </c>
      <c r="H30" s="51">
        <v>14</v>
      </c>
      <c r="I30" s="51">
        <v>2032</v>
      </c>
    </row>
    <row r="31" spans="1:9" x14ac:dyDescent="0.25">
      <c r="A31">
        <v>4</v>
      </c>
      <c r="B31" s="51">
        <v>94</v>
      </c>
      <c r="C31" s="51">
        <v>182</v>
      </c>
      <c r="E31">
        <f t="shared" ref="E31:E38" si="2">+$F$30</f>
        <v>100</v>
      </c>
      <c r="G31" t="s">
        <v>281</v>
      </c>
      <c r="H31" s="51">
        <v>16</v>
      </c>
      <c r="I31" s="51">
        <v>2032</v>
      </c>
    </row>
    <row r="32" spans="1:9" x14ac:dyDescent="0.25">
      <c r="A32">
        <v>40</v>
      </c>
      <c r="B32" s="51">
        <v>75</v>
      </c>
      <c r="C32" s="51">
        <v>251</v>
      </c>
      <c r="E32">
        <f t="shared" si="2"/>
        <v>100</v>
      </c>
      <c r="G32" t="s">
        <v>282</v>
      </c>
      <c r="H32" s="51">
        <v>9</v>
      </c>
      <c r="I32" s="51">
        <v>2032</v>
      </c>
    </row>
    <row r="33" spans="1:9" x14ac:dyDescent="0.25">
      <c r="A33">
        <v>42</v>
      </c>
      <c r="B33" s="51">
        <v>11</v>
      </c>
      <c r="C33" s="51">
        <v>52</v>
      </c>
      <c r="E33">
        <f t="shared" si="2"/>
        <v>100</v>
      </c>
      <c r="G33" t="s">
        <v>283</v>
      </c>
      <c r="H33" s="51">
        <v>12</v>
      </c>
      <c r="I33" s="51">
        <v>2032</v>
      </c>
    </row>
    <row r="34" spans="1:9" x14ac:dyDescent="0.25">
      <c r="A34">
        <v>43</v>
      </c>
      <c r="B34" s="51">
        <v>8</v>
      </c>
      <c r="C34" s="51">
        <v>93</v>
      </c>
      <c r="E34">
        <f t="shared" si="2"/>
        <v>100</v>
      </c>
      <c r="G34" t="s">
        <v>284</v>
      </c>
      <c r="H34" s="51">
        <v>17</v>
      </c>
      <c r="I34" s="51">
        <v>2032</v>
      </c>
    </row>
    <row r="35" spans="1:9" x14ac:dyDescent="0.25">
      <c r="A35">
        <v>44</v>
      </c>
      <c r="B35" s="51">
        <v>94</v>
      </c>
      <c r="C35" s="51">
        <v>174</v>
      </c>
      <c r="E35">
        <f t="shared" si="2"/>
        <v>100</v>
      </c>
      <c r="G35" t="s">
        <v>285</v>
      </c>
      <c r="H35" s="51">
        <v>12</v>
      </c>
      <c r="I35" s="51">
        <v>2032</v>
      </c>
    </row>
    <row r="36" spans="1:9" x14ac:dyDescent="0.25">
      <c r="A36">
        <v>49</v>
      </c>
      <c r="B36" s="51">
        <v>52</v>
      </c>
      <c r="C36" s="51">
        <v>244</v>
      </c>
      <c r="E36">
        <f t="shared" si="2"/>
        <v>100</v>
      </c>
      <c r="G36" t="s">
        <v>286</v>
      </c>
      <c r="H36" s="51">
        <v>11</v>
      </c>
      <c r="I36" s="51">
        <v>2032</v>
      </c>
    </row>
    <row r="37" spans="1:9" x14ac:dyDescent="0.25">
      <c r="A37">
        <v>5</v>
      </c>
      <c r="B37" s="51">
        <v>154</v>
      </c>
      <c r="C37" s="51">
        <v>261</v>
      </c>
      <c r="E37">
        <f t="shared" si="2"/>
        <v>100</v>
      </c>
      <c r="G37" t="s">
        <v>287</v>
      </c>
      <c r="H37" s="51">
        <v>5</v>
      </c>
      <c r="I37" s="51">
        <v>2032</v>
      </c>
    </row>
    <row r="38" spans="1:9" x14ac:dyDescent="0.25">
      <c r="A38">
        <v>52</v>
      </c>
      <c r="B38" s="51">
        <v>16</v>
      </c>
      <c r="C38" s="51">
        <v>102</v>
      </c>
      <c r="E38">
        <f t="shared" si="2"/>
        <v>100</v>
      </c>
      <c r="G38" t="s">
        <v>288</v>
      </c>
      <c r="H38" s="51">
        <v>2</v>
      </c>
      <c r="I38" s="51">
        <v>2032</v>
      </c>
    </row>
    <row r="39" spans="1:9" x14ac:dyDescent="0.25">
      <c r="A39">
        <v>53</v>
      </c>
      <c r="B39" s="51">
        <v>24</v>
      </c>
      <c r="C39" s="51">
        <v>105</v>
      </c>
      <c r="E39">
        <f>+$F$39</f>
        <v>11</v>
      </c>
      <c r="F39">
        <v>11</v>
      </c>
      <c r="G39" t="s">
        <v>280</v>
      </c>
      <c r="H39" s="51">
        <v>28</v>
      </c>
      <c r="I39" s="51">
        <v>171</v>
      </c>
    </row>
    <row r="40" spans="1:9" x14ac:dyDescent="0.25">
      <c r="A40">
        <v>54</v>
      </c>
      <c r="B40" s="51">
        <v>102</v>
      </c>
      <c r="C40" s="51">
        <v>197</v>
      </c>
      <c r="E40">
        <f t="shared" ref="E40:E47" si="3">+$F$39</f>
        <v>11</v>
      </c>
      <c r="G40" t="s">
        <v>281</v>
      </c>
      <c r="H40" s="51">
        <v>12</v>
      </c>
      <c r="I40" s="51">
        <v>171</v>
      </c>
    </row>
    <row r="41" spans="1:9" x14ac:dyDescent="0.25">
      <c r="A41">
        <v>56</v>
      </c>
      <c r="B41">
        <v>47</v>
      </c>
      <c r="C41" s="51">
        <v>198</v>
      </c>
      <c r="E41">
        <f t="shared" si="3"/>
        <v>11</v>
      </c>
      <c r="G41" t="s">
        <v>282</v>
      </c>
      <c r="H41" s="51">
        <v>47</v>
      </c>
      <c r="I41" s="51">
        <v>171</v>
      </c>
    </row>
    <row r="42" spans="1:9" x14ac:dyDescent="0.25">
      <c r="A42">
        <v>57</v>
      </c>
      <c r="B42" s="51">
        <v>15</v>
      </c>
      <c r="C42" s="51">
        <v>105</v>
      </c>
      <c r="E42">
        <f t="shared" si="3"/>
        <v>11</v>
      </c>
      <c r="G42" t="s">
        <v>283</v>
      </c>
      <c r="H42" s="51">
        <v>29</v>
      </c>
      <c r="I42" s="51">
        <v>171</v>
      </c>
    </row>
    <row r="43" spans="1:9" x14ac:dyDescent="0.25">
      <c r="A43">
        <v>58</v>
      </c>
      <c r="B43" s="51">
        <v>18</v>
      </c>
      <c r="C43" s="51">
        <v>122</v>
      </c>
      <c r="E43">
        <f t="shared" si="3"/>
        <v>11</v>
      </c>
      <c r="G43" t="s">
        <v>284</v>
      </c>
      <c r="H43" s="51">
        <v>58</v>
      </c>
      <c r="I43" s="51">
        <v>171</v>
      </c>
    </row>
    <row r="44" spans="1:9" x14ac:dyDescent="0.25">
      <c r="A44">
        <v>59</v>
      </c>
      <c r="B44" s="51">
        <v>33</v>
      </c>
      <c r="C44" s="51">
        <v>125</v>
      </c>
      <c r="E44">
        <f t="shared" si="3"/>
        <v>11</v>
      </c>
      <c r="G44" t="s">
        <v>285</v>
      </c>
      <c r="H44" s="51">
        <v>32</v>
      </c>
      <c r="I44" s="51">
        <v>171</v>
      </c>
    </row>
    <row r="45" spans="1:9" x14ac:dyDescent="0.25">
      <c r="A45">
        <v>7</v>
      </c>
      <c r="B45" s="51">
        <v>6</v>
      </c>
      <c r="C45" s="51">
        <v>116</v>
      </c>
      <c r="E45">
        <f t="shared" si="3"/>
        <v>11</v>
      </c>
      <c r="G45" t="s">
        <v>286</v>
      </c>
      <c r="H45" s="51">
        <v>8</v>
      </c>
      <c r="I45" s="51">
        <v>171</v>
      </c>
    </row>
    <row r="46" spans="1:9" x14ac:dyDescent="0.25">
      <c r="A46">
        <v>8</v>
      </c>
      <c r="B46" s="51">
        <v>48</v>
      </c>
      <c r="C46" s="51">
        <v>195</v>
      </c>
      <c r="E46">
        <f t="shared" si="3"/>
        <v>11</v>
      </c>
      <c r="G46" t="s">
        <v>287</v>
      </c>
      <c r="H46" s="51">
        <v>6</v>
      </c>
      <c r="I46" s="51">
        <v>171</v>
      </c>
    </row>
    <row r="47" spans="1:9" x14ac:dyDescent="0.25">
      <c r="A47">
        <v>9</v>
      </c>
      <c r="B47" s="51">
        <v>86</v>
      </c>
      <c r="C47" s="51">
        <v>156</v>
      </c>
      <c r="E47">
        <f t="shared" si="3"/>
        <v>11</v>
      </c>
      <c r="G47" t="s">
        <v>288</v>
      </c>
      <c r="H47" s="51">
        <v>6</v>
      </c>
      <c r="I47" s="51">
        <v>171</v>
      </c>
    </row>
    <row r="48" spans="1:9" x14ac:dyDescent="0.25">
      <c r="B48" s="51"/>
      <c r="C48" s="51"/>
      <c r="E48">
        <f>+$F$48</f>
        <v>12</v>
      </c>
      <c r="F48">
        <v>12</v>
      </c>
      <c r="G48" t="s">
        <v>280</v>
      </c>
      <c r="H48" s="51">
        <v>27</v>
      </c>
      <c r="I48" s="51">
        <v>214</v>
      </c>
    </row>
    <row r="49" spans="2:9" x14ac:dyDescent="0.25">
      <c r="B49" s="35"/>
      <c r="C49" s="35"/>
      <c r="E49">
        <f t="shared" ref="E49:E56" si="4">+$F$48</f>
        <v>12</v>
      </c>
      <c r="G49" t="s">
        <v>281</v>
      </c>
      <c r="H49" s="51">
        <v>23</v>
      </c>
      <c r="I49" s="51">
        <v>214</v>
      </c>
    </row>
    <row r="50" spans="2:9" x14ac:dyDescent="0.25">
      <c r="E50">
        <f t="shared" si="4"/>
        <v>12</v>
      </c>
      <c r="G50" t="s">
        <v>282</v>
      </c>
      <c r="H50" s="51">
        <v>27</v>
      </c>
      <c r="I50" s="51">
        <v>214</v>
      </c>
    </row>
    <row r="51" spans="2:9" x14ac:dyDescent="0.25">
      <c r="E51">
        <f t="shared" si="4"/>
        <v>12</v>
      </c>
      <c r="G51" t="s">
        <v>283</v>
      </c>
      <c r="H51" s="51">
        <v>36</v>
      </c>
      <c r="I51" s="51">
        <v>214</v>
      </c>
    </row>
    <row r="52" spans="2:9" x14ac:dyDescent="0.25">
      <c r="E52">
        <f t="shared" si="4"/>
        <v>12</v>
      </c>
      <c r="G52" t="s">
        <v>284</v>
      </c>
      <c r="H52" s="51">
        <v>57</v>
      </c>
      <c r="I52" s="51">
        <v>214</v>
      </c>
    </row>
    <row r="53" spans="2:9" x14ac:dyDescent="0.25">
      <c r="E53">
        <f t="shared" si="4"/>
        <v>12</v>
      </c>
      <c r="G53" t="s">
        <v>285</v>
      </c>
      <c r="H53" s="51">
        <v>38</v>
      </c>
      <c r="I53" s="51">
        <v>214</v>
      </c>
    </row>
    <row r="54" spans="2:9" x14ac:dyDescent="0.25">
      <c r="E54">
        <f t="shared" si="4"/>
        <v>12</v>
      </c>
      <c r="G54" t="s">
        <v>286</v>
      </c>
      <c r="H54" s="51">
        <v>13</v>
      </c>
      <c r="I54" s="51">
        <v>214</v>
      </c>
    </row>
    <row r="55" spans="2:9" x14ac:dyDescent="0.25">
      <c r="E55">
        <f t="shared" si="4"/>
        <v>12</v>
      </c>
      <c r="G55" t="s">
        <v>287</v>
      </c>
      <c r="H55" s="51">
        <v>7</v>
      </c>
      <c r="I55" s="51">
        <v>214</v>
      </c>
    </row>
    <row r="56" spans="2:9" x14ac:dyDescent="0.25">
      <c r="E56">
        <f t="shared" si="4"/>
        <v>12</v>
      </c>
      <c r="G56" t="s">
        <v>288</v>
      </c>
      <c r="H56" s="51">
        <v>15</v>
      </c>
      <c r="I56" s="51">
        <v>214</v>
      </c>
    </row>
    <row r="57" spans="2:9" x14ac:dyDescent="0.25">
      <c r="E57">
        <f>+$F$57</f>
        <v>123</v>
      </c>
      <c r="F57">
        <v>123</v>
      </c>
      <c r="G57" t="s">
        <v>280</v>
      </c>
      <c r="H57" s="51">
        <v>14</v>
      </c>
      <c r="I57" s="51">
        <v>491</v>
      </c>
    </row>
    <row r="58" spans="2:9" x14ac:dyDescent="0.25">
      <c r="E58">
        <f t="shared" ref="E58:E65" si="5">+$F$57</f>
        <v>123</v>
      </c>
      <c r="G58" t="s">
        <v>281</v>
      </c>
      <c r="H58" s="51">
        <v>19</v>
      </c>
      <c r="I58" s="51">
        <v>491</v>
      </c>
    </row>
    <row r="59" spans="2:9" x14ac:dyDescent="0.25">
      <c r="E59">
        <f t="shared" si="5"/>
        <v>123</v>
      </c>
      <c r="G59" t="s">
        <v>282</v>
      </c>
      <c r="H59" s="51">
        <v>13</v>
      </c>
      <c r="I59" s="51">
        <v>491</v>
      </c>
    </row>
    <row r="60" spans="2:9" x14ac:dyDescent="0.25">
      <c r="E60">
        <f t="shared" si="5"/>
        <v>123</v>
      </c>
      <c r="G60" t="s">
        <v>283</v>
      </c>
      <c r="H60" s="51">
        <v>10</v>
      </c>
      <c r="I60" s="51">
        <v>491</v>
      </c>
    </row>
    <row r="61" spans="2:9" x14ac:dyDescent="0.25">
      <c r="E61">
        <f t="shared" si="5"/>
        <v>123</v>
      </c>
      <c r="G61" t="s">
        <v>284</v>
      </c>
      <c r="H61" s="51">
        <v>16</v>
      </c>
      <c r="I61" s="51">
        <v>491</v>
      </c>
    </row>
    <row r="62" spans="2:9" x14ac:dyDescent="0.25">
      <c r="E62">
        <f t="shared" si="5"/>
        <v>123</v>
      </c>
      <c r="G62" t="s">
        <v>285</v>
      </c>
      <c r="H62" s="51">
        <v>11</v>
      </c>
      <c r="I62" s="51">
        <v>491</v>
      </c>
    </row>
    <row r="63" spans="2:9" x14ac:dyDescent="0.25">
      <c r="E63">
        <f t="shared" si="5"/>
        <v>123</v>
      </c>
      <c r="G63" t="s">
        <v>286</v>
      </c>
      <c r="H63" s="51">
        <v>6</v>
      </c>
      <c r="I63" s="51">
        <v>491</v>
      </c>
    </row>
    <row r="64" spans="2:9" x14ac:dyDescent="0.25">
      <c r="E64">
        <f t="shared" si="5"/>
        <v>123</v>
      </c>
      <c r="G64" t="s">
        <v>287</v>
      </c>
      <c r="H64" s="51">
        <v>3</v>
      </c>
      <c r="I64" s="51">
        <v>491</v>
      </c>
    </row>
    <row r="65" spans="5:9" x14ac:dyDescent="0.25">
      <c r="E65">
        <f t="shared" si="5"/>
        <v>123</v>
      </c>
      <c r="G65" t="s">
        <v>288</v>
      </c>
      <c r="H65" s="51">
        <v>4</v>
      </c>
      <c r="I65" s="51">
        <v>491</v>
      </c>
    </row>
    <row r="66" spans="5:9" x14ac:dyDescent="0.25">
      <c r="E66">
        <f>+$F$66</f>
        <v>15</v>
      </c>
      <c r="F66">
        <v>15</v>
      </c>
      <c r="G66" t="s">
        <v>280</v>
      </c>
      <c r="H66" s="51">
        <v>15</v>
      </c>
      <c r="I66" s="51">
        <v>65</v>
      </c>
    </row>
    <row r="67" spans="5:9" x14ac:dyDescent="0.25">
      <c r="E67">
        <f t="shared" ref="E67:E74" si="6">+$F$66</f>
        <v>15</v>
      </c>
      <c r="G67" t="s">
        <v>281</v>
      </c>
      <c r="H67" s="51">
        <v>3</v>
      </c>
      <c r="I67" s="51">
        <v>65</v>
      </c>
    </row>
    <row r="68" spans="5:9" x14ac:dyDescent="0.25">
      <c r="E68">
        <f t="shared" si="6"/>
        <v>15</v>
      </c>
      <c r="G68" t="s">
        <v>282</v>
      </c>
      <c r="H68" s="51">
        <v>9</v>
      </c>
      <c r="I68" s="51">
        <v>65</v>
      </c>
    </row>
    <row r="69" spans="5:9" x14ac:dyDescent="0.25">
      <c r="E69">
        <f t="shared" si="6"/>
        <v>15</v>
      </c>
      <c r="G69" t="s">
        <v>283</v>
      </c>
      <c r="H69" s="51">
        <v>10</v>
      </c>
      <c r="I69" s="51">
        <v>65</v>
      </c>
    </row>
    <row r="70" spans="5:9" x14ac:dyDescent="0.25">
      <c r="E70">
        <f t="shared" si="6"/>
        <v>15</v>
      </c>
      <c r="G70" t="s">
        <v>284</v>
      </c>
      <c r="H70" s="51">
        <v>18</v>
      </c>
      <c r="I70" s="51">
        <v>65</v>
      </c>
    </row>
    <row r="71" spans="5:9" x14ac:dyDescent="0.25">
      <c r="E71">
        <f t="shared" si="6"/>
        <v>15</v>
      </c>
      <c r="G71" t="s">
        <v>285</v>
      </c>
      <c r="H71" s="51">
        <v>8</v>
      </c>
      <c r="I71" s="51">
        <v>65</v>
      </c>
    </row>
    <row r="72" spans="5:9" x14ac:dyDescent="0.25">
      <c r="E72">
        <f t="shared" si="6"/>
        <v>15</v>
      </c>
      <c r="G72" t="s">
        <v>286</v>
      </c>
      <c r="H72" s="51">
        <v>7</v>
      </c>
      <c r="I72" s="51">
        <v>65</v>
      </c>
    </row>
    <row r="73" spans="5:9" x14ac:dyDescent="0.25">
      <c r="E73">
        <f t="shared" si="6"/>
        <v>15</v>
      </c>
      <c r="G73" t="s">
        <v>287</v>
      </c>
      <c r="H73" s="51">
        <v>5</v>
      </c>
      <c r="I73" s="51">
        <v>65</v>
      </c>
    </row>
    <row r="74" spans="5:9" x14ac:dyDescent="0.25">
      <c r="E74">
        <f t="shared" si="6"/>
        <v>15</v>
      </c>
      <c r="G74" t="s">
        <v>288</v>
      </c>
      <c r="H74" s="51">
        <v>3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280</v>
      </c>
      <c r="H75" s="51">
        <v>18</v>
      </c>
      <c r="I75" s="51">
        <v>199</v>
      </c>
    </row>
    <row r="76" spans="5:9" x14ac:dyDescent="0.25">
      <c r="E76">
        <f t="shared" ref="E76:E83" si="7">+$F$75</f>
        <v>16</v>
      </c>
      <c r="G76" t="s">
        <v>281</v>
      </c>
      <c r="H76">
        <v>10</v>
      </c>
      <c r="I76" s="51">
        <v>199</v>
      </c>
    </row>
    <row r="77" spans="5:9" x14ac:dyDescent="0.25">
      <c r="E77">
        <f t="shared" si="7"/>
        <v>16</v>
      </c>
      <c r="G77" t="s">
        <v>282</v>
      </c>
      <c r="H77" s="51">
        <v>39</v>
      </c>
      <c r="I77" s="51">
        <v>199</v>
      </c>
    </row>
    <row r="78" spans="5:9" x14ac:dyDescent="0.25">
      <c r="E78">
        <f t="shared" si="7"/>
        <v>16</v>
      </c>
      <c r="G78" t="s">
        <v>283</v>
      </c>
      <c r="H78" s="51">
        <v>32</v>
      </c>
      <c r="I78" s="51">
        <v>199</v>
      </c>
    </row>
    <row r="79" spans="5:9" x14ac:dyDescent="0.25">
      <c r="E79">
        <f t="shared" si="7"/>
        <v>16</v>
      </c>
      <c r="G79" t="s">
        <v>284</v>
      </c>
      <c r="H79" s="51">
        <v>52</v>
      </c>
      <c r="I79" s="51">
        <v>199</v>
      </c>
    </row>
    <row r="80" spans="5:9" x14ac:dyDescent="0.25">
      <c r="E80">
        <f t="shared" si="7"/>
        <v>16</v>
      </c>
      <c r="G80" t="s">
        <v>285</v>
      </c>
      <c r="H80" s="51">
        <v>40</v>
      </c>
      <c r="I80" s="51">
        <v>199</v>
      </c>
    </row>
    <row r="81" spans="5:9" x14ac:dyDescent="0.25">
      <c r="E81">
        <f t="shared" si="7"/>
        <v>16</v>
      </c>
      <c r="G81" t="s">
        <v>286</v>
      </c>
      <c r="H81" s="51">
        <v>6</v>
      </c>
      <c r="I81" s="51">
        <v>199</v>
      </c>
    </row>
    <row r="82" spans="5:9" x14ac:dyDescent="0.25">
      <c r="E82">
        <f t="shared" si="7"/>
        <v>16</v>
      </c>
      <c r="G82" t="s">
        <v>287</v>
      </c>
      <c r="H82" s="51">
        <v>17</v>
      </c>
      <c r="I82" s="51">
        <v>199</v>
      </c>
    </row>
    <row r="83" spans="5:9" x14ac:dyDescent="0.25">
      <c r="E83">
        <f t="shared" si="7"/>
        <v>16</v>
      </c>
      <c r="G83" t="s">
        <v>288</v>
      </c>
      <c r="H83" s="51">
        <v>7</v>
      </c>
      <c r="I83" s="51">
        <v>199</v>
      </c>
    </row>
    <row r="84" spans="5:9" x14ac:dyDescent="0.25">
      <c r="E84">
        <f>+$F$84</f>
        <v>18</v>
      </c>
      <c r="F84">
        <v>18</v>
      </c>
      <c r="G84" t="s">
        <v>280</v>
      </c>
      <c r="H84" s="51">
        <v>25</v>
      </c>
      <c r="I84" s="51">
        <v>181</v>
      </c>
    </row>
    <row r="85" spans="5:9" x14ac:dyDescent="0.25">
      <c r="E85">
        <f t="shared" ref="E85:E92" si="8">+$F$84</f>
        <v>18</v>
      </c>
      <c r="G85" t="s">
        <v>281</v>
      </c>
      <c r="H85" s="51">
        <v>20</v>
      </c>
      <c r="I85" s="51">
        <v>181</v>
      </c>
    </row>
    <row r="86" spans="5:9" x14ac:dyDescent="0.25">
      <c r="E86">
        <f t="shared" si="8"/>
        <v>18</v>
      </c>
      <c r="G86" t="s">
        <v>282</v>
      </c>
      <c r="H86" s="51">
        <v>29</v>
      </c>
      <c r="I86" s="51">
        <v>181</v>
      </c>
    </row>
    <row r="87" spans="5:9" x14ac:dyDescent="0.25">
      <c r="E87">
        <f t="shared" si="8"/>
        <v>18</v>
      </c>
      <c r="G87" t="s">
        <v>283</v>
      </c>
      <c r="H87" s="51">
        <v>33</v>
      </c>
      <c r="I87" s="51">
        <v>181</v>
      </c>
    </row>
    <row r="88" spans="5:9" x14ac:dyDescent="0.25">
      <c r="E88">
        <f t="shared" si="8"/>
        <v>18</v>
      </c>
      <c r="G88" t="s">
        <v>284</v>
      </c>
      <c r="H88" s="51">
        <v>61</v>
      </c>
      <c r="I88" s="51">
        <v>181</v>
      </c>
    </row>
    <row r="89" spans="5:9" x14ac:dyDescent="0.25">
      <c r="E89">
        <f t="shared" si="8"/>
        <v>18</v>
      </c>
      <c r="G89" t="s">
        <v>285</v>
      </c>
      <c r="H89" s="51">
        <v>44</v>
      </c>
      <c r="I89" s="51">
        <v>181</v>
      </c>
    </row>
    <row r="90" spans="5:9" x14ac:dyDescent="0.25">
      <c r="E90">
        <f t="shared" si="8"/>
        <v>18</v>
      </c>
      <c r="G90" t="s">
        <v>286</v>
      </c>
      <c r="H90" s="51">
        <v>11</v>
      </c>
      <c r="I90" s="51">
        <v>181</v>
      </c>
    </row>
    <row r="91" spans="5:9" x14ac:dyDescent="0.25">
      <c r="E91">
        <f t="shared" si="8"/>
        <v>18</v>
      </c>
      <c r="G91" t="s">
        <v>287</v>
      </c>
      <c r="H91" s="51">
        <v>16</v>
      </c>
      <c r="I91" s="51">
        <v>181</v>
      </c>
    </row>
    <row r="92" spans="5:9" x14ac:dyDescent="0.25">
      <c r="E92">
        <f t="shared" si="8"/>
        <v>18</v>
      </c>
      <c r="G92" t="s">
        <v>288</v>
      </c>
      <c r="H92" s="51">
        <v>21</v>
      </c>
      <c r="I92" s="51">
        <v>181</v>
      </c>
    </row>
    <row r="93" spans="5:9" x14ac:dyDescent="0.25">
      <c r="E93">
        <f>+$F$93</f>
        <v>19</v>
      </c>
      <c r="F93">
        <v>19</v>
      </c>
      <c r="G93" t="s">
        <v>280</v>
      </c>
      <c r="H93" s="51">
        <v>31</v>
      </c>
      <c r="I93" s="51">
        <v>208</v>
      </c>
    </row>
    <row r="94" spans="5:9" x14ac:dyDescent="0.25">
      <c r="E94">
        <f t="shared" ref="E94:E101" si="9">+$F$93</f>
        <v>19</v>
      </c>
      <c r="G94" t="s">
        <v>281</v>
      </c>
      <c r="H94" s="51">
        <v>15</v>
      </c>
      <c r="I94" s="51">
        <v>208</v>
      </c>
    </row>
    <row r="95" spans="5:9" x14ac:dyDescent="0.25">
      <c r="E95">
        <f t="shared" si="9"/>
        <v>19</v>
      </c>
      <c r="G95" t="s">
        <v>282</v>
      </c>
      <c r="H95" s="51">
        <v>49</v>
      </c>
      <c r="I95" s="51">
        <v>208</v>
      </c>
    </row>
    <row r="96" spans="5:9" x14ac:dyDescent="0.25">
      <c r="E96">
        <f t="shared" si="9"/>
        <v>19</v>
      </c>
      <c r="G96" t="s">
        <v>283</v>
      </c>
      <c r="H96" s="51">
        <v>36</v>
      </c>
      <c r="I96" s="51">
        <v>208</v>
      </c>
    </row>
    <row r="97" spans="5:9" x14ac:dyDescent="0.25">
      <c r="E97">
        <f t="shared" si="9"/>
        <v>19</v>
      </c>
      <c r="G97" t="s">
        <v>284</v>
      </c>
      <c r="H97" s="51">
        <v>65</v>
      </c>
      <c r="I97" s="51">
        <v>208</v>
      </c>
    </row>
    <row r="98" spans="5:9" x14ac:dyDescent="0.25">
      <c r="E98">
        <f t="shared" si="9"/>
        <v>19</v>
      </c>
      <c r="G98" t="s">
        <v>285</v>
      </c>
      <c r="H98" s="51">
        <v>47</v>
      </c>
      <c r="I98" s="51">
        <v>208</v>
      </c>
    </row>
    <row r="99" spans="5:9" x14ac:dyDescent="0.25">
      <c r="E99">
        <f t="shared" si="9"/>
        <v>19</v>
      </c>
      <c r="G99" t="s">
        <v>286</v>
      </c>
      <c r="H99" s="51">
        <v>8</v>
      </c>
      <c r="I99" s="51">
        <v>208</v>
      </c>
    </row>
    <row r="100" spans="5:9" x14ac:dyDescent="0.25">
      <c r="E100">
        <f t="shared" si="9"/>
        <v>19</v>
      </c>
      <c r="G100" t="s">
        <v>287</v>
      </c>
      <c r="H100" s="51">
        <v>19</v>
      </c>
      <c r="I100" s="51">
        <v>208</v>
      </c>
    </row>
    <row r="101" spans="5:9" x14ac:dyDescent="0.25">
      <c r="E101">
        <f t="shared" si="9"/>
        <v>19</v>
      </c>
      <c r="G101" t="s">
        <v>288</v>
      </c>
      <c r="H101" s="51">
        <v>14</v>
      </c>
      <c r="I101" s="51">
        <v>208</v>
      </c>
    </row>
    <row r="102" spans="5:9" x14ac:dyDescent="0.25">
      <c r="E102">
        <f>+$F$102</f>
        <v>2</v>
      </c>
      <c r="F102">
        <v>2</v>
      </c>
      <c r="G102" t="s">
        <v>280</v>
      </c>
      <c r="H102" s="51">
        <v>11</v>
      </c>
      <c r="I102" s="51">
        <v>118</v>
      </c>
    </row>
    <row r="103" spans="5:9" x14ac:dyDescent="0.25">
      <c r="E103">
        <f t="shared" ref="E103:E110" si="10">+$F$102</f>
        <v>2</v>
      </c>
      <c r="G103" t="s">
        <v>281</v>
      </c>
      <c r="H103" s="51">
        <v>8</v>
      </c>
      <c r="I103" s="51">
        <v>118</v>
      </c>
    </row>
    <row r="104" spans="5:9" x14ac:dyDescent="0.25">
      <c r="E104">
        <f t="shared" si="10"/>
        <v>2</v>
      </c>
      <c r="G104" t="s">
        <v>282</v>
      </c>
      <c r="H104" s="51">
        <v>23</v>
      </c>
      <c r="I104" s="51">
        <v>118</v>
      </c>
    </row>
    <row r="105" spans="5:9" x14ac:dyDescent="0.25">
      <c r="E105">
        <f t="shared" si="10"/>
        <v>2</v>
      </c>
      <c r="G105" t="s">
        <v>283</v>
      </c>
      <c r="H105" s="51">
        <v>25</v>
      </c>
      <c r="I105" s="51">
        <v>118</v>
      </c>
    </row>
    <row r="106" spans="5:9" x14ac:dyDescent="0.25">
      <c r="E106">
        <f t="shared" si="10"/>
        <v>2</v>
      </c>
      <c r="G106" t="s">
        <v>284</v>
      </c>
      <c r="H106" s="51">
        <v>40</v>
      </c>
      <c r="I106" s="51">
        <v>118</v>
      </c>
    </row>
    <row r="107" spans="5:9" x14ac:dyDescent="0.25">
      <c r="E107">
        <f t="shared" si="10"/>
        <v>2</v>
      </c>
      <c r="G107" t="s">
        <v>285</v>
      </c>
      <c r="H107" s="51">
        <v>20</v>
      </c>
      <c r="I107" s="51">
        <v>118</v>
      </c>
    </row>
    <row r="108" spans="5:9" x14ac:dyDescent="0.25">
      <c r="E108">
        <f t="shared" si="10"/>
        <v>2</v>
      </c>
      <c r="G108" t="s">
        <v>286</v>
      </c>
      <c r="H108" s="51">
        <v>8</v>
      </c>
      <c r="I108" s="51">
        <v>118</v>
      </c>
    </row>
    <row r="109" spans="5:9" x14ac:dyDescent="0.25">
      <c r="E109">
        <f t="shared" si="10"/>
        <v>2</v>
      </c>
      <c r="G109" t="s">
        <v>287</v>
      </c>
      <c r="H109" s="51">
        <v>8</v>
      </c>
      <c r="I109" s="51">
        <v>118</v>
      </c>
    </row>
    <row r="110" spans="5:9" x14ac:dyDescent="0.25">
      <c r="E110">
        <f t="shared" si="10"/>
        <v>2</v>
      </c>
      <c r="G110" t="s">
        <v>288</v>
      </c>
      <c r="H110" s="51">
        <v>13</v>
      </c>
      <c r="I110" s="51">
        <v>118</v>
      </c>
    </row>
    <row r="111" spans="5:9" x14ac:dyDescent="0.25">
      <c r="E111">
        <f>+$F$111</f>
        <v>20</v>
      </c>
      <c r="F111">
        <v>20</v>
      </c>
      <c r="G111" t="s">
        <v>280</v>
      </c>
      <c r="H111" s="51">
        <v>29</v>
      </c>
      <c r="I111" s="51">
        <v>227</v>
      </c>
    </row>
    <row r="112" spans="5:9" x14ac:dyDescent="0.25">
      <c r="E112">
        <f t="shared" ref="E112:E119" si="11">+$F$111</f>
        <v>20</v>
      </c>
      <c r="G112" t="s">
        <v>281</v>
      </c>
      <c r="H112" s="51">
        <v>26</v>
      </c>
      <c r="I112" s="51">
        <v>227</v>
      </c>
    </row>
    <row r="113" spans="5:9" x14ac:dyDescent="0.25">
      <c r="E113">
        <f t="shared" si="11"/>
        <v>20</v>
      </c>
      <c r="G113" t="s">
        <v>282</v>
      </c>
      <c r="H113" s="51">
        <v>47</v>
      </c>
      <c r="I113" s="51">
        <v>227</v>
      </c>
    </row>
    <row r="114" spans="5:9" x14ac:dyDescent="0.25">
      <c r="E114">
        <f t="shared" si="11"/>
        <v>20</v>
      </c>
      <c r="G114" t="s">
        <v>283</v>
      </c>
      <c r="H114" s="51">
        <v>50</v>
      </c>
      <c r="I114" s="51">
        <v>227</v>
      </c>
    </row>
    <row r="115" spans="5:9" x14ac:dyDescent="0.25">
      <c r="E115">
        <f t="shared" si="11"/>
        <v>20</v>
      </c>
      <c r="G115" t="s">
        <v>284</v>
      </c>
      <c r="H115" s="51">
        <v>90</v>
      </c>
      <c r="I115" s="51">
        <v>227</v>
      </c>
    </row>
    <row r="116" spans="5:9" x14ac:dyDescent="0.25">
      <c r="E116">
        <f t="shared" si="11"/>
        <v>20</v>
      </c>
      <c r="G116" t="s">
        <v>285</v>
      </c>
      <c r="H116">
        <v>63</v>
      </c>
      <c r="I116" s="51">
        <v>227</v>
      </c>
    </row>
    <row r="117" spans="5:9" x14ac:dyDescent="0.25">
      <c r="E117">
        <f t="shared" si="11"/>
        <v>20</v>
      </c>
      <c r="G117" t="s">
        <v>286</v>
      </c>
      <c r="H117" s="51">
        <v>10</v>
      </c>
      <c r="I117" s="51">
        <v>227</v>
      </c>
    </row>
    <row r="118" spans="5:9" x14ac:dyDescent="0.25">
      <c r="E118">
        <f t="shared" si="11"/>
        <v>20</v>
      </c>
      <c r="G118" t="s">
        <v>287</v>
      </c>
      <c r="H118" s="51">
        <v>19</v>
      </c>
      <c r="I118" s="51">
        <v>227</v>
      </c>
    </row>
    <row r="119" spans="5:9" x14ac:dyDescent="0.25">
      <c r="E119">
        <f t="shared" si="11"/>
        <v>20</v>
      </c>
      <c r="G119" t="s">
        <v>288</v>
      </c>
      <c r="H119" s="51">
        <v>12</v>
      </c>
      <c r="I119" s="51">
        <v>227</v>
      </c>
    </row>
    <row r="120" spans="5:9" x14ac:dyDescent="0.25">
      <c r="E120">
        <f>+$F$120</f>
        <v>21</v>
      </c>
      <c r="F120">
        <v>21</v>
      </c>
      <c r="G120" t="s">
        <v>280</v>
      </c>
      <c r="H120" s="51">
        <v>29</v>
      </c>
      <c r="I120" s="51">
        <v>171</v>
      </c>
    </row>
    <row r="121" spans="5:9" x14ac:dyDescent="0.25">
      <c r="E121">
        <f t="shared" ref="E121:E128" si="12">+$F$120</f>
        <v>21</v>
      </c>
      <c r="G121" t="s">
        <v>281</v>
      </c>
      <c r="H121" s="51">
        <v>22</v>
      </c>
      <c r="I121" s="51">
        <v>171</v>
      </c>
    </row>
    <row r="122" spans="5:9" x14ac:dyDescent="0.25">
      <c r="E122">
        <f t="shared" si="12"/>
        <v>21</v>
      </c>
      <c r="G122" t="s">
        <v>282</v>
      </c>
      <c r="H122" s="51">
        <v>51</v>
      </c>
      <c r="I122" s="51">
        <v>171</v>
      </c>
    </row>
    <row r="123" spans="5:9" x14ac:dyDescent="0.25">
      <c r="E123">
        <f t="shared" si="12"/>
        <v>21</v>
      </c>
      <c r="G123" t="s">
        <v>283</v>
      </c>
      <c r="H123" s="51">
        <v>43</v>
      </c>
      <c r="I123" s="51">
        <v>171</v>
      </c>
    </row>
    <row r="124" spans="5:9" x14ac:dyDescent="0.25">
      <c r="E124">
        <f t="shared" si="12"/>
        <v>21</v>
      </c>
      <c r="G124" t="s">
        <v>284</v>
      </c>
      <c r="H124">
        <v>83</v>
      </c>
      <c r="I124" s="51">
        <v>171</v>
      </c>
    </row>
    <row r="125" spans="5:9" x14ac:dyDescent="0.25">
      <c r="E125">
        <f t="shared" si="12"/>
        <v>21</v>
      </c>
      <c r="G125" t="s">
        <v>285</v>
      </c>
      <c r="H125" s="51">
        <v>46</v>
      </c>
      <c r="I125" s="51">
        <v>171</v>
      </c>
    </row>
    <row r="126" spans="5:9" x14ac:dyDescent="0.25">
      <c r="E126">
        <f t="shared" si="12"/>
        <v>21</v>
      </c>
      <c r="G126" t="s">
        <v>286</v>
      </c>
      <c r="H126" s="51">
        <v>13</v>
      </c>
      <c r="I126" s="51">
        <v>171</v>
      </c>
    </row>
    <row r="127" spans="5:9" x14ac:dyDescent="0.25">
      <c r="E127">
        <f t="shared" si="12"/>
        <v>21</v>
      </c>
      <c r="G127" t="s">
        <v>287</v>
      </c>
      <c r="H127" s="51">
        <v>13</v>
      </c>
      <c r="I127" s="51">
        <v>171</v>
      </c>
    </row>
    <row r="128" spans="5:9" x14ac:dyDescent="0.25">
      <c r="E128">
        <f t="shared" si="12"/>
        <v>21</v>
      </c>
      <c r="G128" t="s">
        <v>288</v>
      </c>
      <c r="H128" s="51">
        <v>14</v>
      </c>
      <c r="I128" s="51">
        <v>171</v>
      </c>
    </row>
    <row r="129" spans="5:9" x14ac:dyDescent="0.25">
      <c r="E129">
        <f>+$F$129</f>
        <v>22</v>
      </c>
      <c r="F129">
        <v>22</v>
      </c>
      <c r="G129" t="s">
        <v>280</v>
      </c>
      <c r="H129" s="51">
        <v>24</v>
      </c>
      <c r="I129" s="51">
        <v>75</v>
      </c>
    </row>
    <row r="130" spans="5:9" x14ac:dyDescent="0.25">
      <c r="E130">
        <f t="shared" ref="E130:E137" si="13">+$F$129</f>
        <v>22</v>
      </c>
      <c r="G130" t="s">
        <v>281</v>
      </c>
      <c r="H130" s="51">
        <v>15</v>
      </c>
      <c r="I130" s="51">
        <v>75</v>
      </c>
    </row>
    <row r="131" spans="5:9" x14ac:dyDescent="0.25">
      <c r="E131">
        <f t="shared" si="13"/>
        <v>22</v>
      </c>
      <c r="G131" t="s">
        <v>282</v>
      </c>
      <c r="H131" s="51">
        <v>15</v>
      </c>
      <c r="I131" s="51">
        <v>75</v>
      </c>
    </row>
    <row r="132" spans="5:9" x14ac:dyDescent="0.25">
      <c r="E132">
        <f t="shared" si="13"/>
        <v>22</v>
      </c>
      <c r="G132" t="s">
        <v>283</v>
      </c>
      <c r="H132" s="51">
        <v>29</v>
      </c>
      <c r="I132" s="51">
        <v>75</v>
      </c>
    </row>
    <row r="133" spans="5:9" x14ac:dyDescent="0.25">
      <c r="E133">
        <f t="shared" si="13"/>
        <v>22</v>
      </c>
      <c r="G133" t="s">
        <v>284</v>
      </c>
      <c r="H133" s="51">
        <v>34</v>
      </c>
      <c r="I133" s="51">
        <v>75</v>
      </c>
    </row>
    <row r="134" spans="5:9" x14ac:dyDescent="0.25">
      <c r="E134">
        <f t="shared" si="13"/>
        <v>22</v>
      </c>
      <c r="G134" t="s">
        <v>285</v>
      </c>
      <c r="H134" s="51">
        <v>20</v>
      </c>
      <c r="I134" s="51">
        <v>75</v>
      </c>
    </row>
    <row r="135" spans="5:9" x14ac:dyDescent="0.25">
      <c r="E135">
        <f t="shared" si="13"/>
        <v>22</v>
      </c>
      <c r="G135" t="s">
        <v>286</v>
      </c>
      <c r="H135" s="51">
        <v>32</v>
      </c>
      <c r="I135" s="51">
        <v>75</v>
      </c>
    </row>
    <row r="136" spans="5:9" x14ac:dyDescent="0.25">
      <c r="E136">
        <f t="shared" si="13"/>
        <v>22</v>
      </c>
      <c r="G136" t="s">
        <v>287</v>
      </c>
      <c r="H136" s="51">
        <v>9</v>
      </c>
      <c r="I136" s="51">
        <v>75</v>
      </c>
    </row>
    <row r="137" spans="5:9" x14ac:dyDescent="0.25">
      <c r="E137">
        <f t="shared" si="13"/>
        <v>22</v>
      </c>
      <c r="G137" t="s">
        <v>288</v>
      </c>
      <c r="H137" s="51">
        <v>13</v>
      </c>
      <c r="I137" s="51">
        <v>75</v>
      </c>
    </row>
    <row r="138" spans="5:9" x14ac:dyDescent="0.25">
      <c r="E138">
        <f>+$F$138</f>
        <v>23</v>
      </c>
      <c r="F138">
        <v>23</v>
      </c>
      <c r="G138" t="s">
        <v>280</v>
      </c>
      <c r="H138" s="51">
        <v>25</v>
      </c>
      <c r="I138" s="51">
        <v>155</v>
      </c>
    </row>
    <row r="139" spans="5:9" x14ac:dyDescent="0.25">
      <c r="E139">
        <f t="shared" ref="E139:E146" si="14">+$F$138</f>
        <v>23</v>
      </c>
      <c r="G139" t="s">
        <v>281</v>
      </c>
      <c r="H139" s="51">
        <v>16</v>
      </c>
      <c r="I139" s="51">
        <v>155</v>
      </c>
    </row>
    <row r="140" spans="5:9" x14ac:dyDescent="0.25">
      <c r="E140">
        <f t="shared" si="14"/>
        <v>23</v>
      </c>
      <c r="G140" t="s">
        <v>282</v>
      </c>
      <c r="H140">
        <v>36</v>
      </c>
      <c r="I140" s="51">
        <v>155</v>
      </c>
    </row>
    <row r="141" spans="5:9" x14ac:dyDescent="0.25">
      <c r="E141">
        <f t="shared" si="14"/>
        <v>23</v>
      </c>
      <c r="G141" t="s">
        <v>283</v>
      </c>
      <c r="H141" s="51">
        <v>18</v>
      </c>
      <c r="I141" s="51">
        <v>155</v>
      </c>
    </row>
    <row r="142" spans="5:9" x14ac:dyDescent="0.25">
      <c r="E142">
        <f t="shared" si="14"/>
        <v>23</v>
      </c>
      <c r="G142" t="s">
        <v>284</v>
      </c>
      <c r="H142" s="51">
        <v>59</v>
      </c>
      <c r="I142" s="51">
        <v>155</v>
      </c>
    </row>
    <row r="143" spans="5:9" x14ac:dyDescent="0.25">
      <c r="E143">
        <f t="shared" si="14"/>
        <v>23</v>
      </c>
      <c r="G143" t="s">
        <v>285</v>
      </c>
      <c r="H143" s="51">
        <v>36</v>
      </c>
      <c r="I143" s="51">
        <v>155</v>
      </c>
    </row>
    <row r="144" spans="5:9" x14ac:dyDescent="0.25">
      <c r="E144">
        <f t="shared" si="14"/>
        <v>23</v>
      </c>
      <c r="G144" t="s">
        <v>286</v>
      </c>
      <c r="H144" s="51">
        <v>3</v>
      </c>
      <c r="I144" s="51">
        <v>155</v>
      </c>
    </row>
    <row r="145" spans="5:9" x14ac:dyDescent="0.25">
      <c r="E145">
        <f t="shared" si="14"/>
        <v>23</v>
      </c>
      <c r="G145" t="s">
        <v>287</v>
      </c>
      <c r="H145" s="51">
        <v>11</v>
      </c>
      <c r="I145" s="51">
        <v>155</v>
      </c>
    </row>
    <row r="146" spans="5:9" x14ac:dyDescent="0.25">
      <c r="E146">
        <f t="shared" si="14"/>
        <v>23</v>
      </c>
      <c r="G146" t="s">
        <v>288</v>
      </c>
      <c r="H146" s="51">
        <v>4</v>
      </c>
      <c r="I146" s="51">
        <v>155</v>
      </c>
    </row>
    <row r="147" spans="5:9" x14ac:dyDescent="0.25">
      <c r="E147">
        <f>+$F$147</f>
        <v>24</v>
      </c>
      <c r="F147">
        <v>24</v>
      </c>
      <c r="G147" t="s">
        <v>280</v>
      </c>
      <c r="H147" s="51">
        <v>11</v>
      </c>
      <c r="I147" s="51">
        <v>178</v>
      </c>
    </row>
    <row r="148" spans="5:9" x14ac:dyDescent="0.25">
      <c r="E148">
        <f t="shared" ref="E148:E155" si="15">+$F$147</f>
        <v>24</v>
      </c>
      <c r="G148" t="s">
        <v>281</v>
      </c>
      <c r="H148">
        <v>5</v>
      </c>
      <c r="I148" s="51">
        <v>178</v>
      </c>
    </row>
    <row r="149" spans="5:9" x14ac:dyDescent="0.25">
      <c r="E149">
        <f t="shared" si="15"/>
        <v>24</v>
      </c>
      <c r="G149" t="s">
        <v>282</v>
      </c>
      <c r="H149" s="51">
        <v>22</v>
      </c>
      <c r="I149" s="51">
        <v>178</v>
      </c>
    </row>
    <row r="150" spans="5:9" x14ac:dyDescent="0.25">
      <c r="E150">
        <f t="shared" si="15"/>
        <v>24</v>
      </c>
      <c r="G150" t="s">
        <v>283</v>
      </c>
      <c r="H150" s="51">
        <v>17</v>
      </c>
      <c r="I150" s="51">
        <v>178</v>
      </c>
    </row>
    <row r="151" spans="5:9" x14ac:dyDescent="0.25">
      <c r="E151">
        <f t="shared" si="15"/>
        <v>24</v>
      </c>
      <c r="G151" t="s">
        <v>284</v>
      </c>
      <c r="H151" s="51">
        <v>21</v>
      </c>
      <c r="I151" s="51">
        <v>178</v>
      </c>
    </row>
    <row r="152" spans="5:9" x14ac:dyDescent="0.25">
      <c r="E152">
        <f t="shared" si="15"/>
        <v>24</v>
      </c>
      <c r="G152" t="s">
        <v>285</v>
      </c>
      <c r="H152" s="51">
        <v>17</v>
      </c>
      <c r="I152" s="51">
        <v>178</v>
      </c>
    </row>
    <row r="153" spans="5:9" x14ac:dyDescent="0.25">
      <c r="E153">
        <f t="shared" si="15"/>
        <v>24</v>
      </c>
      <c r="G153" t="s">
        <v>286</v>
      </c>
      <c r="H153" s="51">
        <v>8</v>
      </c>
      <c r="I153" s="51">
        <v>178</v>
      </c>
    </row>
    <row r="154" spans="5:9" x14ac:dyDescent="0.25">
      <c r="E154">
        <f t="shared" si="15"/>
        <v>24</v>
      </c>
      <c r="G154" t="s">
        <v>287</v>
      </c>
      <c r="H154" s="51">
        <v>10</v>
      </c>
      <c r="I154" s="51">
        <v>178</v>
      </c>
    </row>
    <row r="155" spans="5:9" x14ac:dyDescent="0.25">
      <c r="E155">
        <f t="shared" si="15"/>
        <v>24</v>
      </c>
      <c r="G155" t="s">
        <v>288</v>
      </c>
      <c r="H155" s="51">
        <v>4</v>
      </c>
      <c r="I155" s="51">
        <v>178</v>
      </c>
    </row>
    <row r="156" spans="5:9" x14ac:dyDescent="0.25">
      <c r="E156">
        <f>+$F$156</f>
        <v>25</v>
      </c>
      <c r="F156">
        <v>25</v>
      </c>
      <c r="G156" t="s">
        <v>280</v>
      </c>
      <c r="H156" s="51">
        <v>29</v>
      </c>
      <c r="I156" s="51">
        <v>172</v>
      </c>
    </row>
    <row r="157" spans="5:9" x14ac:dyDescent="0.25">
      <c r="E157">
        <f t="shared" ref="E157:E164" si="16">+$F$156</f>
        <v>25</v>
      </c>
      <c r="G157" t="s">
        <v>281</v>
      </c>
      <c r="H157" s="51">
        <v>22</v>
      </c>
      <c r="I157" s="51">
        <v>172</v>
      </c>
    </row>
    <row r="158" spans="5:9" x14ac:dyDescent="0.25">
      <c r="E158">
        <f t="shared" si="16"/>
        <v>25</v>
      </c>
      <c r="G158" t="s">
        <v>282</v>
      </c>
      <c r="H158" s="51">
        <v>22</v>
      </c>
      <c r="I158" s="51">
        <v>172</v>
      </c>
    </row>
    <row r="159" spans="5:9" x14ac:dyDescent="0.25">
      <c r="E159">
        <f t="shared" si="16"/>
        <v>25</v>
      </c>
      <c r="G159" t="s">
        <v>283</v>
      </c>
      <c r="H159" s="51">
        <v>25</v>
      </c>
      <c r="I159" s="51">
        <v>172</v>
      </c>
    </row>
    <row r="160" spans="5:9" x14ac:dyDescent="0.25">
      <c r="E160">
        <f t="shared" si="16"/>
        <v>25</v>
      </c>
      <c r="G160" t="s">
        <v>284</v>
      </c>
      <c r="H160" s="51">
        <v>33</v>
      </c>
      <c r="I160" s="51">
        <v>172</v>
      </c>
    </row>
    <row r="161" spans="5:9" x14ac:dyDescent="0.25">
      <c r="E161">
        <f t="shared" si="16"/>
        <v>25</v>
      </c>
      <c r="G161" t="s">
        <v>285</v>
      </c>
      <c r="H161" s="51">
        <v>24</v>
      </c>
      <c r="I161" s="51">
        <v>172</v>
      </c>
    </row>
    <row r="162" spans="5:9" x14ac:dyDescent="0.25">
      <c r="E162">
        <f t="shared" si="16"/>
        <v>25</v>
      </c>
      <c r="G162" t="s">
        <v>286</v>
      </c>
      <c r="H162" s="51">
        <v>35</v>
      </c>
      <c r="I162" s="51">
        <v>172</v>
      </c>
    </row>
    <row r="163" spans="5:9" x14ac:dyDescent="0.25">
      <c r="E163">
        <f t="shared" si="16"/>
        <v>25</v>
      </c>
      <c r="G163" t="s">
        <v>287</v>
      </c>
      <c r="H163" s="51">
        <v>18</v>
      </c>
      <c r="I163" s="51">
        <v>172</v>
      </c>
    </row>
    <row r="164" spans="5:9" x14ac:dyDescent="0.25">
      <c r="E164">
        <f t="shared" si="16"/>
        <v>25</v>
      </c>
      <c r="G164" t="s">
        <v>288</v>
      </c>
      <c r="H164">
        <v>13</v>
      </c>
      <c r="I164" s="51">
        <v>172</v>
      </c>
    </row>
    <row r="165" spans="5:9" x14ac:dyDescent="0.25">
      <c r="E165">
        <f>+$F$165</f>
        <v>26</v>
      </c>
      <c r="F165">
        <v>26</v>
      </c>
      <c r="G165" t="s">
        <v>280</v>
      </c>
      <c r="H165" s="51">
        <v>15</v>
      </c>
      <c r="I165" s="51">
        <v>167</v>
      </c>
    </row>
    <row r="166" spans="5:9" x14ac:dyDescent="0.25">
      <c r="E166">
        <f t="shared" ref="E166:E173" si="17">+$F$165</f>
        <v>26</v>
      </c>
      <c r="G166" t="s">
        <v>281</v>
      </c>
      <c r="H166" s="51">
        <v>5</v>
      </c>
      <c r="I166" s="51">
        <v>167</v>
      </c>
    </row>
    <row r="167" spans="5:9" x14ac:dyDescent="0.25">
      <c r="E167">
        <f t="shared" si="17"/>
        <v>26</v>
      </c>
      <c r="G167" t="s">
        <v>282</v>
      </c>
      <c r="H167" s="51">
        <v>6</v>
      </c>
      <c r="I167" s="51">
        <v>167</v>
      </c>
    </row>
    <row r="168" spans="5:9" x14ac:dyDescent="0.25">
      <c r="E168">
        <f t="shared" si="17"/>
        <v>26</v>
      </c>
      <c r="G168" t="s">
        <v>283</v>
      </c>
      <c r="H168" s="51">
        <v>10</v>
      </c>
      <c r="I168" s="51">
        <v>167</v>
      </c>
    </row>
    <row r="169" spans="5:9" x14ac:dyDescent="0.25">
      <c r="E169">
        <f t="shared" si="17"/>
        <v>26</v>
      </c>
      <c r="G169" t="s">
        <v>284</v>
      </c>
      <c r="H169" s="51">
        <v>17</v>
      </c>
      <c r="I169" s="51">
        <v>167</v>
      </c>
    </row>
    <row r="170" spans="5:9" x14ac:dyDescent="0.25">
      <c r="E170">
        <f t="shared" si="17"/>
        <v>26</v>
      </c>
      <c r="G170" t="s">
        <v>285</v>
      </c>
      <c r="H170" s="51">
        <v>10</v>
      </c>
      <c r="I170" s="51">
        <v>167</v>
      </c>
    </row>
    <row r="171" spans="5:9" x14ac:dyDescent="0.25">
      <c r="E171">
        <f t="shared" si="17"/>
        <v>26</v>
      </c>
      <c r="G171" t="s">
        <v>286</v>
      </c>
      <c r="H171" s="51">
        <v>13</v>
      </c>
      <c r="I171" s="51">
        <v>167</v>
      </c>
    </row>
    <row r="172" spans="5:9" x14ac:dyDescent="0.25">
      <c r="E172">
        <f t="shared" si="17"/>
        <v>26</v>
      </c>
      <c r="G172" t="s">
        <v>287</v>
      </c>
      <c r="H172" s="51">
        <v>8</v>
      </c>
      <c r="I172" s="51">
        <v>167</v>
      </c>
    </row>
    <row r="173" spans="5:9" x14ac:dyDescent="0.25">
      <c r="E173">
        <f t="shared" si="17"/>
        <v>26</v>
      </c>
      <c r="G173" t="s">
        <v>288</v>
      </c>
      <c r="H173" s="51">
        <v>7</v>
      </c>
      <c r="I173" s="51">
        <v>167</v>
      </c>
    </row>
    <row r="174" spans="5:9" x14ac:dyDescent="0.25">
      <c r="E174">
        <f>+$F$174</f>
        <v>27</v>
      </c>
      <c r="F174">
        <v>27</v>
      </c>
      <c r="G174" t="s">
        <v>280</v>
      </c>
      <c r="H174" s="51">
        <v>21</v>
      </c>
      <c r="I174" s="51">
        <v>133</v>
      </c>
    </row>
    <row r="175" spans="5:9" x14ac:dyDescent="0.25">
      <c r="E175">
        <f t="shared" ref="E175:E182" si="18">+$F$174</f>
        <v>27</v>
      </c>
      <c r="G175" t="s">
        <v>281</v>
      </c>
      <c r="H175" s="51">
        <v>14</v>
      </c>
      <c r="I175" s="51">
        <v>133</v>
      </c>
    </row>
    <row r="176" spans="5:9" x14ac:dyDescent="0.25">
      <c r="E176">
        <f t="shared" si="18"/>
        <v>27</v>
      </c>
      <c r="G176" t="s">
        <v>282</v>
      </c>
      <c r="H176" s="51">
        <v>18</v>
      </c>
      <c r="I176" s="51">
        <v>133</v>
      </c>
    </row>
    <row r="177" spans="5:9" x14ac:dyDescent="0.25">
      <c r="E177">
        <f t="shared" si="18"/>
        <v>27</v>
      </c>
      <c r="G177" t="s">
        <v>283</v>
      </c>
      <c r="H177" s="51">
        <v>33</v>
      </c>
      <c r="I177" s="51">
        <v>133</v>
      </c>
    </row>
    <row r="178" spans="5:9" x14ac:dyDescent="0.25">
      <c r="E178">
        <f t="shared" si="18"/>
        <v>27</v>
      </c>
      <c r="G178" t="s">
        <v>284</v>
      </c>
      <c r="H178" s="51">
        <v>58</v>
      </c>
      <c r="I178" s="51">
        <v>133</v>
      </c>
    </row>
    <row r="179" spans="5:9" x14ac:dyDescent="0.25">
      <c r="E179">
        <f t="shared" si="18"/>
        <v>27</v>
      </c>
      <c r="G179" t="s">
        <v>285</v>
      </c>
      <c r="H179" s="51">
        <v>33</v>
      </c>
      <c r="I179" s="51">
        <v>133</v>
      </c>
    </row>
    <row r="180" spans="5:9" x14ac:dyDescent="0.25">
      <c r="E180">
        <f t="shared" si="18"/>
        <v>27</v>
      </c>
      <c r="G180" t="s">
        <v>286</v>
      </c>
      <c r="H180">
        <v>12</v>
      </c>
      <c r="I180" s="51">
        <v>133</v>
      </c>
    </row>
    <row r="181" spans="5:9" x14ac:dyDescent="0.25">
      <c r="E181">
        <f t="shared" si="18"/>
        <v>27</v>
      </c>
      <c r="G181" t="s">
        <v>287</v>
      </c>
      <c r="H181" s="51">
        <v>12</v>
      </c>
      <c r="I181" s="51">
        <v>133</v>
      </c>
    </row>
    <row r="182" spans="5:9" x14ac:dyDescent="0.25">
      <c r="E182">
        <f t="shared" si="18"/>
        <v>27</v>
      </c>
      <c r="G182" t="s">
        <v>288</v>
      </c>
      <c r="H182" s="51">
        <v>5</v>
      </c>
      <c r="I182" s="51">
        <v>133</v>
      </c>
    </row>
    <row r="183" spans="5:9" x14ac:dyDescent="0.25">
      <c r="E183">
        <f>+$F$183</f>
        <v>28</v>
      </c>
      <c r="F183">
        <v>28</v>
      </c>
      <c r="G183" t="s">
        <v>280</v>
      </c>
      <c r="H183" s="51">
        <v>20</v>
      </c>
      <c r="I183" s="51">
        <v>168</v>
      </c>
    </row>
    <row r="184" spans="5:9" x14ac:dyDescent="0.25">
      <c r="E184">
        <f t="shared" ref="E184:E191" si="19">+$F$183</f>
        <v>28</v>
      </c>
      <c r="G184" t="s">
        <v>281</v>
      </c>
      <c r="H184" s="51">
        <v>11</v>
      </c>
      <c r="I184" s="51">
        <v>168</v>
      </c>
    </row>
    <row r="185" spans="5:9" x14ac:dyDescent="0.25">
      <c r="E185">
        <f t="shared" si="19"/>
        <v>28</v>
      </c>
      <c r="G185" t="s">
        <v>282</v>
      </c>
      <c r="H185" s="51">
        <v>24</v>
      </c>
      <c r="I185" s="51">
        <v>168</v>
      </c>
    </row>
    <row r="186" spans="5:9" x14ac:dyDescent="0.25">
      <c r="E186">
        <f t="shared" si="19"/>
        <v>28</v>
      </c>
      <c r="G186" t="s">
        <v>283</v>
      </c>
      <c r="H186">
        <v>28</v>
      </c>
      <c r="I186" s="51">
        <v>168</v>
      </c>
    </row>
    <row r="187" spans="5:9" x14ac:dyDescent="0.25">
      <c r="E187">
        <f t="shared" si="19"/>
        <v>28</v>
      </c>
      <c r="G187" t="s">
        <v>284</v>
      </c>
      <c r="H187" s="51">
        <v>53</v>
      </c>
      <c r="I187" s="51">
        <v>168</v>
      </c>
    </row>
    <row r="188" spans="5:9" x14ac:dyDescent="0.25">
      <c r="E188">
        <f t="shared" si="19"/>
        <v>28</v>
      </c>
      <c r="G188" t="s">
        <v>285</v>
      </c>
      <c r="H188" s="51">
        <v>34</v>
      </c>
      <c r="I188" s="51">
        <v>168</v>
      </c>
    </row>
    <row r="189" spans="5:9" x14ac:dyDescent="0.25">
      <c r="E189">
        <f t="shared" si="19"/>
        <v>28</v>
      </c>
      <c r="G189" t="s">
        <v>286</v>
      </c>
      <c r="H189" s="51">
        <v>9</v>
      </c>
      <c r="I189" s="51">
        <v>168</v>
      </c>
    </row>
    <row r="190" spans="5:9" x14ac:dyDescent="0.25">
      <c r="E190">
        <f t="shared" si="19"/>
        <v>28</v>
      </c>
      <c r="G190" t="s">
        <v>287</v>
      </c>
      <c r="H190" s="51">
        <v>11</v>
      </c>
      <c r="I190" s="51">
        <v>168</v>
      </c>
    </row>
    <row r="191" spans="5:9" x14ac:dyDescent="0.25">
      <c r="E191">
        <f t="shared" si="19"/>
        <v>28</v>
      </c>
      <c r="G191" t="s">
        <v>288</v>
      </c>
      <c r="H191" s="51">
        <v>6</v>
      </c>
      <c r="I191" s="51">
        <v>168</v>
      </c>
    </row>
    <row r="192" spans="5:9" x14ac:dyDescent="0.25">
      <c r="E192">
        <f>+$F$192</f>
        <v>3</v>
      </c>
      <c r="F192">
        <v>3</v>
      </c>
      <c r="G192" t="s">
        <v>280</v>
      </c>
      <c r="H192" s="51">
        <v>20</v>
      </c>
      <c r="I192" s="51">
        <v>170</v>
      </c>
    </row>
    <row r="193" spans="5:9" x14ac:dyDescent="0.25">
      <c r="E193">
        <f t="shared" ref="E193:E200" si="20">+$F$192</f>
        <v>3</v>
      </c>
      <c r="G193" t="s">
        <v>281</v>
      </c>
      <c r="H193" s="51">
        <v>19</v>
      </c>
      <c r="I193" s="51">
        <v>170</v>
      </c>
    </row>
    <row r="194" spans="5:9" x14ac:dyDescent="0.25">
      <c r="E194">
        <f t="shared" si="20"/>
        <v>3</v>
      </c>
      <c r="G194" t="s">
        <v>282</v>
      </c>
      <c r="H194" s="51">
        <v>42</v>
      </c>
      <c r="I194" s="51">
        <v>170</v>
      </c>
    </row>
    <row r="195" spans="5:9" x14ac:dyDescent="0.25">
      <c r="E195">
        <f t="shared" si="20"/>
        <v>3</v>
      </c>
      <c r="G195" t="s">
        <v>283</v>
      </c>
      <c r="H195" s="51">
        <v>35</v>
      </c>
      <c r="I195" s="51">
        <v>170</v>
      </c>
    </row>
    <row r="196" spans="5:9" x14ac:dyDescent="0.25">
      <c r="E196">
        <f t="shared" si="20"/>
        <v>3</v>
      </c>
      <c r="G196" t="s">
        <v>284</v>
      </c>
      <c r="H196">
        <v>61</v>
      </c>
      <c r="I196" s="51">
        <v>170</v>
      </c>
    </row>
    <row r="197" spans="5:9" x14ac:dyDescent="0.25">
      <c r="E197">
        <f t="shared" si="20"/>
        <v>3</v>
      </c>
      <c r="G197" t="s">
        <v>285</v>
      </c>
      <c r="H197" s="51">
        <v>44</v>
      </c>
      <c r="I197" s="51">
        <v>170</v>
      </c>
    </row>
    <row r="198" spans="5:9" x14ac:dyDescent="0.25">
      <c r="E198">
        <f t="shared" si="20"/>
        <v>3</v>
      </c>
      <c r="G198" t="s">
        <v>286</v>
      </c>
      <c r="H198" s="51">
        <v>10</v>
      </c>
      <c r="I198" s="51">
        <v>170</v>
      </c>
    </row>
    <row r="199" spans="5:9" x14ac:dyDescent="0.25">
      <c r="E199">
        <f t="shared" si="20"/>
        <v>3</v>
      </c>
      <c r="G199" t="s">
        <v>287</v>
      </c>
      <c r="H199" s="51">
        <v>5</v>
      </c>
      <c r="I199" s="51">
        <v>170</v>
      </c>
    </row>
    <row r="200" spans="5:9" x14ac:dyDescent="0.25">
      <c r="E200">
        <f t="shared" si="20"/>
        <v>3</v>
      </c>
      <c r="G200" t="s">
        <v>288</v>
      </c>
      <c r="H200" s="51">
        <v>14</v>
      </c>
      <c r="I200" s="51">
        <v>170</v>
      </c>
    </row>
    <row r="201" spans="5:9" x14ac:dyDescent="0.25">
      <c r="E201">
        <f>+$F$201</f>
        <v>30</v>
      </c>
      <c r="F201">
        <v>30</v>
      </c>
      <c r="G201" t="s">
        <v>280</v>
      </c>
      <c r="H201" s="51">
        <v>3</v>
      </c>
      <c r="I201" s="51">
        <v>140</v>
      </c>
    </row>
    <row r="202" spans="5:9" x14ac:dyDescent="0.25">
      <c r="E202">
        <f t="shared" ref="E202:E209" si="21">+$F$201</f>
        <v>30</v>
      </c>
      <c r="G202" t="s">
        <v>281</v>
      </c>
      <c r="H202" s="51"/>
      <c r="I202" s="51">
        <v>140</v>
      </c>
    </row>
    <row r="203" spans="5:9" x14ac:dyDescent="0.25">
      <c r="E203">
        <f t="shared" si="21"/>
        <v>30</v>
      </c>
      <c r="G203" t="s">
        <v>282</v>
      </c>
      <c r="H203" s="51">
        <v>3</v>
      </c>
      <c r="I203" s="51">
        <v>140</v>
      </c>
    </row>
    <row r="204" spans="5:9" x14ac:dyDescent="0.25">
      <c r="E204">
        <f t="shared" si="21"/>
        <v>30</v>
      </c>
      <c r="G204" t="s">
        <v>283</v>
      </c>
      <c r="H204" s="51"/>
      <c r="I204" s="51">
        <v>140</v>
      </c>
    </row>
    <row r="205" spans="5:9" x14ac:dyDescent="0.25">
      <c r="E205">
        <f t="shared" si="21"/>
        <v>30</v>
      </c>
      <c r="G205" t="s">
        <v>284</v>
      </c>
      <c r="H205" s="51">
        <v>2</v>
      </c>
      <c r="I205" s="51">
        <v>140</v>
      </c>
    </row>
    <row r="206" spans="5:9" x14ac:dyDescent="0.25">
      <c r="E206">
        <f t="shared" si="21"/>
        <v>30</v>
      </c>
      <c r="G206" t="s">
        <v>285</v>
      </c>
      <c r="H206" s="51"/>
      <c r="I206" s="51">
        <v>140</v>
      </c>
    </row>
    <row r="207" spans="5:9" x14ac:dyDescent="0.25">
      <c r="E207">
        <f t="shared" si="21"/>
        <v>30</v>
      </c>
      <c r="G207" t="s">
        <v>286</v>
      </c>
      <c r="H207" s="51">
        <v>3</v>
      </c>
      <c r="I207" s="51">
        <v>140</v>
      </c>
    </row>
    <row r="208" spans="5:9" x14ac:dyDescent="0.25">
      <c r="E208">
        <f t="shared" si="21"/>
        <v>30</v>
      </c>
      <c r="G208" t="s">
        <v>287</v>
      </c>
      <c r="H208" s="51"/>
      <c r="I208" s="51">
        <v>140</v>
      </c>
    </row>
    <row r="209" spans="5:9" x14ac:dyDescent="0.25">
      <c r="E209">
        <f t="shared" si="21"/>
        <v>30</v>
      </c>
      <c r="G209" t="s">
        <v>288</v>
      </c>
      <c r="H209" s="51">
        <v>2</v>
      </c>
      <c r="I209" s="51">
        <v>140</v>
      </c>
    </row>
    <row r="210" spans="5:9" x14ac:dyDescent="0.25">
      <c r="E210">
        <f>+$F$210</f>
        <v>31</v>
      </c>
      <c r="F210">
        <v>31</v>
      </c>
      <c r="G210" t="s">
        <v>280</v>
      </c>
      <c r="H210" s="51">
        <v>11</v>
      </c>
      <c r="I210" s="51">
        <v>162</v>
      </c>
    </row>
    <row r="211" spans="5:9" x14ac:dyDescent="0.25">
      <c r="E211">
        <f t="shared" ref="E211:E218" si="22">+$F$210</f>
        <v>31</v>
      </c>
      <c r="G211" t="s">
        <v>281</v>
      </c>
      <c r="H211" s="51">
        <v>18</v>
      </c>
      <c r="I211" s="51">
        <v>162</v>
      </c>
    </row>
    <row r="212" spans="5:9" x14ac:dyDescent="0.25">
      <c r="E212">
        <f t="shared" si="22"/>
        <v>31</v>
      </c>
      <c r="G212" t="s">
        <v>282</v>
      </c>
      <c r="H212">
        <v>38</v>
      </c>
      <c r="I212" s="51">
        <v>162</v>
      </c>
    </row>
    <row r="213" spans="5:9" x14ac:dyDescent="0.25">
      <c r="E213">
        <f t="shared" si="22"/>
        <v>31</v>
      </c>
      <c r="G213" t="s">
        <v>283</v>
      </c>
      <c r="H213" s="51">
        <v>32</v>
      </c>
      <c r="I213" s="51">
        <v>162</v>
      </c>
    </row>
    <row r="214" spans="5:9" x14ac:dyDescent="0.25">
      <c r="E214">
        <f t="shared" si="22"/>
        <v>31</v>
      </c>
      <c r="G214" t="s">
        <v>284</v>
      </c>
      <c r="H214" s="51">
        <v>47</v>
      </c>
      <c r="I214" s="51">
        <v>162</v>
      </c>
    </row>
    <row r="215" spans="5:9" x14ac:dyDescent="0.25">
      <c r="E215">
        <f t="shared" si="22"/>
        <v>31</v>
      </c>
      <c r="G215" t="s">
        <v>285</v>
      </c>
      <c r="H215" s="51">
        <v>33</v>
      </c>
      <c r="I215" s="51">
        <v>162</v>
      </c>
    </row>
    <row r="216" spans="5:9" x14ac:dyDescent="0.25">
      <c r="E216">
        <f t="shared" si="22"/>
        <v>31</v>
      </c>
      <c r="G216" t="s">
        <v>286</v>
      </c>
      <c r="H216" s="51">
        <v>18</v>
      </c>
      <c r="I216" s="51">
        <v>162</v>
      </c>
    </row>
    <row r="217" spans="5:9" x14ac:dyDescent="0.25">
      <c r="E217">
        <f t="shared" si="22"/>
        <v>31</v>
      </c>
      <c r="G217" t="s">
        <v>287</v>
      </c>
      <c r="H217" s="51">
        <v>12</v>
      </c>
      <c r="I217" s="51">
        <v>162</v>
      </c>
    </row>
    <row r="218" spans="5:9" x14ac:dyDescent="0.25">
      <c r="E218">
        <f t="shared" si="22"/>
        <v>31</v>
      </c>
      <c r="G218" t="s">
        <v>288</v>
      </c>
      <c r="H218" s="51">
        <v>7</v>
      </c>
      <c r="I218" s="51">
        <v>162</v>
      </c>
    </row>
    <row r="219" spans="5:9" x14ac:dyDescent="0.25">
      <c r="E219">
        <f>+$F$219</f>
        <v>32</v>
      </c>
      <c r="F219">
        <v>32</v>
      </c>
      <c r="G219" t="s">
        <v>280</v>
      </c>
      <c r="H219" s="51">
        <v>15</v>
      </c>
      <c r="I219" s="51">
        <v>58</v>
      </c>
    </row>
    <row r="220" spans="5:9" x14ac:dyDescent="0.25">
      <c r="E220">
        <f t="shared" ref="E220:E227" si="23">+$F$219</f>
        <v>32</v>
      </c>
      <c r="G220" t="s">
        <v>281</v>
      </c>
      <c r="H220" s="51">
        <v>2</v>
      </c>
      <c r="I220" s="51">
        <v>58</v>
      </c>
    </row>
    <row r="221" spans="5:9" x14ac:dyDescent="0.25">
      <c r="E221">
        <f t="shared" si="23"/>
        <v>32</v>
      </c>
      <c r="G221" t="s">
        <v>282</v>
      </c>
      <c r="H221" s="51">
        <v>3</v>
      </c>
      <c r="I221" s="51">
        <v>58</v>
      </c>
    </row>
    <row r="222" spans="5:9" x14ac:dyDescent="0.25">
      <c r="E222">
        <f t="shared" si="23"/>
        <v>32</v>
      </c>
      <c r="G222" t="s">
        <v>283</v>
      </c>
      <c r="H222" s="51">
        <v>13</v>
      </c>
      <c r="I222" s="51">
        <v>58</v>
      </c>
    </row>
    <row r="223" spans="5:9" x14ac:dyDescent="0.25">
      <c r="E223">
        <f t="shared" si="23"/>
        <v>32</v>
      </c>
      <c r="G223" t="s">
        <v>284</v>
      </c>
      <c r="H223" s="51">
        <v>17</v>
      </c>
      <c r="I223" s="51">
        <v>58</v>
      </c>
    </row>
    <row r="224" spans="5:9" x14ac:dyDescent="0.25">
      <c r="E224">
        <f t="shared" si="23"/>
        <v>32</v>
      </c>
      <c r="G224" t="s">
        <v>285</v>
      </c>
      <c r="H224" s="51">
        <v>10</v>
      </c>
      <c r="I224" s="51">
        <v>58</v>
      </c>
    </row>
    <row r="225" spans="5:9" x14ac:dyDescent="0.25">
      <c r="E225">
        <f t="shared" si="23"/>
        <v>32</v>
      </c>
      <c r="G225" t="s">
        <v>286</v>
      </c>
      <c r="H225" s="51">
        <v>14</v>
      </c>
      <c r="I225" s="51">
        <v>58</v>
      </c>
    </row>
    <row r="226" spans="5:9" x14ac:dyDescent="0.25">
      <c r="E226">
        <f t="shared" si="23"/>
        <v>32</v>
      </c>
      <c r="G226" t="s">
        <v>287</v>
      </c>
      <c r="H226" s="51">
        <v>5</v>
      </c>
      <c r="I226" s="51">
        <v>58</v>
      </c>
    </row>
    <row r="227" spans="5:9" x14ac:dyDescent="0.25">
      <c r="E227">
        <f t="shared" si="23"/>
        <v>32</v>
      </c>
      <c r="G227" t="s">
        <v>288</v>
      </c>
      <c r="H227" s="51">
        <v>7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280</v>
      </c>
      <c r="H228" s="51">
        <v>12</v>
      </c>
      <c r="I228" s="51">
        <v>167</v>
      </c>
    </row>
    <row r="229" spans="5:9" x14ac:dyDescent="0.25">
      <c r="E229">
        <f t="shared" ref="E229:E236" si="24">+$F$228</f>
        <v>33</v>
      </c>
      <c r="G229" t="s">
        <v>281</v>
      </c>
      <c r="H229" s="51">
        <v>9</v>
      </c>
      <c r="I229" s="51">
        <v>167</v>
      </c>
    </row>
    <row r="230" spans="5:9" x14ac:dyDescent="0.25">
      <c r="E230">
        <f t="shared" si="24"/>
        <v>33</v>
      </c>
      <c r="G230" t="s">
        <v>282</v>
      </c>
      <c r="H230" s="51">
        <v>17</v>
      </c>
      <c r="I230" s="51">
        <v>167</v>
      </c>
    </row>
    <row r="231" spans="5:9" x14ac:dyDescent="0.25">
      <c r="E231">
        <f t="shared" si="24"/>
        <v>33</v>
      </c>
      <c r="G231" t="s">
        <v>283</v>
      </c>
      <c r="H231" s="51">
        <v>26</v>
      </c>
      <c r="I231" s="51">
        <v>167</v>
      </c>
    </row>
    <row r="232" spans="5:9" x14ac:dyDescent="0.25">
      <c r="E232">
        <f t="shared" si="24"/>
        <v>33</v>
      </c>
      <c r="G232" t="s">
        <v>284</v>
      </c>
      <c r="H232" s="51">
        <v>36</v>
      </c>
      <c r="I232" s="51">
        <v>167</v>
      </c>
    </row>
    <row r="233" spans="5:9" x14ac:dyDescent="0.25">
      <c r="E233">
        <f t="shared" si="24"/>
        <v>33</v>
      </c>
      <c r="G233" t="s">
        <v>285</v>
      </c>
      <c r="H233" s="51">
        <v>28</v>
      </c>
      <c r="I233" s="51">
        <v>167</v>
      </c>
    </row>
    <row r="234" spans="5:9" x14ac:dyDescent="0.25">
      <c r="E234">
        <f t="shared" si="24"/>
        <v>33</v>
      </c>
      <c r="G234" t="s">
        <v>286</v>
      </c>
      <c r="H234" s="51">
        <v>5</v>
      </c>
      <c r="I234" s="51">
        <v>167</v>
      </c>
    </row>
    <row r="235" spans="5:9" x14ac:dyDescent="0.25">
      <c r="E235">
        <f t="shared" si="24"/>
        <v>33</v>
      </c>
      <c r="G235" t="s">
        <v>287</v>
      </c>
      <c r="H235" s="51">
        <v>11</v>
      </c>
      <c r="I235" s="51">
        <v>167</v>
      </c>
    </row>
    <row r="236" spans="5:9" x14ac:dyDescent="0.25">
      <c r="E236">
        <f t="shared" si="24"/>
        <v>33</v>
      </c>
      <c r="G236" t="s">
        <v>288</v>
      </c>
      <c r="H236">
        <v>7</v>
      </c>
      <c r="I236" s="51">
        <v>167</v>
      </c>
    </row>
    <row r="237" spans="5:9" x14ac:dyDescent="0.25">
      <c r="E237">
        <f>+$F$237</f>
        <v>36</v>
      </c>
      <c r="F237">
        <v>36</v>
      </c>
      <c r="G237" t="s">
        <v>280</v>
      </c>
      <c r="H237" s="51">
        <v>6</v>
      </c>
      <c r="I237" s="51">
        <v>160</v>
      </c>
    </row>
    <row r="238" spans="5:9" x14ac:dyDescent="0.25">
      <c r="E238">
        <f t="shared" ref="E238:E245" si="25">+$F$237</f>
        <v>36</v>
      </c>
      <c r="G238" t="s">
        <v>281</v>
      </c>
      <c r="H238" s="51">
        <v>8</v>
      </c>
      <c r="I238" s="51">
        <v>160</v>
      </c>
    </row>
    <row r="239" spans="5:9" x14ac:dyDescent="0.25">
      <c r="E239">
        <f t="shared" si="25"/>
        <v>36</v>
      </c>
      <c r="G239" t="s">
        <v>282</v>
      </c>
      <c r="H239" s="51">
        <v>26</v>
      </c>
      <c r="I239" s="51">
        <v>160</v>
      </c>
    </row>
    <row r="240" spans="5:9" x14ac:dyDescent="0.25">
      <c r="E240">
        <f t="shared" si="25"/>
        <v>36</v>
      </c>
      <c r="G240" t="s">
        <v>283</v>
      </c>
      <c r="H240" s="51">
        <v>22</v>
      </c>
      <c r="I240" s="51">
        <v>160</v>
      </c>
    </row>
    <row r="241" spans="5:9" x14ac:dyDescent="0.25">
      <c r="E241">
        <f t="shared" si="25"/>
        <v>36</v>
      </c>
      <c r="G241" t="s">
        <v>284</v>
      </c>
      <c r="H241" s="51">
        <v>42</v>
      </c>
      <c r="I241" s="51">
        <v>160</v>
      </c>
    </row>
    <row r="242" spans="5:9" x14ac:dyDescent="0.25">
      <c r="E242">
        <f t="shared" si="25"/>
        <v>36</v>
      </c>
      <c r="G242" t="s">
        <v>285</v>
      </c>
      <c r="H242" s="51">
        <v>18</v>
      </c>
      <c r="I242" s="51">
        <v>160</v>
      </c>
    </row>
    <row r="243" spans="5:9" x14ac:dyDescent="0.25">
      <c r="E243">
        <f t="shared" si="25"/>
        <v>36</v>
      </c>
      <c r="G243" t="s">
        <v>286</v>
      </c>
      <c r="H243" s="51">
        <v>7</v>
      </c>
      <c r="I243" s="51">
        <v>160</v>
      </c>
    </row>
    <row r="244" spans="5:9" x14ac:dyDescent="0.25">
      <c r="E244">
        <f t="shared" si="25"/>
        <v>36</v>
      </c>
      <c r="G244" t="s">
        <v>287</v>
      </c>
      <c r="H244">
        <v>6</v>
      </c>
      <c r="I244" s="51">
        <v>160</v>
      </c>
    </row>
    <row r="245" spans="5:9" x14ac:dyDescent="0.25">
      <c r="E245">
        <f t="shared" si="25"/>
        <v>36</v>
      </c>
      <c r="G245" t="s">
        <v>288</v>
      </c>
      <c r="H245" s="51">
        <v>6</v>
      </c>
      <c r="I245" s="51">
        <v>160</v>
      </c>
    </row>
    <row r="246" spans="5:9" x14ac:dyDescent="0.25">
      <c r="E246">
        <f>+$F$246</f>
        <v>37</v>
      </c>
      <c r="F246">
        <v>37</v>
      </c>
      <c r="G246" t="s">
        <v>280</v>
      </c>
      <c r="H246" s="51">
        <v>3</v>
      </c>
      <c r="I246" s="51">
        <v>142</v>
      </c>
    </row>
    <row r="247" spans="5:9" x14ac:dyDescent="0.25">
      <c r="E247">
        <f t="shared" ref="E247:E254" si="26">+$F$246</f>
        <v>37</v>
      </c>
      <c r="G247" t="s">
        <v>281</v>
      </c>
      <c r="H247" s="51">
        <v>2</v>
      </c>
      <c r="I247" s="51">
        <v>142</v>
      </c>
    </row>
    <row r="248" spans="5:9" x14ac:dyDescent="0.25">
      <c r="E248">
        <f t="shared" si="26"/>
        <v>37</v>
      </c>
      <c r="G248" t="s">
        <v>282</v>
      </c>
      <c r="H248" s="51">
        <v>4</v>
      </c>
      <c r="I248" s="51">
        <v>142</v>
      </c>
    </row>
    <row r="249" spans="5:9" x14ac:dyDescent="0.25">
      <c r="E249">
        <f t="shared" si="26"/>
        <v>37</v>
      </c>
      <c r="G249" t="s">
        <v>283</v>
      </c>
      <c r="H249" s="51">
        <v>11</v>
      </c>
      <c r="I249" s="51">
        <v>142</v>
      </c>
    </row>
    <row r="250" spans="5:9" x14ac:dyDescent="0.25">
      <c r="E250">
        <f t="shared" si="26"/>
        <v>37</v>
      </c>
      <c r="G250" t="s">
        <v>284</v>
      </c>
      <c r="H250" s="51">
        <v>16</v>
      </c>
      <c r="I250" s="51">
        <v>142</v>
      </c>
    </row>
    <row r="251" spans="5:9" x14ac:dyDescent="0.25">
      <c r="E251">
        <f t="shared" si="26"/>
        <v>37</v>
      </c>
      <c r="G251" t="s">
        <v>285</v>
      </c>
      <c r="H251" s="51">
        <v>7</v>
      </c>
      <c r="I251" s="51">
        <v>142</v>
      </c>
    </row>
    <row r="252" spans="5:9" x14ac:dyDescent="0.25">
      <c r="E252">
        <f t="shared" si="26"/>
        <v>37</v>
      </c>
      <c r="G252" t="s">
        <v>286</v>
      </c>
      <c r="H252">
        <v>2</v>
      </c>
      <c r="I252" s="51">
        <v>142</v>
      </c>
    </row>
    <row r="253" spans="5:9" x14ac:dyDescent="0.25">
      <c r="E253">
        <f t="shared" si="26"/>
        <v>37</v>
      </c>
      <c r="G253" t="s">
        <v>287</v>
      </c>
      <c r="H253" s="51">
        <v>3</v>
      </c>
      <c r="I253" s="51">
        <v>142</v>
      </c>
    </row>
    <row r="254" spans="5:9" x14ac:dyDescent="0.25">
      <c r="E254">
        <f t="shared" si="26"/>
        <v>37</v>
      </c>
      <c r="G254" t="s">
        <v>288</v>
      </c>
      <c r="H254" s="51">
        <v>1</v>
      </c>
      <c r="I254" s="51">
        <v>142</v>
      </c>
    </row>
    <row r="255" spans="5:9" x14ac:dyDescent="0.25">
      <c r="E255">
        <f>+$F$255</f>
        <v>4</v>
      </c>
      <c r="F255">
        <v>4</v>
      </c>
      <c r="G255" t="s">
        <v>280</v>
      </c>
      <c r="H255" s="51">
        <v>20</v>
      </c>
      <c r="I255" s="51">
        <v>182</v>
      </c>
    </row>
    <row r="256" spans="5:9" x14ac:dyDescent="0.25">
      <c r="E256">
        <f t="shared" ref="E256:E263" si="27">+$F$255</f>
        <v>4</v>
      </c>
      <c r="G256" t="s">
        <v>281</v>
      </c>
      <c r="H256" s="51">
        <v>19</v>
      </c>
      <c r="I256" s="51">
        <v>182</v>
      </c>
    </row>
    <row r="257" spans="5:9" x14ac:dyDescent="0.25">
      <c r="E257">
        <f t="shared" si="27"/>
        <v>4</v>
      </c>
      <c r="G257" t="s">
        <v>282</v>
      </c>
      <c r="H257" s="51">
        <v>29</v>
      </c>
      <c r="I257" s="51">
        <v>182</v>
      </c>
    </row>
    <row r="258" spans="5:9" x14ac:dyDescent="0.25">
      <c r="E258">
        <f t="shared" si="27"/>
        <v>4</v>
      </c>
      <c r="G258" t="s">
        <v>283</v>
      </c>
      <c r="H258">
        <v>33</v>
      </c>
      <c r="I258" s="51">
        <v>182</v>
      </c>
    </row>
    <row r="259" spans="5:9" x14ac:dyDescent="0.25">
      <c r="E259">
        <f t="shared" si="27"/>
        <v>4</v>
      </c>
      <c r="G259" t="s">
        <v>284</v>
      </c>
      <c r="H259" s="51">
        <v>50</v>
      </c>
      <c r="I259" s="51">
        <v>182</v>
      </c>
    </row>
    <row r="260" spans="5:9" x14ac:dyDescent="0.25">
      <c r="E260">
        <f t="shared" si="27"/>
        <v>4</v>
      </c>
      <c r="G260" t="s">
        <v>285</v>
      </c>
      <c r="H260">
        <v>35</v>
      </c>
      <c r="I260" s="51">
        <v>182</v>
      </c>
    </row>
    <row r="261" spans="5:9" x14ac:dyDescent="0.25">
      <c r="E261">
        <f t="shared" si="27"/>
        <v>4</v>
      </c>
      <c r="G261" t="s">
        <v>286</v>
      </c>
      <c r="H261" s="51">
        <v>13</v>
      </c>
      <c r="I261" s="51">
        <v>182</v>
      </c>
    </row>
    <row r="262" spans="5:9" x14ac:dyDescent="0.25">
      <c r="E262">
        <f t="shared" si="27"/>
        <v>4</v>
      </c>
      <c r="G262" t="s">
        <v>287</v>
      </c>
      <c r="H262" s="51">
        <v>12</v>
      </c>
      <c r="I262" s="51">
        <v>182</v>
      </c>
    </row>
    <row r="263" spans="5:9" x14ac:dyDescent="0.25">
      <c r="E263">
        <f t="shared" si="27"/>
        <v>4</v>
      </c>
      <c r="G263" t="s">
        <v>288</v>
      </c>
      <c r="H263" s="51">
        <v>20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280</v>
      </c>
      <c r="H264" s="51">
        <v>14</v>
      </c>
      <c r="I264" s="51">
        <v>251</v>
      </c>
    </row>
    <row r="265" spans="5:9" x14ac:dyDescent="0.25">
      <c r="E265">
        <f t="shared" ref="E265:E272" si="28">+$F$264</f>
        <v>40</v>
      </c>
      <c r="G265" t="s">
        <v>281</v>
      </c>
      <c r="H265">
        <v>8</v>
      </c>
      <c r="I265" s="51">
        <v>251</v>
      </c>
    </row>
    <row r="266" spans="5:9" x14ac:dyDescent="0.25">
      <c r="E266">
        <f t="shared" si="28"/>
        <v>40</v>
      </c>
      <c r="G266" t="s">
        <v>282</v>
      </c>
      <c r="H266" s="51">
        <v>21</v>
      </c>
      <c r="I266" s="51">
        <v>251</v>
      </c>
    </row>
    <row r="267" spans="5:9" x14ac:dyDescent="0.25">
      <c r="E267">
        <f t="shared" si="28"/>
        <v>40</v>
      </c>
      <c r="G267" t="s">
        <v>283</v>
      </c>
      <c r="H267" s="51">
        <v>27</v>
      </c>
      <c r="I267" s="51">
        <v>251</v>
      </c>
    </row>
    <row r="268" spans="5:9" x14ac:dyDescent="0.25">
      <c r="E268">
        <f t="shared" si="28"/>
        <v>40</v>
      </c>
      <c r="G268" t="s">
        <v>284</v>
      </c>
      <c r="H268">
        <v>32</v>
      </c>
      <c r="I268" s="51">
        <v>251</v>
      </c>
    </row>
    <row r="269" spans="5:9" x14ac:dyDescent="0.25">
      <c r="E269">
        <f t="shared" si="28"/>
        <v>40</v>
      </c>
      <c r="G269" t="s">
        <v>285</v>
      </c>
      <c r="H269" s="51">
        <v>26</v>
      </c>
      <c r="I269" s="51">
        <v>251</v>
      </c>
    </row>
    <row r="270" spans="5:9" x14ac:dyDescent="0.25">
      <c r="E270">
        <f t="shared" si="28"/>
        <v>40</v>
      </c>
      <c r="G270" t="s">
        <v>286</v>
      </c>
      <c r="H270" s="51">
        <v>20</v>
      </c>
      <c r="I270" s="51">
        <v>251</v>
      </c>
    </row>
    <row r="271" spans="5:9" x14ac:dyDescent="0.25">
      <c r="E271">
        <f t="shared" si="28"/>
        <v>40</v>
      </c>
      <c r="G271" t="s">
        <v>287</v>
      </c>
      <c r="H271" s="51">
        <v>8</v>
      </c>
      <c r="I271" s="51">
        <v>251</v>
      </c>
    </row>
    <row r="272" spans="5:9" x14ac:dyDescent="0.25">
      <c r="E272">
        <f t="shared" si="28"/>
        <v>40</v>
      </c>
      <c r="G272" t="s">
        <v>288</v>
      </c>
      <c r="H272" s="51">
        <v>3</v>
      </c>
      <c r="I272" s="51">
        <v>251</v>
      </c>
    </row>
    <row r="273" spans="5:9" x14ac:dyDescent="0.25">
      <c r="E273">
        <f>+$F$273</f>
        <v>42</v>
      </c>
      <c r="F273">
        <v>42</v>
      </c>
      <c r="G273" t="s">
        <v>280</v>
      </c>
      <c r="H273" s="51"/>
      <c r="I273" s="51">
        <v>52</v>
      </c>
    </row>
    <row r="274" spans="5:9" x14ac:dyDescent="0.25">
      <c r="E274">
        <f t="shared" ref="E274:E281" si="29">+$F$273</f>
        <v>42</v>
      </c>
      <c r="G274" t="s">
        <v>281</v>
      </c>
      <c r="H274" s="51"/>
      <c r="I274" s="51">
        <v>52</v>
      </c>
    </row>
    <row r="275" spans="5:9" x14ac:dyDescent="0.25">
      <c r="E275">
        <f t="shared" si="29"/>
        <v>42</v>
      </c>
      <c r="G275" t="s">
        <v>282</v>
      </c>
      <c r="H275" s="51">
        <v>3</v>
      </c>
      <c r="I275" s="51">
        <v>52</v>
      </c>
    </row>
    <row r="276" spans="5:9" x14ac:dyDescent="0.25">
      <c r="E276">
        <f t="shared" si="29"/>
        <v>42</v>
      </c>
      <c r="G276" t="s">
        <v>283</v>
      </c>
      <c r="H276">
        <v>4</v>
      </c>
      <c r="I276" s="51">
        <v>52</v>
      </c>
    </row>
    <row r="277" spans="5:9" x14ac:dyDescent="0.25">
      <c r="E277">
        <f t="shared" si="29"/>
        <v>42</v>
      </c>
      <c r="G277" t="s">
        <v>284</v>
      </c>
      <c r="H277" s="51">
        <v>4</v>
      </c>
      <c r="I277" s="51">
        <v>52</v>
      </c>
    </row>
    <row r="278" spans="5:9" x14ac:dyDescent="0.25">
      <c r="E278">
        <f t="shared" si="29"/>
        <v>42</v>
      </c>
      <c r="G278" t="s">
        <v>285</v>
      </c>
      <c r="H278" s="51">
        <v>2</v>
      </c>
      <c r="I278" s="51">
        <v>52</v>
      </c>
    </row>
    <row r="279" spans="5:9" x14ac:dyDescent="0.25">
      <c r="E279">
        <f t="shared" si="29"/>
        <v>42</v>
      </c>
      <c r="G279" t="s">
        <v>286</v>
      </c>
      <c r="H279" s="51">
        <v>7</v>
      </c>
      <c r="I279" s="51">
        <v>52</v>
      </c>
    </row>
    <row r="280" spans="5:9" x14ac:dyDescent="0.25">
      <c r="E280">
        <f t="shared" si="29"/>
        <v>42</v>
      </c>
      <c r="G280" t="s">
        <v>287</v>
      </c>
      <c r="H280" s="51">
        <v>4</v>
      </c>
      <c r="I280" s="51">
        <v>52</v>
      </c>
    </row>
    <row r="281" spans="5:9" x14ac:dyDescent="0.25">
      <c r="E281">
        <f t="shared" si="29"/>
        <v>42</v>
      </c>
      <c r="G281" t="s">
        <v>288</v>
      </c>
      <c r="H281" s="51">
        <v>4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280</v>
      </c>
      <c r="H282" s="51">
        <v>3</v>
      </c>
      <c r="I282" s="51">
        <v>93</v>
      </c>
    </row>
    <row r="283" spans="5:9" x14ac:dyDescent="0.25">
      <c r="E283">
        <f t="shared" ref="E283:E290" si="30">+$F$282</f>
        <v>43</v>
      </c>
      <c r="G283" t="s">
        <v>281</v>
      </c>
      <c r="H283" s="51"/>
      <c r="I283" s="51">
        <v>93</v>
      </c>
    </row>
    <row r="284" spans="5:9" x14ac:dyDescent="0.25">
      <c r="E284">
        <f t="shared" si="30"/>
        <v>43</v>
      </c>
      <c r="G284" t="s">
        <v>282</v>
      </c>
      <c r="H284">
        <v>2</v>
      </c>
      <c r="I284" s="51">
        <v>93</v>
      </c>
    </row>
    <row r="285" spans="5:9" x14ac:dyDescent="0.25">
      <c r="E285">
        <f t="shared" si="30"/>
        <v>43</v>
      </c>
      <c r="G285" t="s">
        <v>283</v>
      </c>
      <c r="I285" s="51">
        <v>93</v>
      </c>
    </row>
    <row r="286" spans="5:9" x14ac:dyDescent="0.25">
      <c r="E286">
        <f t="shared" si="30"/>
        <v>43</v>
      </c>
      <c r="G286" t="s">
        <v>284</v>
      </c>
      <c r="I286" s="51">
        <v>93</v>
      </c>
    </row>
    <row r="287" spans="5:9" x14ac:dyDescent="0.25">
      <c r="E287">
        <f t="shared" si="30"/>
        <v>43</v>
      </c>
      <c r="G287" t="s">
        <v>285</v>
      </c>
      <c r="I287" s="51">
        <v>93</v>
      </c>
    </row>
    <row r="288" spans="5:9" x14ac:dyDescent="0.25">
      <c r="E288">
        <f t="shared" si="30"/>
        <v>43</v>
      </c>
      <c r="G288" t="s">
        <v>286</v>
      </c>
      <c r="H288">
        <v>3</v>
      </c>
      <c r="I288" s="51">
        <v>93</v>
      </c>
    </row>
    <row r="289" spans="5:9" x14ac:dyDescent="0.25">
      <c r="E289">
        <f t="shared" si="30"/>
        <v>43</v>
      </c>
      <c r="G289" t="s">
        <v>287</v>
      </c>
      <c r="H289" s="51">
        <v>1</v>
      </c>
      <c r="I289" s="51">
        <v>93</v>
      </c>
    </row>
    <row r="290" spans="5:9" x14ac:dyDescent="0.25">
      <c r="E290">
        <f t="shared" si="30"/>
        <v>43</v>
      </c>
      <c r="G290" t="s">
        <v>288</v>
      </c>
      <c r="H290">
        <v>2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280</v>
      </c>
      <c r="H291">
        <v>18</v>
      </c>
      <c r="I291" s="51">
        <v>174</v>
      </c>
    </row>
    <row r="292" spans="5:9" x14ac:dyDescent="0.25">
      <c r="E292">
        <f t="shared" ref="E292:E299" si="31">+$F$291</f>
        <v>44</v>
      </c>
      <c r="G292" t="s">
        <v>281</v>
      </c>
      <c r="H292">
        <v>18</v>
      </c>
      <c r="I292" s="51">
        <v>174</v>
      </c>
    </row>
    <row r="293" spans="5:9" x14ac:dyDescent="0.25">
      <c r="E293">
        <f t="shared" si="31"/>
        <v>44</v>
      </c>
      <c r="G293" t="s">
        <v>282</v>
      </c>
      <c r="H293">
        <v>46</v>
      </c>
      <c r="I293" s="51">
        <v>174</v>
      </c>
    </row>
    <row r="294" spans="5:9" x14ac:dyDescent="0.25">
      <c r="E294">
        <f t="shared" si="31"/>
        <v>44</v>
      </c>
      <c r="G294" t="s">
        <v>283</v>
      </c>
      <c r="H294">
        <v>27</v>
      </c>
      <c r="I294" s="51">
        <v>174</v>
      </c>
    </row>
    <row r="295" spans="5:9" x14ac:dyDescent="0.25">
      <c r="E295">
        <f t="shared" si="31"/>
        <v>44</v>
      </c>
      <c r="G295" t="s">
        <v>284</v>
      </c>
      <c r="H295">
        <v>68</v>
      </c>
      <c r="I295" s="51">
        <v>174</v>
      </c>
    </row>
    <row r="296" spans="5:9" x14ac:dyDescent="0.25">
      <c r="E296">
        <f t="shared" si="31"/>
        <v>44</v>
      </c>
      <c r="G296" t="s">
        <v>285</v>
      </c>
      <c r="H296">
        <v>47</v>
      </c>
      <c r="I296" s="51">
        <v>174</v>
      </c>
    </row>
    <row r="297" spans="5:9" x14ac:dyDescent="0.25">
      <c r="E297">
        <f t="shared" si="31"/>
        <v>44</v>
      </c>
      <c r="G297" t="s">
        <v>286</v>
      </c>
      <c r="H297" s="51">
        <v>7</v>
      </c>
      <c r="I297" s="51">
        <v>174</v>
      </c>
    </row>
    <row r="298" spans="5:9" x14ac:dyDescent="0.25">
      <c r="E298">
        <f t="shared" si="31"/>
        <v>44</v>
      </c>
      <c r="G298" t="s">
        <v>287</v>
      </c>
      <c r="H298">
        <v>10</v>
      </c>
      <c r="I298" s="51">
        <v>174</v>
      </c>
    </row>
    <row r="299" spans="5:9" x14ac:dyDescent="0.25">
      <c r="E299">
        <f t="shared" si="31"/>
        <v>44</v>
      </c>
      <c r="G299" t="s">
        <v>288</v>
      </c>
      <c r="H299" s="51">
        <v>14</v>
      </c>
      <c r="I299" s="51">
        <v>174</v>
      </c>
    </row>
    <row r="300" spans="5:9" x14ac:dyDescent="0.25">
      <c r="E300">
        <f>+$F$300</f>
        <v>49</v>
      </c>
      <c r="F300">
        <v>49</v>
      </c>
      <c r="G300" t="s">
        <v>280</v>
      </c>
      <c r="H300" s="51">
        <v>9</v>
      </c>
      <c r="I300" s="51">
        <v>244</v>
      </c>
    </row>
    <row r="301" spans="5:9" x14ac:dyDescent="0.25">
      <c r="E301">
        <f t="shared" ref="E301:E308" si="32">+$F$300</f>
        <v>49</v>
      </c>
      <c r="G301" t="s">
        <v>281</v>
      </c>
      <c r="H301" s="51">
        <v>4</v>
      </c>
      <c r="I301" s="51">
        <v>244</v>
      </c>
    </row>
    <row r="302" spans="5:9" x14ac:dyDescent="0.25">
      <c r="E302">
        <f t="shared" si="32"/>
        <v>49</v>
      </c>
      <c r="G302" t="s">
        <v>282</v>
      </c>
      <c r="H302" s="51">
        <v>15</v>
      </c>
      <c r="I302" s="51">
        <v>244</v>
      </c>
    </row>
    <row r="303" spans="5:9" x14ac:dyDescent="0.25">
      <c r="E303">
        <f t="shared" si="32"/>
        <v>49</v>
      </c>
      <c r="G303" t="s">
        <v>283</v>
      </c>
      <c r="H303" s="51">
        <v>8</v>
      </c>
      <c r="I303" s="51">
        <v>244</v>
      </c>
    </row>
    <row r="304" spans="5:9" x14ac:dyDescent="0.25">
      <c r="E304">
        <f t="shared" si="32"/>
        <v>49</v>
      </c>
      <c r="G304" t="s">
        <v>284</v>
      </c>
      <c r="H304" s="51">
        <v>15</v>
      </c>
      <c r="I304" s="51">
        <v>244</v>
      </c>
    </row>
    <row r="305" spans="5:9" x14ac:dyDescent="0.25">
      <c r="E305">
        <f t="shared" si="32"/>
        <v>49</v>
      </c>
      <c r="G305" t="s">
        <v>285</v>
      </c>
      <c r="H305" s="51">
        <v>7</v>
      </c>
      <c r="I305" s="51">
        <v>244</v>
      </c>
    </row>
    <row r="306" spans="5:9" x14ac:dyDescent="0.25">
      <c r="E306">
        <f t="shared" si="32"/>
        <v>49</v>
      </c>
      <c r="G306" t="s">
        <v>286</v>
      </c>
      <c r="H306" s="51">
        <v>17</v>
      </c>
      <c r="I306" s="51">
        <v>244</v>
      </c>
    </row>
    <row r="307" spans="5:9" x14ac:dyDescent="0.25">
      <c r="E307">
        <f t="shared" si="32"/>
        <v>49</v>
      </c>
      <c r="G307" t="s">
        <v>287</v>
      </c>
      <c r="H307">
        <v>5</v>
      </c>
      <c r="I307" s="51">
        <v>244</v>
      </c>
    </row>
    <row r="308" spans="5:9" x14ac:dyDescent="0.25">
      <c r="E308">
        <f t="shared" si="32"/>
        <v>49</v>
      </c>
      <c r="G308" t="s">
        <v>288</v>
      </c>
      <c r="H308">
        <v>8</v>
      </c>
      <c r="I308" s="51">
        <v>244</v>
      </c>
    </row>
    <row r="309" spans="5:9" x14ac:dyDescent="0.25">
      <c r="E309">
        <f>+$F$309</f>
        <v>5</v>
      </c>
      <c r="F309">
        <v>5</v>
      </c>
      <c r="G309" t="s">
        <v>280</v>
      </c>
      <c r="H309">
        <v>38</v>
      </c>
      <c r="I309" s="51">
        <v>261</v>
      </c>
    </row>
    <row r="310" spans="5:9" x14ac:dyDescent="0.25">
      <c r="E310">
        <f t="shared" ref="E310:E317" si="33">+$F$309</f>
        <v>5</v>
      </c>
      <c r="G310" t="s">
        <v>281</v>
      </c>
      <c r="H310">
        <v>27</v>
      </c>
      <c r="I310" s="51">
        <v>261</v>
      </c>
    </row>
    <row r="311" spans="5:9" x14ac:dyDescent="0.25">
      <c r="E311">
        <f t="shared" si="33"/>
        <v>5</v>
      </c>
      <c r="G311" t="s">
        <v>282</v>
      </c>
      <c r="H311">
        <v>67</v>
      </c>
      <c r="I311" s="51">
        <v>261</v>
      </c>
    </row>
    <row r="312" spans="5:9" x14ac:dyDescent="0.25">
      <c r="E312">
        <f t="shared" si="33"/>
        <v>5</v>
      </c>
      <c r="G312" t="s">
        <v>283</v>
      </c>
      <c r="H312">
        <v>44</v>
      </c>
      <c r="I312" s="51">
        <v>261</v>
      </c>
    </row>
    <row r="313" spans="5:9" x14ac:dyDescent="0.25">
      <c r="E313">
        <f t="shared" si="33"/>
        <v>5</v>
      </c>
      <c r="G313" t="s">
        <v>284</v>
      </c>
      <c r="H313">
        <v>86</v>
      </c>
      <c r="I313" s="51">
        <v>261</v>
      </c>
    </row>
    <row r="314" spans="5:9" x14ac:dyDescent="0.25">
      <c r="E314">
        <f t="shared" si="33"/>
        <v>5</v>
      </c>
      <c r="G314" t="s">
        <v>285</v>
      </c>
      <c r="H314">
        <v>57</v>
      </c>
      <c r="I314" s="51">
        <v>261</v>
      </c>
    </row>
    <row r="315" spans="5:9" x14ac:dyDescent="0.25">
      <c r="E315">
        <f t="shared" si="33"/>
        <v>5</v>
      </c>
      <c r="G315" t="s">
        <v>286</v>
      </c>
      <c r="H315" s="51">
        <v>14</v>
      </c>
      <c r="I315" s="51">
        <v>261</v>
      </c>
    </row>
    <row r="316" spans="5:9" x14ac:dyDescent="0.25">
      <c r="E316">
        <f t="shared" si="33"/>
        <v>5</v>
      </c>
      <c r="G316" t="s">
        <v>287</v>
      </c>
      <c r="H316">
        <v>13</v>
      </c>
      <c r="I316" s="51">
        <v>261</v>
      </c>
    </row>
    <row r="317" spans="5:9" x14ac:dyDescent="0.25">
      <c r="E317">
        <f t="shared" si="33"/>
        <v>5</v>
      </c>
      <c r="G317" t="s">
        <v>288</v>
      </c>
      <c r="H317" s="51">
        <v>18</v>
      </c>
      <c r="I317" s="51">
        <v>261</v>
      </c>
    </row>
    <row r="318" spans="5:9" x14ac:dyDescent="0.25">
      <c r="E318">
        <f>+$F$318</f>
        <v>52</v>
      </c>
      <c r="F318">
        <v>52</v>
      </c>
      <c r="G318" t="s">
        <v>280</v>
      </c>
      <c r="H318" s="51"/>
      <c r="I318" s="51">
        <v>102</v>
      </c>
    </row>
    <row r="319" spans="5:9" x14ac:dyDescent="0.25">
      <c r="E319">
        <f t="shared" ref="E319:E326" si="34">+$F$318</f>
        <v>52</v>
      </c>
      <c r="G319" t="s">
        <v>281</v>
      </c>
      <c r="H319" s="51"/>
      <c r="I319" s="51">
        <v>102</v>
      </c>
    </row>
    <row r="320" spans="5:9" x14ac:dyDescent="0.25">
      <c r="E320">
        <f t="shared" si="34"/>
        <v>52</v>
      </c>
      <c r="G320" t="s">
        <v>282</v>
      </c>
      <c r="H320" s="51"/>
      <c r="I320" s="51">
        <v>102</v>
      </c>
    </row>
    <row r="321" spans="5:9" x14ac:dyDescent="0.25">
      <c r="E321">
        <f t="shared" si="34"/>
        <v>52</v>
      </c>
      <c r="G321" t="s">
        <v>283</v>
      </c>
      <c r="H321" s="51"/>
      <c r="I321" s="51">
        <v>102</v>
      </c>
    </row>
    <row r="322" spans="5:9" x14ac:dyDescent="0.25">
      <c r="E322">
        <f t="shared" si="34"/>
        <v>52</v>
      </c>
      <c r="G322" t="s">
        <v>284</v>
      </c>
      <c r="H322" s="51"/>
      <c r="I322" s="51">
        <v>102</v>
      </c>
    </row>
    <row r="323" spans="5:9" x14ac:dyDescent="0.25">
      <c r="E323">
        <f t="shared" si="34"/>
        <v>52</v>
      </c>
      <c r="G323" t="s">
        <v>285</v>
      </c>
      <c r="I323" s="51">
        <v>102</v>
      </c>
    </row>
    <row r="324" spans="5:9" x14ac:dyDescent="0.25">
      <c r="E324">
        <f t="shared" si="34"/>
        <v>52</v>
      </c>
      <c r="G324" t="s">
        <v>286</v>
      </c>
      <c r="H324" s="51">
        <v>16</v>
      </c>
      <c r="I324" s="51">
        <v>102</v>
      </c>
    </row>
    <row r="325" spans="5:9" x14ac:dyDescent="0.25">
      <c r="E325">
        <f t="shared" si="34"/>
        <v>52</v>
      </c>
      <c r="G325" t="s">
        <v>287</v>
      </c>
      <c r="H325" s="51"/>
      <c r="I325" s="51">
        <v>102</v>
      </c>
    </row>
    <row r="326" spans="5:9" x14ac:dyDescent="0.25">
      <c r="E326">
        <f t="shared" si="34"/>
        <v>52</v>
      </c>
      <c r="G326" t="s">
        <v>288</v>
      </c>
      <c r="H326" s="51"/>
      <c r="I326" s="51">
        <v>102</v>
      </c>
    </row>
    <row r="327" spans="5:9" x14ac:dyDescent="0.25">
      <c r="E327">
        <f>+$F$327</f>
        <v>53</v>
      </c>
      <c r="F327">
        <v>53</v>
      </c>
      <c r="G327" t="s">
        <v>280</v>
      </c>
      <c r="I327" s="51">
        <v>105</v>
      </c>
    </row>
    <row r="328" spans="5:9" x14ac:dyDescent="0.25">
      <c r="E328">
        <f t="shared" ref="E328:E335" si="35">+$F$327</f>
        <v>53</v>
      </c>
      <c r="G328" t="s">
        <v>281</v>
      </c>
      <c r="H328">
        <v>4</v>
      </c>
      <c r="I328" s="51">
        <v>105</v>
      </c>
    </row>
    <row r="329" spans="5:9" x14ac:dyDescent="0.25">
      <c r="E329">
        <f t="shared" si="35"/>
        <v>53</v>
      </c>
      <c r="G329" t="s">
        <v>282</v>
      </c>
      <c r="H329" s="51">
        <v>1</v>
      </c>
      <c r="I329" s="51">
        <v>105</v>
      </c>
    </row>
    <row r="330" spans="5:9" x14ac:dyDescent="0.25">
      <c r="E330">
        <f t="shared" si="35"/>
        <v>53</v>
      </c>
      <c r="G330" t="s">
        <v>283</v>
      </c>
      <c r="I330" s="51">
        <v>105</v>
      </c>
    </row>
    <row r="331" spans="5:9" x14ac:dyDescent="0.25">
      <c r="E331">
        <f t="shared" si="35"/>
        <v>53</v>
      </c>
      <c r="G331" t="s">
        <v>284</v>
      </c>
      <c r="H331" s="51">
        <v>1</v>
      </c>
      <c r="I331" s="51">
        <v>105</v>
      </c>
    </row>
    <row r="332" spans="5:9" x14ac:dyDescent="0.25">
      <c r="E332">
        <f t="shared" si="35"/>
        <v>53</v>
      </c>
      <c r="G332" t="s">
        <v>285</v>
      </c>
      <c r="H332">
        <v>2</v>
      </c>
      <c r="I332" s="51">
        <v>105</v>
      </c>
    </row>
    <row r="333" spans="5:9" x14ac:dyDescent="0.25">
      <c r="E333">
        <f t="shared" si="35"/>
        <v>53</v>
      </c>
      <c r="G333" t="s">
        <v>286</v>
      </c>
      <c r="H333" s="51">
        <v>23</v>
      </c>
      <c r="I333" s="51">
        <v>105</v>
      </c>
    </row>
    <row r="334" spans="5:9" x14ac:dyDescent="0.25">
      <c r="E334">
        <f t="shared" si="35"/>
        <v>53</v>
      </c>
      <c r="G334" t="s">
        <v>287</v>
      </c>
      <c r="H334" s="51">
        <v>1</v>
      </c>
      <c r="I334" s="51">
        <v>105</v>
      </c>
    </row>
    <row r="335" spans="5:9" x14ac:dyDescent="0.25">
      <c r="E335">
        <f t="shared" si="35"/>
        <v>53</v>
      </c>
      <c r="G335" t="s">
        <v>288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280</v>
      </c>
      <c r="H336" s="51">
        <v>22</v>
      </c>
      <c r="I336" s="51">
        <v>197</v>
      </c>
    </row>
    <row r="337" spans="5:9" x14ac:dyDescent="0.25">
      <c r="E337">
        <f t="shared" ref="E337:E344" si="36">+$F$336</f>
        <v>54</v>
      </c>
      <c r="G337" t="s">
        <v>281</v>
      </c>
      <c r="H337" s="51">
        <v>21</v>
      </c>
      <c r="I337" s="51">
        <v>197</v>
      </c>
    </row>
    <row r="338" spans="5:9" x14ac:dyDescent="0.25">
      <c r="E338">
        <f t="shared" si="36"/>
        <v>54</v>
      </c>
      <c r="G338" t="s">
        <v>282</v>
      </c>
      <c r="H338" s="51">
        <v>51</v>
      </c>
      <c r="I338" s="51">
        <v>197</v>
      </c>
    </row>
    <row r="339" spans="5:9" x14ac:dyDescent="0.25">
      <c r="E339">
        <f t="shared" si="36"/>
        <v>54</v>
      </c>
      <c r="G339" t="s">
        <v>283</v>
      </c>
      <c r="H339" s="51">
        <v>43</v>
      </c>
      <c r="I339" s="51">
        <v>197</v>
      </c>
    </row>
    <row r="340" spans="5:9" x14ac:dyDescent="0.25">
      <c r="E340">
        <f t="shared" si="36"/>
        <v>54</v>
      </c>
      <c r="G340" t="s">
        <v>284</v>
      </c>
      <c r="H340">
        <v>59</v>
      </c>
      <c r="I340" s="51">
        <v>197</v>
      </c>
    </row>
    <row r="341" spans="5:9" x14ac:dyDescent="0.25">
      <c r="E341">
        <f t="shared" si="36"/>
        <v>54</v>
      </c>
      <c r="G341" t="s">
        <v>285</v>
      </c>
      <c r="H341" s="51">
        <v>40</v>
      </c>
      <c r="I341" s="51">
        <v>197</v>
      </c>
    </row>
    <row r="342" spans="5:9" x14ac:dyDescent="0.25">
      <c r="E342">
        <f t="shared" si="36"/>
        <v>54</v>
      </c>
      <c r="G342" t="s">
        <v>286</v>
      </c>
      <c r="H342" s="51">
        <v>13</v>
      </c>
      <c r="I342" s="51">
        <v>197</v>
      </c>
    </row>
    <row r="343" spans="5:9" x14ac:dyDescent="0.25">
      <c r="E343">
        <f t="shared" si="36"/>
        <v>54</v>
      </c>
      <c r="G343" t="s">
        <v>287</v>
      </c>
      <c r="H343" s="51">
        <v>15</v>
      </c>
      <c r="I343" s="51">
        <v>197</v>
      </c>
    </row>
    <row r="344" spans="5:9" x14ac:dyDescent="0.25">
      <c r="E344">
        <f t="shared" si="36"/>
        <v>54</v>
      </c>
      <c r="G344" t="s">
        <v>288</v>
      </c>
      <c r="H344" s="51">
        <v>11</v>
      </c>
      <c r="I344" s="51">
        <v>197</v>
      </c>
    </row>
    <row r="345" spans="5:9" x14ac:dyDescent="0.25">
      <c r="E345">
        <f>+$F$345</f>
        <v>56</v>
      </c>
      <c r="F345">
        <v>56</v>
      </c>
      <c r="G345" t="s">
        <v>280</v>
      </c>
      <c r="H345">
        <v>2</v>
      </c>
      <c r="I345" s="51">
        <v>198</v>
      </c>
    </row>
    <row r="346" spans="5:9" x14ac:dyDescent="0.25">
      <c r="E346">
        <f t="shared" ref="E346:E353" si="37">+$F$345</f>
        <v>56</v>
      </c>
      <c r="G346" t="s">
        <v>281</v>
      </c>
      <c r="H346" s="51">
        <v>2</v>
      </c>
      <c r="I346" s="51">
        <v>198</v>
      </c>
    </row>
    <row r="347" spans="5:9" x14ac:dyDescent="0.25">
      <c r="E347">
        <f t="shared" si="37"/>
        <v>56</v>
      </c>
      <c r="G347" t="s">
        <v>282</v>
      </c>
      <c r="H347" s="51">
        <v>24</v>
      </c>
      <c r="I347" s="51">
        <v>198</v>
      </c>
    </row>
    <row r="348" spans="5:9" x14ac:dyDescent="0.25">
      <c r="E348">
        <f t="shared" si="37"/>
        <v>56</v>
      </c>
      <c r="G348" t="s">
        <v>283</v>
      </c>
      <c r="H348">
        <v>9</v>
      </c>
      <c r="I348" s="51">
        <v>198</v>
      </c>
    </row>
    <row r="349" spans="5:9" x14ac:dyDescent="0.25">
      <c r="E349">
        <f t="shared" si="37"/>
        <v>56</v>
      </c>
      <c r="G349" t="s">
        <v>284</v>
      </c>
      <c r="H349" s="51">
        <v>17</v>
      </c>
      <c r="I349" s="51">
        <v>198</v>
      </c>
    </row>
    <row r="350" spans="5:9" x14ac:dyDescent="0.25">
      <c r="E350">
        <f t="shared" si="37"/>
        <v>56</v>
      </c>
      <c r="G350" t="s">
        <v>285</v>
      </c>
      <c r="H350" s="51">
        <v>10</v>
      </c>
      <c r="I350" s="51">
        <v>198</v>
      </c>
    </row>
    <row r="351" spans="5:9" x14ac:dyDescent="0.25">
      <c r="E351">
        <f t="shared" si="37"/>
        <v>56</v>
      </c>
      <c r="G351" t="s">
        <v>286</v>
      </c>
      <c r="H351" s="51">
        <v>17</v>
      </c>
      <c r="I351" s="51">
        <v>198</v>
      </c>
    </row>
    <row r="352" spans="5:9" x14ac:dyDescent="0.25">
      <c r="E352">
        <f t="shared" si="37"/>
        <v>56</v>
      </c>
      <c r="G352" t="s">
        <v>287</v>
      </c>
      <c r="H352">
        <v>5</v>
      </c>
      <c r="I352" s="51">
        <v>198</v>
      </c>
    </row>
    <row r="353" spans="5:9" x14ac:dyDescent="0.25">
      <c r="E353">
        <f t="shared" si="37"/>
        <v>56</v>
      </c>
      <c r="G353" t="s">
        <v>288</v>
      </c>
      <c r="H353" s="51">
        <v>6</v>
      </c>
      <c r="I353" s="51">
        <v>198</v>
      </c>
    </row>
    <row r="354" spans="5:9" x14ac:dyDescent="0.25">
      <c r="E354">
        <f>+$F$354</f>
        <v>57</v>
      </c>
      <c r="F354">
        <v>57</v>
      </c>
      <c r="G354" t="s">
        <v>280</v>
      </c>
      <c r="H354" s="51"/>
      <c r="I354" s="51">
        <v>105</v>
      </c>
    </row>
    <row r="355" spans="5:9" x14ac:dyDescent="0.25">
      <c r="E355">
        <f t="shared" ref="E355:E362" si="38">+$F$354</f>
        <v>57</v>
      </c>
      <c r="G355" t="s">
        <v>281</v>
      </c>
      <c r="H355" s="51">
        <v>1</v>
      </c>
      <c r="I355" s="51">
        <v>105</v>
      </c>
    </row>
    <row r="356" spans="5:9" x14ac:dyDescent="0.25">
      <c r="E356">
        <f t="shared" si="38"/>
        <v>57</v>
      </c>
      <c r="G356" t="s">
        <v>282</v>
      </c>
      <c r="H356" s="51"/>
      <c r="I356" s="51">
        <v>105</v>
      </c>
    </row>
    <row r="357" spans="5:9" x14ac:dyDescent="0.25">
      <c r="E357">
        <f t="shared" si="38"/>
        <v>57</v>
      </c>
      <c r="G357" t="s">
        <v>283</v>
      </c>
      <c r="H357" s="51"/>
      <c r="I357" s="51">
        <v>105</v>
      </c>
    </row>
    <row r="358" spans="5:9" x14ac:dyDescent="0.25">
      <c r="E358">
        <f t="shared" si="38"/>
        <v>57</v>
      </c>
      <c r="G358" t="s">
        <v>284</v>
      </c>
      <c r="H358" s="51"/>
      <c r="I358" s="51">
        <v>105</v>
      </c>
    </row>
    <row r="359" spans="5:9" x14ac:dyDescent="0.25">
      <c r="E359">
        <f t="shared" si="38"/>
        <v>57</v>
      </c>
      <c r="G359" t="s">
        <v>285</v>
      </c>
      <c r="H359" s="51"/>
      <c r="I359" s="51">
        <v>105</v>
      </c>
    </row>
    <row r="360" spans="5:9" x14ac:dyDescent="0.25">
      <c r="E360">
        <f t="shared" si="38"/>
        <v>57</v>
      </c>
      <c r="G360" t="s">
        <v>286</v>
      </c>
      <c r="H360" s="51">
        <v>15</v>
      </c>
      <c r="I360" s="51">
        <v>105</v>
      </c>
    </row>
    <row r="361" spans="5:9" x14ac:dyDescent="0.25">
      <c r="E361">
        <f t="shared" si="38"/>
        <v>57</v>
      </c>
      <c r="G361" t="s">
        <v>287</v>
      </c>
      <c r="H361" s="51"/>
      <c r="I361" s="51">
        <v>105</v>
      </c>
    </row>
    <row r="362" spans="5:9" x14ac:dyDescent="0.25">
      <c r="E362">
        <f t="shared" si="38"/>
        <v>57</v>
      </c>
      <c r="G362" t="s">
        <v>288</v>
      </c>
      <c r="H362" s="51"/>
      <c r="I362" s="51">
        <v>105</v>
      </c>
    </row>
    <row r="363" spans="5:9" x14ac:dyDescent="0.25">
      <c r="E363">
        <f>+$F$363</f>
        <v>58</v>
      </c>
      <c r="F363">
        <v>58</v>
      </c>
      <c r="G363" t="s">
        <v>280</v>
      </c>
      <c r="H363" s="51">
        <v>3</v>
      </c>
      <c r="I363" s="51">
        <v>122</v>
      </c>
    </row>
    <row r="364" spans="5:9" x14ac:dyDescent="0.25">
      <c r="E364">
        <f t="shared" ref="E364:E371" si="39">+$F$363</f>
        <v>58</v>
      </c>
      <c r="G364" t="s">
        <v>281</v>
      </c>
      <c r="H364" s="51">
        <v>7</v>
      </c>
      <c r="I364" s="51">
        <v>122</v>
      </c>
    </row>
    <row r="365" spans="5:9" x14ac:dyDescent="0.25">
      <c r="E365">
        <f t="shared" si="39"/>
        <v>58</v>
      </c>
      <c r="G365" t="s">
        <v>282</v>
      </c>
      <c r="H365" s="51">
        <v>4</v>
      </c>
      <c r="I365" s="51">
        <v>122</v>
      </c>
    </row>
    <row r="366" spans="5:9" x14ac:dyDescent="0.25">
      <c r="E366">
        <f t="shared" si="39"/>
        <v>58</v>
      </c>
      <c r="G366" t="s">
        <v>283</v>
      </c>
      <c r="H366" s="51">
        <v>14</v>
      </c>
      <c r="I366" s="51">
        <v>122</v>
      </c>
    </row>
    <row r="367" spans="5:9" x14ac:dyDescent="0.25">
      <c r="E367">
        <f t="shared" si="39"/>
        <v>58</v>
      </c>
      <c r="G367" t="s">
        <v>284</v>
      </c>
      <c r="H367" s="51">
        <v>8</v>
      </c>
      <c r="I367" s="51">
        <v>122</v>
      </c>
    </row>
    <row r="368" spans="5:9" x14ac:dyDescent="0.25">
      <c r="E368">
        <f t="shared" si="39"/>
        <v>58</v>
      </c>
      <c r="G368" t="s">
        <v>285</v>
      </c>
      <c r="H368" s="51">
        <v>13</v>
      </c>
      <c r="I368" s="51">
        <v>122</v>
      </c>
    </row>
    <row r="369" spans="5:9" x14ac:dyDescent="0.25">
      <c r="E369">
        <f t="shared" si="39"/>
        <v>58</v>
      </c>
      <c r="G369" t="s">
        <v>286</v>
      </c>
      <c r="H369" s="51">
        <v>3</v>
      </c>
      <c r="I369" s="51">
        <v>122</v>
      </c>
    </row>
    <row r="370" spans="5:9" x14ac:dyDescent="0.25">
      <c r="E370">
        <f t="shared" si="39"/>
        <v>58</v>
      </c>
      <c r="G370" t="s">
        <v>287</v>
      </c>
      <c r="H370" s="51">
        <v>4</v>
      </c>
      <c r="I370" s="51">
        <v>122</v>
      </c>
    </row>
    <row r="371" spans="5:9" x14ac:dyDescent="0.25">
      <c r="E371">
        <f t="shared" si="39"/>
        <v>58</v>
      </c>
      <c r="G371" t="s">
        <v>288</v>
      </c>
      <c r="H371" s="35">
        <v>2</v>
      </c>
      <c r="I371" s="35">
        <v>122</v>
      </c>
    </row>
    <row r="372" spans="5:9" x14ac:dyDescent="0.25">
      <c r="E372">
        <f>+$F$372</f>
        <v>59</v>
      </c>
      <c r="F372">
        <v>59</v>
      </c>
      <c r="G372" t="s">
        <v>280</v>
      </c>
      <c r="H372">
        <v>13</v>
      </c>
      <c r="I372">
        <v>125</v>
      </c>
    </row>
    <row r="373" spans="5:9" x14ac:dyDescent="0.25">
      <c r="E373">
        <f t="shared" ref="E373:E380" si="40">+$F$372</f>
        <v>59</v>
      </c>
      <c r="G373" t="s">
        <v>281</v>
      </c>
      <c r="H373">
        <v>12</v>
      </c>
      <c r="I373">
        <v>125</v>
      </c>
    </row>
    <row r="374" spans="5:9" x14ac:dyDescent="0.25">
      <c r="E374">
        <f t="shared" si="40"/>
        <v>59</v>
      </c>
      <c r="G374" t="s">
        <v>282</v>
      </c>
      <c r="H374">
        <v>6</v>
      </c>
      <c r="I374">
        <v>125</v>
      </c>
    </row>
    <row r="375" spans="5:9" x14ac:dyDescent="0.25">
      <c r="E375">
        <f t="shared" si="40"/>
        <v>59</v>
      </c>
      <c r="G375" t="s">
        <v>283</v>
      </c>
      <c r="H375">
        <v>19</v>
      </c>
      <c r="I375">
        <v>125</v>
      </c>
    </row>
    <row r="376" spans="5:9" x14ac:dyDescent="0.25">
      <c r="E376">
        <f t="shared" si="40"/>
        <v>59</v>
      </c>
      <c r="G376" t="s">
        <v>284</v>
      </c>
      <c r="H376">
        <v>16</v>
      </c>
      <c r="I376">
        <v>125</v>
      </c>
    </row>
    <row r="377" spans="5:9" x14ac:dyDescent="0.25">
      <c r="E377">
        <f t="shared" si="40"/>
        <v>59</v>
      </c>
      <c r="G377" t="s">
        <v>285</v>
      </c>
      <c r="H377">
        <v>15</v>
      </c>
      <c r="I377">
        <v>125</v>
      </c>
    </row>
    <row r="378" spans="5:9" x14ac:dyDescent="0.25">
      <c r="E378">
        <f t="shared" si="40"/>
        <v>59</v>
      </c>
      <c r="G378" t="s">
        <v>286</v>
      </c>
      <c r="H378">
        <v>4</v>
      </c>
      <c r="I378">
        <v>125</v>
      </c>
    </row>
    <row r="379" spans="5:9" x14ac:dyDescent="0.25">
      <c r="E379">
        <f t="shared" si="40"/>
        <v>59</v>
      </c>
      <c r="G379" t="s">
        <v>287</v>
      </c>
      <c r="H379">
        <v>1</v>
      </c>
      <c r="I379">
        <v>125</v>
      </c>
    </row>
    <row r="380" spans="5:9" x14ac:dyDescent="0.25">
      <c r="E380">
        <f t="shared" si="40"/>
        <v>59</v>
      </c>
      <c r="G380" t="s">
        <v>288</v>
      </c>
      <c r="H380">
        <v>1</v>
      </c>
      <c r="I380">
        <v>125</v>
      </c>
    </row>
    <row r="381" spans="5:9" x14ac:dyDescent="0.25">
      <c r="E381">
        <f>+$F$381</f>
        <v>7</v>
      </c>
      <c r="F381">
        <v>7</v>
      </c>
      <c r="G381" t="s">
        <v>280</v>
      </c>
      <c r="I381">
        <v>116</v>
      </c>
    </row>
    <row r="382" spans="5:9" x14ac:dyDescent="0.25">
      <c r="E382">
        <f t="shared" ref="E382:E389" si="41">+$F$381</f>
        <v>7</v>
      </c>
      <c r="G382" t="s">
        <v>281</v>
      </c>
      <c r="I382">
        <v>116</v>
      </c>
    </row>
    <row r="383" spans="5:9" x14ac:dyDescent="0.25">
      <c r="E383">
        <f t="shared" si="41"/>
        <v>7</v>
      </c>
      <c r="G383" t="s">
        <v>282</v>
      </c>
      <c r="H383">
        <v>3</v>
      </c>
      <c r="I383">
        <v>116</v>
      </c>
    </row>
    <row r="384" spans="5:9" x14ac:dyDescent="0.25">
      <c r="E384">
        <f t="shared" si="41"/>
        <v>7</v>
      </c>
      <c r="G384" t="s">
        <v>283</v>
      </c>
      <c r="I384">
        <v>116</v>
      </c>
    </row>
    <row r="385" spans="5:9" x14ac:dyDescent="0.25">
      <c r="E385">
        <f t="shared" si="41"/>
        <v>7</v>
      </c>
      <c r="G385" t="s">
        <v>284</v>
      </c>
      <c r="H385">
        <v>2</v>
      </c>
      <c r="I385">
        <v>116</v>
      </c>
    </row>
    <row r="386" spans="5:9" x14ac:dyDescent="0.25">
      <c r="E386">
        <f t="shared" si="41"/>
        <v>7</v>
      </c>
      <c r="G386" t="s">
        <v>285</v>
      </c>
      <c r="I386">
        <v>116</v>
      </c>
    </row>
    <row r="387" spans="5:9" x14ac:dyDescent="0.25">
      <c r="E387">
        <f t="shared" si="41"/>
        <v>7</v>
      </c>
      <c r="G387" t="s">
        <v>286</v>
      </c>
      <c r="H387">
        <v>5</v>
      </c>
      <c r="I387">
        <v>116</v>
      </c>
    </row>
    <row r="388" spans="5:9" x14ac:dyDescent="0.25">
      <c r="E388">
        <f t="shared" si="41"/>
        <v>7</v>
      </c>
      <c r="G388" t="s">
        <v>287</v>
      </c>
      <c r="H388">
        <v>2</v>
      </c>
      <c r="I388">
        <v>116</v>
      </c>
    </row>
    <row r="389" spans="5:9" x14ac:dyDescent="0.25">
      <c r="E389">
        <f t="shared" si="41"/>
        <v>7</v>
      </c>
      <c r="G389" t="s">
        <v>288</v>
      </c>
      <c r="H389">
        <v>2</v>
      </c>
      <c r="I389">
        <v>116</v>
      </c>
    </row>
    <row r="390" spans="5:9" x14ac:dyDescent="0.25">
      <c r="E390">
        <f>+$F$390</f>
        <v>8</v>
      </c>
      <c r="F390">
        <v>8</v>
      </c>
      <c r="G390" t="s">
        <v>280</v>
      </c>
      <c r="H390">
        <v>8</v>
      </c>
      <c r="I390">
        <v>195</v>
      </c>
    </row>
    <row r="391" spans="5:9" x14ac:dyDescent="0.25">
      <c r="E391">
        <f t="shared" ref="E391:E398" si="42">+$F$390</f>
        <v>8</v>
      </c>
      <c r="G391" t="s">
        <v>281</v>
      </c>
      <c r="H391">
        <v>2</v>
      </c>
      <c r="I391">
        <v>195</v>
      </c>
    </row>
    <row r="392" spans="5:9" x14ac:dyDescent="0.25">
      <c r="E392">
        <f t="shared" si="42"/>
        <v>8</v>
      </c>
      <c r="G392" t="s">
        <v>282</v>
      </c>
      <c r="H392">
        <v>19</v>
      </c>
      <c r="I392">
        <v>195</v>
      </c>
    </row>
    <row r="393" spans="5:9" x14ac:dyDescent="0.25">
      <c r="E393">
        <f t="shared" si="42"/>
        <v>8</v>
      </c>
      <c r="G393" t="s">
        <v>283</v>
      </c>
      <c r="H393">
        <v>17</v>
      </c>
      <c r="I393">
        <v>195</v>
      </c>
    </row>
    <row r="394" spans="5:9" x14ac:dyDescent="0.25">
      <c r="E394">
        <f t="shared" si="42"/>
        <v>8</v>
      </c>
      <c r="G394" t="s">
        <v>284</v>
      </c>
      <c r="H394">
        <v>28</v>
      </c>
      <c r="I394">
        <v>195</v>
      </c>
    </row>
    <row r="395" spans="5:9" x14ac:dyDescent="0.25">
      <c r="E395">
        <f t="shared" si="42"/>
        <v>8</v>
      </c>
      <c r="G395" t="s">
        <v>285</v>
      </c>
      <c r="H395">
        <v>20</v>
      </c>
      <c r="I395">
        <v>195</v>
      </c>
    </row>
    <row r="396" spans="5:9" x14ac:dyDescent="0.25">
      <c r="E396">
        <f t="shared" si="42"/>
        <v>8</v>
      </c>
      <c r="G396" t="s">
        <v>286</v>
      </c>
      <c r="H396">
        <v>5</v>
      </c>
      <c r="I396">
        <v>195</v>
      </c>
    </row>
    <row r="397" spans="5:9" x14ac:dyDescent="0.25">
      <c r="E397">
        <f t="shared" si="42"/>
        <v>8</v>
      </c>
      <c r="G397" t="s">
        <v>287</v>
      </c>
      <c r="H397">
        <v>7</v>
      </c>
      <c r="I397">
        <v>195</v>
      </c>
    </row>
    <row r="398" spans="5:9" x14ac:dyDescent="0.25">
      <c r="E398">
        <f t="shared" si="42"/>
        <v>8</v>
      </c>
      <c r="G398" t="s">
        <v>288</v>
      </c>
      <c r="H398">
        <v>8</v>
      </c>
      <c r="I398">
        <v>195</v>
      </c>
    </row>
    <row r="399" spans="5:9" x14ac:dyDescent="0.25">
      <c r="E399">
        <f>+$F$399</f>
        <v>9</v>
      </c>
      <c r="F399">
        <v>9</v>
      </c>
      <c r="G399" t="s">
        <v>280</v>
      </c>
      <c r="H399">
        <v>18</v>
      </c>
      <c r="I399">
        <v>156</v>
      </c>
    </row>
    <row r="400" spans="5:9" x14ac:dyDescent="0.25">
      <c r="E400">
        <f t="shared" ref="E400:E407" si="43">+$F$399</f>
        <v>9</v>
      </c>
      <c r="G400" t="s">
        <v>281</v>
      </c>
      <c r="H400">
        <v>24</v>
      </c>
      <c r="I400">
        <v>156</v>
      </c>
    </row>
    <row r="401" spans="5:9" x14ac:dyDescent="0.25">
      <c r="E401">
        <f t="shared" si="43"/>
        <v>9</v>
      </c>
      <c r="G401" t="s">
        <v>282</v>
      </c>
      <c r="H401">
        <v>23</v>
      </c>
      <c r="I401">
        <v>156</v>
      </c>
    </row>
    <row r="402" spans="5:9" x14ac:dyDescent="0.25">
      <c r="E402">
        <f t="shared" si="43"/>
        <v>9</v>
      </c>
      <c r="G402" t="s">
        <v>283</v>
      </c>
      <c r="H402">
        <v>30</v>
      </c>
      <c r="I402">
        <v>156</v>
      </c>
    </row>
    <row r="403" spans="5:9" x14ac:dyDescent="0.25">
      <c r="E403">
        <f t="shared" si="43"/>
        <v>9</v>
      </c>
      <c r="G403" t="s">
        <v>284</v>
      </c>
      <c r="H403">
        <v>38</v>
      </c>
      <c r="I403">
        <v>156</v>
      </c>
    </row>
    <row r="404" spans="5:9" x14ac:dyDescent="0.25">
      <c r="E404">
        <f t="shared" si="43"/>
        <v>9</v>
      </c>
      <c r="G404" t="s">
        <v>285</v>
      </c>
      <c r="H404">
        <v>35</v>
      </c>
      <c r="I404">
        <v>156</v>
      </c>
    </row>
    <row r="405" spans="5:9" x14ac:dyDescent="0.25">
      <c r="E405">
        <f t="shared" si="43"/>
        <v>9</v>
      </c>
      <c r="G405" t="s">
        <v>286</v>
      </c>
      <c r="H405">
        <v>5</v>
      </c>
      <c r="I405">
        <v>156</v>
      </c>
    </row>
    <row r="406" spans="5:9" x14ac:dyDescent="0.25">
      <c r="E406">
        <f t="shared" si="43"/>
        <v>9</v>
      </c>
      <c r="G406" t="s">
        <v>287</v>
      </c>
      <c r="H406">
        <v>11</v>
      </c>
      <c r="I406">
        <v>156</v>
      </c>
    </row>
    <row r="407" spans="5:9" x14ac:dyDescent="0.25">
      <c r="E407">
        <f t="shared" si="43"/>
        <v>9</v>
      </c>
      <c r="G407" t="s">
        <v>288</v>
      </c>
      <c r="H407">
        <v>16</v>
      </c>
      <c r="I407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121</v>
      </c>
      <c r="I1" t="s">
        <v>122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</row>
    <row r="2" spans="1:20" x14ac:dyDescent="0.25">
      <c r="A2" t="s">
        <v>204</v>
      </c>
      <c r="B2">
        <v>1</v>
      </c>
      <c r="C2" s="52">
        <v>46082</v>
      </c>
      <c r="D2" t="s">
        <v>156</v>
      </c>
      <c r="E2">
        <v>1</v>
      </c>
      <c r="F2" t="s">
        <v>14</v>
      </c>
      <c r="G2" t="s">
        <v>143</v>
      </c>
      <c r="H2">
        <v>1382</v>
      </c>
      <c r="I2" t="s">
        <v>144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204</v>
      </c>
      <c r="B3">
        <v>1</v>
      </c>
      <c r="C3" s="52">
        <v>46082</v>
      </c>
      <c r="D3" t="s">
        <v>180</v>
      </c>
      <c r="E3">
        <v>2</v>
      </c>
      <c r="F3" t="s">
        <v>7</v>
      </c>
      <c r="G3" t="s">
        <v>143</v>
      </c>
      <c r="H3">
        <v>1382</v>
      </c>
      <c r="I3" t="s">
        <v>144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204</v>
      </c>
      <c r="B4">
        <v>1</v>
      </c>
      <c r="C4" s="52">
        <v>46082</v>
      </c>
      <c r="D4" t="s">
        <v>157</v>
      </c>
      <c r="E4">
        <v>3</v>
      </c>
      <c r="F4" t="s">
        <v>4</v>
      </c>
      <c r="G4" t="s">
        <v>143</v>
      </c>
      <c r="H4">
        <v>1382</v>
      </c>
      <c r="I4" t="s">
        <v>144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204</v>
      </c>
      <c r="B5">
        <v>1</v>
      </c>
      <c r="C5" s="52">
        <v>46082</v>
      </c>
      <c r="D5" t="s">
        <v>162</v>
      </c>
      <c r="E5">
        <v>4</v>
      </c>
      <c r="F5" t="s">
        <v>19</v>
      </c>
      <c r="G5" t="s">
        <v>143</v>
      </c>
      <c r="H5">
        <v>1382</v>
      </c>
      <c r="I5" t="s">
        <v>144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204</v>
      </c>
      <c r="B6">
        <v>1</v>
      </c>
      <c r="C6" s="52">
        <v>46082</v>
      </c>
      <c r="D6" t="s">
        <v>163</v>
      </c>
      <c r="E6">
        <v>5</v>
      </c>
      <c r="F6" t="s">
        <v>71</v>
      </c>
      <c r="G6" t="s">
        <v>143</v>
      </c>
      <c r="H6">
        <v>1382</v>
      </c>
      <c r="I6" t="s">
        <v>144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204</v>
      </c>
      <c r="B7">
        <v>1</v>
      </c>
      <c r="C7" s="52">
        <v>46082</v>
      </c>
      <c r="D7" t="s">
        <v>197</v>
      </c>
      <c r="E7">
        <v>7</v>
      </c>
      <c r="F7" t="s">
        <v>10</v>
      </c>
      <c r="G7" t="s">
        <v>143</v>
      </c>
      <c r="H7">
        <v>1382</v>
      </c>
      <c r="I7" t="s">
        <v>144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204</v>
      </c>
      <c r="B8">
        <v>1</v>
      </c>
      <c r="C8" s="52">
        <v>46082</v>
      </c>
      <c r="D8" t="s">
        <v>158</v>
      </c>
      <c r="E8">
        <v>8</v>
      </c>
      <c r="F8" t="s">
        <v>6</v>
      </c>
      <c r="G8" t="s">
        <v>143</v>
      </c>
      <c r="H8">
        <v>1382</v>
      </c>
      <c r="I8" t="s">
        <v>144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204</v>
      </c>
      <c r="B9">
        <v>1</v>
      </c>
      <c r="C9" s="52">
        <v>46082</v>
      </c>
      <c r="D9" t="s">
        <v>135</v>
      </c>
      <c r="E9">
        <v>9</v>
      </c>
      <c r="F9" t="s">
        <v>8</v>
      </c>
      <c r="G9" t="s">
        <v>143</v>
      </c>
      <c r="H9">
        <v>1382</v>
      </c>
      <c r="I9" t="s">
        <v>144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204</v>
      </c>
      <c r="B10">
        <v>1</v>
      </c>
      <c r="C10" s="52">
        <v>46082</v>
      </c>
      <c r="D10" t="s">
        <v>164</v>
      </c>
      <c r="E10">
        <v>10</v>
      </c>
      <c r="F10" t="s">
        <v>62</v>
      </c>
      <c r="G10" t="s">
        <v>143</v>
      </c>
      <c r="H10">
        <v>1382</v>
      </c>
      <c r="I10" t="s">
        <v>144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204</v>
      </c>
      <c r="B11">
        <v>1</v>
      </c>
      <c r="C11" s="52">
        <v>46082</v>
      </c>
      <c r="D11" t="s">
        <v>165</v>
      </c>
      <c r="E11">
        <v>11</v>
      </c>
      <c r="F11" t="s">
        <v>80</v>
      </c>
      <c r="G11" t="s">
        <v>143</v>
      </c>
      <c r="H11">
        <v>1382</v>
      </c>
      <c r="I11" t="s">
        <v>144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204</v>
      </c>
      <c r="B12">
        <v>1</v>
      </c>
      <c r="C12" s="52">
        <v>46082</v>
      </c>
      <c r="D12" t="s">
        <v>181</v>
      </c>
      <c r="E12">
        <v>12</v>
      </c>
      <c r="F12" t="s">
        <v>12</v>
      </c>
      <c r="G12" t="s">
        <v>143</v>
      </c>
      <c r="H12">
        <v>1382</v>
      </c>
      <c r="I12" t="s">
        <v>144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204</v>
      </c>
      <c r="B13">
        <v>1</v>
      </c>
      <c r="C13" s="52">
        <v>46082</v>
      </c>
      <c r="D13" t="s">
        <v>202</v>
      </c>
      <c r="E13">
        <v>15</v>
      </c>
      <c r="F13" t="s">
        <v>13</v>
      </c>
      <c r="G13" t="s">
        <v>143</v>
      </c>
      <c r="H13">
        <v>1382</v>
      </c>
      <c r="I13" t="s">
        <v>144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204</v>
      </c>
      <c r="B14">
        <v>1</v>
      </c>
      <c r="C14" s="52">
        <v>46082</v>
      </c>
      <c r="D14" t="s">
        <v>166</v>
      </c>
      <c r="E14">
        <v>16</v>
      </c>
      <c r="F14" t="s">
        <v>21</v>
      </c>
      <c r="G14" t="s">
        <v>143</v>
      </c>
      <c r="H14">
        <v>1382</v>
      </c>
      <c r="I14" t="s">
        <v>144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204</v>
      </c>
      <c r="B15">
        <v>1</v>
      </c>
      <c r="C15" s="52">
        <v>46082</v>
      </c>
      <c r="D15" t="s">
        <v>167</v>
      </c>
      <c r="E15">
        <v>18</v>
      </c>
      <c r="F15" t="s">
        <v>11</v>
      </c>
      <c r="G15" t="s">
        <v>143</v>
      </c>
      <c r="H15">
        <v>1382</v>
      </c>
      <c r="I15" t="s">
        <v>144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204</v>
      </c>
      <c r="B16">
        <v>1</v>
      </c>
      <c r="C16" s="52">
        <v>46082</v>
      </c>
      <c r="D16" t="s">
        <v>182</v>
      </c>
      <c r="E16">
        <v>19</v>
      </c>
      <c r="F16" t="s">
        <v>73</v>
      </c>
      <c r="G16" t="s">
        <v>143</v>
      </c>
      <c r="H16">
        <v>1382</v>
      </c>
      <c r="I16" t="s">
        <v>144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204</v>
      </c>
      <c r="B17">
        <v>1</v>
      </c>
      <c r="C17" s="52">
        <v>46082</v>
      </c>
      <c r="D17" t="s">
        <v>168</v>
      </c>
      <c r="E17">
        <v>20</v>
      </c>
      <c r="F17" t="s">
        <v>20</v>
      </c>
      <c r="G17" t="s">
        <v>143</v>
      </c>
      <c r="H17">
        <v>1382</v>
      </c>
      <c r="I17" t="s">
        <v>144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204</v>
      </c>
      <c r="B18">
        <v>1</v>
      </c>
      <c r="C18" s="52">
        <v>46082</v>
      </c>
      <c r="D18" t="s">
        <v>136</v>
      </c>
      <c r="E18">
        <v>21</v>
      </c>
      <c r="F18" t="s">
        <v>17</v>
      </c>
      <c r="G18" t="s">
        <v>143</v>
      </c>
      <c r="H18">
        <v>1382</v>
      </c>
      <c r="I18" t="s">
        <v>144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204</v>
      </c>
      <c r="B19">
        <v>1</v>
      </c>
      <c r="C19" s="52">
        <v>46082</v>
      </c>
      <c r="D19" t="s">
        <v>198</v>
      </c>
      <c r="E19">
        <v>22</v>
      </c>
      <c r="F19" t="s">
        <v>23</v>
      </c>
      <c r="G19" t="s">
        <v>143</v>
      </c>
      <c r="H19">
        <v>1382</v>
      </c>
      <c r="I19" t="s">
        <v>144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204</v>
      </c>
      <c r="B20">
        <v>1</v>
      </c>
      <c r="C20" s="52">
        <v>46082</v>
      </c>
      <c r="D20" t="s">
        <v>159</v>
      </c>
      <c r="E20">
        <v>23</v>
      </c>
      <c r="F20" t="s">
        <v>22</v>
      </c>
      <c r="G20" t="s">
        <v>143</v>
      </c>
      <c r="H20">
        <v>1382</v>
      </c>
      <c r="I20" t="s">
        <v>144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204</v>
      </c>
      <c r="B21">
        <v>1</v>
      </c>
      <c r="C21" s="52">
        <v>46082</v>
      </c>
      <c r="D21" t="s">
        <v>137</v>
      </c>
      <c r="E21">
        <v>24</v>
      </c>
      <c r="F21" t="s">
        <v>75</v>
      </c>
      <c r="G21" t="s">
        <v>143</v>
      </c>
      <c r="H21">
        <v>1382</v>
      </c>
      <c r="I21" t="s">
        <v>144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204</v>
      </c>
      <c r="B22">
        <v>1</v>
      </c>
      <c r="C22" s="52">
        <v>46082</v>
      </c>
      <c r="D22" t="s">
        <v>169</v>
      </c>
      <c r="E22">
        <v>25</v>
      </c>
      <c r="F22" t="s">
        <v>18</v>
      </c>
      <c r="G22" t="s">
        <v>143</v>
      </c>
      <c r="H22">
        <v>1382</v>
      </c>
      <c r="I22" t="s">
        <v>144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204</v>
      </c>
      <c r="B23">
        <v>1</v>
      </c>
      <c r="C23" s="52">
        <v>46082</v>
      </c>
      <c r="D23" t="s">
        <v>170</v>
      </c>
      <c r="E23">
        <v>26</v>
      </c>
      <c r="F23" t="s">
        <v>16</v>
      </c>
      <c r="G23" t="s">
        <v>143</v>
      </c>
      <c r="H23">
        <v>1382</v>
      </c>
      <c r="I23" t="s">
        <v>144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204</v>
      </c>
      <c r="B24">
        <v>1</v>
      </c>
      <c r="C24" s="52">
        <v>46082</v>
      </c>
      <c r="D24" t="s">
        <v>171</v>
      </c>
      <c r="E24">
        <v>27</v>
      </c>
      <c r="F24" t="s">
        <v>26</v>
      </c>
      <c r="G24" t="s">
        <v>143</v>
      </c>
      <c r="H24">
        <v>1382</v>
      </c>
      <c r="I24" t="s">
        <v>144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204</v>
      </c>
      <c r="B25">
        <v>1</v>
      </c>
      <c r="C25" s="52">
        <v>46082</v>
      </c>
      <c r="D25" t="s">
        <v>172</v>
      </c>
      <c r="E25">
        <v>28</v>
      </c>
      <c r="F25" t="s">
        <v>1</v>
      </c>
      <c r="G25" t="s">
        <v>143</v>
      </c>
      <c r="H25">
        <v>1382</v>
      </c>
      <c r="I25" t="s">
        <v>144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204</v>
      </c>
      <c r="B26">
        <v>1</v>
      </c>
      <c r="C26" s="52">
        <v>46082</v>
      </c>
      <c r="D26" t="s">
        <v>188</v>
      </c>
      <c r="E26">
        <v>30</v>
      </c>
      <c r="F26" t="s">
        <v>0</v>
      </c>
      <c r="G26" t="s">
        <v>143</v>
      </c>
      <c r="H26">
        <v>1382</v>
      </c>
      <c r="I26" t="s">
        <v>144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204</v>
      </c>
      <c r="B27">
        <v>1</v>
      </c>
      <c r="C27" s="52">
        <v>46082</v>
      </c>
      <c r="D27" t="s">
        <v>173</v>
      </c>
      <c r="E27">
        <v>31</v>
      </c>
      <c r="F27" t="s">
        <v>3</v>
      </c>
      <c r="G27" t="s">
        <v>143</v>
      </c>
      <c r="H27">
        <v>1382</v>
      </c>
      <c r="I27" t="s">
        <v>144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204</v>
      </c>
      <c r="B28">
        <v>1</v>
      </c>
      <c r="C28" s="52">
        <v>46082</v>
      </c>
      <c r="D28" t="s">
        <v>189</v>
      </c>
      <c r="E28">
        <v>32</v>
      </c>
      <c r="F28" t="s">
        <v>28</v>
      </c>
      <c r="G28" t="s">
        <v>143</v>
      </c>
      <c r="H28">
        <v>1382</v>
      </c>
      <c r="I28" t="s">
        <v>144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204</v>
      </c>
      <c r="B29">
        <v>1</v>
      </c>
      <c r="C29" s="52">
        <v>46082</v>
      </c>
      <c r="D29" t="s">
        <v>174</v>
      </c>
      <c r="E29">
        <v>33</v>
      </c>
      <c r="F29" t="s">
        <v>175</v>
      </c>
      <c r="G29" t="s">
        <v>143</v>
      </c>
      <c r="H29">
        <v>1382</v>
      </c>
      <c r="I29" t="s">
        <v>144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204</v>
      </c>
      <c r="B30">
        <v>1</v>
      </c>
      <c r="C30" s="52">
        <v>46082</v>
      </c>
      <c r="D30" t="s">
        <v>183</v>
      </c>
      <c r="E30">
        <v>36</v>
      </c>
      <c r="F30" t="s">
        <v>184</v>
      </c>
      <c r="G30" t="s">
        <v>143</v>
      </c>
      <c r="H30">
        <v>1382</v>
      </c>
      <c r="I30" t="s">
        <v>144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204</v>
      </c>
      <c r="B31">
        <v>1</v>
      </c>
      <c r="C31" s="52">
        <v>46082</v>
      </c>
      <c r="D31" t="s">
        <v>176</v>
      </c>
      <c r="E31">
        <v>37</v>
      </c>
      <c r="F31" t="s">
        <v>25</v>
      </c>
      <c r="G31" t="s">
        <v>143</v>
      </c>
      <c r="H31">
        <v>1382</v>
      </c>
      <c r="I31" t="s">
        <v>144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204</v>
      </c>
      <c r="B32">
        <v>1</v>
      </c>
      <c r="C32" s="52">
        <v>46082</v>
      </c>
      <c r="D32" t="s">
        <v>160</v>
      </c>
      <c r="E32">
        <v>40</v>
      </c>
      <c r="F32" t="s">
        <v>69</v>
      </c>
      <c r="G32" t="s">
        <v>143</v>
      </c>
      <c r="H32">
        <v>1382</v>
      </c>
      <c r="I32" t="s">
        <v>144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204</v>
      </c>
      <c r="B33">
        <v>1</v>
      </c>
      <c r="C33" s="52">
        <v>46082</v>
      </c>
      <c r="D33" t="s">
        <v>200</v>
      </c>
      <c r="E33">
        <v>42</v>
      </c>
      <c r="F33" t="s">
        <v>29</v>
      </c>
      <c r="G33" t="s">
        <v>143</v>
      </c>
      <c r="H33">
        <v>1382</v>
      </c>
      <c r="I33" t="s">
        <v>144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204</v>
      </c>
      <c r="B34">
        <v>1</v>
      </c>
      <c r="C34" s="52">
        <v>46082</v>
      </c>
      <c r="D34" t="s">
        <v>203</v>
      </c>
      <c r="E34">
        <v>43</v>
      </c>
      <c r="F34" t="s">
        <v>5</v>
      </c>
      <c r="G34" t="s">
        <v>143</v>
      </c>
      <c r="H34">
        <v>1382</v>
      </c>
      <c r="I34" t="s">
        <v>144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204</v>
      </c>
      <c r="B35">
        <v>1</v>
      </c>
      <c r="C35" s="52">
        <v>46082</v>
      </c>
      <c r="D35" t="s">
        <v>177</v>
      </c>
      <c r="E35">
        <v>44</v>
      </c>
      <c r="F35" t="s">
        <v>72</v>
      </c>
      <c r="G35" t="s">
        <v>143</v>
      </c>
      <c r="H35">
        <v>1382</v>
      </c>
      <c r="I35" t="s">
        <v>144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204</v>
      </c>
      <c r="B36">
        <v>1</v>
      </c>
      <c r="C36" s="52">
        <v>46082</v>
      </c>
      <c r="D36" t="s">
        <v>199</v>
      </c>
      <c r="E36">
        <v>49</v>
      </c>
      <c r="F36" t="s">
        <v>15</v>
      </c>
      <c r="G36" t="s">
        <v>143</v>
      </c>
      <c r="H36">
        <v>1382</v>
      </c>
      <c r="I36" t="s">
        <v>144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204</v>
      </c>
      <c r="B37">
        <v>1</v>
      </c>
      <c r="C37" s="52">
        <v>46082</v>
      </c>
      <c r="D37" t="s">
        <v>190</v>
      </c>
      <c r="E37">
        <v>52</v>
      </c>
      <c r="F37" t="s">
        <v>191</v>
      </c>
      <c r="G37" t="s">
        <v>143</v>
      </c>
      <c r="H37">
        <v>1382</v>
      </c>
      <c r="I37" t="s">
        <v>144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204</v>
      </c>
      <c r="B38">
        <v>1</v>
      </c>
      <c r="C38" s="52">
        <v>46082</v>
      </c>
      <c r="D38" t="s">
        <v>192</v>
      </c>
      <c r="E38">
        <v>53</v>
      </c>
      <c r="F38" t="s">
        <v>9</v>
      </c>
      <c r="G38" t="s">
        <v>143</v>
      </c>
      <c r="H38">
        <v>1382</v>
      </c>
      <c r="I38" t="s">
        <v>144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204</v>
      </c>
      <c r="B39">
        <v>1</v>
      </c>
      <c r="C39" s="52">
        <v>46082</v>
      </c>
      <c r="D39" t="s">
        <v>178</v>
      </c>
      <c r="E39">
        <v>54</v>
      </c>
      <c r="F39" t="s">
        <v>24</v>
      </c>
      <c r="G39" t="s">
        <v>143</v>
      </c>
      <c r="H39">
        <v>1382</v>
      </c>
      <c r="I39" t="s">
        <v>144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204</v>
      </c>
      <c r="B40">
        <v>1</v>
      </c>
      <c r="C40" s="52">
        <v>46082</v>
      </c>
      <c r="D40" t="s">
        <v>185</v>
      </c>
      <c r="E40">
        <v>56</v>
      </c>
      <c r="F40" t="s">
        <v>186</v>
      </c>
      <c r="G40" t="s">
        <v>143</v>
      </c>
      <c r="H40">
        <v>1382</v>
      </c>
      <c r="I40" t="s">
        <v>144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204</v>
      </c>
      <c r="B41">
        <v>1</v>
      </c>
      <c r="C41" s="52">
        <v>46082</v>
      </c>
      <c r="D41" t="s">
        <v>201</v>
      </c>
      <c r="E41">
        <v>57</v>
      </c>
      <c r="F41" t="s">
        <v>27</v>
      </c>
      <c r="G41" t="s">
        <v>143</v>
      </c>
      <c r="H41">
        <v>1382</v>
      </c>
      <c r="I41" t="s">
        <v>144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204</v>
      </c>
      <c r="B42">
        <v>1</v>
      </c>
      <c r="C42" s="52">
        <v>46082</v>
      </c>
      <c r="D42" t="s">
        <v>193</v>
      </c>
      <c r="E42">
        <v>58</v>
      </c>
      <c r="F42" t="s">
        <v>194</v>
      </c>
      <c r="G42" t="s">
        <v>143</v>
      </c>
      <c r="H42">
        <v>1382</v>
      </c>
      <c r="I42" t="s">
        <v>144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204</v>
      </c>
      <c r="B43">
        <v>1</v>
      </c>
      <c r="C43" s="52">
        <v>46082</v>
      </c>
      <c r="D43" t="s">
        <v>195</v>
      </c>
      <c r="E43">
        <v>59</v>
      </c>
      <c r="F43" t="s">
        <v>196</v>
      </c>
      <c r="G43" t="s">
        <v>143</v>
      </c>
      <c r="H43">
        <v>1382</v>
      </c>
      <c r="I43" t="s">
        <v>144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204</v>
      </c>
      <c r="B44">
        <v>1</v>
      </c>
      <c r="C44" s="52">
        <v>46082</v>
      </c>
      <c r="D44" t="s">
        <v>179</v>
      </c>
      <c r="E44">
        <v>100</v>
      </c>
      <c r="F44" t="s">
        <v>70</v>
      </c>
      <c r="G44" t="s">
        <v>143</v>
      </c>
      <c r="H44">
        <v>1382</v>
      </c>
      <c r="I44" t="s">
        <v>144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204</v>
      </c>
      <c r="B45">
        <v>1</v>
      </c>
      <c r="C45" s="52">
        <v>46082</v>
      </c>
      <c r="D45" t="s">
        <v>187</v>
      </c>
      <c r="E45">
        <v>123</v>
      </c>
      <c r="F45" t="s">
        <v>2</v>
      </c>
      <c r="G45" t="s">
        <v>143</v>
      </c>
      <c r="H45">
        <v>1382</v>
      </c>
      <c r="I45" t="s">
        <v>144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228</v>
      </c>
      <c r="B1" s="132" t="s">
        <v>229</v>
      </c>
      <c r="C1" s="133"/>
      <c r="D1" s="134" t="s">
        <v>230</v>
      </c>
    </row>
    <row r="2" spans="1:4" x14ac:dyDescent="0.25">
      <c r="A2" s="135" t="s">
        <v>231</v>
      </c>
      <c r="B2" s="135" t="s">
        <v>7</v>
      </c>
      <c r="C2" s="133"/>
      <c r="D2" s="133">
        <v>0.17001446759259259</v>
      </c>
    </row>
    <row r="3" spans="1:4" x14ac:dyDescent="0.25">
      <c r="A3" s="135" t="s">
        <v>232</v>
      </c>
      <c r="B3" s="135" t="s">
        <v>4</v>
      </c>
      <c r="C3" s="133"/>
      <c r="D3" s="133">
        <v>0.24740354938271603</v>
      </c>
    </row>
    <row r="4" spans="1:4" x14ac:dyDescent="0.25">
      <c r="A4" s="135" t="s">
        <v>233</v>
      </c>
      <c r="B4" s="135" t="s">
        <v>11</v>
      </c>
      <c r="C4" s="133"/>
      <c r="D4" s="133">
        <v>0.22869212962962959</v>
      </c>
    </row>
    <row r="5" spans="1:4" x14ac:dyDescent="0.25">
      <c r="A5" s="135" t="s">
        <v>234</v>
      </c>
      <c r="B5" s="135" t="s">
        <v>17</v>
      </c>
      <c r="C5" s="133"/>
      <c r="D5" s="133">
        <v>0.22365933641975308</v>
      </c>
    </row>
    <row r="6" spans="1:4" x14ac:dyDescent="0.25">
      <c r="A6" s="135" t="s">
        <v>235</v>
      </c>
      <c r="B6" s="135" t="s">
        <v>22</v>
      </c>
      <c r="C6" s="133"/>
      <c r="D6" s="133">
        <v>0.17410108024691359</v>
      </c>
    </row>
    <row r="7" spans="1:4" x14ac:dyDescent="0.25">
      <c r="A7" s="135" t="s">
        <v>236</v>
      </c>
      <c r="B7" s="135" t="s">
        <v>266</v>
      </c>
      <c r="C7" s="133"/>
      <c r="D7" s="133">
        <v>0.23449363425925929</v>
      </c>
    </row>
    <row r="8" spans="1:4" x14ac:dyDescent="0.25">
      <c r="A8" s="135" t="s">
        <v>237</v>
      </c>
      <c r="B8" s="135" t="s">
        <v>72</v>
      </c>
      <c r="C8" s="133"/>
      <c r="D8" s="133">
        <v>0.21309895833333334</v>
      </c>
    </row>
    <row r="9" spans="1:4" x14ac:dyDescent="0.25">
      <c r="A9" s="135" t="s">
        <v>238</v>
      </c>
      <c r="B9" s="135" t="s">
        <v>3</v>
      </c>
      <c r="C9" s="133"/>
      <c r="D9" s="133">
        <v>0.224212962962963</v>
      </c>
    </row>
    <row r="10" spans="1:4" x14ac:dyDescent="0.25">
      <c r="A10" s="135" t="s">
        <v>239</v>
      </c>
      <c r="B10" s="135" t="s">
        <v>186</v>
      </c>
      <c r="C10" s="133"/>
      <c r="D10" s="133">
        <v>6.4999999999999988E-2</v>
      </c>
    </row>
    <row r="11" spans="1:4" x14ac:dyDescent="0.25">
      <c r="A11" s="135" t="s">
        <v>240</v>
      </c>
      <c r="B11" s="135" t="s">
        <v>19</v>
      </c>
      <c r="C11" s="133"/>
      <c r="D11" s="133">
        <v>0.22157407407407409</v>
      </c>
    </row>
    <row r="12" spans="1:4" x14ac:dyDescent="0.25">
      <c r="A12" s="135" t="s">
        <v>241</v>
      </c>
      <c r="B12" s="135" t="s">
        <v>71</v>
      </c>
      <c r="C12" s="133"/>
      <c r="D12" s="133">
        <v>0.27440586419753088</v>
      </c>
    </row>
    <row r="13" spans="1:4" x14ac:dyDescent="0.25">
      <c r="A13" s="135" t="s">
        <v>242</v>
      </c>
      <c r="B13" s="135" t="s">
        <v>6</v>
      </c>
      <c r="C13" s="133"/>
      <c r="D13" s="133">
        <v>0.19329378858024693</v>
      </c>
    </row>
    <row r="14" spans="1:4" x14ac:dyDescent="0.25">
      <c r="A14" s="135" t="s">
        <v>243</v>
      </c>
      <c r="B14" s="135" t="s">
        <v>267</v>
      </c>
      <c r="C14" s="133"/>
      <c r="D14" s="133">
        <v>0.27067611882716047</v>
      </c>
    </row>
    <row r="15" spans="1:4" x14ac:dyDescent="0.25">
      <c r="A15" s="135" t="s">
        <v>244</v>
      </c>
      <c r="B15" s="135" t="s">
        <v>12</v>
      </c>
      <c r="C15" s="133"/>
      <c r="D15" s="133">
        <v>0.22182773919753085</v>
      </c>
    </row>
    <row r="16" spans="1:4" x14ac:dyDescent="0.25">
      <c r="A16" s="135" t="s">
        <v>245</v>
      </c>
      <c r="B16" s="135" t="s">
        <v>21</v>
      </c>
      <c r="C16" s="133"/>
      <c r="D16" s="133">
        <v>0.21754629629629629</v>
      </c>
    </row>
    <row r="17" spans="1:4" x14ac:dyDescent="0.25">
      <c r="A17" s="135" t="s">
        <v>246</v>
      </c>
      <c r="B17" s="135" t="s">
        <v>73</v>
      </c>
      <c r="C17" s="133"/>
      <c r="D17" s="133">
        <v>0.22792824074074075</v>
      </c>
    </row>
    <row r="18" spans="1:4" x14ac:dyDescent="0.25">
      <c r="A18" s="135" t="s">
        <v>247</v>
      </c>
      <c r="B18" s="135" t="s">
        <v>20</v>
      </c>
      <c r="C18" s="133"/>
      <c r="D18" s="133">
        <v>0.25112172067901239</v>
      </c>
    </row>
    <row r="19" spans="1:4" x14ac:dyDescent="0.25">
      <c r="A19" s="135" t="s">
        <v>248</v>
      </c>
      <c r="B19" s="135" t="s">
        <v>15</v>
      </c>
      <c r="C19" s="133"/>
      <c r="D19" s="133">
        <v>0.23768229166666666</v>
      </c>
    </row>
    <row r="20" spans="1:4" x14ac:dyDescent="0.25">
      <c r="A20" s="135" t="s">
        <v>249</v>
      </c>
      <c r="B20" s="135" t="s">
        <v>14</v>
      </c>
      <c r="C20" s="133"/>
      <c r="D20" s="133">
        <v>0.28494212962962961</v>
      </c>
    </row>
    <row r="21" spans="1:4" x14ac:dyDescent="0.25">
      <c r="A21" s="135" t="s">
        <v>250</v>
      </c>
      <c r="B21" s="135" t="s">
        <v>8</v>
      </c>
      <c r="C21" s="133"/>
      <c r="D21" s="133">
        <v>0.24249614197530872</v>
      </c>
    </row>
    <row r="22" spans="1:4" x14ac:dyDescent="0.25">
      <c r="A22" s="135" t="s">
        <v>251</v>
      </c>
      <c r="B22" s="135" t="s">
        <v>1</v>
      </c>
      <c r="C22" s="133"/>
      <c r="D22" s="133">
        <v>0.23674768518518519</v>
      </c>
    </row>
    <row r="23" spans="1:4" x14ac:dyDescent="0.25">
      <c r="A23" s="135" t="s">
        <v>252</v>
      </c>
      <c r="B23" s="135" t="s">
        <v>268</v>
      </c>
      <c r="C23" s="133"/>
      <c r="D23" s="133">
        <v>0.19470389660493831</v>
      </c>
    </row>
    <row r="24" spans="1:4" x14ac:dyDescent="0.25">
      <c r="A24" s="135" t="s">
        <v>253</v>
      </c>
      <c r="B24" s="135" t="s">
        <v>26</v>
      </c>
      <c r="C24" s="133"/>
      <c r="D24" s="133">
        <v>0.25058352623456792</v>
      </c>
    </row>
    <row r="25" spans="1:4" x14ac:dyDescent="0.25">
      <c r="A25" s="135" t="s">
        <v>254</v>
      </c>
      <c r="B25" s="135" t="s">
        <v>269</v>
      </c>
      <c r="C25" s="133"/>
      <c r="D25" s="133">
        <v>0.18013020833333337</v>
      </c>
    </row>
    <row r="26" spans="1:4" x14ac:dyDescent="0.25">
      <c r="A26" s="135" t="s">
        <v>255</v>
      </c>
      <c r="B26" s="135" t="s">
        <v>175</v>
      </c>
      <c r="C26" s="133"/>
      <c r="D26" s="133">
        <v>0.21330054012345681</v>
      </c>
    </row>
    <row r="27" spans="1:4" x14ac:dyDescent="0.25">
      <c r="A27" s="135" t="s">
        <v>256</v>
      </c>
      <c r="B27" s="135" t="s">
        <v>270</v>
      </c>
      <c r="C27" s="133"/>
      <c r="D27" s="133">
        <v>0.22889467592592588</v>
      </c>
    </row>
    <row r="28" spans="1:4" x14ac:dyDescent="0.25">
      <c r="A28" s="135" t="s">
        <v>257</v>
      </c>
      <c r="B28" s="135" t="s">
        <v>25</v>
      </c>
      <c r="C28" s="133"/>
      <c r="D28" s="133">
        <v>0.20950424382716049</v>
      </c>
    </row>
    <row r="29" spans="1:4" x14ac:dyDescent="0.25">
      <c r="A29" s="135" t="s">
        <v>258</v>
      </c>
      <c r="B29" s="135" t="s">
        <v>271</v>
      </c>
      <c r="C29" s="133"/>
      <c r="D29" s="133">
        <v>0.18144675925925927</v>
      </c>
    </row>
    <row r="30" spans="1:4" x14ac:dyDescent="0.25">
      <c r="A30" s="135" t="s">
        <v>259</v>
      </c>
      <c r="B30" s="135" t="s">
        <v>191</v>
      </c>
      <c r="C30" s="133"/>
      <c r="D30" s="133">
        <v>0.15637827932098769</v>
      </c>
    </row>
    <row r="31" spans="1:4" x14ac:dyDescent="0.25">
      <c r="A31" s="135" t="s">
        <v>260</v>
      </c>
      <c r="B31" s="135" t="s">
        <v>9</v>
      </c>
      <c r="C31" s="133"/>
      <c r="D31" s="133">
        <v>0.16008584104938273</v>
      </c>
    </row>
    <row r="32" spans="1:4" x14ac:dyDescent="0.25">
      <c r="A32" s="135" t="s">
        <v>261</v>
      </c>
      <c r="B32" s="135" t="s">
        <v>13</v>
      </c>
      <c r="C32" s="133"/>
      <c r="D32" s="133">
        <v>0.1768441358024691</v>
      </c>
    </row>
    <row r="33" spans="1:4" x14ac:dyDescent="0.25">
      <c r="A33" s="135" t="s">
        <v>262</v>
      </c>
      <c r="B33" s="135" t="s">
        <v>23</v>
      </c>
      <c r="C33" s="133"/>
      <c r="D33" s="133">
        <v>0.18028452932098762</v>
      </c>
    </row>
    <row r="34" spans="1:4" x14ac:dyDescent="0.25">
      <c r="A34" s="135" t="s">
        <v>263</v>
      </c>
      <c r="B34" s="135" t="s">
        <v>10</v>
      </c>
      <c r="C34" s="133"/>
      <c r="D34" s="133">
        <v>0.10457561728395061</v>
      </c>
    </row>
    <row r="35" spans="1:4" x14ac:dyDescent="0.25">
      <c r="A35" s="135" t="s">
        <v>264</v>
      </c>
      <c r="B35" s="135" t="s">
        <v>272</v>
      </c>
      <c r="C35" s="133"/>
      <c r="D35" s="133">
        <v>0.103515625</v>
      </c>
    </row>
    <row r="36" spans="1:4" x14ac:dyDescent="0.25">
      <c r="A36" s="135" t="s">
        <v>265</v>
      </c>
      <c r="B36" s="135" t="s">
        <v>273</v>
      </c>
      <c r="C36" s="133"/>
      <c r="D36" s="133">
        <v>0.15737750771604936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28001295</v>
      </c>
      <c r="C2" s="87">
        <v>32969064.085886825</v>
      </c>
      <c r="D2" s="87">
        <v>0</v>
      </c>
      <c r="E2" s="87">
        <v>32969064.085886825</v>
      </c>
      <c r="F2" s="88">
        <v>1.1774121191854456</v>
      </c>
      <c r="G2" s="87">
        <v>32969064.085886825</v>
      </c>
      <c r="H2" s="88">
        <v>1.1774121191854456</v>
      </c>
      <c r="I2" s="87">
        <v>1268040.9263802625</v>
      </c>
      <c r="J2" s="87" t="e">
        <v>#DIV/0!</v>
      </c>
      <c r="K2" s="87">
        <v>659381.28171773651</v>
      </c>
      <c r="M2">
        <v>22</v>
      </c>
      <c r="N2" s="12" t="s">
        <v>97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94</v>
      </c>
      <c r="B3" s="86">
        <v>26876745</v>
      </c>
      <c r="C3" s="87">
        <v>29130364.756566606</v>
      </c>
      <c r="D3" s="87">
        <v>0</v>
      </c>
      <c r="E3" s="87">
        <v>29130364.756566606</v>
      </c>
      <c r="F3" s="88">
        <v>1.0838501744376636</v>
      </c>
      <c r="G3" s="87">
        <v>29130364.75656661</v>
      </c>
      <c r="H3" s="88">
        <v>1.0838501744376638</v>
      </c>
      <c r="I3" s="87">
        <v>1120398.6444833311</v>
      </c>
      <c r="J3" s="87" t="e">
        <v>#DIV/0!</v>
      </c>
      <c r="K3" s="87">
        <v>364129.55945708265</v>
      </c>
      <c r="M3">
        <v>49</v>
      </c>
      <c r="N3" s="13" t="s">
        <v>107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92</v>
      </c>
      <c r="B4" s="86">
        <v>24627645</v>
      </c>
      <c r="C4" s="87">
        <v>20258833.614688918</v>
      </c>
      <c r="D4" s="87">
        <v>0</v>
      </c>
      <c r="E4" s="87">
        <v>20258833.614688918</v>
      </c>
      <c r="F4" s="88">
        <v>0.82260539384455633</v>
      </c>
      <c r="G4" s="87">
        <v>20258833.614688918</v>
      </c>
      <c r="H4" s="88">
        <v>0.82260539384455633</v>
      </c>
      <c r="I4" s="87">
        <v>779185.90825726604</v>
      </c>
      <c r="J4" s="87" t="e">
        <v>#DIV/0!</v>
      </c>
      <c r="K4" s="87">
        <v>0</v>
      </c>
      <c r="M4">
        <v>20</v>
      </c>
      <c r="N4" s="13" t="s">
        <v>95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90</v>
      </c>
      <c r="B5" s="86">
        <v>24627645</v>
      </c>
      <c r="C5" s="87">
        <v>26537938.241926376</v>
      </c>
      <c r="D5" s="87">
        <v>0</v>
      </c>
      <c r="E5" s="87">
        <v>26537938.241926376</v>
      </c>
      <c r="F5" s="88">
        <v>1.0775670285131353</v>
      </c>
      <c r="G5" s="87">
        <v>26537938.241926376</v>
      </c>
      <c r="H5" s="88">
        <v>1.0775670285131353</v>
      </c>
      <c r="I5" s="87">
        <v>1020689.9323817837</v>
      </c>
      <c r="J5" s="87" t="e">
        <v>#DIV/0!</v>
      </c>
      <c r="K5" s="87">
        <v>331724.2280240797</v>
      </c>
      <c r="M5">
        <v>15</v>
      </c>
      <c r="N5" s="13" t="s">
        <v>91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89</v>
      </c>
      <c r="B6" s="86">
        <v>20410582.5</v>
      </c>
      <c r="C6" s="87">
        <v>17576102.641826726</v>
      </c>
      <c r="D6" s="87">
        <v>0</v>
      </c>
      <c r="E6" s="87">
        <v>17576102.641826726</v>
      </c>
      <c r="F6" s="88">
        <v>0.86112694930812128</v>
      </c>
      <c r="G6" s="87">
        <v>17576102.641826726</v>
      </c>
      <c r="H6" s="88">
        <v>0.86112694930812128</v>
      </c>
      <c r="I6" s="87">
        <v>676003.94776256639</v>
      </c>
      <c r="J6" s="87" t="e">
        <v>#DIV/0!</v>
      </c>
      <c r="K6" s="87">
        <v>0</v>
      </c>
      <c r="M6">
        <v>19</v>
      </c>
      <c r="N6" s="13" t="s">
        <v>94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86</v>
      </c>
      <c r="B7" s="86">
        <v>24065370</v>
      </c>
      <c r="C7" s="87">
        <v>24383408.810882814</v>
      </c>
      <c r="D7" s="87">
        <v>0</v>
      </c>
      <c r="E7" s="87">
        <v>24383408.810882814</v>
      </c>
      <c r="F7" s="88">
        <v>1.0132156210722219</v>
      </c>
      <c r="G7" s="87">
        <v>24383408.810882814</v>
      </c>
      <c r="H7" s="88">
        <v>1.0132156210722219</v>
      </c>
      <c r="I7" s="87">
        <v>937823.4158031852</v>
      </c>
      <c r="J7" s="87" t="e">
        <v>#DIV/0!</v>
      </c>
      <c r="K7" s="87">
        <v>243834.08810882815</v>
      </c>
      <c r="M7">
        <v>16</v>
      </c>
      <c r="N7" s="13" t="s">
        <v>92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85</v>
      </c>
      <c r="B8" s="86">
        <v>31082562</v>
      </c>
      <c r="C8" s="87">
        <v>32899444.909960415</v>
      </c>
      <c r="D8" s="87">
        <v>0</v>
      </c>
      <c r="E8" s="87">
        <v>32899444.909960415</v>
      </c>
      <c r="F8" s="88">
        <v>1.0584534476263705</v>
      </c>
      <c r="G8" s="87">
        <v>32899444.909960411</v>
      </c>
      <c r="H8" s="88">
        <v>1.0584534476263705</v>
      </c>
      <c r="I8" s="87">
        <v>1265363.2657677082</v>
      </c>
      <c r="J8" s="87" t="e">
        <v>#DIV/0!</v>
      </c>
      <c r="K8" s="87">
        <v>411243.06137450517</v>
      </c>
      <c r="M8">
        <v>12</v>
      </c>
      <c r="N8" s="13" t="s">
        <v>90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84</v>
      </c>
      <c r="B9" s="86">
        <v>31082562</v>
      </c>
      <c r="C9" s="87">
        <v>30879201.629310861</v>
      </c>
      <c r="D9" s="87">
        <v>0</v>
      </c>
      <c r="E9" s="87">
        <v>30879201.629310861</v>
      </c>
      <c r="F9" s="88">
        <v>0.99345741285132361</v>
      </c>
      <c r="G9" s="87">
        <v>30879201.629310865</v>
      </c>
      <c r="H9" s="88">
        <v>0.99345741285132372</v>
      </c>
      <c r="I9" s="87">
        <v>1187661.6011273409</v>
      </c>
      <c r="J9" s="87" t="e">
        <v>#DIV/0!</v>
      </c>
      <c r="K9" s="87">
        <v>308792.01629310864</v>
      </c>
      <c r="M9">
        <v>11</v>
      </c>
      <c r="N9" s="30" t="s">
        <v>89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9">
        <v>210774406.5</v>
      </c>
      <c r="C10" s="89">
        <v>214634358.69104952</v>
      </c>
      <c r="D10" s="89">
        <v>0</v>
      </c>
      <c r="E10" s="89">
        <v>214634358.69104952</v>
      </c>
      <c r="F10" s="90">
        <v>1.0183131920765225</v>
      </c>
      <c r="G10" s="89">
        <v>214634358.69104952</v>
      </c>
      <c r="H10" s="90">
        <v>1.0183131920765225</v>
      </c>
      <c r="I10" s="89">
        <v>8255167.6419634428</v>
      </c>
      <c r="J10" s="91" t="e">
        <v>#DIV/0!</v>
      </c>
      <c r="K10" s="91"/>
      <c r="M10">
        <v>8</v>
      </c>
      <c r="N10" s="13" t="s">
        <v>86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97</v>
      </c>
      <c r="B11" s="86">
        <v>84120750</v>
      </c>
      <c r="C11" s="87">
        <v>64387271.98183801</v>
      </c>
      <c r="D11" s="87">
        <v>0</v>
      </c>
      <c r="E11" s="87">
        <v>64387271.98183801</v>
      </c>
      <c r="F11" s="88">
        <v>0.76541485878143034</v>
      </c>
      <c r="G11" s="87">
        <v>64387271.98183801</v>
      </c>
      <c r="H11" s="88">
        <v>0.76541485878143034</v>
      </c>
      <c r="I11" s="87">
        <v>2476433.5377630005</v>
      </c>
      <c r="J11" s="87" t="e">
        <v>#DIV/0!</v>
      </c>
      <c r="K11" s="87">
        <v>0</v>
      </c>
      <c r="M11">
        <v>52</v>
      </c>
      <c r="N11" s="31" t="s">
        <v>112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107</v>
      </c>
      <c r="B12" s="86">
        <v>27439020</v>
      </c>
      <c r="C12" s="87">
        <v>21503763.720070578</v>
      </c>
      <c r="D12" s="87">
        <v>0</v>
      </c>
      <c r="E12" s="87">
        <v>21503763.720070578</v>
      </c>
      <c r="F12" s="88">
        <v>0.78369284763342784</v>
      </c>
      <c r="G12" s="87">
        <v>21503763.720070578</v>
      </c>
      <c r="H12" s="88">
        <v>0.78369284763342784</v>
      </c>
      <c r="I12" s="87">
        <v>827067.83538732992</v>
      </c>
      <c r="J12" s="87" t="e">
        <v>#DIV/0!</v>
      </c>
      <c r="K12" s="87">
        <v>0</v>
      </c>
      <c r="M12">
        <v>53</v>
      </c>
      <c r="N12" s="31" t="s">
        <v>108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91</v>
      </c>
      <c r="B13" s="86">
        <v>111352500</v>
      </c>
      <c r="C13" s="87">
        <v>81948670.721768543</v>
      </c>
      <c r="D13" s="87">
        <v>0</v>
      </c>
      <c r="E13" s="87">
        <v>81948670.721768543</v>
      </c>
      <c r="F13" s="88">
        <v>0.7359392085653087</v>
      </c>
      <c r="G13" s="87">
        <v>81948670.721768543</v>
      </c>
      <c r="H13" s="88">
        <v>0.7359392085653087</v>
      </c>
      <c r="I13" s="87">
        <v>3151871.9508372517</v>
      </c>
      <c r="J13" s="87" t="e">
        <v>#DIV/0!</v>
      </c>
      <c r="K13" s="87">
        <v>0</v>
      </c>
      <c r="M13">
        <v>5</v>
      </c>
      <c r="N13" s="13" t="s">
        <v>85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112</v>
      </c>
      <c r="B14" s="86">
        <v>36823500</v>
      </c>
      <c r="C14" s="87">
        <v>27773181.596537951</v>
      </c>
      <c r="D14" s="87">
        <v>0</v>
      </c>
      <c r="E14" s="87">
        <v>27773181.596537951</v>
      </c>
      <c r="F14" s="88">
        <v>0.75422438379127332</v>
      </c>
      <c r="G14" s="87">
        <v>27773181.596537948</v>
      </c>
      <c r="H14" s="88">
        <v>0.75422438379127321</v>
      </c>
      <c r="I14" s="87">
        <v>1068199.2921745365</v>
      </c>
      <c r="J14" s="87" t="e">
        <v>#DIV/0!</v>
      </c>
      <c r="K14" s="87">
        <v>0</v>
      </c>
      <c r="M14">
        <v>4</v>
      </c>
      <c r="N14" s="10" t="s">
        <v>84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108</v>
      </c>
      <c r="B15" s="86">
        <v>36823500</v>
      </c>
      <c r="C15" s="87">
        <v>40412110.7009774</v>
      </c>
      <c r="D15" s="87">
        <v>0</v>
      </c>
      <c r="E15" s="87">
        <v>40412110.7009774</v>
      </c>
      <c r="F15" s="88">
        <v>1.0974543620507937</v>
      </c>
      <c r="G15" s="87">
        <v>40412110.7009774</v>
      </c>
      <c r="H15" s="88">
        <v>1.0974543620507937</v>
      </c>
      <c r="I15" s="87">
        <v>1554311.9500375923</v>
      </c>
      <c r="J15" s="87" t="e">
        <v>#DIV/0!</v>
      </c>
      <c r="K15" s="87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9">
        <v>296559270</v>
      </c>
      <c r="C16" s="89">
        <v>236024998.72119248</v>
      </c>
      <c r="D16" s="89">
        <v>0</v>
      </c>
      <c r="E16" s="89">
        <v>236024998.72119248</v>
      </c>
      <c r="F16" s="90">
        <v>0.79587800010835097</v>
      </c>
      <c r="G16" s="89">
        <v>236024998.72119248</v>
      </c>
      <c r="H16" s="90">
        <v>0.79587800010835097</v>
      </c>
      <c r="I16" s="89">
        <v>9077884.5661997106</v>
      </c>
      <c r="J16" s="91" t="e">
        <v>#DIV/0!</v>
      </c>
      <c r="K16" s="91"/>
      <c r="M16">
        <v>31</v>
      </c>
      <c r="N16" s="12" t="s">
        <v>101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82</v>
      </c>
      <c r="B17" s="71">
        <v>25450000</v>
      </c>
      <c r="C17" s="87">
        <v>16519194.256903937</v>
      </c>
      <c r="D17" s="87">
        <v>0</v>
      </c>
      <c r="E17" s="87">
        <v>16519194.256903937</v>
      </c>
      <c r="F17" s="88">
        <v>0.64908425370938849</v>
      </c>
      <c r="G17" s="87">
        <v>16519194.256903937</v>
      </c>
      <c r="H17" s="88">
        <v>0.64908425370938849</v>
      </c>
      <c r="I17" s="87">
        <v>635353.62526553601</v>
      </c>
      <c r="J17" s="87" t="e">
        <v>#DIV/0!</v>
      </c>
      <c r="K17" s="87">
        <v>0</v>
      </c>
      <c r="M17">
        <v>54</v>
      </c>
      <c r="N17" s="13" t="s">
        <v>109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83</v>
      </c>
      <c r="B18" s="71">
        <v>22430000</v>
      </c>
      <c r="C18" s="87">
        <v>14871118.704486541</v>
      </c>
      <c r="D18" s="87">
        <v>0</v>
      </c>
      <c r="E18" s="87">
        <v>14871118.704486541</v>
      </c>
      <c r="F18" s="88">
        <v>0.66300127973635936</v>
      </c>
      <c r="G18" s="87">
        <v>14871118.704486541</v>
      </c>
      <c r="H18" s="88">
        <v>0.66300127973635936</v>
      </c>
      <c r="I18" s="87">
        <v>571966.10401871311</v>
      </c>
      <c r="J18" s="87" t="e">
        <v>#DIV/0!</v>
      </c>
      <c r="K18" s="87">
        <v>0</v>
      </c>
      <c r="M18">
        <v>21</v>
      </c>
      <c r="N18" s="13" t="s">
        <v>96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93</v>
      </c>
      <c r="B19" s="71">
        <v>22430000</v>
      </c>
      <c r="C19" s="87">
        <v>17383067.799878713</v>
      </c>
      <c r="D19" s="87">
        <v>0</v>
      </c>
      <c r="E19" s="87">
        <v>17383067.799878713</v>
      </c>
      <c r="F19" s="88">
        <v>0.7749918769451053</v>
      </c>
      <c r="G19" s="87">
        <v>17383067.799878713</v>
      </c>
      <c r="H19" s="88">
        <v>0.7749918769451053</v>
      </c>
      <c r="I19" s="87">
        <v>668579.53076456592</v>
      </c>
      <c r="J19" s="87" t="e">
        <v>#DIV/0!</v>
      </c>
      <c r="K19" s="87">
        <v>0</v>
      </c>
      <c r="M19">
        <v>23</v>
      </c>
      <c r="N19" s="13" t="s">
        <v>98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96</v>
      </c>
      <c r="B20" s="71">
        <v>29000000</v>
      </c>
      <c r="C20" s="87">
        <v>24462624.729524348</v>
      </c>
      <c r="D20" s="87">
        <v>0</v>
      </c>
      <c r="E20" s="87">
        <v>24462624.729524348</v>
      </c>
      <c r="F20" s="88">
        <v>0.84353878377670166</v>
      </c>
      <c r="G20" s="87">
        <v>24462624.729524348</v>
      </c>
      <c r="H20" s="88">
        <v>0.84353878377670166</v>
      </c>
      <c r="I20" s="87">
        <v>940870.18190478266</v>
      </c>
      <c r="J20" s="87" t="e">
        <v>#DIV/0!</v>
      </c>
      <c r="K20" s="87">
        <v>0</v>
      </c>
      <c r="M20">
        <v>18</v>
      </c>
      <c r="N20" s="13" t="s">
        <v>93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98</v>
      </c>
      <c r="B21" s="71">
        <v>22000000</v>
      </c>
      <c r="C21" s="87">
        <v>19224920.576570924</v>
      </c>
      <c r="D21" s="87">
        <v>0</v>
      </c>
      <c r="E21" s="87">
        <v>19224920.576570924</v>
      </c>
      <c r="F21" s="88">
        <v>0.87386002620776926</v>
      </c>
      <c r="G21" s="87">
        <v>19224920.576570924</v>
      </c>
      <c r="H21" s="88">
        <v>0.87386002620776926</v>
      </c>
      <c r="I21" s="87">
        <v>739420.02217580483</v>
      </c>
      <c r="J21" s="87" t="e">
        <v>#DIV/0!</v>
      </c>
      <c r="K21" s="87">
        <v>0</v>
      </c>
      <c r="M21">
        <v>44</v>
      </c>
      <c r="N21" s="13" t="s">
        <v>106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101</v>
      </c>
      <c r="B22" s="71">
        <v>27500000</v>
      </c>
      <c r="C22" s="87">
        <v>22580286.482825678</v>
      </c>
      <c r="D22" s="87">
        <v>0</v>
      </c>
      <c r="E22" s="87">
        <v>22580286.482825678</v>
      </c>
      <c r="F22" s="88">
        <v>0.82110132664820645</v>
      </c>
      <c r="G22" s="87">
        <v>22580286.482825678</v>
      </c>
      <c r="H22" s="88">
        <v>0.82110132664820645</v>
      </c>
      <c r="I22" s="87">
        <v>868472.55703175685</v>
      </c>
      <c r="J22" s="87" t="e">
        <v>#DIV/0!</v>
      </c>
      <c r="K22" s="87">
        <v>0</v>
      </c>
      <c r="M22">
        <v>56</v>
      </c>
      <c r="N22" s="13" t="s">
        <v>140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106</v>
      </c>
      <c r="B23" s="71">
        <v>23800000</v>
      </c>
      <c r="C23" s="87">
        <v>18758064.323494539</v>
      </c>
      <c r="D23" s="87">
        <v>0</v>
      </c>
      <c r="E23" s="87">
        <v>18758064.323494539</v>
      </c>
      <c r="F23" s="88">
        <v>0.78815396317203945</v>
      </c>
      <c r="G23" s="87">
        <v>18758064.323494539</v>
      </c>
      <c r="H23" s="88">
        <v>0.78815396317203945</v>
      </c>
      <c r="I23" s="87">
        <v>721464.01244209765</v>
      </c>
      <c r="J23" s="87" t="e">
        <v>#DIV/0!</v>
      </c>
      <c r="K23" s="87">
        <v>0</v>
      </c>
      <c r="M23">
        <v>2</v>
      </c>
      <c r="N23" s="13" t="s">
        <v>82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109</v>
      </c>
      <c r="B24" s="71">
        <v>28500000</v>
      </c>
      <c r="C24" s="87">
        <v>25700325.30407371</v>
      </c>
      <c r="D24" s="87">
        <v>0</v>
      </c>
      <c r="E24" s="87">
        <v>25700325.30407371</v>
      </c>
      <c r="F24" s="88">
        <v>0.90176580014293717</v>
      </c>
      <c r="G24" s="87">
        <v>25700325.30407371</v>
      </c>
      <c r="H24" s="88">
        <v>0.90176580014293717</v>
      </c>
      <c r="I24" s="87">
        <v>988474.0501566811</v>
      </c>
      <c r="J24" s="87" t="e">
        <v>#DIV/0!</v>
      </c>
      <c r="K24" s="87">
        <v>0</v>
      </c>
      <c r="M24">
        <v>3</v>
      </c>
      <c r="N24" s="10" t="s">
        <v>83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140</v>
      </c>
      <c r="B25" s="71">
        <v>46900000</v>
      </c>
      <c r="C25" s="87">
        <v>26132280.684891887</v>
      </c>
      <c r="D25" s="87">
        <v>0</v>
      </c>
      <c r="E25" s="87">
        <v>26132280.684891887</v>
      </c>
      <c r="F25" s="88">
        <v>0.55719148581859035</v>
      </c>
      <c r="G25" s="87">
        <v>26132280.684891887</v>
      </c>
      <c r="H25" s="88">
        <v>0.55719148581859035</v>
      </c>
      <c r="I25" s="87">
        <v>1005087.7186496879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91">
        <v>248010000</v>
      </c>
      <c r="C26" s="91">
        <v>185631882.86265028</v>
      </c>
      <c r="D26" s="91">
        <v>0</v>
      </c>
      <c r="E26" s="91">
        <v>185631882.86265028</v>
      </c>
      <c r="F26" s="90">
        <v>0.74848547583827374</v>
      </c>
      <c r="G26" s="89">
        <v>185631882.86265028</v>
      </c>
      <c r="H26" s="90">
        <v>0.74848547583827374</v>
      </c>
      <c r="I26" s="89">
        <v>7139687.8024096256</v>
      </c>
      <c r="J26" s="91" t="e">
        <v>#DIV/0!</v>
      </c>
      <c r="K26" s="91"/>
      <c r="M26">
        <v>32</v>
      </c>
      <c r="N26" s="12" t="s">
        <v>102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2" t="s">
        <v>102</v>
      </c>
      <c r="B27" s="131">
        <v>72908793.5625</v>
      </c>
      <c r="C27" s="87">
        <v>59705699.342645526</v>
      </c>
      <c r="D27" s="87">
        <v>0</v>
      </c>
      <c r="E27" s="87">
        <v>59705699.342645526</v>
      </c>
      <c r="F27" s="88">
        <v>0.81890944048420833</v>
      </c>
      <c r="G27" s="87">
        <v>59705699.342645526</v>
      </c>
      <c r="H27" s="88">
        <v>0.81890944048420833</v>
      </c>
      <c r="I27" s="87">
        <v>2296373.0516402125</v>
      </c>
      <c r="J27" s="87" t="e">
        <v>#DIV/0!</v>
      </c>
      <c r="K27" s="87">
        <v>0</v>
      </c>
      <c r="M27">
        <v>36</v>
      </c>
      <c r="N27" s="12" t="s">
        <v>103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103</v>
      </c>
      <c r="B28" s="131">
        <v>20300095.462500002</v>
      </c>
      <c r="C28" s="87">
        <v>7088486.5581214279</v>
      </c>
      <c r="D28" s="87">
        <v>0</v>
      </c>
      <c r="E28" s="87">
        <v>7088486.5581214279</v>
      </c>
      <c r="F28" s="88">
        <v>0.3491848878846831</v>
      </c>
      <c r="G28" s="87">
        <v>7088486.5581214279</v>
      </c>
      <c r="H28" s="88">
        <v>0.3491848878846831</v>
      </c>
      <c r="I28" s="87">
        <v>272634.09838928567</v>
      </c>
      <c r="J28" s="87" t="e">
        <v>#DIV/0!</v>
      </c>
      <c r="K28" s="87">
        <v>0</v>
      </c>
      <c r="M28">
        <v>9</v>
      </c>
      <c r="N28" s="12" t="s">
        <v>87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87</v>
      </c>
      <c r="B29" s="131">
        <v>21701087.966249999</v>
      </c>
      <c r="C29" s="87">
        <v>11524508.445087066</v>
      </c>
      <c r="D29" s="87">
        <v>0</v>
      </c>
      <c r="E29" s="87">
        <v>11524508.445087066</v>
      </c>
      <c r="F29" s="88">
        <v>0.53105671305559565</v>
      </c>
      <c r="G29" s="87">
        <v>11524508.445087066</v>
      </c>
      <c r="H29" s="88">
        <v>0.53105671305559565</v>
      </c>
      <c r="I29" s="87">
        <v>443250.32481104101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105</v>
      </c>
      <c r="B30" s="131">
        <v>33166353.149999999</v>
      </c>
      <c r="C30" s="87">
        <v>32454209.159729112</v>
      </c>
      <c r="D30" s="87">
        <v>0</v>
      </c>
      <c r="E30" s="87">
        <v>32454209.159729112</v>
      </c>
      <c r="F30" s="88">
        <v>0.97852811893275982</v>
      </c>
      <c r="G30" s="87">
        <v>32454209.159729108</v>
      </c>
      <c r="H30" s="88">
        <v>0.97852811893275971</v>
      </c>
      <c r="I30" s="87">
        <v>1248238.813835735</v>
      </c>
      <c r="J30" s="87" t="e">
        <v>#DIV/0!</v>
      </c>
      <c r="K30" s="87">
        <v>0</v>
      </c>
      <c r="M30">
        <v>27</v>
      </c>
      <c r="N30" s="12" t="s">
        <v>99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99</v>
      </c>
      <c r="B31" s="131">
        <v>21701087.966249999</v>
      </c>
      <c r="C31" s="87">
        <v>18178588.533045053</v>
      </c>
      <c r="D31" s="87">
        <v>0</v>
      </c>
      <c r="E31" s="87">
        <v>18178588.533045053</v>
      </c>
      <c r="F31" s="88">
        <v>0.83768097531869312</v>
      </c>
      <c r="G31" s="87">
        <v>18178588.533045053</v>
      </c>
      <c r="H31" s="88">
        <v>0.83768097531869312</v>
      </c>
      <c r="I31" s="87">
        <v>699176.48204019433</v>
      </c>
      <c r="J31" s="87" t="e">
        <v>#DIV/0!</v>
      </c>
      <c r="K31" s="87">
        <v>0</v>
      </c>
      <c r="M31">
        <v>10</v>
      </c>
      <c r="N31" s="12" t="s">
        <v>88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88</v>
      </c>
      <c r="B32" s="131">
        <v>21701087.966249999</v>
      </c>
      <c r="C32" s="87">
        <v>22255930.735474538</v>
      </c>
      <c r="D32" s="87">
        <v>0</v>
      </c>
      <c r="E32" s="87">
        <v>22255930.735474538</v>
      </c>
      <c r="F32" s="88">
        <v>1.0255675093381236</v>
      </c>
      <c r="G32" s="87">
        <v>22255930.735474538</v>
      </c>
      <c r="H32" s="88">
        <v>1.0255675093381236</v>
      </c>
      <c r="I32" s="87">
        <v>855997.33597978996</v>
      </c>
      <c r="J32" s="87" t="e">
        <v>#DIV/0!</v>
      </c>
      <c r="K32" s="87">
        <v>222559.3073547454</v>
      </c>
      <c r="M32">
        <v>28</v>
      </c>
      <c r="N32" s="12" t="s">
        <v>100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100</v>
      </c>
      <c r="B33" s="131">
        <v>20586012.300000001</v>
      </c>
      <c r="C33" s="87">
        <v>21491454.209792644</v>
      </c>
      <c r="D33" s="87">
        <v>0</v>
      </c>
      <c r="E33" s="87">
        <v>21491454.209792644</v>
      </c>
      <c r="F33" s="88">
        <v>1.0439833561059635</v>
      </c>
      <c r="G33" s="87">
        <v>21491454.209792644</v>
      </c>
      <c r="H33" s="88">
        <v>1.0439833561059635</v>
      </c>
      <c r="I33" s="87">
        <v>826594.39268433244</v>
      </c>
      <c r="J33" s="87" t="e">
        <v>#DIV/0!</v>
      </c>
      <c r="K33" s="87">
        <v>268643.17762240808</v>
      </c>
      <c r="M33">
        <v>33</v>
      </c>
      <c r="N33" s="12" t="s">
        <v>139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139</v>
      </c>
      <c r="B34" s="131">
        <v>21701087.966249999</v>
      </c>
      <c r="C34" s="87">
        <v>6604694.92388489</v>
      </c>
      <c r="D34" s="87">
        <v>0</v>
      </c>
      <c r="E34" s="87">
        <v>6604694.92388489</v>
      </c>
      <c r="F34" s="88">
        <v>0.30434856234658164</v>
      </c>
      <c r="G34" s="87">
        <v>6604694.92388489</v>
      </c>
      <c r="H34" s="88">
        <v>0.30434856234658164</v>
      </c>
      <c r="I34" s="87">
        <v>254026.72784172653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104</v>
      </c>
      <c r="B35" s="131">
        <v>20586012.300000001</v>
      </c>
      <c r="C35" s="87">
        <v>10300686.076064574</v>
      </c>
      <c r="D35" s="87">
        <v>0</v>
      </c>
      <c r="E35" s="87">
        <v>10300686.076064574</v>
      </c>
      <c r="F35" s="88">
        <v>0.50037306526162784</v>
      </c>
      <c r="G35" s="87">
        <v>10300686.076064574</v>
      </c>
      <c r="H35" s="88">
        <v>0.50037306526162784</v>
      </c>
      <c r="I35" s="87">
        <v>396180.23369479127</v>
      </c>
      <c r="J35" s="87" t="e">
        <v>#DIV/0!</v>
      </c>
      <c r="K35" s="87">
        <v>0</v>
      </c>
      <c r="M35">
        <v>24</v>
      </c>
      <c r="N35" s="12" t="s">
        <v>113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113</v>
      </c>
      <c r="B36" s="131">
        <v>21729679.650000002</v>
      </c>
      <c r="C36" s="87">
        <v>17015924.868190646</v>
      </c>
      <c r="D36" s="87">
        <v>0</v>
      </c>
      <c r="E36" s="87">
        <v>17015924.868190646</v>
      </c>
      <c r="F36" s="88">
        <v>0.78307297402751375</v>
      </c>
      <c r="G36" s="87">
        <v>17015924.868190646</v>
      </c>
      <c r="H36" s="88">
        <v>0.78307297402751375</v>
      </c>
      <c r="I36" s="87">
        <v>654458.64877656335</v>
      </c>
      <c r="J36" s="87" t="e">
        <v>#DIV/0!</v>
      </c>
      <c r="K36" s="87">
        <v>0</v>
      </c>
      <c r="M36">
        <v>7</v>
      </c>
      <c r="N36" s="12" t="s">
        <v>111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111</v>
      </c>
      <c r="B37" s="131">
        <v>102930061.49999999</v>
      </c>
      <c r="C37" s="87">
        <v>71043541.40915364</v>
      </c>
      <c r="D37" s="87">
        <v>0</v>
      </c>
      <c r="E37" s="87">
        <v>71043541.40915364</v>
      </c>
      <c r="F37" s="88">
        <v>0.6902117843304082</v>
      </c>
      <c r="G37" s="87">
        <v>71043541.40915364</v>
      </c>
      <c r="H37" s="88">
        <v>0.6902117843304082</v>
      </c>
      <c r="I37" s="87">
        <v>2732443.9003520631</v>
      </c>
      <c r="J37" s="87" t="e">
        <v>#DIV/0!</v>
      </c>
      <c r="K37" s="87">
        <v>0</v>
      </c>
      <c r="M37">
        <v>57</v>
      </c>
      <c r="N37" s="12" t="s">
        <v>110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110</v>
      </c>
      <c r="B38" s="131">
        <v>29964084.57</v>
      </c>
      <c r="C38" s="87">
        <v>34108717.03855706</v>
      </c>
      <c r="D38" s="87">
        <v>0</v>
      </c>
      <c r="E38" s="87">
        <v>34108717.03855706</v>
      </c>
      <c r="F38" s="88">
        <v>1.1383200097061086</v>
      </c>
      <c r="G38" s="87">
        <v>34108717.03855706</v>
      </c>
      <c r="H38" s="88">
        <v>1.1383200097061086</v>
      </c>
      <c r="I38" s="87">
        <v>1311873.7322521945</v>
      </c>
      <c r="J38" s="87" t="e">
        <v>#DIV/0!</v>
      </c>
      <c r="K38" s="87">
        <v>511630.75557835586</v>
      </c>
      <c r="M38">
        <v>1</v>
      </c>
      <c r="N38" s="12" t="s">
        <v>81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81</v>
      </c>
      <c r="B39" s="131">
        <v>32594519.474999998</v>
      </c>
      <c r="C39" s="87">
        <v>24484653.207060494</v>
      </c>
      <c r="D39" s="87">
        <v>0</v>
      </c>
      <c r="E39" s="87">
        <v>24484653.207060494</v>
      </c>
      <c r="F39" s="88">
        <v>0.75118926744234493</v>
      </c>
      <c r="G39" s="87">
        <v>24484653.207060494</v>
      </c>
      <c r="H39" s="88">
        <v>0.75118926744234493</v>
      </c>
      <c r="I39" s="87">
        <v>941717.43104078819</v>
      </c>
      <c r="J39" s="87" t="e">
        <v>#DIV/0!</v>
      </c>
      <c r="K39" s="87">
        <v>0</v>
      </c>
      <c r="N39" s="3" t="s">
        <v>223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223</v>
      </c>
      <c r="B40" s="91">
        <v>441569963.83499998</v>
      </c>
      <c r="C40" s="91">
        <v>336257094.50680667</v>
      </c>
      <c r="D40" s="91">
        <v>0</v>
      </c>
      <c r="E40" s="91">
        <v>336257094.50680667</v>
      </c>
      <c r="F40" s="90">
        <v>0.76150354880671811</v>
      </c>
      <c r="G40" s="89">
        <v>336257094.50680667</v>
      </c>
      <c r="H40" s="90">
        <v>0.76150354880671811</v>
      </c>
      <c r="I40" s="89">
        <v>12932965.173338719</v>
      </c>
      <c r="J40" s="91" t="e">
        <v>#DIV/0!</v>
      </c>
      <c r="K40" s="91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5" t="s">
        <v>42</v>
      </c>
      <c r="B41" s="96">
        <v>1196913633.8701973</v>
      </c>
      <c r="C41" s="96">
        <v>972548334.78169894</v>
      </c>
      <c r="D41" s="96">
        <v>0</v>
      </c>
      <c r="E41" s="96">
        <v>972548334.78169894</v>
      </c>
      <c r="F41" s="97">
        <v>0.81254679306892219</v>
      </c>
      <c r="G41" s="96">
        <v>972548334.78169882</v>
      </c>
      <c r="H41" s="97">
        <v>0.81254679306892208</v>
      </c>
      <c r="I41" s="96">
        <v>37405705.183911495</v>
      </c>
      <c r="J41" s="96" t="e">
        <v>#DIV/0!</v>
      </c>
      <c r="K41" s="96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28561320.900000002</v>
      </c>
      <c r="C2" s="87">
        <v>39721295.804930009</v>
      </c>
      <c r="D2" s="87">
        <v>39088385.959280692</v>
      </c>
      <c r="E2" s="87">
        <v>632909.84564931691</v>
      </c>
      <c r="F2" s="88">
        <v>1.3907373522395459</v>
      </c>
      <c r="G2" s="87">
        <v>39721295.804930009</v>
      </c>
      <c r="H2" s="88">
        <v>1.3907373522395459</v>
      </c>
      <c r="I2" s="87">
        <v>1727012.8610839134</v>
      </c>
      <c r="J2" s="87" t="e">
        <v>#DIV/0!</v>
      </c>
      <c r="K2" s="87">
        <v>794425.91609860025</v>
      </c>
      <c r="M2">
        <v>22</v>
      </c>
      <c r="N2" s="12" t="s">
        <v>97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94</v>
      </c>
      <c r="B3" s="86">
        <v>27414279.900000002</v>
      </c>
      <c r="C3" s="87">
        <v>29249180.313359585</v>
      </c>
      <c r="D3" s="87">
        <v>28088897.73557714</v>
      </c>
      <c r="E3" s="87">
        <v>1160282.5777824447</v>
      </c>
      <c r="F3" s="88">
        <v>1.0669322856574315</v>
      </c>
      <c r="G3" s="87">
        <v>29249180.313359588</v>
      </c>
      <c r="H3" s="88">
        <v>1.0669322856574317</v>
      </c>
      <c r="I3" s="87">
        <v>1271703.4918851994</v>
      </c>
      <c r="J3" s="87" t="e">
        <v>#DIV/0!</v>
      </c>
      <c r="K3" s="87">
        <v>365614.7539169949</v>
      </c>
      <c r="M3">
        <v>49</v>
      </c>
      <c r="N3" s="13" t="s">
        <v>107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92</v>
      </c>
      <c r="B4" s="86">
        <v>25120197.900000002</v>
      </c>
      <c r="C4" s="87">
        <v>23167100.132401947</v>
      </c>
      <c r="D4" s="87">
        <v>21799243.674501382</v>
      </c>
      <c r="E4" s="87">
        <v>1367856.4579005651</v>
      </c>
      <c r="F4" s="88">
        <v>0.92224990522076833</v>
      </c>
      <c r="G4" s="87">
        <v>23167100.132401947</v>
      </c>
      <c r="H4" s="88">
        <v>0.92224990522076833</v>
      </c>
      <c r="I4" s="87">
        <v>1007265.2231479108</v>
      </c>
      <c r="J4" s="87" t="e">
        <v>#DIV/0!</v>
      </c>
      <c r="K4" s="87">
        <v>0</v>
      </c>
      <c r="M4">
        <v>20</v>
      </c>
      <c r="N4" s="13" t="s">
        <v>95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90</v>
      </c>
      <c r="B5" s="86">
        <v>25120197.900000002</v>
      </c>
      <c r="C5" s="87">
        <v>31630958.851832926</v>
      </c>
      <c r="D5" s="87">
        <v>30307629.482775476</v>
      </c>
      <c r="E5" s="87">
        <v>1323329.3690574504</v>
      </c>
      <c r="F5" s="88">
        <v>1.2591843017221183</v>
      </c>
      <c r="G5" s="87">
        <v>31630958.851832926</v>
      </c>
      <c r="H5" s="88">
        <v>1.2591843017221183</v>
      </c>
      <c r="I5" s="87">
        <v>1375259.080514475</v>
      </c>
      <c r="J5" s="87" t="e">
        <v>#DIV/0!</v>
      </c>
      <c r="K5" s="87">
        <v>632619.17703665851</v>
      </c>
      <c r="M5">
        <v>15</v>
      </c>
      <c r="N5" s="13" t="s">
        <v>91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89</v>
      </c>
      <c r="B6" s="86">
        <v>20818794.149999999</v>
      </c>
      <c r="C6" s="87">
        <v>15488445.984929243</v>
      </c>
      <c r="D6" s="87">
        <v>15012989.485614467</v>
      </c>
      <c r="E6" s="87">
        <v>475456.49931477569</v>
      </c>
      <c r="F6" s="88">
        <v>0.7439646058909346</v>
      </c>
      <c r="G6" s="87">
        <v>15488445.984929241</v>
      </c>
      <c r="H6" s="88">
        <v>0.74396460589093449</v>
      </c>
      <c r="I6" s="87">
        <v>673410.69499692356</v>
      </c>
      <c r="J6" s="87" t="e">
        <v>#DIV/0!</v>
      </c>
      <c r="K6" s="87">
        <v>0</v>
      </c>
      <c r="M6">
        <v>19</v>
      </c>
      <c r="N6" s="13" t="s">
        <v>94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86</v>
      </c>
      <c r="B7" s="86">
        <v>24546677.400000002</v>
      </c>
      <c r="C7" s="87">
        <v>18088953.14564018</v>
      </c>
      <c r="D7" s="87">
        <v>17362470.332684334</v>
      </c>
      <c r="E7" s="87">
        <v>726482.81295584515</v>
      </c>
      <c r="F7" s="88">
        <v>0.73692063699179822</v>
      </c>
      <c r="G7" s="87">
        <v>18088953.14564018</v>
      </c>
      <c r="H7" s="88">
        <v>0.73692063699179822</v>
      </c>
      <c r="I7" s="87">
        <v>786476.22372348607</v>
      </c>
      <c r="J7" s="87" t="e">
        <v>#DIV/0!</v>
      </c>
      <c r="K7" s="87">
        <v>0</v>
      </c>
      <c r="M7">
        <v>16</v>
      </c>
      <c r="N7" s="13" t="s">
        <v>92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85</v>
      </c>
      <c r="B8" s="86">
        <v>31704213.240000002</v>
      </c>
      <c r="C8" s="87">
        <v>25692634.698936395</v>
      </c>
      <c r="D8" s="87">
        <v>25203128.493070193</v>
      </c>
      <c r="E8" s="87">
        <v>489506.20586620271</v>
      </c>
      <c r="F8" s="88">
        <v>0.81038550001048359</v>
      </c>
      <c r="G8" s="87">
        <v>25692634.698936392</v>
      </c>
      <c r="H8" s="88">
        <v>0.81038550001048348</v>
      </c>
      <c r="I8" s="87">
        <v>1117071.0738667997</v>
      </c>
      <c r="J8" s="87" t="e">
        <v>#DIV/0!</v>
      </c>
      <c r="K8" s="87">
        <v>0</v>
      </c>
      <c r="M8">
        <v>12</v>
      </c>
      <c r="N8" s="13" t="s">
        <v>90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84</v>
      </c>
      <c r="B9" s="86">
        <v>31704213.240000002</v>
      </c>
      <c r="C9" s="87">
        <v>32620850.48761525</v>
      </c>
      <c r="D9" s="87">
        <v>30865958.704523828</v>
      </c>
      <c r="E9" s="87">
        <v>1754891.7830914222</v>
      </c>
      <c r="F9" s="88">
        <v>1.0289121587934174</v>
      </c>
      <c r="G9" s="87">
        <v>32620850.48761525</v>
      </c>
      <c r="H9" s="88">
        <v>1.0289121587934174</v>
      </c>
      <c r="I9" s="87">
        <v>1418297.8472876195</v>
      </c>
      <c r="J9" s="87" t="e">
        <v>#DIV/0!</v>
      </c>
      <c r="K9" s="87">
        <v>326208.5048761525</v>
      </c>
      <c r="M9">
        <v>11</v>
      </c>
      <c r="N9" s="30" t="s">
        <v>89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9">
        <v>214989894.63</v>
      </c>
      <c r="C10" s="89">
        <v>215659419.41964552</v>
      </c>
      <c r="D10" s="87">
        <v>207728703.86802754</v>
      </c>
      <c r="E10" s="89">
        <v>7930715.5516180228</v>
      </c>
      <c r="F10" s="90">
        <v>1.003114215162521</v>
      </c>
      <c r="G10" s="89">
        <v>215659419.41964555</v>
      </c>
      <c r="H10" s="90">
        <v>1.003114215162521</v>
      </c>
      <c r="I10" s="89">
        <v>9376496.4965063278</v>
      </c>
      <c r="J10" s="91" t="e">
        <v>#DIV/0!</v>
      </c>
      <c r="K10" s="91"/>
      <c r="M10">
        <v>8</v>
      </c>
      <c r="N10" s="13" t="s">
        <v>86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97</v>
      </c>
      <c r="B11" s="86">
        <v>85803165</v>
      </c>
      <c r="C11" s="87">
        <v>74801914.352921605</v>
      </c>
      <c r="D11" s="87">
        <v>72706629.068820506</v>
      </c>
      <c r="E11" s="87">
        <v>2095285.2841010988</v>
      </c>
      <c r="F11" s="88">
        <v>0.87178502509693678</v>
      </c>
      <c r="G11" s="87">
        <v>74801914.352921605</v>
      </c>
      <c r="H11" s="88">
        <v>0.87178502509693678</v>
      </c>
      <c r="I11" s="87">
        <v>3252257.1457792004</v>
      </c>
      <c r="J11" s="87" t="e">
        <v>#DIV/0!</v>
      </c>
      <c r="K11" s="87">
        <v>0</v>
      </c>
      <c r="M11">
        <v>52</v>
      </c>
      <c r="N11" s="31" t="s">
        <v>112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107</v>
      </c>
      <c r="B12" s="86">
        <v>27987800.400000002</v>
      </c>
      <c r="C12" s="87">
        <v>21624275.946476139</v>
      </c>
      <c r="D12" s="87">
        <v>21624275.946476139</v>
      </c>
      <c r="E12" s="87">
        <v>0</v>
      </c>
      <c r="F12" s="88">
        <v>0.77263220536888411</v>
      </c>
      <c r="G12" s="87">
        <v>21624275.946476139</v>
      </c>
      <c r="H12" s="88">
        <v>0.77263220536888411</v>
      </c>
      <c r="I12" s="87">
        <v>940185.91071635392</v>
      </c>
      <c r="J12" s="87" t="e">
        <v>#DIV/0!</v>
      </c>
      <c r="K12" s="87">
        <v>0</v>
      </c>
      <c r="M12">
        <v>53</v>
      </c>
      <c r="N12" s="31" t="s">
        <v>108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91</v>
      </c>
      <c r="B13" s="86">
        <v>113579550</v>
      </c>
      <c r="C13" s="87">
        <v>110562899.82800557</v>
      </c>
      <c r="D13" s="87">
        <v>101026142.33835626</v>
      </c>
      <c r="E13" s="87">
        <v>9536757.4896493107</v>
      </c>
      <c r="F13" s="88">
        <v>0.97344019964866535</v>
      </c>
      <c r="G13" s="87">
        <v>110562899.82800557</v>
      </c>
      <c r="H13" s="88">
        <v>0.97344019964866535</v>
      </c>
      <c r="I13" s="87">
        <v>4807082.6012176331</v>
      </c>
      <c r="J13" s="87" t="e">
        <v>#DIV/0!</v>
      </c>
      <c r="K13" s="87">
        <v>0</v>
      </c>
      <c r="M13">
        <v>5</v>
      </c>
      <c r="N13" s="13" t="s">
        <v>85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112</v>
      </c>
      <c r="B14" s="86">
        <v>37559970</v>
      </c>
      <c r="C14" s="87">
        <v>25974209.55841786</v>
      </c>
      <c r="D14" s="87">
        <v>25893547.49941786</v>
      </c>
      <c r="E14" s="87">
        <v>80662.059000000358</v>
      </c>
      <c r="F14" s="88">
        <v>0.69153967797146432</v>
      </c>
      <c r="G14" s="87">
        <v>25974209.55841786</v>
      </c>
      <c r="H14" s="88">
        <v>0.69153967797146432</v>
      </c>
      <c r="I14" s="87">
        <v>1129313.4590616461</v>
      </c>
      <c r="J14" s="87" t="e">
        <v>#DIV/0!</v>
      </c>
      <c r="K14" s="87">
        <v>0</v>
      </c>
      <c r="M14">
        <v>4</v>
      </c>
      <c r="N14" s="10" t="s">
        <v>84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108</v>
      </c>
      <c r="B15" s="86">
        <v>37559970</v>
      </c>
      <c r="C15" s="87">
        <v>32322953.369331002</v>
      </c>
      <c r="D15" s="87">
        <v>32261497.488231003</v>
      </c>
      <c r="E15" s="87">
        <v>61455.881099998951</v>
      </c>
      <c r="F15" s="88">
        <v>0.86056920091605515</v>
      </c>
      <c r="G15" s="87">
        <v>32322953.369330999</v>
      </c>
      <c r="H15" s="88">
        <v>0.86056920091605504</v>
      </c>
      <c r="I15" s="87">
        <v>1405345.7986665652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9">
        <v>302490455.39999998</v>
      </c>
      <c r="C16" s="89">
        <v>265286253.05515218</v>
      </c>
      <c r="D16" s="87">
        <v>253512092.34130177</v>
      </c>
      <c r="E16" s="89">
        <v>11774160.713850409</v>
      </c>
      <c r="F16" s="90">
        <v>0.87700702061606994</v>
      </c>
      <c r="G16" s="89">
        <v>265286253.05515218</v>
      </c>
      <c r="H16" s="90">
        <v>0.87700702061606994</v>
      </c>
      <c r="I16" s="89">
        <v>11534184.915441399</v>
      </c>
      <c r="J16" s="91" t="e">
        <v>#DIV/0!</v>
      </c>
      <c r="K16" s="91"/>
      <c r="M16">
        <v>31</v>
      </c>
      <c r="N16" s="12" t="s">
        <v>101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82</v>
      </c>
      <c r="B17" s="71">
        <v>25959000</v>
      </c>
      <c r="C17" s="87">
        <v>15605041.260327421</v>
      </c>
      <c r="D17" s="87">
        <v>15500623.615824336</v>
      </c>
      <c r="E17" s="87">
        <v>104417.64450308494</v>
      </c>
      <c r="F17" s="88">
        <v>0.60114184908229984</v>
      </c>
      <c r="G17" s="87">
        <v>15605041.260327421</v>
      </c>
      <c r="H17" s="88">
        <v>0.60114184908229984</v>
      </c>
      <c r="I17" s="87">
        <v>678480.05479684437</v>
      </c>
      <c r="J17" s="87" t="e">
        <v>#DIV/0!</v>
      </c>
      <c r="K17" s="87">
        <v>0</v>
      </c>
      <c r="M17">
        <v>54</v>
      </c>
      <c r="N17" s="13" t="s">
        <v>109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83</v>
      </c>
      <c r="B18" s="71">
        <v>22878600</v>
      </c>
      <c r="C18" s="87">
        <v>17851342.96152376</v>
      </c>
      <c r="D18" s="87">
        <v>17014009.254922275</v>
      </c>
      <c r="E18" s="87">
        <v>837333.70660148561</v>
      </c>
      <c r="F18" s="88">
        <v>0.78026378194136703</v>
      </c>
      <c r="G18" s="87">
        <v>17851342.96152376</v>
      </c>
      <c r="H18" s="88">
        <v>0.78026378194136703</v>
      </c>
      <c r="I18" s="87">
        <v>776145.34615320701</v>
      </c>
      <c r="J18" s="87" t="e">
        <v>#DIV/0!</v>
      </c>
      <c r="K18" s="87">
        <v>0</v>
      </c>
      <c r="M18">
        <v>21</v>
      </c>
      <c r="N18" s="13" t="s">
        <v>96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93</v>
      </c>
      <c r="B19" s="71">
        <v>22878600</v>
      </c>
      <c r="C19" s="87">
        <v>10599982.803041937</v>
      </c>
      <c r="D19" s="87">
        <v>10521737.597443596</v>
      </c>
      <c r="E19" s="87">
        <v>78245.205598341301</v>
      </c>
      <c r="F19" s="88">
        <v>0.46331431132332995</v>
      </c>
      <c r="G19" s="87">
        <v>10599982.803041937</v>
      </c>
      <c r="H19" s="88">
        <v>0.46331431132332995</v>
      </c>
      <c r="I19" s="87">
        <v>460868.81752356247</v>
      </c>
      <c r="J19" s="87" t="e">
        <v>#DIV/0!</v>
      </c>
      <c r="K19" s="87">
        <v>0</v>
      </c>
      <c r="M19">
        <v>23</v>
      </c>
      <c r="N19" s="13" t="s">
        <v>98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96</v>
      </c>
      <c r="B20" s="71">
        <v>29580000</v>
      </c>
      <c r="C20" s="87">
        <v>34177594.392626554</v>
      </c>
      <c r="D20" s="87">
        <v>33008585.287439648</v>
      </c>
      <c r="E20" s="87">
        <v>1169009.1051869057</v>
      </c>
      <c r="F20" s="88">
        <v>1.1554291545850761</v>
      </c>
      <c r="G20" s="87">
        <v>34177594.392626554</v>
      </c>
      <c r="H20" s="88">
        <v>1.1554291545850761</v>
      </c>
      <c r="I20" s="87">
        <v>1485982.3648968067</v>
      </c>
      <c r="J20" s="87" t="e">
        <v>#DIV/0!</v>
      </c>
      <c r="K20" s="87">
        <v>683551.88785253104</v>
      </c>
      <c r="M20">
        <v>18</v>
      </c>
      <c r="N20" s="13" t="s">
        <v>93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98</v>
      </c>
      <c r="B21" s="71">
        <v>22440000</v>
      </c>
      <c r="C21" s="87">
        <v>12127167.111694176</v>
      </c>
      <c r="D21" s="87">
        <v>11481793.993264897</v>
      </c>
      <c r="E21" s="87">
        <v>645373.11842927895</v>
      </c>
      <c r="F21" s="88">
        <v>0.54042634187585459</v>
      </c>
      <c r="G21" s="87">
        <v>12127167.111694176</v>
      </c>
      <c r="H21" s="88">
        <v>0.54042634187585459</v>
      </c>
      <c r="I21" s="87">
        <v>527268.13529105112</v>
      </c>
      <c r="J21" s="87" t="e">
        <v>#DIV/0!</v>
      </c>
      <c r="K21" s="87">
        <v>0</v>
      </c>
      <c r="M21">
        <v>44</v>
      </c>
      <c r="N21" s="13" t="s">
        <v>161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101</v>
      </c>
      <c r="B22" s="71">
        <v>28050000</v>
      </c>
      <c r="C22" s="87">
        <v>33728904.59836892</v>
      </c>
      <c r="D22" s="87">
        <v>33154329.616430718</v>
      </c>
      <c r="E22" s="87">
        <v>574574.98193820193</v>
      </c>
      <c r="F22" s="88">
        <v>1.2024564919204606</v>
      </c>
      <c r="G22" s="87">
        <v>33728904.59836892</v>
      </c>
      <c r="H22" s="88">
        <v>1.2024564919204606</v>
      </c>
      <c r="I22" s="87">
        <v>1466474.1129725617</v>
      </c>
      <c r="J22" s="87" t="e">
        <v>#DIV/0!</v>
      </c>
      <c r="K22" s="87">
        <v>674578.09196737839</v>
      </c>
      <c r="M22">
        <v>56</v>
      </c>
      <c r="N22" s="13" t="s">
        <v>140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161</v>
      </c>
      <c r="B23" s="71">
        <v>24276000</v>
      </c>
      <c r="C23" s="87">
        <v>12651685.240351029</v>
      </c>
      <c r="D23" s="87">
        <v>12317875.193543613</v>
      </c>
      <c r="E23" s="87">
        <v>333810.04680741578</v>
      </c>
      <c r="F23" s="88">
        <v>0.52116020927463458</v>
      </c>
      <c r="G23" s="87">
        <v>12651685.240351029</v>
      </c>
      <c r="H23" s="88">
        <v>0.52116020927463458</v>
      </c>
      <c r="I23" s="87">
        <v>550073.27131960995</v>
      </c>
      <c r="J23" s="87" t="e">
        <v>#DIV/0!</v>
      </c>
      <c r="K23" s="87">
        <v>0</v>
      </c>
      <c r="M23">
        <v>2</v>
      </c>
      <c r="N23" s="13" t="s">
        <v>82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109</v>
      </c>
      <c r="B24" s="71">
        <v>29070000</v>
      </c>
      <c r="C24" s="87">
        <v>38353470.654762641</v>
      </c>
      <c r="D24" s="87">
        <v>37139380.786093235</v>
      </c>
      <c r="E24" s="87">
        <v>1214089.8686694056</v>
      </c>
      <c r="F24" s="88">
        <v>1.3193488357331489</v>
      </c>
      <c r="G24" s="87">
        <v>38353470.654762641</v>
      </c>
      <c r="H24" s="88">
        <v>1.3193488357331489</v>
      </c>
      <c r="I24" s="87">
        <v>1667542.2023809843</v>
      </c>
      <c r="J24" s="87" t="e">
        <v>#DIV/0!</v>
      </c>
      <c r="K24" s="87">
        <v>767069.41309525282</v>
      </c>
      <c r="M24">
        <v>3</v>
      </c>
      <c r="N24" s="10" t="s">
        <v>83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140</v>
      </c>
      <c r="B25" s="71">
        <v>47838000</v>
      </c>
      <c r="C25" s="87">
        <v>31318621.314489596</v>
      </c>
      <c r="D25" s="87">
        <v>31103523.355648097</v>
      </c>
      <c r="E25" s="87">
        <v>215097.95884149894</v>
      </c>
      <c r="F25" s="88">
        <v>0.65468082517014914</v>
      </c>
      <c r="G25" s="87">
        <v>31318621.314489599</v>
      </c>
      <c r="H25" s="88">
        <v>0.65468082517014925</v>
      </c>
      <c r="I25" s="87">
        <v>1361679.1875865043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91">
        <v>252970200</v>
      </c>
      <c r="C26" s="91">
        <v>206413810.33718604</v>
      </c>
      <c r="D26" s="87">
        <v>201241858.7006104</v>
      </c>
      <c r="E26" s="91">
        <v>5171951.6365756392</v>
      </c>
      <c r="F26" s="90">
        <v>0.8159609722298754</v>
      </c>
      <c r="G26" s="89">
        <v>206413810.33718604</v>
      </c>
      <c r="H26" s="90">
        <v>0.8159609722298754</v>
      </c>
      <c r="I26" s="89">
        <v>8974513.4929211326</v>
      </c>
      <c r="J26" s="91" t="e">
        <v>#DIV/0!</v>
      </c>
      <c r="K26" s="91"/>
      <c r="M26">
        <v>32</v>
      </c>
      <c r="N26" s="12" t="s">
        <v>102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2" t="s">
        <v>102</v>
      </c>
      <c r="B27" s="93">
        <v>74366969.433750004</v>
      </c>
      <c r="C27" s="87">
        <v>43313537.14189031</v>
      </c>
      <c r="D27" s="87">
        <v>41559348.464299306</v>
      </c>
      <c r="E27" s="87">
        <v>1754188.6775910035</v>
      </c>
      <c r="F27" s="88">
        <v>0.58242977321371525</v>
      </c>
      <c r="G27" s="87">
        <v>43313537.14189031</v>
      </c>
      <c r="H27" s="88">
        <v>0.58242977321371525</v>
      </c>
      <c r="I27" s="87">
        <v>1883197.267038709</v>
      </c>
      <c r="J27" s="87" t="e">
        <v>#DIV/0!</v>
      </c>
      <c r="K27" s="87">
        <v>0</v>
      </c>
      <c r="M27">
        <v>36</v>
      </c>
      <c r="N27" s="12" t="s">
        <v>222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222</v>
      </c>
      <c r="B28" s="93">
        <v>20706097.371750001</v>
      </c>
      <c r="C28" s="87">
        <v>6453883.7615043065</v>
      </c>
      <c r="D28" s="87">
        <v>6050926.821155739</v>
      </c>
      <c r="E28" s="87">
        <v>402956.94034856744</v>
      </c>
      <c r="F28" s="88">
        <v>0.31169001312191014</v>
      </c>
      <c r="G28" s="87">
        <v>6453883.7615043065</v>
      </c>
      <c r="H28" s="88">
        <v>0.31169001312191014</v>
      </c>
      <c r="I28" s="87">
        <v>280603.64180453506</v>
      </c>
      <c r="J28" s="87" t="e">
        <v>#DIV/0!</v>
      </c>
      <c r="K28" s="87">
        <v>0</v>
      </c>
      <c r="M28">
        <v>9</v>
      </c>
      <c r="N28" s="12" t="s">
        <v>87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87</v>
      </c>
      <c r="B29" s="93">
        <v>22135109.725575</v>
      </c>
      <c r="C29" s="87">
        <v>19608593.591750432</v>
      </c>
      <c r="D29" s="87">
        <v>19175936.90643641</v>
      </c>
      <c r="E29" s="87">
        <v>432656.685314022</v>
      </c>
      <c r="F29" s="88">
        <v>0.88585933545631257</v>
      </c>
      <c r="G29" s="87">
        <v>19608593.591750432</v>
      </c>
      <c r="H29" s="88">
        <v>0.88585933545631257</v>
      </c>
      <c r="I29" s="87">
        <v>852547.5474674101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105</v>
      </c>
      <c r="B30" s="93">
        <v>33829680.213</v>
      </c>
      <c r="C30" s="87">
        <v>33118968.899577077</v>
      </c>
      <c r="D30" s="87">
        <v>32872546.812199574</v>
      </c>
      <c r="E30" s="87">
        <v>246422.08737750351</v>
      </c>
      <c r="F30" s="88">
        <v>0.97899148590976592</v>
      </c>
      <c r="G30" s="87">
        <v>33118968.899577081</v>
      </c>
      <c r="H30" s="88">
        <v>0.97899148590976603</v>
      </c>
      <c r="I30" s="87">
        <v>1439955.1695468295</v>
      </c>
      <c r="J30" s="87" t="e">
        <v>#DIV/0!</v>
      </c>
      <c r="K30" s="87">
        <v>0</v>
      </c>
      <c r="M30">
        <v>27</v>
      </c>
      <c r="N30" s="12" t="s">
        <v>99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99</v>
      </c>
      <c r="B31" s="93">
        <v>22135109.725575</v>
      </c>
      <c r="C31" s="87">
        <v>19202946.352352865</v>
      </c>
      <c r="D31" s="87">
        <v>18440800.189399764</v>
      </c>
      <c r="E31" s="87">
        <v>762146.1629531011</v>
      </c>
      <c r="F31" s="88">
        <v>0.86753337075920156</v>
      </c>
      <c r="G31" s="87">
        <v>19202946.352352865</v>
      </c>
      <c r="H31" s="88">
        <v>0.86753337075920156</v>
      </c>
      <c r="I31" s="87">
        <v>834910.71097186371</v>
      </c>
      <c r="J31" s="87" t="e">
        <v>#DIV/0!</v>
      </c>
      <c r="K31" s="87">
        <v>0</v>
      </c>
      <c r="M31">
        <v>10</v>
      </c>
      <c r="N31" s="12" t="s">
        <v>88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88</v>
      </c>
      <c r="B32" s="93">
        <v>22135109.725575</v>
      </c>
      <c r="C32" s="87">
        <v>20751171.897853132</v>
      </c>
      <c r="D32" s="87">
        <v>20370056.977541555</v>
      </c>
      <c r="E32" s="87">
        <v>381114.92031157762</v>
      </c>
      <c r="F32" s="88">
        <v>0.93747770646364315</v>
      </c>
      <c r="G32" s="87">
        <v>20751171.897853132</v>
      </c>
      <c r="H32" s="88">
        <v>0.93747770646364315</v>
      </c>
      <c r="I32" s="87">
        <v>902224.86512404925</v>
      </c>
      <c r="J32" s="87" t="e">
        <v>#DIV/0!</v>
      </c>
      <c r="K32" s="87">
        <v>0</v>
      </c>
      <c r="M32">
        <v>28</v>
      </c>
      <c r="N32" s="12" t="s">
        <v>100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100</v>
      </c>
      <c r="B33" s="93">
        <v>21997732.546</v>
      </c>
      <c r="C33" s="87">
        <v>11626466.4509042</v>
      </c>
      <c r="D33" s="87">
        <v>11510549.837186433</v>
      </c>
      <c r="E33" s="87">
        <v>115916.61371776648</v>
      </c>
      <c r="F33" s="88">
        <v>0.52853022131221072</v>
      </c>
      <c r="G33" s="87">
        <v>11626466.4509042</v>
      </c>
      <c r="H33" s="88">
        <v>0.52853022131221072</v>
      </c>
      <c r="I33" s="87">
        <v>505498.54134366085</v>
      </c>
      <c r="J33" s="87" t="e">
        <v>#DIV/0!</v>
      </c>
      <c r="K33" s="87">
        <v>0</v>
      </c>
      <c r="M33">
        <v>33</v>
      </c>
      <c r="N33" s="12" t="s">
        <v>139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139</v>
      </c>
      <c r="B34" s="93">
        <v>21135109.725575</v>
      </c>
      <c r="C34" s="87">
        <v>8982720.9587669112</v>
      </c>
      <c r="D34" s="87">
        <v>8776556.043086078</v>
      </c>
      <c r="E34" s="87">
        <v>206164.91568083316</v>
      </c>
      <c r="F34" s="88">
        <v>0.42501416247189738</v>
      </c>
      <c r="G34" s="87">
        <v>8982720.9587669112</v>
      </c>
      <c r="H34" s="88">
        <v>0.42501416247189738</v>
      </c>
      <c r="I34" s="87">
        <v>390553.08516377874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104</v>
      </c>
      <c r="B35" s="93">
        <v>21343732.546</v>
      </c>
      <c r="C35" s="87">
        <v>12183134.330827992</v>
      </c>
      <c r="D35" s="87">
        <v>11763869.810356865</v>
      </c>
      <c r="E35" s="87">
        <v>419264.5204711277</v>
      </c>
      <c r="F35" s="88">
        <v>0.57080617481365592</v>
      </c>
      <c r="G35" s="87">
        <v>12183134.330827992</v>
      </c>
      <c r="H35" s="88">
        <v>0.57080617481365592</v>
      </c>
      <c r="I35" s="87">
        <v>529701.49264469533</v>
      </c>
      <c r="J35" s="87" t="e">
        <v>#DIV/0!</v>
      </c>
      <c r="K35" s="87">
        <v>0</v>
      </c>
      <c r="M35">
        <v>24</v>
      </c>
      <c r="N35" s="12" t="s">
        <v>113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113</v>
      </c>
      <c r="B36" s="93">
        <v>22164273.243000004</v>
      </c>
      <c r="C36" s="87">
        <v>19501354.447575051</v>
      </c>
      <c r="D36" s="87">
        <v>19287420.138053946</v>
      </c>
      <c r="E36" s="87">
        <v>213934.30952110514</v>
      </c>
      <c r="F36" s="88">
        <v>0.87985535252025626</v>
      </c>
      <c r="G36" s="87">
        <v>19501354.447575051</v>
      </c>
      <c r="H36" s="88">
        <v>0.87985535252025626</v>
      </c>
      <c r="I36" s="87">
        <v>847884.97598152398</v>
      </c>
      <c r="J36" s="87" t="e">
        <v>#DIV/0!</v>
      </c>
      <c r="K36" s="87">
        <v>0</v>
      </c>
      <c r="M36">
        <v>7</v>
      </c>
      <c r="N36" s="12" t="s">
        <v>111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111</v>
      </c>
      <c r="B37" s="93">
        <v>104988662.72999999</v>
      </c>
      <c r="C37" s="87">
        <v>66545844.062023886</v>
      </c>
      <c r="D37" s="87">
        <v>60977569.303423889</v>
      </c>
      <c r="E37" s="87">
        <v>5568274.7585999966</v>
      </c>
      <c r="F37" s="88">
        <v>0.63383838151325211</v>
      </c>
      <c r="G37" s="87">
        <v>66545844.062023893</v>
      </c>
      <c r="H37" s="88">
        <v>0.63383838151325222</v>
      </c>
      <c r="I37" s="87">
        <v>2893297.5679140822</v>
      </c>
      <c r="J37" s="87" t="e">
        <v>#DIV/0!</v>
      </c>
      <c r="K37" s="87">
        <v>0</v>
      </c>
      <c r="M37">
        <v>57</v>
      </c>
      <c r="N37" s="12" t="s">
        <v>110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110</v>
      </c>
      <c r="B38" s="93">
        <v>30563366.261399999</v>
      </c>
      <c r="C38" s="87">
        <v>24829923.867717449</v>
      </c>
      <c r="D38" s="87">
        <v>22201832.933717448</v>
      </c>
      <c r="E38" s="87">
        <v>2628090.9340000004</v>
      </c>
      <c r="F38" s="88">
        <v>0.81240801995938516</v>
      </c>
      <c r="G38" s="87">
        <v>24829923.867717445</v>
      </c>
      <c r="H38" s="88">
        <v>0.81240801995938505</v>
      </c>
      <c r="I38" s="87">
        <v>1079561.9072920629</v>
      </c>
      <c r="J38" s="87" t="e">
        <v>#DIV/0!</v>
      </c>
      <c r="K38" s="87">
        <v>0</v>
      </c>
      <c r="M38">
        <v>1</v>
      </c>
      <c r="N38" s="12" t="s">
        <v>81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81</v>
      </c>
      <c r="B39" s="93">
        <v>32900000.864500001</v>
      </c>
      <c r="C39" s="87">
        <v>18657991.416046772</v>
      </c>
      <c r="D39" s="87">
        <v>18414643.724608365</v>
      </c>
      <c r="E39" s="87">
        <v>243347.69143840671</v>
      </c>
      <c r="F39" s="88">
        <v>0.56711218619386894</v>
      </c>
      <c r="G39" s="87">
        <v>18657991.416046772</v>
      </c>
      <c r="H39" s="88">
        <v>0.56711218619386894</v>
      </c>
      <c r="I39" s="87">
        <v>811217.01808899012</v>
      </c>
      <c r="J39" s="87" t="e">
        <v>#DIV/0!</v>
      </c>
      <c r="K39" s="87">
        <v>0</v>
      </c>
      <c r="N39" s="3" t="s">
        <v>223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223</v>
      </c>
      <c r="B40" s="94">
        <v>450401363.1117</v>
      </c>
      <c r="C40" s="91">
        <v>304776537.17879039</v>
      </c>
      <c r="D40" s="87">
        <v>291402057.96146536</v>
      </c>
      <c r="E40" s="91">
        <v>13374479.217325032</v>
      </c>
      <c r="F40" s="90">
        <v>0.67667765273438019</v>
      </c>
      <c r="G40" s="89">
        <v>304776537.17879039</v>
      </c>
      <c r="H40" s="90">
        <v>0.67667765273438019</v>
      </c>
      <c r="I40" s="89">
        <v>13251153.790382192</v>
      </c>
      <c r="J40" s="91" t="e">
        <v>#DIV/0!</v>
      </c>
      <c r="K40" s="91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5" t="s">
        <v>42</v>
      </c>
      <c r="B41" s="96">
        <v>1220851906.5476012</v>
      </c>
      <c r="C41" s="96">
        <v>992136019.99077415</v>
      </c>
      <c r="D41" s="87">
        <v>953884712.87140512</v>
      </c>
      <c r="E41" s="96">
        <v>38251307.11936903</v>
      </c>
      <c r="F41" s="97">
        <v>0.81265877922605401</v>
      </c>
      <c r="G41" s="96">
        <v>992136019.99077415</v>
      </c>
      <c r="H41" s="97">
        <v>0.81265877922605401</v>
      </c>
      <c r="I41" s="96">
        <v>43136348.695251048</v>
      </c>
      <c r="J41" s="96" t="e">
        <v>#DIV/0!</v>
      </c>
      <c r="K41" s="96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145</v>
      </c>
      <c r="B43" s="98">
        <v>40000000</v>
      </c>
      <c r="C43" s="87">
        <v>10630405.111527519</v>
      </c>
      <c r="D43" s="87">
        <v>10303829.39647151</v>
      </c>
      <c r="E43" s="87">
        <v>326575.71505600959</v>
      </c>
      <c r="F43" s="88">
        <v>0.26576012778818797</v>
      </c>
      <c r="G43" s="87">
        <v>10630405.111527519</v>
      </c>
      <c r="H43" s="88">
        <v>0.26576012778818797</v>
      </c>
      <c r="I43" s="87">
        <v>462191.52658815304</v>
      </c>
      <c r="J43" s="87" t="e">
        <v>#DIV/0!</v>
      </c>
      <c r="K43" s="87">
        <v>0</v>
      </c>
    </row>
    <row r="44" spans="1:20" ht="15.75" x14ac:dyDescent="0.25">
      <c r="A44" s="19" t="s">
        <v>146</v>
      </c>
      <c r="B44" s="98">
        <v>30000000</v>
      </c>
      <c r="C44" s="87">
        <v>3919003.8076639166</v>
      </c>
      <c r="D44" s="87">
        <v>3713552.9338194197</v>
      </c>
      <c r="E44" s="87">
        <v>205450.87384449691</v>
      </c>
      <c r="F44" s="88">
        <v>0.13063346025546388</v>
      </c>
      <c r="G44" s="87">
        <v>3919003.8076639166</v>
      </c>
      <c r="H44" s="88">
        <v>0.13063346025546388</v>
      </c>
      <c r="I44" s="87">
        <v>170391.46989843115</v>
      </c>
      <c r="J44" s="87" t="e">
        <v>#DIV/0!</v>
      </c>
      <c r="K44" s="87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29846580.340500001</v>
      </c>
      <c r="C2" s="87">
        <v>44992728.148662589</v>
      </c>
      <c r="D2" s="87">
        <v>43196156.75717549</v>
      </c>
      <c r="E2" s="87">
        <v>1796571.3914870992</v>
      </c>
      <c r="F2" s="88">
        <v>1.5074667729223969</v>
      </c>
      <c r="G2" s="87">
        <v>44992728.148662589</v>
      </c>
      <c r="H2" s="88">
        <v>1.5074667729223969</v>
      </c>
      <c r="I2" s="87">
        <v>1799709.1259465036</v>
      </c>
      <c r="J2" s="87" t="e">
        <v>#DIV/0!</v>
      </c>
      <c r="K2" s="87">
        <v>899854.5629732518</v>
      </c>
      <c r="M2">
        <v>22</v>
      </c>
      <c r="N2" s="12" t="s">
        <v>97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94</v>
      </c>
      <c r="B3" s="86">
        <v>28647922.495500002</v>
      </c>
      <c r="C3" s="87">
        <v>31728460.186828334</v>
      </c>
      <c r="D3" s="87">
        <v>29580587.160731103</v>
      </c>
      <c r="E3" s="87">
        <v>2147873.0260972306</v>
      </c>
      <c r="F3" s="88">
        <v>1.1075309280040191</v>
      </c>
      <c r="G3" s="87">
        <v>31728460.186828334</v>
      </c>
      <c r="H3" s="88">
        <v>1.1075309280040191</v>
      </c>
      <c r="I3" s="87">
        <v>1269138.4074731334</v>
      </c>
      <c r="J3" s="87" t="e">
        <v>#DIV/0!</v>
      </c>
      <c r="K3" s="87">
        <v>475926.90280242497</v>
      </c>
      <c r="M3">
        <v>49</v>
      </c>
      <c r="N3" s="13" t="s">
        <v>107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92</v>
      </c>
      <c r="B4" s="86">
        <v>26250606.805500001</v>
      </c>
      <c r="C4" s="87">
        <v>34522641.233895414</v>
      </c>
      <c r="D4" s="87">
        <v>33182283.28369379</v>
      </c>
      <c r="E4" s="87">
        <v>1340357.9502016231</v>
      </c>
      <c r="F4" s="88">
        <v>1.31511783669177</v>
      </c>
      <c r="G4" s="87">
        <v>34522641.233895414</v>
      </c>
      <c r="H4" s="88">
        <v>1.31511783669177</v>
      </c>
      <c r="I4" s="87">
        <v>1380905.6493558167</v>
      </c>
      <c r="J4" s="87" t="e">
        <v>#DIV/0!</v>
      </c>
      <c r="K4" s="87">
        <v>690452.82467790833</v>
      </c>
      <c r="M4">
        <v>20</v>
      </c>
      <c r="N4" s="13" t="s">
        <v>95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90</v>
      </c>
      <c r="B5" s="86">
        <v>26250606.805500001</v>
      </c>
      <c r="C5" s="87">
        <v>32158041.89763388</v>
      </c>
      <c r="D5" s="87">
        <v>31359846.504306898</v>
      </c>
      <c r="E5" s="87">
        <v>798195.39332698286</v>
      </c>
      <c r="F5" s="88">
        <v>1.2250399442536375</v>
      </c>
      <c r="G5" s="87">
        <v>32158041.89763388</v>
      </c>
      <c r="H5" s="88">
        <v>1.2250399442536375</v>
      </c>
      <c r="I5" s="87">
        <v>1286321.6759053553</v>
      </c>
      <c r="J5" s="87" t="e">
        <v>#DIV/0!</v>
      </c>
      <c r="K5" s="87">
        <v>643160.83795267763</v>
      </c>
      <c r="M5">
        <v>15</v>
      </c>
      <c r="N5" s="13" t="s">
        <v>91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89</v>
      </c>
      <c r="B6" s="86">
        <v>21755639.886749998</v>
      </c>
      <c r="C6" s="87">
        <v>21881067.67146546</v>
      </c>
      <c r="D6" s="87">
        <v>20297608.90327448</v>
      </c>
      <c r="E6" s="87">
        <v>1583458.76819098</v>
      </c>
      <c r="F6" s="88">
        <v>1.0057652997277204</v>
      </c>
      <c r="G6" s="87">
        <v>21881067.67146546</v>
      </c>
      <c r="H6" s="88">
        <v>1.0057652997277204</v>
      </c>
      <c r="I6" s="87">
        <v>875242.70685861842</v>
      </c>
      <c r="J6" s="87" t="e">
        <v>#DIV/0!</v>
      </c>
      <c r="K6" s="87">
        <v>218810.6767146546</v>
      </c>
      <c r="M6">
        <v>19</v>
      </c>
      <c r="N6" s="13" t="s">
        <v>94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86</v>
      </c>
      <c r="B7" s="86">
        <v>25651277.883000001</v>
      </c>
      <c r="C7" s="87">
        <v>26031710.328191068</v>
      </c>
      <c r="D7" s="87">
        <v>25004169.617499664</v>
      </c>
      <c r="E7" s="87">
        <v>1027540.7106914036</v>
      </c>
      <c r="F7" s="88">
        <v>1.0148309353992533</v>
      </c>
      <c r="G7" s="87">
        <v>26031710.328191068</v>
      </c>
      <c r="H7" s="88">
        <v>1.0148309353992533</v>
      </c>
      <c r="I7" s="87">
        <v>1041268.4131276427</v>
      </c>
      <c r="J7" s="87" t="e">
        <v>#DIV/0!</v>
      </c>
      <c r="K7" s="87">
        <v>260317.10328191068</v>
      </c>
      <c r="M7">
        <v>16</v>
      </c>
      <c r="N7" s="13" t="s">
        <v>92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85</v>
      </c>
      <c r="B8" s="86">
        <v>33130902.8358</v>
      </c>
      <c r="C8" s="87">
        <v>38828238.330632553</v>
      </c>
      <c r="D8" s="87">
        <v>36984925.46887406</v>
      </c>
      <c r="E8" s="87">
        <v>1843312.8617584929</v>
      </c>
      <c r="F8" s="88">
        <v>1.1719643899554777</v>
      </c>
      <c r="G8" s="87">
        <v>38828238.330632553</v>
      </c>
      <c r="H8" s="88">
        <v>1.1719643899554777</v>
      </c>
      <c r="I8" s="87">
        <v>1553129.5332253021</v>
      </c>
      <c r="J8" s="87" t="e">
        <v>#DIV/0!</v>
      </c>
      <c r="K8" s="87">
        <v>776564.76661265106</v>
      </c>
      <c r="M8">
        <v>12</v>
      </c>
      <c r="N8" s="13" t="s">
        <v>90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84</v>
      </c>
      <c r="B9" s="86">
        <v>33130902.8358</v>
      </c>
      <c r="C9" s="87">
        <v>38657150.922049813</v>
      </c>
      <c r="D9" s="87">
        <v>37691401.765709355</v>
      </c>
      <c r="E9" s="87">
        <v>965749.1563404575</v>
      </c>
      <c r="F9" s="88">
        <v>1.1668004072704701</v>
      </c>
      <c r="G9" s="87">
        <v>38657150.922049813</v>
      </c>
      <c r="H9" s="88">
        <v>1.1668004072704701</v>
      </c>
      <c r="I9" s="87">
        <v>1546286.0368819926</v>
      </c>
      <c r="J9" s="87" t="e">
        <v>#DIV/0!</v>
      </c>
      <c r="K9" s="87">
        <v>773143.0184409963</v>
      </c>
      <c r="M9">
        <v>11</v>
      </c>
      <c r="N9" s="30" t="s">
        <v>89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9">
        <v>224664439.88834998</v>
      </c>
      <c r="C10" s="89">
        <v>268800038.7193591</v>
      </c>
      <c r="D10" s="87">
        <v>257296979.46126485</v>
      </c>
      <c r="E10" s="89">
        <v>11503059.25809427</v>
      </c>
      <c r="F10" s="90">
        <v>1.1964512000784053</v>
      </c>
      <c r="G10" s="89">
        <v>268800038.7193591</v>
      </c>
      <c r="H10" s="90">
        <v>1.1964512000784053</v>
      </c>
      <c r="I10" s="89">
        <v>10752001.548774363</v>
      </c>
      <c r="J10" s="91" t="e">
        <v>#DIV/0!</v>
      </c>
      <c r="K10" s="91"/>
      <c r="M10">
        <v>8</v>
      </c>
      <c r="N10" s="13" t="s">
        <v>86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97</v>
      </c>
      <c r="B11" s="86">
        <v>89664307.424999997</v>
      </c>
      <c r="C11" s="87">
        <v>91610853.242948338</v>
      </c>
      <c r="D11" s="87">
        <v>87112277.601407588</v>
      </c>
      <c r="E11" s="87">
        <v>4498575.6415407509</v>
      </c>
      <c r="F11" s="88">
        <v>1.0217092606171807</v>
      </c>
      <c r="G11" s="87">
        <v>91610853.242948338</v>
      </c>
      <c r="H11" s="88">
        <v>1.0217092606171807</v>
      </c>
      <c r="I11" s="87">
        <v>3664434.1297179335</v>
      </c>
      <c r="J11" s="87" t="e">
        <v>#DIV/0!</v>
      </c>
      <c r="K11" s="87">
        <v>458054.26621474168</v>
      </c>
      <c r="M11">
        <v>52</v>
      </c>
      <c r="N11" s="31" t="s">
        <v>112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107</v>
      </c>
      <c r="B12" s="86">
        <v>29247251.418000001</v>
      </c>
      <c r="C12" s="87">
        <v>31373237.738229495</v>
      </c>
      <c r="D12" s="87">
        <v>31383571.426629495</v>
      </c>
      <c r="E12" s="87">
        <v>-10333.688400000334</v>
      </c>
      <c r="F12" s="88">
        <v>1.0726901235895647</v>
      </c>
      <c r="G12" s="87">
        <v>31373237.738229498</v>
      </c>
      <c r="H12" s="88">
        <v>1.0726901235895649</v>
      </c>
      <c r="I12" s="87">
        <v>1254929.5095291799</v>
      </c>
      <c r="J12" s="87" t="e">
        <v>#DIV/0!</v>
      </c>
      <c r="K12" s="87">
        <v>392165.47172786877</v>
      </c>
      <c r="M12">
        <v>53</v>
      </c>
      <c r="N12" s="31" t="s">
        <v>108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91</v>
      </c>
      <c r="B13" s="86">
        <v>118690629.74999999</v>
      </c>
      <c r="C13" s="87">
        <v>109777168.95247295</v>
      </c>
      <c r="D13" s="87">
        <v>93454146.738462254</v>
      </c>
      <c r="E13" s="87">
        <v>16323022.214010701</v>
      </c>
      <c r="F13" s="88">
        <v>0.92490173136412202</v>
      </c>
      <c r="G13" s="87">
        <v>109777168.95247295</v>
      </c>
      <c r="H13" s="88">
        <v>0.92490173136412202</v>
      </c>
      <c r="I13" s="87">
        <v>4391086.758098918</v>
      </c>
      <c r="J13" s="87" t="e">
        <v>#DIV/0!</v>
      </c>
      <c r="K13" s="87">
        <v>0</v>
      </c>
      <c r="M13">
        <v>5</v>
      </c>
      <c r="N13" s="13" t="s">
        <v>85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112</v>
      </c>
      <c r="B14" s="86">
        <v>39250168.649999999</v>
      </c>
      <c r="C14" s="87">
        <v>27654392.255925596</v>
      </c>
      <c r="D14" s="87">
        <v>26877028.917045593</v>
      </c>
      <c r="E14" s="87">
        <v>777363.3388800025</v>
      </c>
      <c r="F14" s="88">
        <v>0.70456747593938296</v>
      </c>
      <c r="G14" s="87">
        <v>27654392.255925596</v>
      </c>
      <c r="H14" s="88">
        <v>0.70456747593938296</v>
      </c>
      <c r="I14" s="87">
        <v>1106175.6902370239</v>
      </c>
      <c r="J14" s="87" t="e">
        <v>#DIV/0!</v>
      </c>
      <c r="K14" s="87">
        <v>0</v>
      </c>
      <c r="M14">
        <v>4</v>
      </c>
      <c r="N14" s="10" t="s">
        <v>84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108</v>
      </c>
      <c r="B15" s="86">
        <v>39250168.649999999</v>
      </c>
      <c r="C15" s="87">
        <v>38224313.330693163</v>
      </c>
      <c r="D15" s="87">
        <v>34543335.888878584</v>
      </c>
      <c r="E15" s="87">
        <v>3680977.4418145791</v>
      </c>
      <c r="F15" s="88">
        <v>0.97386367104675264</v>
      </c>
      <c r="G15" s="87">
        <v>38224313.330693163</v>
      </c>
      <c r="H15" s="88">
        <v>0.97386367104675264</v>
      </c>
      <c r="I15" s="87">
        <v>1528972.5332277266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9">
        <v>316102525.89299995</v>
      </c>
      <c r="C16" s="89">
        <v>298639965.52026957</v>
      </c>
      <c r="D16" s="87">
        <v>273370360.57242352</v>
      </c>
      <c r="E16" s="89">
        <v>25269604.947846055</v>
      </c>
      <c r="F16" s="90">
        <v>0.94475665664676967</v>
      </c>
      <c r="G16" s="89">
        <v>298639965.52026957</v>
      </c>
      <c r="H16" s="90">
        <v>0.94475665664676967</v>
      </c>
      <c r="I16" s="89">
        <v>11945598.620810783</v>
      </c>
      <c r="J16" s="91" t="e">
        <v>#DIV/0!</v>
      </c>
      <c r="K16" s="91"/>
      <c r="M16">
        <v>31</v>
      </c>
      <c r="N16" s="12" t="s">
        <v>101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82</v>
      </c>
      <c r="B17" s="71">
        <v>27127155</v>
      </c>
      <c r="C17" s="87">
        <v>28722737.224970914</v>
      </c>
      <c r="D17" s="87">
        <v>27827593.972716652</v>
      </c>
      <c r="E17" s="87">
        <v>895143.25225426257</v>
      </c>
      <c r="F17" s="88">
        <v>1.0588186348686737</v>
      </c>
      <c r="G17" s="87">
        <v>28722737.224970914</v>
      </c>
      <c r="H17" s="88">
        <v>1.0588186348686737</v>
      </c>
      <c r="I17" s="87">
        <v>1148909.4889988366</v>
      </c>
      <c r="J17" s="87" t="e">
        <v>#DIV/0!</v>
      </c>
      <c r="K17" s="87">
        <v>359034.21531213645</v>
      </c>
      <c r="M17">
        <v>54</v>
      </c>
      <c r="N17" s="13" t="s">
        <v>109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83</v>
      </c>
      <c r="B18" s="71">
        <v>23078600</v>
      </c>
      <c r="C18" s="87">
        <v>23018518.361370903</v>
      </c>
      <c r="D18" s="87">
        <v>21612527.454155579</v>
      </c>
      <c r="E18" s="87">
        <v>1405990.9072153233</v>
      </c>
      <c r="F18" s="88">
        <v>0.99739665150272994</v>
      </c>
      <c r="G18" s="87">
        <v>23018518.361370903</v>
      </c>
      <c r="H18" s="88">
        <v>0.99739665150272994</v>
      </c>
      <c r="I18" s="87">
        <v>920740.73445483611</v>
      </c>
      <c r="J18" s="87" t="e">
        <v>#DIV/0!</v>
      </c>
      <c r="K18" s="87">
        <v>230185.18361370903</v>
      </c>
      <c r="M18">
        <v>21</v>
      </c>
      <c r="N18" s="13" t="s">
        <v>96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93</v>
      </c>
      <c r="B19" s="71">
        <v>23908137</v>
      </c>
      <c r="C19" s="87">
        <v>24067202.723870337</v>
      </c>
      <c r="D19" s="87">
        <v>22895917.42486066</v>
      </c>
      <c r="E19" s="87">
        <v>1171285.299009677</v>
      </c>
      <c r="F19" s="88">
        <v>1.0066532044663428</v>
      </c>
      <c r="G19" s="87">
        <v>24067202.723870337</v>
      </c>
      <c r="H19" s="88">
        <v>1.0066532044663428</v>
      </c>
      <c r="I19" s="87">
        <v>962688.10895481345</v>
      </c>
      <c r="J19" s="87" t="e">
        <v>#DIV/0!</v>
      </c>
      <c r="K19" s="87">
        <v>240672.02723870336</v>
      </c>
      <c r="M19">
        <v>23</v>
      </c>
      <c r="N19" s="13" t="s">
        <v>98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96</v>
      </c>
      <c r="B20" s="71">
        <v>31020000</v>
      </c>
      <c r="C20" s="87">
        <v>37294138.673980869</v>
      </c>
      <c r="D20" s="87">
        <v>33765356.894991159</v>
      </c>
      <c r="E20" s="87">
        <v>3528781.7789897099</v>
      </c>
      <c r="F20" s="88">
        <v>1.2022610791096346</v>
      </c>
      <c r="G20" s="87">
        <v>37294138.673980869</v>
      </c>
      <c r="H20" s="88">
        <v>1.2022610791096346</v>
      </c>
      <c r="I20" s="87">
        <v>1491765.5469592349</v>
      </c>
      <c r="J20" s="87" t="e">
        <v>#DIV/0!</v>
      </c>
      <c r="K20" s="87">
        <v>745882.77347961743</v>
      </c>
      <c r="M20">
        <v>18</v>
      </c>
      <c r="N20" s="13" t="s">
        <v>93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98</v>
      </c>
      <c r="B21" s="71">
        <v>23540000</v>
      </c>
      <c r="C21" s="87">
        <v>21299626.308028236</v>
      </c>
      <c r="D21" s="87">
        <v>20077314.829677377</v>
      </c>
      <c r="E21" s="87">
        <v>1222311.4783508591</v>
      </c>
      <c r="F21" s="88">
        <v>0.90482694596551549</v>
      </c>
      <c r="G21" s="87">
        <v>21299626.308028236</v>
      </c>
      <c r="H21" s="88">
        <v>0.90482694596551549</v>
      </c>
      <c r="I21" s="87">
        <v>851985.05232112948</v>
      </c>
      <c r="J21" s="87" t="e">
        <v>#DIV/0!</v>
      </c>
      <c r="K21" s="87">
        <v>0</v>
      </c>
      <c r="M21">
        <v>44</v>
      </c>
      <c r="N21" s="13" t="s">
        <v>161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101</v>
      </c>
      <c r="B22" s="71">
        <v>29350800</v>
      </c>
      <c r="C22" s="87">
        <v>35308921.719403759</v>
      </c>
      <c r="D22" s="87">
        <v>34647670.184300654</v>
      </c>
      <c r="E22" s="87">
        <v>661251.53510310501</v>
      </c>
      <c r="F22" s="88">
        <v>1.2029969104557203</v>
      </c>
      <c r="G22" s="87">
        <v>35308921.719403759</v>
      </c>
      <c r="H22" s="88">
        <v>1.2029969104557203</v>
      </c>
      <c r="I22" s="87">
        <v>1412356.8687761503</v>
      </c>
      <c r="J22" s="87" t="e">
        <v>#DIV/0!</v>
      </c>
      <c r="K22" s="87">
        <v>706178.43438807514</v>
      </c>
      <c r="M22">
        <v>56</v>
      </c>
      <c r="N22" s="13" t="s">
        <v>140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161</v>
      </c>
      <c r="B23" s="71">
        <v>25368420</v>
      </c>
      <c r="C23" s="87">
        <v>26777939.430022314</v>
      </c>
      <c r="D23" s="87">
        <v>25902239.606673926</v>
      </c>
      <c r="E23" s="87">
        <v>875699.82334838808</v>
      </c>
      <c r="F23" s="88">
        <v>1.0555619715387208</v>
      </c>
      <c r="G23" s="87">
        <v>26777939.430022314</v>
      </c>
      <c r="H23" s="88">
        <v>1.0555619715387208</v>
      </c>
      <c r="I23" s="87">
        <v>1071117.5772008926</v>
      </c>
      <c r="J23" s="87" t="e">
        <v>#DIV/0!</v>
      </c>
      <c r="K23" s="87">
        <v>334724.24287527893</v>
      </c>
      <c r="M23">
        <v>2</v>
      </c>
      <c r="N23" s="13" t="s">
        <v>82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109</v>
      </c>
      <c r="B24" s="71">
        <v>30970000</v>
      </c>
      <c r="C24" s="87">
        <v>45619297.437876552</v>
      </c>
      <c r="D24" s="87">
        <v>42627280.626458116</v>
      </c>
      <c r="E24" s="87">
        <v>2992016.8114184365</v>
      </c>
      <c r="F24" s="88">
        <v>1.4730157390337923</v>
      </c>
      <c r="G24" s="87">
        <v>45619297.437876552</v>
      </c>
      <c r="H24" s="88">
        <v>1.4730157390337923</v>
      </c>
      <c r="I24" s="87">
        <v>1824771.897515062</v>
      </c>
      <c r="J24" s="87" t="e">
        <v>#DIV/0!</v>
      </c>
      <c r="K24" s="87">
        <v>912385.94875753112</v>
      </c>
      <c r="M24">
        <v>3</v>
      </c>
      <c r="N24" s="10" t="s">
        <v>83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140</v>
      </c>
      <c r="B25" s="71">
        <v>49990710</v>
      </c>
      <c r="C25" s="87">
        <v>53077079.197368316</v>
      </c>
      <c r="D25" s="87">
        <v>53077079.197368316</v>
      </c>
      <c r="E25" s="87">
        <v>0</v>
      </c>
      <c r="F25" s="88">
        <v>1.0617388550266302</v>
      </c>
      <c r="G25" s="87">
        <v>53077079.197368316</v>
      </c>
      <c r="H25" s="88">
        <v>1.0617388550266302</v>
      </c>
      <c r="I25" s="87">
        <v>2123083.1678947327</v>
      </c>
      <c r="J25" s="87" t="e">
        <v>#DIV/0!</v>
      </c>
      <c r="K25" s="87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91">
        <v>264353822</v>
      </c>
      <c r="C26" s="91">
        <v>295185461.07689214</v>
      </c>
      <c r="D26" s="87">
        <v>282432980.1912024</v>
      </c>
      <c r="E26" s="91">
        <v>12752480.885689735</v>
      </c>
      <c r="F26" s="90">
        <v>1.1166301997967412</v>
      </c>
      <c r="G26" s="89">
        <v>295185461.07689214</v>
      </c>
      <c r="H26" s="90">
        <v>1.1166301997967412</v>
      </c>
      <c r="I26" s="89">
        <v>11807418.443075685</v>
      </c>
      <c r="J26" s="91" t="e">
        <v>#DIV/0!</v>
      </c>
      <c r="K26" s="91"/>
      <c r="M26">
        <v>32</v>
      </c>
      <c r="N26" s="12" t="s">
        <v>102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2" t="s">
        <v>102</v>
      </c>
      <c r="B27" s="98">
        <v>75800000</v>
      </c>
      <c r="C27" s="87">
        <v>82043239.698842674</v>
      </c>
      <c r="D27" s="87">
        <v>78542689.750818998</v>
      </c>
      <c r="E27" s="87">
        <v>3500549.9480236769</v>
      </c>
      <c r="F27" s="88">
        <v>1.0823646398264206</v>
      </c>
      <c r="G27" s="87">
        <v>82043239.698842674</v>
      </c>
      <c r="H27" s="88">
        <v>1.0823646398264206</v>
      </c>
      <c r="I27" s="87">
        <v>3281729.5879537072</v>
      </c>
      <c r="J27" s="87" t="e">
        <v>#DIV/0!</v>
      </c>
      <c r="K27" s="87">
        <v>615324.29774131998</v>
      </c>
      <c r="M27">
        <v>36</v>
      </c>
      <c r="N27" s="12" t="s">
        <v>222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222</v>
      </c>
      <c r="B28" s="98">
        <v>20000000</v>
      </c>
      <c r="C28" s="87">
        <v>12939850.199293612</v>
      </c>
      <c r="D28" s="87">
        <v>12423643.784844864</v>
      </c>
      <c r="E28" s="87">
        <v>516206.41444874741</v>
      </c>
      <c r="F28" s="88">
        <v>0.64699250996468061</v>
      </c>
      <c r="G28" s="87">
        <v>12939850.199293612</v>
      </c>
      <c r="H28" s="88">
        <v>0.64699250996468061</v>
      </c>
      <c r="I28" s="87">
        <v>517594.00797174446</v>
      </c>
      <c r="J28" s="87" t="e">
        <v>#DIV/0!</v>
      </c>
      <c r="K28" s="87">
        <v>0</v>
      </c>
      <c r="M28">
        <v>9</v>
      </c>
      <c r="N28" s="12" t="s">
        <v>87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87</v>
      </c>
      <c r="B29" s="98">
        <v>23800000</v>
      </c>
      <c r="C29" s="87">
        <v>19809268.744348615</v>
      </c>
      <c r="D29" s="87">
        <v>18819845.241651498</v>
      </c>
      <c r="E29" s="87">
        <v>989423.50269711763</v>
      </c>
      <c r="F29" s="88">
        <v>0.83232221614910151</v>
      </c>
      <c r="G29" s="87">
        <v>19809268.744348615</v>
      </c>
      <c r="H29" s="88">
        <v>0.83232221614910151</v>
      </c>
      <c r="I29" s="87">
        <v>792370.74977394461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105</v>
      </c>
      <c r="B30" s="98">
        <v>35352015.822584994</v>
      </c>
      <c r="C30" s="87">
        <v>35366560.552370474</v>
      </c>
      <c r="D30" s="87">
        <v>33774258.58379899</v>
      </c>
      <c r="E30" s="87">
        <v>1592301.9685714841</v>
      </c>
      <c r="F30" s="88">
        <v>1.0004114257545729</v>
      </c>
      <c r="G30" s="87">
        <v>35366560.552370474</v>
      </c>
      <c r="H30" s="88">
        <v>1.0004114257545729</v>
      </c>
      <c r="I30" s="87">
        <v>1414662.4220948189</v>
      </c>
      <c r="J30" s="87" t="e">
        <v>#DIV/0!</v>
      </c>
      <c r="K30" s="87">
        <v>353665.60552370473</v>
      </c>
      <c r="M30">
        <v>27</v>
      </c>
      <c r="N30" s="12" t="s">
        <v>99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99</v>
      </c>
      <c r="B31" s="98">
        <v>23500000</v>
      </c>
      <c r="C31" s="87">
        <v>17421399.532723755</v>
      </c>
      <c r="D31" s="87">
        <v>16694855.93618655</v>
      </c>
      <c r="E31" s="87">
        <v>726543.59653720446</v>
      </c>
      <c r="F31" s="88">
        <v>0.7413361503286704</v>
      </c>
      <c r="G31" s="87">
        <v>17421399.532723755</v>
      </c>
      <c r="H31" s="88">
        <v>0.7413361503286704</v>
      </c>
      <c r="I31" s="87">
        <v>696855.98130895023</v>
      </c>
      <c r="J31" s="87" t="e">
        <v>#DIV/0!</v>
      </c>
      <c r="K31" s="87">
        <v>0</v>
      </c>
      <c r="M31">
        <v>10</v>
      </c>
      <c r="N31" s="12" t="s">
        <v>88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88</v>
      </c>
      <c r="B32" s="98">
        <v>23800000</v>
      </c>
      <c r="C32" s="87">
        <v>30410217.836748093</v>
      </c>
      <c r="D32" s="87">
        <v>29155171.621185325</v>
      </c>
      <c r="E32" s="87">
        <v>1255046.2155627683</v>
      </c>
      <c r="F32" s="88">
        <v>1.2777402452415165</v>
      </c>
      <c r="G32" s="87">
        <v>30410217.836748093</v>
      </c>
      <c r="H32" s="88">
        <v>1.2777402452415165</v>
      </c>
      <c r="I32" s="87">
        <v>1216408.7134699237</v>
      </c>
      <c r="J32" s="87" t="e">
        <v>#DIV/0!</v>
      </c>
      <c r="K32" s="87">
        <v>608204.35673496185</v>
      </c>
      <c r="M32">
        <v>28</v>
      </c>
      <c r="N32" s="12" t="s">
        <v>100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100</v>
      </c>
      <c r="B33" s="98">
        <v>24500000</v>
      </c>
      <c r="C33" s="87">
        <v>22241465.148322437</v>
      </c>
      <c r="D33" s="87">
        <v>21301181.85215893</v>
      </c>
      <c r="E33" s="87">
        <v>940283.29616350681</v>
      </c>
      <c r="F33" s="88">
        <v>0.90781490401316067</v>
      </c>
      <c r="G33" s="87">
        <v>22241465.148322437</v>
      </c>
      <c r="H33" s="88">
        <v>0.90781490401316067</v>
      </c>
      <c r="I33" s="87">
        <v>889658.60593289742</v>
      </c>
      <c r="J33" s="87" t="e">
        <v>#DIV/0!</v>
      </c>
      <c r="K33" s="87">
        <v>0</v>
      </c>
      <c r="M33">
        <v>33</v>
      </c>
      <c r="N33" s="12" t="s">
        <v>139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139</v>
      </c>
      <c r="B34" s="98">
        <v>20000000</v>
      </c>
      <c r="C34" s="87">
        <v>11996898.850355042</v>
      </c>
      <c r="D34" s="87">
        <v>11340625.339748388</v>
      </c>
      <c r="E34" s="87">
        <v>656273.51060665399</v>
      </c>
      <c r="F34" s="88">
        <v>0.59984494251775211</v>
      </c>
      <c r="G34" s="87">
        <v>11996898.850355042</v>
      </c>
      <c r="H34" s="88">
        <v>0.59984494251775211</v>
      </c>
      <c r="I34" s="87">
        <v>479875.95401420171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104</v>
      </c>
      <c r="B35" s="98">
        <v>22800000</v>
      </c>
      <c r="C35" s="87">
        <v>16045483.464407872</v>
      </c>
      <c r="D35" s="87">
        <v>15458927.638532573</v>
      </c>
      <c r="E35" s="87">
        <v>586555.82587529905</v>
      </c>
      <c r="F35" s="88">
        <v>0.70374927475473126</v>
      </c>
      <c r="G35" s="87">
        <v>16045483.464407871</v>
      </c>
      <c r="H35" s="88">
        <v>0.70374927475473115</v>
      </c>
      <c r="I35" s="87">
        <v>641819.33857631485</v>
      </c>
      <c r="J35" s="87" t="e">
        <v>#DIV/0!</v>
      </c>
      <c r="K35" s="87">
        <v>0</v>
      </c>
      <c r="M35">
        <v>24</v>
      </c>
      <c r="N35" s="12" t="s">
        <v>113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113</v>
      </c>
      <c r="B36" s="98">
        <v>24500000</v>
      </c>
      <c r="C36" s="87">
        <v>24813222.464656744</v>
      </c>
      <c r="D36" s="87">
        <v>24039548.18529366</v>
      </c>
      <c r="E36" s="87">
        <v>773674.27936308458</v>
      </c>
      <c r="F36" s="88">
        <v>1.0127845903941528</v>
      </c>
      <c r="G36" s="87">
        <v>24813222.464656744</v>
      </c>
      <c r="H36" s="88">
        <v>1.0127845903941528</v>
      </c>
      <c r="I36" s="87">
        <v>992528.89858626982</v>
      </c>
      <c r="J36" s="87" t="e">
        <v>#DIV/0!</v>
      </c>
      <c r="K36" s="87">
        <v>248132.22464656745</v>
      </c>
      <c r="M36">
        <v>7</v>
      </c>
      <c r="N36" s="12" t="s">
        <v>111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111</v>
      </c>
      <c r="B37" s="98">
        <v>109713152.55284998</v>
      </c>
      <c r="C37" s="87">
        <v>121409568.83007464</v>
      </c>
      <c r="D37" s="87">
        <v>121409568.83007464</v>
      </c>
      <c r="E37" s="87">
        <v>0</v>
      </c>
      <c r="F37" s="88">
        <v>1.1066090619498914</v>
      </c>
      <c r="G37" s="87">
        <v>121409568.83007465</v>
      </c>
      <c r="H37" s="88">
        <v>1.1066090619498914</v>
      </c>
      <c r="I37" s="87">
        <v>4856382.753202986</v>
      </c>
      <c r="J37" s="87" t="e">
        <v>#DIV/0!</v>
      </c>
      <c r="K37" s="87">
        <v>1214095.6883007465</v>
      </c>
      <c r="M37">
        <v>57</v>
      </c>
      <c r="N37" s="12" t="s">
        <v>110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110</v>
      </c>
      <c r="B38" s="98">
        <v>32904256.07</v>
      </c>
      <c r="C38" s="87">
        <v>22457150.025485538</v>
      </c>
      <c r="D38" s="87">
        <v>19451113.784705538</v>
      </c>
      <c r="E38" s="87">
        <v>3006036.2407799996</v>
      </c>
      <c r="F38" s="88">
        <v>0.68249985587610762</v>
      </c>
      <c r="G38" s="87">
        <v>22457150.025485538</v>
      </c>
      <c r="H38" s="88">
        <v>0.68249985587610762</v>
      </c>
      <c r="I38" s="87">
        <v>898286.0010194215</v>
      </c>
      <c r="J38" s="87" t="e">
        <v>#DIV/0!</v>
      </c>
      <c r="K38" s="87">
        <v>0</v>
      </c>
      <c r="M38">
        <v>1</v>
      </c>
      <c r="N38" s="12" t="s">
        <v>81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81</v>
      </c>
      <c r="B39" s="98">
        <v>34000000</v>
      </c>
      <c r="C39" s="87">
        <v>37284573.35936065</v>
      </c>
      <c r="D39" s="87">
        <v>36534725.979826093</v>
      </c>
      <c r="E39" s="87">
        <v>749847.37953455746</v>
      </c>
      <c r="F39" s="88">
        <v>1.0966050988047249</v>
      </c>
      <c r="G39" s="87">
        <v>37284573.35936065</v>
      </c>
      <c r="H39" s="88">
        <v>1.0966050988047249</v>
      </c>
      <c r="I39" s="87">
        <v>1491382.934374426</v>
      </c>
      <c r="J39" s="87" t="e">
        <v>#DIV/0!</v>
      </c>
      <c r="K39" s="87">
        <v>559268.6003904097</v>
      </c>
      <c r="N39" s="3" t="s">
        <v>223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223</v>
      </c>
      <c r="B40" s="94">
        <v>470669424.45172644</v>
      </c>
      <c r="C40" s="91">
        <v>454238898.70699006</v>
      </c>
      <c r="D40" s="87">
        <v>438946156.528826</v>
      </c>
      <c r="E40" s="91">
        <v>15292742.178164065</v>
      </c>
      <c r="F40" s="90">
        <v>0.96509115550924951</v>
      </c>
      <c r="G40" s="89">
        <v>454238898.70699012</v>
      </c>
      <c r="H40" s="90">
        <v>0.96509115550924962</v>
      </c>
      <c r="I40" s="89">
        <v>18169555.948279604</v>
      </c>
      <c r="J40" s="91" t="e">
        <v>#DIV/0!</v>
      </c>
      <c r="K40" s="91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5" t="s">
        <v>42</v>
      </c>
      <c r="B41" s="96">
        <v>1275790242.3422432</v>
      </c>
      <c r="C41" s="96">
        <v>1316864364.0235109</v>
      </c>
      <c r="D41" s="87">
        <v>1252046476.7537167</v>
      </c>
      <c r="E41" s="96">
        <v>64817887.269794226</v>
      </c>
      <c r="F41" s="97">
        <v>1.032195042976547</v>
      </c>
      <c r="G41" s="96">
        <v>1316864364.0235109</v>
      </c>
      <c r="H41" s="97">
        <v>1.032195042976547</v>
      </c>
      <c r="I41" s="96">
        <v>52674574.560940437</v>
      </c>
      <c r="J41" s="96" t="e">
        <v>#DIV/0!</v>
      </c>
      <c r="K41" s="96"/>
      <c r="M41">
        <v>58</v>
      </c>
      <c r="N41" s="13" t="s">
        <v>145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146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145</v>
      </c>
      <c r="B43" s="98">
        <v>40000000</v>
      </c>
      <c r="C43" s="87">
        <v>16160703.587675566</v>
      </c>
      <c r="D43" s="87">
        <v>16160703.587675566</v>
      </c>
      <c r="E43" s="87">
        <v>0</v>
      </c>
      <c r="F43" s="88">
        <v>0.40401758969188917</v>
      </c>
      <c r="G43" s="87">
        <v>16160703.587675566</v>
      </c>
      <c r="H43" s="88">
        <v>0.40401758969188917</v>
      </c>
      <c r="I43" s="87">
        <v>646428.14350702264</v>
      </c>
      <c r="J43" s="87" t="e">
        <v>#DIV/0!</v>
      </c>
      <c r="K43" s="87">
        <v>0</v>
      </c>
    </row>
    <row r="44" spans="1:20" ht="15.75" x14ac:dyDescent="0.25">
      <c r="A44" s="19" t="s">
        <v>146</v>
      </c>
      <c r="B44" s="98">
        <v>30000000</v>
      </c>
      <c r="C44" s="87">
        <v>7660108.9048522357</v>
      </c>
      <c r="D44" s="87">
        <v>7691698.2686022352</v>
      </c>
      <c r="E44" s="87">
        <v>-31589.363749999553</v>
      </c>
      <c r="F44" s="88">
        <v>0.25533696349507451</v>
      </c>
      <c r="G44" s="87">
        <v>7660108.9048522348</v>
      </c>
      <c r="H44" s="88">
        <v>0.25533696349507451</v>
      </c>
      <c r="I44" s="87">
        <v>306404.3561940894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B1" workbookViewId="0">
      <selection activeCell="H22" sqref="H22:L2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30741977.750715002</v>
      </c>
      <c r="C2" s="87">
        <v>39818671.535286605</v>
      </c>
      <c r="D2" s="87">
        <v>38382152.426511236</v>
      </c>
      <c r="E2" s="87">
        <v>1436519.1087753698</v>
      </c>
      <c r="F2" s="88">
        <v>1.2952540613415966</v>
      </c>
      <c r="G2" s="87">
        <v>39818671.535286605</v>
      </c>
      <c r="H2" s="88">
        <v>1.2952540613415966</v>
      </c>
      <c r="I2" s="87">
        <v>1659111.3139702752</v>
      </c>
      <c r="J2" s="87" t="e">
        <v>#DIV/0!</v>
      </c>
      <c r="K2" s="87">
        <v>796373.43070573208</v>
      </c>
      <c r="M2">
        <v>22</v>
      </c>
      <c r="N2" s="12" t="s">
        <v>97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94</v>
      </c>
      <c r="B3" s="86">
        <v>29507360.170365002</v>
      </c>
      <c r="C3" s="87">
        <v>34425294.911571734</v>
      </c>
      <c r="D3" s="87">
        <v>32492713.315706059</v>
      </c>
      <c r="E3" s="87">
        <v>1932581.5958656743</v>
      </c>
      <c r="F3" s="88">
        <v>1.1666680690109967</v>
      </c>
      <c r="G3" s="87">
        <v>34425294.911571734</v>
      </c>
      <c r="H3" s="88">
        <v>1.1666680690109967</v>
      </c>
      <c r="I3" s="87">
        <v>1434387.2879821556</v>
      </c>
      <c r="J3" s="87" t="e">
        <v>#DIV/0!</v>
      </c>
      <c r="K3" s="87">
        <v>688505.89823143464</v>
      </c>
      <c r="M3">
        <v>49</v>
      </c>
      <c r="N3" s="13" t="s">
        <v>107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92</v>
      </c>
      <c r="B4" s="86">
        <v>27038125.009665001</v>
      </c>
      <c r="C4" s="87">
        <v>30983085.948290985</v>
      </c>
      <c r="D4" s="87">
        <v>29980996.852587178</v>
      </c>
      <c r="E4" s="87">
        <v>1002089.0957038067</v>
      </c>
      <c r="F4" s="88">
        <v>1.1459036429935814</v>
      </c>
      <c r="G4" s="87">
        <v>30983085.948290985</v>
      </c>
      <c r="H4" s="88">
        <v>1.1459036429935814</v>
      </c>
      <c r="I4" s="87">
        <v>1290961.9145121244</v>
      </c>
      <c r="J4" s="87" t="e">
        <v>#DIV/0!</v>
      </c>
      <c r="K4" s="87">
        <v>619661.71896581969</v>
      </c>
      <c r="M4">
        <v>20</v>
      </c>
      <c r="N4" s="13" t="s">
        <v>95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90</v>
      </c>
      <c r="B5" s="86">
        <v>27038125.009665001</v>
      </c>
      <c r="C5" s="87">
        <v>31442511.170989752</v>
      </c>
      <c r="D5" s="87">
        <v>30971581.519086085</v>
      </c>
      <c r="E5" s="87">
        <v>470929.65190366656</v>
      </c>
      <c r="F5" s="88">
        <v>1.1628953989875543</v>
      </c>
      <c r="G5" s="87">
        <v>31442511.170989752</v>
      </c>
      <c r="H5" s="88">
        <v>1.1628953989875543</v>
      </c>
      <c r="I5" s="87">
        <v>1310104.632124573</v>
      </c>
      <c r="J5" s="87" t="e">
        <v>#DIV/0!</v>
      </c>
      <c r="K5" s="87">
        <v>628850.22341979505</v>
      </c>
      <c r="M5">
        <v>15</v>
      </c>
      <c r="N5" s="13" t="s">
        <v>91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89</v>
      </c>
      <c r="B6" s="86">
        <v>22408309.083352499</v>
      </c>
      <c r="C6" s="87">
        <v>15712937.795380671</v>
      </c>
      <c r="D6" s="87">
        <v>15370350.500321532</v>
      </c>
      <c r="E6" s="87">
        <v>342587.29505913891</v>
      </c>
      <c r="F6" s="88">
        <v>0.70121032947791984</v>
      </c>
      <c r="G6" s="87">
        <v>15712937.795380671</v>
      </c>
      <c r="H6" s="88">
        <v>0.70121032947791984</v>
      </c>
      <c r="I6" s="87">
        <v>654705.74147419457</v>
      </c>
      <c r="J6" s="87" t="e">
        <v>#DIV/0!</v>
      </c>
      <c r="K6" s="87">
        <v>0</v>
      </c>
      <c r="M6">
        <v>19</v>
      </c>
      <c r="N6" s="13" t="s">
        <v>94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86</v>
      </c>
      <c r="B7" s="86">
        <v>26420816.219490003</v>
      </c>
      <c r="C7" s="87">
        <v>21037673.697775695</v>
      </c>
      <c r="D7" s="87">
        <v>20409246.732949637</v>
      </c>
      <c r="E7" s="87">
        <v>628426.9648260586</v>
      </c>
      <c r="F7" s="88">
        <v>0.79625373883251604</v>
      </c>
      <c r="G7" s="87">
        <v>21037673.697775695</v>
      </c>
      <c r="H7" s="88">
        <v>0.79625373883251604</v>
      </c>
      <c r="I7" s="87">
        <v>876569.73740732064</v>
      </c>
      <c r="J7" s="87" t="e">
        <v>#DIV/0!</v>
      </c>
      <c r="K7" s="87">
        <v>0</v>
      </c>
      <c r="M7">
        <v>16</v>
      </c>
      <c r="N7" s="13" t="s">
        <v>92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85</v>
      </c>
      <c r="B8" s="86">
        <v>34124829.920874</v>
      </c>
      <c r="C8" s="87">
        <v>36321844.916340284</v>
      </c>
      <c r="D8" s="87">
        <v>34680470.683944441</v>
      </c>
      <c r="E8" s="87">
        <v>1641374.2323958427</v>
      </c>
      <c r="F8" s="88">
        <v>1.0643817126872295</v>
      </c>
      <c r="G8" s="87">
        <v>36321844.916340284</v>
      </c>
      <c r="H8" s="88">
        <v>1.0643817126872295</v>
      </c>
      <c r="I8" s="87">
        <v>1513410.2048475118</v>
      </c>
      <c r="J8" s="87" t="e">
        <v>#DIV/0!</v>
      </c>
      <c r="K8" s="87">
        <v>454023.06145425356</v>
      </c>
      <c r="M8">
        <v>12</v>
      </c>
      <c r="N8" s="13" t="s">
        <v>90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84</v>
      </c>
      <c r="B9" s="86">
        <v>34124829.920874</v>
      </c>
      <c r="C9" s="87">
        <v>39634220.308995903</v>
      </c>
      <c r="D9" s="87">
        <v>38178336.801874101</v>
      </c>
      <c r="E9" s="87">
        <v>1455883.5071218014</v>
      </c>
      <c r="F9" s="88">
        <v>1.1614481420389977</v>
      </c>
      <c r="G9" s="87">
        <v>39634220.308995903</v>
      </c>
      <c r="H9" s="88">
        <v>1.1614481420389977</v>
      </c>
      <c r="I9" s="87">
        <v>1651425.8462081626</v>
      </c>
      <c r="J9" s="87" t="e">
        <v>#DIV/0!</v>
      </c>
      <c r="K9" s="87">
        <v>792684.40617991809</v>
      </c>
      <c r="M9">
        <v>11</v>
      </c>
      <c r="N9" s="30" t="s">
        <v>89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9">
        <v>231404373.08500049</v>
      </c>
      <c r="C10" s="89">
        <v>249376240.28463167</v>
      </c>
      <c r="D10" s="87">
        <v>240465848.83298028</v>
      </c>
      <c r="E10" s="89">
        <v>8910391.451651359</v>
      </c>
      <c r="F10" s="90">
        <v>1.0776643369355412</v>
      </c>
      <c r="G10" s="89">
        <v>249376240.28463167</v>
      </c>
      <c r="H10" s="90">
        <v>1.0776643369355412</v>
      </c>
      <c r="I10" s="89">
        <v>10390676.67852632</v>
      </c>
      <c r="J10" s="91" t="e">
        <v>#DIV/0!</v>
      </c>
      <c r="K10" s="91"/>
      <c r="M10">
        <v>8</v>
      </c>
      <c r="N10" s="13" t="s">
        <v>86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97</v>
      </c>
      <c r="B11" s="86">
        <v>92354236.647750005</v>
      </c>
      <c r="C11" s="87">
        <v>91382684.446631193</v>
      </c>
      <c r="D11" s="87">
        <v>78998182.076838285</v>
      </c>
      <c r="E11" s="87">
        <v>12384502.369792908</v>
      </c>
      <c r="F11" s="88">
        <v>0.98948015557938696</v>
      </c>
      <c r="G11" s="87">
        <v>91382684.446631193</v>
      </c>
      <c r="H11" s="88">
        <v>0.98948015557938696</v>
      </c>
      <c r="I11" s="87">
        <v>3807611.8519429662</v>
      </c>
      <c r="J11" s="87" t="e">
        <v>#DIV/0!</v>
      </c>
      <c r="K11" s="87">
        <v>0</v>
      </c>
      <c r="M11">
        <v>52</v>
      </c>
      <c r="N11" s="31" t="s">
        <v>112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107</v>
      </c>
      <c r="B12" s="86">
        <v>30124668.960540004</v>
      </c>
      <c r="C12" s="87">
        <v>20951634.077469252</v>
      </c>
      <c r="D12" s="87">
        <v>20951634.077469252</v>
      </c>
      <c r="E12" s="87">
        <v>0</v>
      </c>
      <c r="F12" s="88">
        <v>0.69549757060944251</v>
      </c>
      <c r="G12" s="87">
        <v>20951634.077469252</v>
      </c>
      <c r="H12" s="88">
        <v>0.69549757060944251</v>
      </c>
      <c r="I12" s="87">
        <v>872984.75322788546</v>
      </c>
      <c r="J12" s="87" t="e">
        <v>#DIV/0!</v>
      </c>
      <c r="K12" s="87">
        <v>0</v>
      </c>
      <c r="M12">
        <v>53</v>
      </c>
      <c r="N12" s="31" t="s">
        <v>108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91</v>
      </c>
      <c r="B13" s="86">
        <v>122251348.64249998</v>
      </c>
      <c r="C13" s="87">
        <v>81078998.773096651</v>
      </c>
      <c r="D13" s="87">
        <v>78531862.457030341</v>
      </c>
      <c r="E13" s="87">
        <v>2547136.3160663098</v>
      </c>
      <c r="F13" s="88">
        <v>0.66321557736100101</v>
      </c>
      <c r="G13" s="87">
        <v>81078998.773096651</v>
      </c>
      <c r="H13" s="88">
        <v>0.66321557736100101</v>
      </c>
      <c r="I13" s="87">
        <v>3378291.6155456938</v>
      </c>
      <c r="J13" s="87" t="e">
        <v>#DIV/0!</v>
      </c>
      <c r="K13" s="87">
        <v>0</v>
      </c>
      <c r="M13">
        <v>5</v>
      </c>
      <c r="N13" s="13" t="s">
        <v>85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112</v>
      </c>
      <c r="B14" s="86">
        <v>40427673.7095</v>
      </c>
      <c r="C14" s="87">
        <v>39036663.42616079</v>
      </c>
      <c r="D14" s="87">
        <v>37851538.414763339</v>
      </c>
      <c r="E14" s="87">
        <v>1185125.0113974512</v>
      </c>
      <c r="F14" s="88">
        <v>0.9655926211996626</v>
      </c>
      <c r="G14" s="87">
        <v>39036663.42616079</v>
      </c>
      <c r="H14" s="88">
        <v>0.9655926211996626</v>
      </c>
      <c r="I14" s="87">
        <v>1626527.6427566996</v>
      </c>
      <c r="J14" s="87" t="e">
        <v>#DIV/0!</v>
      </c>
      <c r="K14" s="87">
        <v>0</v>
      </c>
      <c r="M14">
        <v>4</v>
      </c>
      <c r="N14" s="10" t="s">
        <v>84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108</v>
      </c>
      <c r="B15" s="86">
        <v>40427673.7095</v>
      </c>
      <c r="C15" s="87">
        <v>46508428.539753534</v>
      </c>
      <c r="D15" s="87">
        <v>45915996.103353538</v>
      </c>
      <c r="E15" s="87">
        <v>592432.43639999628</v>
      </c>
      <c r="F15" s="88">
        <v>1.1504107031719866</v>
      </c>
      <c r="G15" s="87">
        <v>46508428.539753534</v>
      </c>
      <c r="H15" s="88">
        <v>1.1504107031719866</v>
      </c>
      <c r="I15" s="87">
        <v>1937851.1891563972</v>
      </c>
      <c r="J15" s="87" t="e">
        <v>#DIV/0!</v>
      </c>
      <c r="K15" s="87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9">
        <v>325585601.66978997</v>
      </c>
      <c r="C16" s="89">
        <v>278958409.26311141</v>
      </c>
      <c r="D16" s="87">
        <v>262249213.12945476</v>
      </c>
      <c r="E16" s="89">
        <v>16709196.133656651</v>
      </c>
      <c r="F16" s="90">
        <v>0.85678975922907052</v>
      </c>
      <c r="G16" s="89">
        <v>278958409.26311141</v>
      </c>
      <c r="H16" s="90">
        <v>0.85678975922907052</v>
      </c>
      <c r="I16" s="89">
        <v>11623267.052629642</v>
      </c>
      <c r="J16" s="91" t="e">
        <v>#DIV/0!</v>
      </c>
      <c r="K16" s="91"/>
      <c r="M16">
        <v>31</v>
      </c>
      <c r="N16" s="12" t="s">
        <v>101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82</v>
      </c>
      <c r="B17" s="71">
        <v>27940969.650000002</v>
      </c>
      <c r="C17" s="87">
        <v>19539554.67881345</v>
      </c>
      <c r="D17" s="87">
        <v>18511481.821642894</v>
      </c>
      <c r="E17" s="87">
        <v>1028072.8571705557</v>
      </c>
      <c r="F17" s="88">
        <v>0.69931555431231962</v>
      </c>
      <c r="G17" s="87">
        <v>19539554.67881345</v>
      </c>
      <c r="H17" s="88">
        <v>0.69931555431231962</v>
      </c>
      <c r="I17" s="87">
        <v>814148.11161722708</v>
      </c>
      <c r="J17" s="87" t="e">
        <v>#DIV/0!</v>
      </c>
      <c r="K17" s="87">
        <v>0</v>
      </c>
      <c r="M17">
        <v>54</v>
      </c>
      <c r="N17" s="13" t="s">
        <v>109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83</v>
      </c>
      <c r="B18" s="71">
        <v>23770958</v>
      </c>
      <c r="C18" s="87">
        <v>18010273.76547106</v>
      </c>
      <c r="D18" s="87">
        <v>17637911.696073696</v>
      </c>
      <c r="E18" s="87">
        <v>372362.06939736381</v>
      </c>
      <c r="F18" s="88">
        <v>0.75765872647922139</v>
      </c>
      <c r="G18" s="87">
        <v>18010273.76547106</v>
      </c>
      <c r="H18" s="88">
        <v>0.75765872647922139</v>
      </c>
      <c r="I18" s="87">
        <v>750428.07356129412</v>
      </c>
      <c r="J18" s="87" t="e">
        <v>#DIV/0!</v>
      </c>
      <c r="K18" s="87">
        <v>0</v>
      </c>
      <c r="M18">
        <v>21</v>
      </c>
      <c r="N18" s="13" t="s">
        <v>96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93</v>
      </c>
      <c r="B19" s="71">
        <v>24625381.109999999</v>
      </c>
      <c r="C19" s="87">
        <v>20256320.790835518</v>
      </c>
      <c r="D19" s="87">
        <v>19942352.806676645</v>
      </c>
      <c r="E19" s="87">
        <v>313967.98415887356</v>
      </c>
      <c r="F19" s="88">
        <v>0.82257897655885326</v>
      </c>
      <c r="G19" s="87">
        <v>20256320.790835518</v>
      </c>
      <c r="H19" s="88">
        <v>0.82257897655885326</v>
      </c>
      <c r="I19" s="87">
        <v>844013.36628481327</v>
      </c>
      <c r="J19" s="87" t="e">
        <v>#DIV/0!</v>
      </c>
      <c r="K19" s="87">
        <v>0</v>
      </c>
      <c r="M19">
        <v>23</v>
      </c>
      <c r="N19" s="13" t="s">
        <v>98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96</v>
      </c>
      <c r="B20" s="71">
        <v>31950600</v>
      </c>
      <c r="C20" s="87">
        <v>32603870.30427184</v>
      </c>
      <c r="D20" s="87">
        <v>30464977.149072044</v>
      </c>
      <c r="E20" s="87">
        <v>2138893.155199796</v>
      </c>
      <c r="F20" s="88">
        <v>1.0204462609237961</v>
      </c>
      <c r="G20" s="87">
        <v>32603870.30427184</v>
      </c>
      <c r="H20" s="88">
        <v>1.0204462609237961</v>
      </c>
      <c r="I20" s="87">
        <v>1358494.5960113266</v>
      </c>
      <c r="J20" s="87" t="e">
        <v>#DIV/0!</v>
      </c>
      <c r="K20" s="87">
        <v>326038.70304271841</v>
      </c>
      <c r="M20">
        <v>18</v>
      </c>
      <c r="N20" s="13" t="s">
        <v>93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98</v>
      </c>
      <c r="B21" s="71">
        <v>24246200</v>
      </c>
      <c r="C21" s="87">
        <v>21254078.570695039</v>
      </c>
      <c r="D21" s="87">
        <v>20863297.783106934</v>
      </c>
      <c r="E21" s="87">
        <v>390780.78758810461</v>
      </c>
      <c r="F21" s="88">
        <v>0.87659421149273031</v>
      </c>
      <c r="G21" s="87">
        <v>21254078.570695039</v>
      </c>
      <c r="H21" s="88">
        <v>0.87659421149273031</v>
      </c>
      <c r="I21" s="87">
        <v>885586.60711229325</v>
      </c>
      <c r="J21" s="87" t="e">
        <v>#DIV/0!</v>
      </c>
      <c r="K21" s="87">
        <v>0</v>
      </c>
      <c r="M21">
        <v>44</v>
      </c>
      <c r="N21" s="13" t="s">
        <v>161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101</v>
      </c>
      <c r="B22" s="71">
        <v>30231324</v>
      </c>
      <c r="C22" s="87">
        <v>28200822.57017931</v>
      </c>
      <c r="D22" s="87">
        <v>27252487.000636328</v>
      </c>
      <c r="E22" s="87">
        <v>948335.56954298168</v>
      </c>
      <c r="F22" s="88">
        <v>0.93283451859995647</v>
      </c>
      <c r="G22" s="87">
        <v>28200822.57017931</v>
      </c>
      <c r="H22" s="88">
        <v>0.93283451859995647</v>
      </c>
      <c r="I22" s="87">
        <v>1175034.2737574712</v>
      </c>
      <c r="J22" s="87" t="e">
        <v>#DIV/0!</v>
      </c>
      <c r="K22" s="87">
        <v>0</v>
      </c>
      <c r="M22">
        <v>56</v>
      </c>
      <c r="N22" s="13" t="s">
        <v>140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161</v>
      </c>
      <c r="B23" s="71">
        <v>26129472.600000001</v>
      </c>
      <c r="C23" s="87">
        <v>20127157.755923368</v>
      </c>
      <c r="D23" s="87">
        <v>19392227.644457728</v>
      </c>
      <c r="E23" s="87">
        <v>734930.11146564037</v>
      </c>
      <c r="F23" s="88">
        <v>0.77028564885474826</v>
      </c>
      <c r="G23" s="87">
        <v>20127157.755923368</v>
      </c>
      <c r="H23" s="88">
        <v>0.77028564885474826</v>
      </c>
      <c r="I23" s="87">
        <v>838631.57316347363</v>
      </c>
      <c r="J23" s="87" t="e">
        <v>#DIV/0!</v>
      </c>
      <c r="K23" s="87">
        <v>0</v>
      </c>
      <c r="M23">
        <v>2</v>
      </c>
      <c r="N23" s="13" t="s">
        <v>82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109</v>
      </c>
      <c r="B24" s="71">
        <v>31899100</v>
      </c>
      <c r="C24" s="87">
        <v>37191738.050137773</v>
      </c>
      <c r="D24" s="87">
        <v>37037499.180309229</v>
      </c>
      <c r="E24" s="87">
        <v>154238.86982854456</v>
      </c>
      <c r="F24" s="88">
        <v>1.1659180995745264</v>
      </c>
      <c r="G24" s="87">
        <v>37191738.050137773</v>
      </c>
      <c r="H24" s="88">
        <v>1.1659180995745264</v>
      </c>
      <c r="I24" s="87">
        <v>1549655.7520890739</v>
      </c>
      <c r="J24" s="87" t="e">
        <v>#DIV/0!</v>
      </c>
      <c r="K24" s="87">
        <v>743834.76100275549</v>
      </c>
      <c r="M24">
        <v>3</v>
      </c>
      <c r="N24" s="10" t="s">
        <v>83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140</v>
      </c>
      <c r="B25" s="71">
        <v>51490431.300000004</v>
      </c>
      <c r="C25" s="87">
        <v>61158235.968446337</v>
      </c>
      <c r="D25" s="87">
        <v>62845721.087741278</v>
      </c>
      <c r="E25" s="87">
        <v>-1687485.1192949414</v>
      </c>
      <c r="F25" s="88">
        <v>1.1877592481624122</v>
      </c>
      <c r="G25" s="87">
        <v>61158235.968446344</v>
      </c>
      <c r="H25" s="88">
        <v>1.1877592481624122</v>
      </c>
      <c r="I25" s="87">
        <v>2548259.8320185975</v>
      </c>
      <c r="J25" s="87" t="e">
        <v>#DIV/0!</v>
      </c>
      <c r="K25" s="87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91">
        <v>272284436.66000003</v>
      </c>
      <c r="C26" s="91">
        <v>258342052.45477369</v>
      </c>
      <c r="D26" s="87">
        <v>253947956.16971678</v>
      </c>
      <c r="E26" s="91">
        <v>4394096.2850569189</v>
      </c>
      <c r="F26" s="90">
        <v>0.94879478101557413</v>
      </c>
      <c r="G26" s="89">
        <v>258342052.45477372</v>
      </c>
      <c r="H26" s="90">
        <v>0.94879478101557424</v>
      </c>
      <c r="I26" s="89">
        <v>10764252.185615571</v>
      </c>
      <c r="J26" s="91" t="e">
        <v>#DIV/0!</v>
      </c>
      <c r="K26" s="91"/>
      <c r="M26">
        <v>32</v>
      </c>
      <c r="N26" s="12" t="s">
        <v>102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2" t="s">
        <v>102</v>
      </c>
      <c r="B27" s="98">
        <v>78074000</v>
      </c>
      <c r="C27" s="87">
        <v>77072215.391178802</v>
      </c>
      <c r="D27" s="87">
        <v>75226365.361191273</v>
      </c>
      <c r="E27" s="87">
        <v>1845850.0299875289</v>
      </c>
      <c r="F27" s="88">
        <v>0.98716878078718651</v>
      </c>
      <c r="G27" s="87">
        <v>77072215.391178802</v>
      </c>
      <c r="H27" s="88">
        <v>0.98716878078718651</v>
      </c>
      <c r="I27" s="87">
        <v>3211342.3079657834</v>
      </c>
      <c r="J27" s="87" t="e">
        <v>#DIV/0!</v>
      </c>
      <c r="K27" s="87">
        <v>0</v>
      </c>
      <c r="M27">
        <v>36</v>
      </c>
      <c r="N27" s="12" t="s">
        <v>224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224</v>
      </c>
      <c r="B28" s="98">
        <v>21000000</v>
      </c>
      <c r="C28" s="87">
        <v>9485511.4323376957</v>
      </c>
      <c r="D28" s="87">
        <v>9320573.7666386589</v>
      </c>
      <c r="E28" s="87">
        <v>164937.66569903679</v>
      </c>
      <c r="F28" s="88">
        <v>0.45169102058750932</v>
      </c>
      <c r="G28" s="87">
        <v>9485511.4323376957</v>
      </c>
      <c r="H28" s="88">
        <v>0.45169102058750932</v>
      </c>
      <c r="I28" s="87">
        <v>395229.64301407064</v>
      </c>
      <c r="J28" s="87" t="e">
        <v>#DIV/0!</v>
      </c>
      <c r="K28" s="87">
        <v>0</v>
      </c>
      <c r="M28">
        <v>9</v>
      </c>
      <c r="N28" s="12" t="s">
        <v>87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87</v>
      </c>
      <c r="B29" s="98">
        <v>24514000</v>
      </c>
      <c r="C29" s="87">
        <v>18129971.027611572</v>
      </c>
      <c r="D29" s="87">
        <v>17592967.566130582</v>
      </c>
      <c r="E29" s="87">
        <v>537003.46148099005</v>
      </c>
      <c r="F29" s="88">
        <v>0.73957620248068745</v>
      </c>
      <c r="G29" s="87">
        <v>18129971.027611572</v>
      </c>
      <c r="H29" s="88">
        <v>0.73957620248068745</v>
      </c>
      <c r="I29" s="87">
        <v>755415.45948381547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105</v>
      </c>
      <c r="B30" s="98">
        <v>36412576.297262542</v>
      </c>
      <c r="C30" s="87">
        <v>17544543.519893952</v>
      </c>
      <c r="D30" s="87">
        <v>17464454.603893951</v>
      </c>
      <c r="E30" s="87">
        <v>80088.916000001132</v>
      </c>
      <c r="F30" s="88">
        <v>0.48182648150641655</v>
      </c>
      <c r="G30" s="87">
        <v>17544543.519893952</v>
      </c>
      <c r="H30" s="88">
        <v>0.48182648150641655</v>
      </c>
      <c r="I30" s="87">
        <v>731022.64666224795</v>
      </c>
      <c r="J30" s="87" t="e">
        <v>#DIV/0!</v>
      </c>
      <c r="K30" s="87">
        <v>0</v>
      </c>
      <c r="M30">
        <v>27</v>
      </c>
      <c r="N30" s="12" t="s">
        <v>99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99</v>
      </c>
      <c r="B31" s="98">
        <v>24205000</v>
      </c>
      <c r="C31" s="87">
        <v>21583379.530833326</v>
      </c>
      <c r="D31" s="87">
        <v>20925002.007663183</v>
      </c>
      <c r="E31" s="87">
        <v>658377.52317014337</v>
      </c>
      <c r="F31" s="88">
        <v>0.89169095355642747</v>
      </c>
      <c r="G31" s="87">
        <v>21583379.530833326</v>
      </c>
      <c r="H31" s="88">
        <v>0.89169095355642747</v>
      </c>
      <c r="I31" s="87">
        <v>899307.48045138863</v>
      </c>
      <c r="J31" s="87" t="e">
        <v>#DIV/0!</v>
      </c>
      <c r="K31" s="87">
        <v>0</v>
      </c>
      <c r="M31">
        <v>10</v>
      </c>
      <c r="N31" s="12" t="s">
        <v>225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225</v>
      </c>
      <c r="B32" s="98">
        <v>24000000</v>
      </c>
      <c r="C32" s="87">
        <v>16088796.362979436</v>
      </c>
      <c r="D32" s="87">
        <v>15428148.704640051</v>
      </c>
      <c r="E32" s="87">
        <v>660647.65833938494</v>
      </c>
      <c r="F32" s="88">
        <v>0.67036651512414314</v>
      </c>
      <c r="G32" s="87">
        <v>16088796.362979438</v>
      </c>
      <c r="H32" s="88">
        <v>0.67036651512414325</v>
      </c>
      <c r="I32" s="87">
        <v>670366.51512414322</v>
      </c>
      <c r="J32" s="87" t="e">
        <v>#DIV/0!</v>
      </c>
      <c r="K32" s="87">
        <v>0</v>
      </c>
      <c r="M32">
        <v>28</v>
      </c>
      <c r="N32" s="12" t="s">
        <v>100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100</v>
      </c>
      <c r="B33" s="98">
        <v>25235000</v>
      </c>
      <c r="C33" s="87">
        <v>16147931.300912788</v>
      </c>
      <c r="D33" s="87">
        <v>15774950.664548337</v>
      </c>
      <c r="E33" s="87">
        <v>372980.63636445068</v>
      </c>
      <c r="F33" s="88">
        <v>0.63990217162325291</v>
      </c>
      <c r="G33" s="87">
        <v>16147931.30091279</v>
      </c>
      <c r="H33" s="88">
        <v>0.63990217162325302</v>
      </c>
      <c r="I33" s="87">
        <v>672830.47087136621</v>
      </c>
      <c r="J33" s="87" t="e">
        <v>#DIV/0!</v>
      </c>
      <c r="K33" s="87">
        <v>0</v>
      </c>
      <c r="M33">
        <v>33</v>
      </c>
      <c r="N33" s="12" t="s">
        <v>139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139</v>
      </c>
      <c r="B34" s="98">
        <v>21000000</v>
      </c>
      <c r="C34" s="87">
        <v>10182739.196154164</v>
      </c>
      <c r="D34" s="87">
        <v>9826903.0216558874</v>
      </c>
      <c r="E34" s="87">
        <v>355836.17449827679</v>
      </c>
      <c r="F34" s="88">
        <v>0.48489234267400783</v>
      </c>
      <c r="G34" s="87">
        <v>10182739.196154164</v>
      </c>
      <c r="H34" s="88">
        <v>0.48489234267400783</v>
      </c>
      <c r="I34" s="87">
        <v>424280.79983975686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104</v>
      </c>
      <c r="B35" s="98">
        <v>23484000</v>
      </c>
      <c r="C35" s="87">
        <v>12199626.288747994</v>
      </c>
      <c r="D35" s="87">
        <v>11962084.295876404</v>
      </c>
      <c r="E35" s="87">
        <v>237541.99287158996</v>
      </c>
      <c r="F35" s="88">
        <v>0.51948672665423246</v>
      </c>
      <c r="G35" s="87">
        <v>12199626.288747994</v>
      </c>
      <c r="H35" s="88">
        <v>0.51948672665423246</v>
      </c>
      <c r="I35" s="87">
        <v>508317.76203116641</v>
      </c>
      <c r="J35" s="87" t="e">
        <v>#DIV/0!</v>
      </c>
      <c r="K35" s="87">
        <v>0</v>
      </c>
      <c r="M35">
        <v>24</v>
      </c>
      <c r="N35" s="12" t="s">
        <v>205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205</v>
      </c>
      <c r="B36" s="98">
        <v>25235000</v>
      </c>
      <c r="C36" s="87">
        <v>15341981.696633715</v>
      </c>
      <c r="D36" s="87">
        <v>14125312.527919717</v>
      </c>
      <c r="E36" s="87">
        <v>1216669.168713998</v>
      </c>
      <c r="F36" s="88">
        <v>0.60796440248201766</v>
      </c>
      <c r="G36" s="87">
        <v>15341981.696633715</v>
      </c>
      <c r="H36" s="88">
        <v>0.60796440248201766</v>
      </c>
      <c r="I36" s="87">
        <v>639249.23735973809</v>
      </c>
      <c r="J36" s="87" t="e">
        <v>#DIV/0!</v>
      </c>
      <c r="K36" s="87">
        <v>0</v>
      </c>
      <c r="M36">
        <v>7</v>
      </c>
      <c r="N36" s="12" t="s">
        <v>111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111</v>
      </c>
      <c r="B37" s="98">
        <v>114000000</v>
      </c>
      <c r="C37" s="87">
        <v>60310074.301579997</v>
      </c>
      <c r="D37" s="87">
        <v>63084633.19438</v>
      </c>
      <c r="E37" s="87">
        <v>-2774558.8928000033</v>
      </c>
      <c r="F37" s="88">
        <v>0.52903573948754379</v>
      </c>
      <c r="G37" s="87">
        <v>60310074.301579997</v>
      </c>
      <c r="H37" s="88">
        <v>0.52903573948754379</v>
      </c>
      <c r="I37" s="87">
        <v>2512919.7625658331</v>
      </c>
      <c r="J37" s="87" t="e">
        <v>#DIV/0!</v>
      </c>
      <c r="K37" s="87">
        <v>0</v>
      </c>
      <c r="M37">
        <v>57</v>
      </c>
      <c r="N37" s="12" t="s">
        <v>226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226</v>
      </c>
      <c r="B38" s="98">
        <v>33000000</v>
      </c>
      <c r="C38" s="87">
        <v>8530829.1755289156</v>
      </c>
      <c r="D38" s="87">
        <v>8075916.3275289154</v>
      </c>
      <c r="E38" s="87">
        <v>454912.84800000023</v>
      </c>
      <c r="F38" s="88">
        <v>0.25850997501602774</v>
      </c>
      <c r="G38" s="87">
        <v>8530829.1755289156</v>
      </c>
      <c r="H38" s="88">
        <v>0.25850997501602774</v>
      </c>
      <c r="I38" s="87">
        <v>355451.21564703813</v>
      </c>
      <c r="J38" s="87" t="e">
        <v>#DIV/0!</v>
      </c>
      <c r="K38" s="87">
        <v>0</v>
      </c>
      <c r="M38">
        <v>1</v>
      </c>
      <c r="N38" s="12" t="s">
        <v>81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81</v>
      </c>
      <c r="B39" s="98">
        <v>34629931.18</v>
      </c>
      <c r="C39" s="87">
        <v>30911208.95904449</v>
      </c>
      <c r="D39" s="87">
        <v>29484602.898633268</v>
      </c>
      <c r="E39" s="87">
        <v>1426606.0604112223</v>
      </c>
      <c r="F39" s="88">
        <v>0.89261537363079713</v>
      </c>
      <c r="G39" s="87">
        <v>30911208.959044494</v>
      </c>
      <c r="H39" s="88">
        <v>0.89261537363079724</v>
      </c>
      <c r="I39" s="87">
        <v>1287967.0399601872</v>
      </c>
      <c r="J39" s="87" t="e">
        <v>#DIV/0!</v>
      </c>
      <c r="K39" s="87">
        <v>0</v>
      </c>
      <c r="N39" s="3" t="s">
        <v>223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223</v>
      </c>
      <c r="B40" s="94">
        <v>484789507.47726256</v>
      </c>
      <c r="C40" s="91">
        <v>313528808.18343693</v>
      </c>
      <c r="D40" s="87">
        <v>308291914.94070017</v>
      </c>
      <c r="E40" s="91">
        <v>5236893.2427367568</v>
      </c>
      <c r="F40" s="90">
        <v>0.64673183587444283</v>
      </c>
      <c r="G40" s="89">
        <v>313528808.18343693</v>
      </c>
      <c r="H40" s="90">
        <v>0.64673183587444283</v>
      </c>
      <c r="I40" s="89">
        <v>13063700.340976538</v>
      </c>
      <c r="J40" s="91" t="e">
        <v>#DIV/0!</v>
      </c>
      <c r="K40" s="91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5" t="s">
        <v>42</v>
      </c>
      <c r="B41" s="96">
        <v>1314063949.6125104</v>
      </c>
      <c r="C41" s="96">
        <v>1100205510.1859536</v>
      </c>
      <c r="D41" s="87">
        <v>1064954933.0728519</v>
      </c>
      <c r="E41" s="96">
        <v>35250577.113101721</v>
      </c>
      <c r="F41" s="97">
        <v>0.83725416142066822</v>
      </c>
      <c r="G41" s="96">
        <v>1100205510.1859536</v>
      </c>
      <c r="H41" s="97">
        <v>0.83725416142066822</v>
      </c>
      <c r="I41" s="96">
        <v>45841896.257748067</v>
      </c>
      <c r="J41" s="96" t="e">
        <v>#DIV/0!</v>
      </c>
      <c r="K41" s="96"/>
      <c r="M41">
        <v>58</v>
      </c>
      <c r="N41" s="13" t="s">
        <v>145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146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145</v>
      </c>
      <c r="B43" s="98">
        <v>40000000</v>
      </c>
      <c r="C43" s="87">
        <v>19702264.930524979</v>
      </c>
      <c r="D43" s="87">
        <v>19702264.930524979</v>
      </c>
      <c r="E43" s="87">
        <v>0</v>
      </c>
      <c r="F43" s="88">
        <v>0.49255662326312449</v>
      </c>
      <c r="G43" s="87">
        <v>19702264.930524979</v>
      </c>
      <c r="H43" s="88">
        <v>0.49255662326312449</v>
      </c>
      <c r="I43" s="87">
        <v>820927.70543854078</v>
      </c>
      <c r="J43" s="87" t="e">
        <v>#DIV/0!</v>
      </c>
      <c r="K43" s="87">
        <v>0</v>
      </c>
    </row>
    <row r="44" spans="1:20" ht="15.75" x14ac:dyDescent="0.25">
      <c r="A44" s="19" t="s">
        <v>146</v>
      </c>
      <c r="B44" s="98">
        <v>30000000</v>
      </c>
      <c r="C44" s="87">
        <v>7943645.3323342865</v>
      </c>
      <c r="D44" s="87">
        <v>7943645.3323342865</v>
      </c>
      <c r="E44" s="87">
        <v>0</v>
      </c>
      <c r="F44" s="88">
        <v>0.26478817774447622</v>
      </c>
      <c r="G44" s="87">
        <v>7943645.3323342865</v>
      </c>
      <c r="H44" s="88">
        <v>0.26478817774447622</v>
      </c>
      <c r="I44" s="87">
        <v>330985.22218059527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workbookViewId="0">
      <selection activeCell="E25" sqref="A25:E26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99" t="s">
        <v>206</v>
      </c>
      <c r="B1" s="99" t="s">
        <v>76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  <c r="N1" s="82" t="s">
        <v>206</v>
      </c>
      <c r="P1" s="83" t="s">
        <v>76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5" t="s">
        <v>207</v>
      </c>
      <c r="B2" s="69" t="s">
        <v>95</v>
      </c>
      <c r="C2" s="102">
        <v>30741977.750715002</v>
      </c>
      <c r="D2" s="103">
        <v>45393596.318009116</v>
      </c>
      <c r="E2" s="103">
        <v>44565213.776346438</v>
      </c>
      <c r="F2" s="103">
        <v>828382.54166267812</v>
      </c>
      <c r="G2" s="104">
        <v>1.4765997388360397</v>
      </c>
      <c r="H2" s="103">
        <v>45393596.318009116</v>
      </c>
      <c r="I2" s="104">
        <v>1.4765997388360397</v>
      </c>
      <c r="J2" s="103">
        <v>1891399.8465837131</v>
      </c>
      <c r="K2" s="103" t="e">
        <v>#DIV/0!</v>
      </c>
      <c r="L2" s="105">
        <v>907871.92636018235</v>
      </c>
      <c r="N2" s="149" t="s">
        <v>37</v>
      </c>
      <c r="O2">
        <v>22</v>
      </c>
      <c r="P2" s="12" t="s">
        <v>97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6"/>
      <c r="B3" s="19" t="s">
        <v>94</v>
      </c>
      <c r="C3" s="106">
        <v>29507360.170365002</v>
      </c>
      <c r="D3" s="87">
        <v>35395968.509754337</v>
      </c>
      <c r="E3" s="87">
        <v>34367103.860738821</v>
      </c>
      <c r="F3" s="87">
        <v>1028864.649015516</v>
      </c>
      <c r="G3" s="88">
        <v>1.1995640513211145</v>
      </c>
      <c r="H3" s="87">
        <v>35395968.509754337</v>
      </c>
      <c r="I3" s="88">
        <v>1.1995640513211145</v>
      </c>
      <c r="J3" s="87">
        <v>1474832.0212397641</v>
      </c>
      <c r="K3" s="87" t="e">
        <v>#DIV/0!</v>
      </c>
      <c r="L3" s="107">
        <v>707919.37019508681</v>
      </c>
      <c r="N3" s="149"/>
      <c r="O3">
        <v>49</v>
      </c>
      <c r="P3" s="13" t="s">
        <v>107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6"/>
      <c r="B4" s="19" t="s">
        <v>92</v>
      </c>
      <c r="C4" s="106">
        <v>27038125.009665001</v>
      </c>
      <c r="D4" s="87">
        <v>27694208.38973878</v>
      </c>
      <c r="E4" s="87">
        <v>27411105.047851767</v>
      </c>
      <c r="F4" s="87">
        <v>283103.34188701212</v>
      </c>
      <c r="G4" s="88">
        <v>1.0242651211886644</v>
      </c>
      <c r="H4" s="87">
        <v>27694208.389738783</v>
      </c>
      <c r="I4" s="88">
        <v>1.0242651211886644</v>
      </c>
      <c r="J4" s="87">
        <v>1153925.3495724492</v>
      </c>
      <c r="K4" s="87" t="e">
        <v>#DIV/0!</v>
      </c>
      <c r="L4" s="107">
        <v>276942.08389738784</v>
      </c>
      <c r="N4" s="149"/>
      <c r="O4">
        <v>20</v>
      </c>
      <c r="P4" s="13" t="s">
        <v>95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6"/>
      <c r="B5" s="19" t="s">
        <v>90</v>
      </c>
      <c r="C5" s="106">
        <v>27038125.009665001</v>
      </c>
      <c r="D5" s="87">
        <v>34958252.60867209</v>
      </c>
      <c r="E5" s="87">
        <v>33251965.370231558</v>
      </c>
      <c r="F5" s="87">
        <v>1706287.2384405322</v>
      </c>
      <c r="G5" s="88">
        <v>1.2929244389607628</v>
      </c>
      <c r="H5" s="87">
        <v>34958252.60867209</v>
      </c>
      <c r="I5" s="88">
        <v>1.2929244389607628</v>
      </c>
      <c r="J5" s="87">
        <v>1456593.8586946705</v>
      </c>
      <c r="K5" s="87" t="e">
        <v>#DIV/0!</v>
      </c>
      <c r="L5" s="107">
        <v>699165.05217344186</v>
      </c>
      <c r="N5" s="149"/>
      <c r="O5">
        <v>15</v>
      </c>
      <c r="P5" s="13" t="s">
        <v>91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6"/>
      <c r="B6" s="19" t="s">
        <v>210</v>
      </c>
      <c r="C6" s="106">
        <v>22408309.083352499</v>
      </c>
      <c r="D6" s="87">
        <v>17283627.579417564</v>
      </c>
      <c r="E6" s="87">
        <v>16972113.7561673</v>
      </c>
      <c r="F6" s="87">
        <v>311513.82325026393</v>
      </c>
      <c r="G6" s="88">
        <v>0.77130440833921976</v>
      </c>
      <c r="H6" s="87">
        <v>17283627.579417564</v>
      </c>
      <c r="I6" s="88">
        <v>0.77130440833921976</v>
      </c>
      <c r="J6" s="87">
        <v>720151.1491423985</v>
      </c>
      <c r="K6" s="87" t="e">
        <v>#DIV/0!</v>
      </c>
      <c r="L6" s="107">
        <v>0</v>
      </c>
      <c r="N6" s="149"/>
      <c r="O6">
        <v>19</v>
      </c>
      <c r="P6" s="13" t="s">
        <v>94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6"/>
      <c r="B7" s="19" t="s">
        <v>86</v>
      </c>
      <c r="C7" s="106">
        <v>26420816.219490003</v>
      </c>
      <c r="D7" s="87">
        <v>26532043.464193381</v>
      </c>
      <c r="E7" s="87">
        <v>24547361.284495667</v>
      </c>
      <c r="F7" s="87">
        <v>1984682.1796977147</v>
      </c>
      <c r="G7" s="88">
        <v>1.0042098337833079</v>
      </c>
      <c r="H7" s="87">
        <v>26532043.464193381</v>
      </c>
      <c r="I7" s="88">
        <v>1.0042098337833079</v>
      </c>
      <c r="J7" s="87">
        <v>1105501.8110080576</v>
      </c>
      <c r="K7" s="87" t="e">
        <v>#DIV/0!</v>
      </c>
      <c r="L7" s="107">
        <v>265320.43464193383</v>
      </c>
      <c r="N7" s="149"/>
      <c r="O7">
        <v>16</v>
      </c>
      <c r="P7" s="13" t="s">
        <v>92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6"/>
      <c r="B8" s="19" t="s">
        <v>85</v>
      </c>
      <c r="C8" s="106">
        <v>34124829.920874</v>
      </c>
      <c r="D8" s="87">
        <v>36334954.893270783</v>
      </c>
      <c r="E8" s="87">
        <v>35445411.591822572</v>
      </c>
      <c r="F8" s="87">
        <v>889543.30144821107</v>
      </c>
      <c r="G8" s="88">
        <v>1.064765889750116</v>
      </c>
      <c r="H8" s="87">
        <v>36334954.893270783</v>
      </c>
      <c r="I8" s="88">
        <v>1.064765889750116</v>
      </c>
      <c r="J8" s="87">
        <v>1513956.4538862826</v>
      </c>
      <c r="K8" s="87" t="e">
        <v>#DIV/0!</v>
      </c>
      <c r="L8" s="107">
        <v>454186.93616588484</v>
      </c>
      <c r="N8" s="149"/>
      <c r="O8">
        <v>12</v>
      </c>
      <c r="P8" s="13" t="s">
        <v>90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6"/>
      <c r="B9" s="19" t="s">
        <v>84</v>
      </c>
      <c r="C9" s="106">
        <v>34124829.920874</v>
      </c>
      <c r="D9" s="87">
        <v>40070884.359823771</v>
      </c>
      <c r="E9" s="87">
        <v>39408089.840277895</v>
      </c>
      <c r="F9" s="87">
        <v>662794.51954587549</v>
      </c>
      <c r="G9" s="88">
        <v>1.1742442219561833</v>
      </c>
      <c r="H9" s="87">
        <v>40070884.359823771</v>
      </c>
      <c r="I9" s="88">
        <v>1.1742442219561833</v>
      </c>
      <c r="J9" s="87">
        <v>1669620.1816593239</v>
      </c>
      <c r="K9" s="87" t="e">
        <v>#DIV/0!</v>
      </c>
      <c r="L9" s="107">
        <v>801417.68719647545</v>
      </c>
      <c r="N9" s="149"/>
      <c r="O9">
        <v>11</v>
      </c>
      <c r="P9" s="30" t="s">
        <v>210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27"/>
      <c r="B10" s="3"/>
      <c r="C10" s="108">
        <v>231404373.08500049</v>
      </c>
      <c r="D10" s="108">
        <v>263663536.1228798</v>
      </c>
      <c r="E10" s="109">
        <v>255968364.52793205</v>
      </c>
      <c r="F10" s="108">
        <v>7695171.5949478038</v>
      </c>
      <c r="G10" s="110">
        <v>1.1394060216227191</v>
      </c>
      <c r="H10" s="108">
        <v>263663536.1228798</v>
      </c>
      <c r="I10" s="110">
        <v>1.1394060216227191</v>
      </c>
      <c r="J10" s="108">
        <v>10985980.671786658</v>
      </c>
      <c r="K10" s="111" t="e">
        <v>#DIV/0!</v>
      </c>
      <c r="L10" s="112"/>
      <c r="N10" s="149"/>
      <c r="O10">
        <v>8</v>
      </c>
      <c r="P10" s="13" t="s">
        <v>86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5" t="s">
        <v>208</v>
      </c>
      <c r="B11" s="69" t="s">
        <v>97</v>
      </c>
      <c r="C11" s="102">
        <v>92354236.647750005</v>
      </c>
      <c r="D11" s="103">
        <v>94799866.546719819</v>
      </c>
      <c r="E11" s="103">
        <v>93863435.05905427</v>
      </c>
      <c r="F11" s="103">
        <v>936431.48766554892</v>
      </c>
      <c r="G11" s="104">
        <v>1.0264809713960144</v>
      </c>
      <c r="H11" s="103">
        <v>94799866.546719819</v>
      </c>
      <c r="I11" s="104">
        <v>1.0264809713960144</v>
      </c>
      <c r="J11" s="103">
        <v>3949994.4394466593</v>
      </c>
      <c r="K11" s="103" t="e">
        <v>#DIV/0!</v>
      </c>
      <c r="L11" s="105">
        <v>473999.33273359912</v>
      </c>
      <c r="N11" s="149"/>
      <c r="O11">
        <v>52</v>
      </c>
      <c r="P11" s="31" t="s">
        <v>112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6"/>
      <c r="B12" s="19" t="s">
        <v>107</v>
      </c>
      <c r="C12" s="106">
        <v>30124668.960540004</v>
      </c>
      <c r="D12" s="87">
        <v>22603163.745717153</v>
      </c>
      <c r="E12" s="87">
        <v>22603163.745717153</v>
      </c>
      <c r="F12" s="87">
        <v>0</v>
      </c>
      <c r="G12" s="88">
        <v>0.75032073465520255</v>
      </c>
      <c r="H12" s="87">
        <v>22603163.745717153</v>
      </c>
      <c r="I12" s="88">
        <v>0.75032073465520255</v>
      </c>
      <c r="J12" s="87">
        <v>941798.48940488137</v>
      </c>
      <c r="K12" s="87" t="e">
        <v>#DIV/0!</v>
      </c>
      <c r="L12" s="107">
        <v>0</v>
      </c>
      <c r="N12" s="149"/>
      <c r="O12">
        <v>53</v>
      </c>
      <c r="P12" s="31" t="s">
        <v>108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6"/>
      <c r="B13" s="19" t="s">
        <v>91</v>
      </c>
      <c r="C13" s="106">
        <v>122251348.64249998</v>
      </c>
      <c r="D13" s="87">
        <v>141940010.40242097</v>
      </c>
      <c r="E13" s="87">
        <v>127305877.76156662</v>
      </c>
      <c r="F13" s="87">
        <v>14634132.640854344</v>
      </c>
      <c r="G13" s="88">
        <v>1.161050671248598</v>
      </c>
      <c r="H13" s="87">
        <v>141940010.40242097</v>
      </c>
      <c r="I13" s="88">
        <v>1.161050671248598</v>
      </c>
      <c r="J13" s="87">
        <v>5914167.100100874</v>
      </c>
      <c r="K13" s="87" t="e">
        <v>#DIV/0!</v>
      </c>
      <c r="L13" s="107">
        <v>1774250.1300302623</v>
      </c>
      <c r="N13" s="149"/>
      <c r="O13">
        <v>5</v>
      </c>
      <c r="P13" s="13" t="s">
        <v>85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6"/>
      <c r="B14" s="19" t="s">
        <v>112</v>
      </c>
      <c r="C14" s="106">
        <v>40427673.7095</v>
      </c>
      <c r="D14" s="87">
        <v>45912073.796316572</v>
      </c>
      <c r="E14" s="87">
        <v>45568237.209316574</v>
      </c>
      <c r="F14" s="87">
        <v>343836.5869999975</v>
      </c>
      <c r="G14" s="88">
        <v>1.1356595515790908</v>
      </c>
      <c r="H14" s="87">
        <v>45912073.796316572</v>
      </c>
      <c r="I14" s="88">
        <v>1.1356595515790908</v>
      </c>
      <c r="J14" s="87">
        <v>1913003.0748465238</v>
      </c>
      <c r="K14" s="87" t="e">
        <v>#DIV/0!</v>
      </c>
      <c r="L14" s="107">
        <v>688681.10694474855</v>
      </c>
      <c r="N14" s="149"/>
      <c r="O14">
        <v>4</v>
      </c>
      <c r="P14" s="10" t="s">
        <v>84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6"/>
      <c r="B15" s="19" t="s">
        <v>108</v>
      </c>
      <c r="C15" s="106">
        <v>40427673.7095</v>
      </c>
      <c r="D15" s="87">
        <v>43411568.362539537</v>
      </c>
      <c r="E15" s="87">
        <v>38423938.748043507</v>
      </c>
      <c r="F15" s="87">
        <v>4987629.6144960299</v>
      </c>
      <c r="G15" s="88">
        <v>1.0738082204403059</v>
      </c>
      <c r="H15" s="87">
        <v>43411568.362539537</v>
      </c>
      <c r="I15" s="88">
        <v>1.0738082204403059</v>
      </c>
      <c r="J15" s="87">
        <v>1808815.3484391475</v>
      </c>
      <c r="K15" s="87" t="e">
        <v>#DIV/0!</v>
      </c>
      <c r="L15" s="107">
        <v>542644.60453174426</v>
      </c>
      <c r="N15" s="150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27"/>
      <c r="B16" s="3"/>
      <c r="C16" s="108">
        <v>325585601.66978997</v>
      </c>
      <c r="D16" s="108">
        <v>348666682.85371405</v>
      </c>
      <c r="E16" s="109">
        <v>327764652.52369809</v>
      </c>
      <c r="F16" s="108">
        <v>20902030.330015957</v>
      </c>
      <c r="G16" s="110">
        <v>1.0708909763378696</v>
      </c>
      <c r="H16" s="108">
        <v>348666682.85371405</v>
      </c>
      <c r="I16" s="110">
        <v>1.0708909763378696</v>
      </c>
      <c r="J16" s="108">
        <v>14527778.452238085</v>
      </c>
      <c r="K16" s="111" t="e">
        <v>#DIV/0!</v>
      </c>
      <c r="L16" s="112"/>
      <c r="N16" s="151" t="s">
        <v>38</v>
      </c>
      <c r="O16">
        <v>31</v>
      </c>
      <c r="P16" s="12" t="s">
        <v>101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28" t="s">
        <v>209</v>
      </c>
      <c r="B17" s="69" t="s">
        <v>82</v>
      </c>
      <c r="C17" s="70">
        <v>27940969.650000002</v>
      </c>
      <c r="D17" s="103">
        <v>23008075.675733715</v>
      </c>
      <c r="E17" s="103">
        <v>21141017.51366502</v>
      </c>
      <c r="F17" s="103">
        <v>1867058.1620686948</v>
      </c>
      <c r="G17" s="104">
        <v>0.82345301412020655</v>
      </c>
      <c r="H17" s="103">
        <v>23008075.675733715</v>
      </c>
      <c r="I17" s="104">
        <v>0.82345301412020655</v>
      </c>
      <c r="J17" s="103">
        <v>958669.81982223818</v>
      </c>
      <c r="K17" s="103" t="e">
        <v>#DIV/0!</v>
      </c>
      <c r="L17" s="105">
        <v>0</v>
      </c>
      <c r="N17" s="149"/>
      <c r="O17">
        <v>54</v>
      </c>
      <c r="P17" s="13" t="s">
        <v>109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29"/>
      <c r="B18" s="19" t="s">
        <v>83</v>
      </c>
      <c r="C18" s="71">
        <v>23770958</v>
      </c>
      <c r="D18" s="87">
        <v>21347280.195745856</v>
      </c>
      <c r="E18" s="87">
        <v>20795973.727495987</v>
      </c>
      <c r="F18" s="87">
        <v>551306.4682498686</v>
      </c>
      <c r="G18" s="88">
        <v>0.89804038170215339</v>
      </c>
      <c r="H18" s="87">
        <v>21347280.195745856</v>
      </c>
      <c r="I18" s="88">
        <v>0.89804038170215339</v>
      </c>
      <c r="J18" s="87">
        <v>889470.00815607735</v>
      </c>
      <c r="K18" s="87" t="e">
        <v>#DIV/0!</v>
      </c>
      <c r="L18" s="107">
        <v>0</v>
      </c>
      <c r="N18" s="149"/>
      <c r="O18">
        <v>21</v>
      </c>
      <c r="P18" s="13" t="s">
        <v>96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29"/>
      <c r="B19" s="19" t="s">
        <v>93</v>
      </c>
      <c r="C19" s="71">
        <v>24625381.109999999</v>
      </c>
      <c r="D19" s="87">
        <v>20914182.851266399</v>
      </c>
      <c r="E19" s="87">
        <v>20409449.258921277</v>
      </c>
      <c r="F19" s="87">
        <v>504733.59234512225</v>
      </c>
      <c r="G19" s="88">
        <v>0.84929377368188064</v>
      </c>
      <c r="H19" s="87">
        <v>20914182.851266399</v>
      </c>
      <c r="I19" s="88">
        <v>0.84929377368188064</v>
      </c>
      <c r="J19" s="87">
        <v>871424.28546943329</v>
      </c>
      <c r="K19" s="87" t="e">
        <v>#DIV/0!</v>
      </c>
      <c r="L19" s="107">
        <v>0</v>
      </c>
      <c r="N19" s="149"/>
      <c r="O19">
        <v>23</v>
      </c>
      <c r="P19" s="13" t="s">
        <v>98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29"/>
      <c r="B20" s="19" t="s">
        <v>96</v>
      </c>
      <c r="C20" s="71">
        <v>31950600</v>
      </c>
      <c r="D20" s="87">
        <v>35530749.500093952</v>
      </c>
      <c r="E20" s="87">
        <v>34626618.946611986</v>
      </c>
      <c r="F20" s="87">
        <v>904130.55348196626</v>
      </c>
      <c r="G20" s="88">
        <v>1.1120526531612538</v>
      </c>
      <c r="H20" s="87">
        <v>35530749.500093952</v>
      </c>
      <c r="I20" s="88">
        <v>1.1120526531612538</v>
      </c>
      <c r="J20" s="87">
        <v>1480447.8958372481</v>
      </c>
      <c r="K20" s="87" t="e">
        <v>#DIV/0!</v>
      </c>
      <c r="L20" s="107">
        <v>532961.24250140926</v>
      </c>
      <c r="N20" s="149"/>
      <c r="O20">
        <v>18</v>
      </c>
      <c r="P20" s="13" t="s">
        <v>93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29"/>
      <c r="B21" s="19" t="s">
        <v>98</v>
      </c>
      <c r="C21" s="71">
        <v>24246200</v>
      </c>
      <c r="D21" s="87">
        <v>24311433.850570053</v>
      </c>
      <c r="E21" s="87">
        <v>23897306.933388211</v>
      </c>
      <c r="F21" s="87">
        <v>414126.91718184203</v>
      </c>
      <c r="G21" s="88">
        <v>1.002690477294176</v>
      </c>
      <c r="H21" s="87">
        <v>24311433.850570053</v>
      </c>
      <c r="I21" s="88">
        <v>1.002690477294176</v>
      </c>
      <c r="J21" s="87">
        <v>1012976.4104404189</v>
      </c>
      <c r="K21" s="87" t="e">
        <v>#DIV/0!</v>
      </c>
      <c r="L21" s="107">
        <v>243114.33850570052</v>
      </c>
      <c r="N21" s="149"/>
      <c r="O21">
        <v>44</v>
      </c>
      <c r="P21" s="13" t="s">
        <v>161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29"/>
      <c r="B22" s="19" t="s">
        <v>101</v>
      </c>
      <c r="C22" s="71">
        <v>30231324</v>
      </c>
      <c r="D22" s="87">
        <v>31990809.200218577</v>
      </c>
      <c r="E22" s="87">
        <v>31311977.261892878</v>
      </c>
      <c r="F22" s="87">
        <v>678831.93832569942</v>
      </c>
      <c r="G22" s="88">
        <v>1.0582007324660534</v>
      </c>
      <c r="H22" s="87">
        <v>31990809.200218577</v>
      </c>
      <c r="I22" s="88">
        <v>1.0582007324660534</v>
      </c>
      <c r="J22" s="87">
        <v>1332950.3833424407</v>
      </c>
      <c r="K22" s="87" t="e">
        <v>#DIV/0!</v>
      </c>
      <c r="L22" s="107">
        <v>399885.11500273226</v>
      </c>
      <c r="N22" s="149"/>
      <c r="O22">
        <v>56</v>
      </c>
      <c r="P22" s="13" t="s">
        <v>140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29"/>
      <c r="B23" s="19" t="s">
        <v>161</v>
      </c>
      <c r="C23" s="71">
        <v>26129472.600000001</v>
      </c>
      <c r="D23" s="87">
        <v>23951255.389476955</v>
      </c>
      <c r="E23" s="87">
        <v>23685597.93476541</v>
      </c>
      <c r="F23" s="87">
        <v>265657.45471154526</v>
      </c>
      <c r="G23" s="88">
        <v>0.9166375363227558</v>
      </c>
      <c r="H23" s="87">
        <v>23951255.389476955</v>
      </c>
      <c r="I23" s="88">
        <v>0.9166375363227558</v>
      </c>
      <c r="J23" s="87">
        <v>997968.97456153983</v>
      </c>
      <c r="K23" s="87" t="e">
        <v>#DIV/0!</v>
      </c>
      <c r="L23" s="107">
        <v>0</v>
      </c>
      <c r="N23" s="149"/>
      <c r="O23">
        <v>2</v>
      </c>
      <c r="P23" s="13" t="s">
        <v>82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29"/>
      <c r="B24" s="19" t="s">
        <v>109</v>
      </c>
      <c r="C24" s="71">
        <v>31899100</v>
      </c>
      <c r="D24" s="87">
        <v>35498698.652202927</v>
      </c>
      <c r="E24" s="87">
        <v>34270013.917461805</v>
      </c>
      <c r="F24" s="87">
        <v>1228684.7347411215</v>
      </c>
      <c r="G24" s="88">
        <v>1.1128432668069923</v>
      </c>
      <c r="H24" s="87">
        <v>35498698.652202927</v>
      </c>
      <c r="I24" s="88">
        <v>1.1128432668069923</v>
      </c>
      <c r="J24" s="87">
        <v>1479112.4438417887</v>
      </c>
      <c r="K24" s="87" t="e">
        <v>#DIV/0!</v>
      </c>
      <c r="L24" s="107">
        <v>532480.47978304385</v>
      </c>
      <c r="N24" s="149"/>
      <c r="O24">
        <v>3</v>
      </c>
      <c r="P24" s="10" t="s">
        <v>83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29"/>
      <c r="B25" s="19" t="s">
        <v>140</v>
      </c>
      <c r="C25" s="71">
        <v>51490431.300000004</v>
      </c>
      <c r="D25" s="87">
        <v>57026560.142817684</v>
      </c>
      <c r="E25" s="87">
        <v>54103973.955256805</v>
      </c>
      <c r="F25" s="87">
        <v>2922586.1875608787</v>
      </c>
      <c r="G25" s="88">
        <v>1.1075176242079308</v>
      </c>
      <c r="H25" s="87">
        <v>57026560.142817676</v>
      </c>
      <c r="I25" s="88">
        <v>1.1075176242079308</v>
      </c>
      <c r="J25" s="87">
        <v>2376106.6726174033</v>
      </c>
      <c r="K25" s="87" t="e">
        <v>#DIV/0!</v>
      </c>
      <c r="L25" s="107">
        <v>855398.40214226511</v>
      </c>
      <c r="N25" s="150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30"/>
      <c r="B26" s="72"/>
      <c r="C26" s="111">
        <v>272284436.66000003</v>
      </c>
      <c r="D26" s="111">
        <v>273579045.45812613</v>
      </c>
      <c r="E26" s="109">
        <v>264241929.44945937</v>
      </c>
      <c r="F26" s="111">
        <v>9337116.0086667538</v>
      </c>
      <c r="G26" s="110">
        <v>1.0047546191549048</v>
      </c>
      <c r="H26" s="108">
        <v>273579045.45812613</v>
      </c>
      <c r="I26" s="110">
        <v>1.0047546191549048</v>
      </c>
      <c r="J26" s="108">
        <v>11399126.894088589</v>
      </c>
      <c r="K26" s="111" t="e">
        <v>#DIV/0!</v>
      </c>
      <c r="L26" s="112"/>
      <c r="N26" s="151" t="s">
        <v>223</v>
      </c>
      <c r="O26">
        <v>32</v>
      </c>
      <c r="P26" s="12" t="s">
        <v>212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5" t="s">
        <v>227</v>
      </c>
      <c r="B27" s="69" t="s">
        <v>212</v>
      </c>
      <c r="C27" s="113">
        <v>78074000</v>
      </c>
      <c r="D27" s="103">
        <v>63653251.999823965</v>
      </c>
      <c r="E27" s="103">
        <v>60993697.249844171</v>
      </c>
      <c r="F27" s="103">
        <v>2659554.749979794</v>
      </c>
      <c r="G27" s="104">
        <v>0.81529384942264982</v>
      </c>
      <c r="H27" s="103">
        <v>63653251.999823958</v>
      </c>
      <c r="I27" s="104">
        <v>0.81529384942264982</v>
      </c>
      <c r="J27" s="103">
        <v>2652218.8333259984</v>
      </c>
      <c r="K27" s="103" t="e">
        <v>#DIV/0!</v>
      </c>
      <c r="L27" s="105">
        <v>0</v>
      </c>
      <c r="N27" s="149"/>
      <c r="O27">
        <v>36</v>
      </c>
      <c r="P27" s="12" t="s">
        <v>214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6"/>
      <c r="B28" s="19" t="s">
        <v>214</v>
      </c>
      <c r="C28" s="114">
        <v>21000000</v>
      </c>
      <c r="D28" s="87">
        <v>6100258.9696078347</v>
      </c>
      <c r="E28" s="87">
        <v>5732153.5467419727</v>
      </c>
      <c r="F28" s="87">
        <v>368105.42286586203</v>
      </c>
      <c r="G28" s="88">
        <v>0.29048852236227785</v>
      </c>
      <c r="H28" s="87">
        <v>6100258.9696078347</v>
      </c>
      <c r="I28" s="88">
        <v>0.29048852236227785</v>
      </c>
      <c r="J28" s="87">
        <v>254177.45706699311</v>
      </c>
      <c r="K28" s="87" t="e">
        <v>#DIV/0!</v>
      </c>
      <c r="L28" s="107">
        <v>0</v>
      </c>
      <c r="N28" s="149"/>
      <c r="O28">
        <v>9</v>
      </c>
      <c r="P28" s="12" t="s">
        <v>87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6"/>
      <c r="B29" s="19" t="s">
        <v>87</v>
      </c>
      <c r="C29" s="114">
        <v>24514000</v>
      </c>
      <c r="D29" s="87">
        <v>19492468.816566739</v>
      </c>
      <c r="E29" s="87">
        <v>19123999.889380991</v>
      </c>
      <c r="F29" s="87">
        <v>368468.92718574777</v>
      </c>
      <c r="G29" s="88">
        <v>0.79515659690653251</v>
      </c>
      <c r="H29" s="87">
        <v>19492468.816566739</v>
      </c>
      <c r="I29" s="88">
        <v>0.79515659690653251</v>
      </c>
      <c r="J29" s="87">
        <v>812186.20069028076</v>
      </c>
      <c r="K29" s="87" t="e">
        <v>#DIV/0!</v>
      </c>
      <c r="L29" s="107">
        <v>0</v>
      </c>
      <c r="N29" s="149"/>
      <c r="O29">
        <v>40</v>
      </c>
      <c r="P29" s="12" t="s">
        <v>213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6"/>
      <c r="B30" s="19" t="s">
        <v>213</v>
      </c>
      <c r="C30" s="114">
        <v>36412576.297262542</v>
      </c>
      <c r="D30" s="87">
        <v>16503922.715982895</v>
      </c>
      <c r="E30" s="87">
        <v>16440938.962380162</v>
      </c>
      <c r="F30" s="87">
        <v>62983.753602733836</v>
      </c>
      <c r="G30" s="88">
        <v>0.45324787186847976</v>
      </c>
      <c r="H30" s="87">
        <v>16503922.715982895</v>
      </c>
      <c r="I30" s="88">
        <v>0.45324787186847976</v>
      </c>
      <c r="J30" s="87">
        <v>687663.44649928727</v>
      </c>
      <c r="K30" s="87" t="e">
        <v>#DIV/0!</v>
      </c>
      <c r="L30" s="107">
        <v>0</v>
      </c>
      <c r="N30" s="149"/>
      <c r="O30">
        <v>27</v>
      </c>
      <c r="P30" s="12" t="s">
        <v>99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6"/>
      <c r="B31" s="19" t="s">
        <v>99</v>
      </c>
      <c r="C31" s="114">
        <v>24205000</v>
      </c>
      <c r="D31" s="87">
        <v>24517374.682820804</v>
      </c>
      <c r="E31" s="87">
        <v>23357151.213069141</v>
      </c>
      <c r="F31" s="87">
        <v>1160223.4697516635</v>
      </c>
      <c r="G31" s="88">
        <v>1.012905378344177</v>
      </c>
      <c r="H31" s="87">
        <v>24517374.682820804</v>
      </c>
      <c r="I31" s="88">
        <v>1.012905378344177</v>
      </c>
      <c r="J31" s="87">
        <v>1021557.2784508668</v>
      </c>
      <c r="K31" s="87" t="e">
        <v>#DIV/0!</v>
      </c>
      <c r="L31" s="107">
        <v>245173.74682820804</v>
      </c>
      <c r="N31" s="149"/>
      <c r="O31">
        <v>10</v>
      </c>
      <c r="P31" s="12" t="s">
        <v>211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6"/>
      <c r="B32" s="19" t="s">
        <v>211</v>
      </c>
      <c r="C32" s="114">
        <v>24000000</v>
      </c>
      <c r="D32" s="87">
        <v>17154799.836579047</v>
      </c>
      <c r="E32" s="87">
        <v>16908593.902502269</v>
      </c>
      <c r="F32" s="87">
        <v>246205.93407677859</v>
      </c>
      <c r="G32" s="88">
        <v>0.71478332652412702</v>
      </c>
      <c r="H32" s="87">
        <v>17154799.836579047</v>
      </c>
      <c r="I32" s="88">
        <v>0.71478332652412702</v>
      </c>
      <c r="J32" s="87">
        <v>714783.32652412693</v>
      </c>
      <c r="K32" s="87" t="e">
        <v>#DIV/0!</v>
      </c>
      <c r="L32" s="107">
        <v>0</v>
      </c>
      <c r="N32" s="149"/>
      <c r="O32">
        <v>28</v>
      </c>
      <c r="P32" s="12" t="s">
        <v>100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6"/>
      <c r="B33" s="19" t="s">
        <v>100</v>
      </c>
      <c r="C33" s="114">
        <v>25235000</v>
      </c>
      <c r="D33" s="87">
        <v>17519075.335839655</v>
      </c>
      <c r="E33" s="87">
        <v>17369561.614148464</v>
      </c>
      <c r="F33" s="87">
        <v>149513.7216911912</v>
      </c>
      <c r="G33" s="88">
        <v>0.69423718390488032</v>
      </c>
      <c r="H33" s="87">
        <v>17519075.335839655</v>
      </c>
      <c r="I33" s="88">
        <v>0.69423718390488032</v>
      </c>
      <c r="J33" s="87">
        <v>729961.47232665226</v>
      </c>
      <c r="K33" s="87" t="e">
        <v>#DIV/0!</v>
      </c>
      <c r="L33" s="107">
        <v>0</v>
      </c>
      <c r="N33" s="149"/>
      <c r="O33">
        <v>33</v>
      </c>
      <c r="P33" s="12" t="s">
        <v>139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6"/>
      <c r="B34" s="19" t="s">
        <v>139</v>
      </c>
      <c r="C34" s="114">
        <v>21000000</v>
      </c>
      <c r="D34" s="87">
        <v>11197769.09014947</v>
      </c>
      <c r="E34" s="87">
        <v>10993267.219244162</v>
      </c>
      <c r="F34" s="87">
        <v>204501.87090530805</v>
      </c>
      <c r="G34" s="88">
        <v>0.53322709953092717</v>
      </c>
      <c r="H34" s="87">
        <v>11197769.09014947</v>
      </c>
      <c r="I34" s="88">
        <v>0.53322709953092717</v>
      </c>
      <c r="J34" s="87">
        <v>466573.71208956122</v>
      </c>
      <c r="K34" s="87" t="e">
        <v>#DIV/0!</v>
      </c>
      <c r="L34" s="107">
        <v>0</v>
      </c>
      <c r="N34" s="149"/>
      <c r="O34">
        <v>37</v>
      </c>
      <c r="P34" s="12" t="s">
        <v>104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6"/>
      <c r="B35" s="19" t="s">
        <v>104</v>
      </c>
      <c r="C35" s="114">
        <v>23484000</v>
      </c>
      <c r="D35" s="87">
        <v>10613494.78936974</v>
      </c>
      <c r="E35" s="87">
        <v>10509964.217061797</v>
      </c>
      <c r="F35" s="87">
        <v>103530.57230794244</v>
      </c>
      <c r="G35" s="88">
        <v>0.45194578391116247</v>
      </c>
      <c r="H35" s="87">
        <v>10613494.78936974</v>
      </c>
      <c r="I35" s="88">
        <v>0.45194578391116247</v>
      </c>
      <c r="J35" s="87">
        <v>442228.94955707248</v>
      </c>
      <c r="K35" s="87" t="e">
        <v>#DIV/0!</v>
      </c>
      <c r="L35" s="107">
        <v>0</v>
      </c>
      <c r="N35" s="149"/>
      <c r="O35">
        <v>24</v>
      </c>
      <c r="P35" s="12" t="s">
        <v>205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6"/>
      <c r="B36" s="19" t="s">
        <v>205</v>
      </c>
      <c r="C36" s="114">
        <v>25235000</v>
      </c>
      <c r="D36" s="87">
        <v>13926527.261858521</v>
      </c>
      <c r="E36" s="87">
        <v>13690253.038083088</v>
      </c>
      <c r="F36" s="87">
        <v>236274.22377543338</v>
      </c>
      <c r="G36" s="88">
        <v>0.55187347976455403</v>
      </c>
      <c r="H36" s="87">
        <v>13926527.261858521</v>
      </c>
      <c r="I36" s="88">
        <v>0.55187347976455403</v>
      </c>
      <c r="J36" s="87">
        <v>580271.96924410504</v>
      </c>
      <c r="K36" s="87" t="e">
        <v>#DIV/0!</v>
      </c>
      <c r="L36" s="107">
        <v>0</v>
      </c>
      <c r="N36" s="149"/>
      <c r="O36">
        <v>7</v>
      </c>
      <c r="P36" s="12" t="s">
        <v>111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6"/>
      <c r="B37" s="19" t="s">
        <v>111</v>
      </c>
      <c r="C37" s="114">
        <v>114000000</v>
      </c>
      <c r="D37" s="87">
        <v>101537604.46397878</v>
      </c>
      <c r="E37" s="87">
        <v>92863269.600187495</v>
      </c>
      <c r="F37" s="87">
        <v>8674334.8637912869</v>
      </c>
      <c r="G37" s="88">
        <v>0.89068074091209459</v>
      </c>
      <c r="H37" s="87">
        <v>101537604.46397877</v>
      </c>
      <c r="I37" s="88">
        <v>0.89068074091209448</v>
      </c>
      <c r="J37" s="87">
        <v>4230733.519332449</v>
      </c>
      <c r="K37" s="87" t="e">
        <v>#DIV/0!</v>
      </c>
      <c r="L37" s="107">
        <v>0</v>
      </c>
      <c r="N37" s="149"/>
      <c r="O37">
        <v>57</v>
      </c>
      <c r="P37" s="12" t="s">
        <v>215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6"/>
      <c r="B38" s="19" t="s">
        <v>215</v>
      </c>
      <c r="C38" s="114">
        <v>33000000</v>
      </c>
      <c r="D38" s="87">
        <v>9981301.8801112529</v>
      </c>
      <c r="E38" s="87">
        <v>9981301.8801112529</v>
      </c>
      <c r="F38" s="87">
        <v>0</v>
      </c>
      <c r="G38" s="88">
        <v>0.30246369333670464</v>
      </c>
      <c r="H38" s="87">
        <v>9981301.8801112529</v>
      </c>
      <c r="I38" s="88">
        <v>0.30246369333670464</v>
      </c>
      <c r="J38" s="87">
        <v>415887.57833796885</v>
      </c>
      <c r="K38" s="87" t="e">
        <v>#DIV/0!</v>
      </c>
      <c r="L38" s="107">
        <v>0</v>
      </c>
      <c r="N38" s="149"/>
      <c r="O38">
        <v>1</v>
      </c>
      <c r="P38" s="12" t="s">
        <v>81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6"/>
      <c r="B39" s="19" t="s">
        <v>81</v>
      </c>
      <c r="C39" s="114">
        <v>34629931.18</v>
      </c>
      <c r="D39" s="87">
        <v>26579488.905197218</v>
      </c>
      <c r="E39" s="87">
        <v>25810750.454407562</v>
      </c>
      <c r="F39" s="87">
        <v>768738.45078965649</v>
      </c>
      <c r="G39" s="88">
        <v>0.76752935970452651</v>
      </c>
      <c r="H39" s="87">
        <v>26579488.905197218</v>
      </c>
      <c r="I39" s="88">
        <v>0.76752935970452651</v>
      </c>
      <c r="J39" s="87">
        <v>1107478.7043832175</v>
      </c>
      <c r="K39" s="87" t="e">
        <v>#DIV/0!</v>
      </c>
      <c r="L39" s="107">
        <v>0</v>
      </c>
      <c r="N39" s="150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27"/>
      <c r="B40" s="3"/>
      <c r="C40" s="115">
        <v>484789507.47726256</v>
      </c>
      <c r="D40" s="111">
        <v>338777338.74788594</v>
      </c>
      <c r="E40" s="109">
        <v>323774902.78716254</v>
      </c>
      <c r="F40" s="111">
        <v>15002435.9607234</v>
      </c>
      <c r="G40" s="110">
        <v>0.69881326539183641</v>
      </c>
      <c r="H40" s="108">
        <v>338777338.74788594</v>
      </c>
      <c r="I40" s="110">
        <v>0.69881326539183641</v>
      </c>
      <c r="J40" s="108">
        <v>14115722.447828582</v>
      </c>
      <c r="K40" s="111" t="e">
        <v>#DIV/0!</v>
      </c>
      <c r="L40" s="112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6" t="s">
        <v>42</v>
      </c>
      <c r="B41" s="117"/>
      <c r="C41" s="118">
        <v>1314063949.6125104</v>
      </c>
      <c r="D41" s="118">
        <v>1224686603.1826057</v>
      </c>
      <c r="E41" s="119">
        <v>1171749849.2882519</v>
      </c>
      <c r="F41" s="118">
        <v>52936753.894353867</v>
      </c>
      <c r="G41" s="120">
        <v>0.93198402067398611</v>
      </c>
      <c r="H41" s="118">
        <v>1224686603.1826057</v>
      </c>
      <c r="I41" s="120">
        <v>0.93198402067398611</v>
      </c>
      <c r="J41" s="118">
        <v>51028608.465941906</v>
      </c>
      <c r="K41" s="118" t="e">
        <v>#DIV/0!</v>
      </c>
      <c r="L41" s="121"/>
      <c r="O41">
        <v>58</v>
      </c>
      <c r="P41" s="13" t="s">
        <v>145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  <c r="O42">
        <v>59</v>
      </c>
      <c r="P42" s="13" t="s">
        <v>146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145</v>
      </c>
      <c r="C43" s="98">
        <v>40000000</v>
      </c>
      <c r="D43" s="87">
        <v>25646776.862735603</v>
      </c>
      <c r="E43" s="87">
        <v>22657877.380181327</v>
      </c>
      <c r="F43" s="87">
        <v>2988899.4825542755</v>
      </c>
      <c r="G43" s="88">
        <v>0.64116942156839007</v>
      </c>
      <c r="H43" s="87">
        <v>25646776.862735607</v>
      </c>
      <c r="I43" s="88">
        <v>0.64116942156839019</v>
      </c>
      <c r="J43" s="87">
        <v>1068615.7026139835</v>
      </c>
      <c r="K43" s="87" t="e">
        <v>#DIV/0!</v>
      </c>
      <c r="L43" s="87">
        <v>0</v>
      </c>
    </row>
    <row r="44" spans="1:22" ht="15.75" x14ac:dyDescent="0.25">
      <c r="B44" s="19" t="s">
        <v>146</v>
      </c>
      <c r="C44" s="98">
        <v>30000000</v>
      </c>
      <c r="D44" s="87">
        <v>17009020.678149343</v>
      </c>
      <c r="E44" s="87">
        <v>16555407.699089281</v>
      </c>
      <c r="F44" s="87">
        <v>453612.97906006128</v>
      </c>
      <c r="G44" s="88">
        <v>0.56696735593831138</v>
      </c>
      <c r="H44" s="87">
        <v>17009020.678149343</v>
      </c>
      <c r="I44" s="88">
        <v>0.56696735593831138</v>
      </c>
      <c r="J44" s="87">
        <v>708709.19492288923</v>
      </c>
      <c r="K44" s="87" t="e">
        <v>#DIV/0!</v>
      </c>
      <c r="L44" s="87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L44"/>
  <sheetViews>
    <sheetView topLeftCell="A12" workbookViewId="0">
      <selection activeCell="D30" sqref="D30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12" ht="15.75" thickBot="1" x14ac:dyDescent="0.3">
      <c r="A1" s="99" t="s">
        <v>206</v>
      </c>
      <c r="B1" s="99" t="s">
        <v>76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</row>
    <row r="2" spans="1:12" ht="15.75" x14ac:dyDescent="0.25">
      <c r="A2" s="125" t="s">
        <v>207</v>
      </c>
      <c r="B2" s="69" t="s">
        <v>95</v>
      </c>
      <c r="C2" s="102">
        <v>32279076.638250753</v>
      </c>
      <c r="D2" s="103">
        <v>46789531.022179514</v>
      </c>
      <c r="E2" s="103">
        <v>45597042.635797866</v>
      </c>
      <c r="F2" s="103">
        <v>1192488.3863816485</v>
      </c>
      <c r="G2" s="104">
        <v>1.4495312721161873</v>
      </c>
      <c r="H2" s="103">
        <v>46789531.022179514</v>
      </c>
      <c r="I2" s="104">
        <v>1.4495312721161873</v>
      </c>
      <c r="J2" s="103">
        <v>1949563.792590813</v>
      </c>
      <c r="K2" s="103" t="e">
        <v>#DIV/0!</v>
      </c>
      <c r="L2" s="105">
        <v>935790.62044359033</v>
      </c>
    </row>
    <row r="3" spans="1:12" ht="15.75" x14ac:dyDescent="0.25">
      <c r="A3" s="126"/>
      <c r="B3" s="19" t="s">
        <v>94</v>
      </c>
      <c r="C3" s="106">
        <v>30982728.178883255</v>
      </c>
      <c r="D3" s="87">
        <v>38817126.106857061</v>
      </c>
      <c r="E3" s="87">
        <v>37990396.607466161</v>
      </c>
      <c r="F3" s="87">
        <v>826729.49939090014</v>
      </c>
      <c r="G3" s="88">
        <v>1.2528633980436061</v>
      </c>
      <c r="H3" s="87">
        <v>38817126.106857061</v>
      </c>
      <c r="I3" s="88">
        <v>1.2528633980436061</v>
      </c>
      <c r="J3" s="87">
        <v>1617380.2544523776</v>
      </c>
      <c r="K3" s="87" t="e">
        <v>#DIV/0!</v>
      </c>
      <c r="L3" s="107">
        <v>776342.5221371412</v>
      </c>
    </row>
    <row r="4" spans="1:12" ht="15.75" x14ac:dyDescent="0.25">
      <c r="A4" s="126"/>
      <c r="B4" s="19" t="s">
        <v>92</v>
      </c>
      <c r="C4" s="106">
        <v>28390031.260148253</v>
      </c>
      <c r="D4" s="87">
        <v>33436278.446677495</v>
      </c>
      <c r="E4" s="87">
        <v>32127304.163806073</v>
      </c>
      <c r="F4" s="87">
        <v>1308974.2828714214</v>
      </c>
      <c r="G4" s="88">
        <v>1.1777471514662534</v>
      </c>
      <c r="H4" s="87">
        <v>33436278.446677491</v>
      </c>
      <c r="I4" s="88">
        <v>1.1777471514662532</v>
      </c>
      <c r="J4" s="87">
        <v>1393178.2686115622</v>
      </c>
      <c r="K4" s="87" t="e">
        <v>#DIV/0!</v>
      </c>
      <c r="L4" s="107">
        <v>668725.5689335498</v>
      </c>
    </row>
    <row r="5" spans="1:12" ht="15.75" x14ac:dyDescent="0.25">
      <c r="A5" s="126"/>
      <c r="B5" s="19" t="s">
        <v>90</v>
      </c>
      <c r="C5" s="106">
        <v>28390031.260148253</v>
      </c>
      <c r="D5" s="87">
        <v>35139863.288381539</v>
      </c>
      <c r="E5" s="87">
        <v>34257637.396055132</v>
      </c>
      <c r="F5" s="87">
        <v>882225.89232640713</v>
      </c>
      <c r="G5" s="88">
        <v>1.23775359619657</v>
      </c>
      <c r="H5" s="87">
        <v>35139863.288381539</v>
      </c>
      <c r="I5" s="88">
        <v>1.23775359619657</v>
      </c>
      <c r="J5" s="87">
        <v>1464160.9703492308</v>
      </c>
      <c r="K5" s="87" t="e">
        <v>#DIV/0!</v>
      </c>
      <c r="L5" s="107">
        <v>702797.26576763077</v>
      </c>
    </row>
    <row r="6" spans="1:12" ht="15.75" x14ac:dyDescent="0.25">
      <c r="A6" s="126"/>
      <c r="B6" s="19" t="s">
        <v>210</v>
      </c>
      <c r="C6" s="106">
        <v>23528724.537520126</v>
      </c>
      <c r="D6" s="87">
        <v>26856361.149994925</v>
      </c>
      <c r="E6" s="87">
        <v>25015491.549096961</v>
      </c>
      <c r="F6" s="87">
        <v>1840869.6008979641</v>
      </c>
      <c r="G6" s="88">
        <v>1.1414286867598105</v>
      </c>
      <c r="H6" s="87">
        <v>26856361.149994925</v>
      </c>
      <c r="I6" s="88">
        <v>1.1414286867598105</v>
      </c>
      <c r="J6" s="87">
        <v>1119015.0479164552</v>
      </c>
      <c r="K6" s="87" t="e">
        <v>#DIV/0!</v>
      </c>
      <c r="L6" s="107">
        <v>537127.22299989848</v>
      </c>
    </row>
    <row r="7" spans="1:12" ht="15.75" x14ac:dyDescent="0.25">
      <c r="A7" s="126"/>
      <c r="B7" s="19" t="s">
        <v>86</v>
      </c>
      <c r="C7" s="106">
        <v>27741857.030464504</v>
      </c>
      <c r="D7" s="87">
        <v>21935047.685194649</v>
      </c>
      <c r="E7" s="87">
        <v>21605185.998899002</v>
      </c>
      <c r="F7" s="87">
        <v>329861.68629564717</v>
      </c>
      <c r="G7" s="88">
        <v>0.79068418747551206</v>
      </c>
      <c r="H7" s="87">
        <v>21935047.685194649</v>
      </c>
      <c r="I7" s="88">
        <v>0.79068418747551206</v>
      </c>
      <c r="J7" s="87">
        <v>913960.32021644374</v>
      </c>
      <c r="K7" s="87" t="e">
        <v>#DIV/0!</v>
      </c>
      <c r="L7" s="107">
        <v>0</v>
      </c>
    </row>
    <row r="8" spans="1:12" ht="15.75" x14ac:dyDescent="0.25">
      <c r="A8" s="126"/>
      <c r="B8" s="19" t="s">
        <v>85</v>
      </c>
      <c r="C8" s="106">
        <v>35831071.416917704</v>
      </c>
      <c r="D8" s="87">
        <v>40520335.94111871</v>
      </c>
      <c r="E8" s="87">
        <v>38810951.591422051</v>
      </c>
      <c r="F8" s="87">
        <v>1709384.3496966586</v>
      </c>
      <c r="G8" s="88">
        <v>1.1308714570557596</v>
      </c>
      <c r="H8" s="87">
        <v>40520335.94111871</v>
      </c>
      <c r="I8" s="88">
        <v>1.1308714570557596</v>
      </c>
      <c r="J8" s="87">
        <v>1688347.3308799462</v>
      </c>
      <c r="K8" s="87" t="e">
        <v>#DIV/0!</v>
      </c>
      <c r="L8" s="107">
        <v>607805.03911678062</v>
      </c>
    </row>
    <row r="9" spans="1:12" ht="15.75" x14ac:dyDescent="0.25">
      <c r="A9" s="126"/>
      <c r="B9" s="19" t="s">
        <v>84</v>
      </c>
      <c r="C9" s="106">
        <v>35831071.416917704</v>
      </c>
      <c r="D9" s="87">
        <v>41738637.969319664</v>
      </c>
      <c r="E9" s="87">
        <v>39990211.496653654</v>
      </c>
      <c r="F9" s="87">
        <v>1748426.4726660103</v>
      </c>
      <c r="G9" s="88">
        <v>1.164872729694951</v>
      </c>
      <c r="H9" s="87">
        <v>41738637.969319664</v>
      </c>
      <c r="I9" s="88">
        <v>1.164872729694951</v>
      </c>
      <c r="J9" s="87">
        <v>1739109.9153883194</v>
      </c>
      <c r="K9" s="87" t="e">
        <v>#DIV/0!</v>
      </c>
      <c r="L9" s="107">
        <v>834772.75938639324</v>
      </c>
    </row>
    <row r="10" spans="1:12" ht="16.5" thickBot="1" x14ac:dyDescent="0.3">
      <c r="A10" s="127"/>
      <c r="B10" s="3"/>
      <c r="C10" s="108">
        <v>242974591.73925051</v>
      </c>
      <c r="D10" s="108">
        <v>285233181.60972357</v>
      </c>
      <c r="E10" s="109">
        <v>275394221.43919694</v>
      </c>
      <c r="F10" s="108">
        <v>9838960.1705266573</v>
      </c>
      <c r="G10" s="110">
        <v>1.1739218474161408</v>
      </c>
      <c r="H10" s="108">
        <v>285233181.60972357</v>
      </c>
      <c r="I10" s="110">
        <v>1.1739218474161408</v>
      </c>
      <c r="J10" s="108">
        <v>11884715.900405148</v>
      </c>
      <c r="K10" s="111" t="e">
        <v>#DIV/0!</v>
      </c>
      <c r="L10" s="112"/>
    </row>
    <row r="11" spans="1:12" ht="15.75" x14ac:dyDescent="0.25">
      <c r="A11" s="125" t="s">
        <v>208</v>
      </c>
      <c r="B11" s="69" t="s">
        <v>97</v>
      </c>
      <c r="C11" s="102">
        <v>96971948.480137512</v>
      </c>
      <c r="D11" s="103">
        <v>109506883.40895881</v>
      </c>
      <c r="E11" s="103">
        <v>107046963.46643755</v>
      </c>
      <c r="F11" s="103">
        <v>2459919.9425212592</v>
      </c>
      <c r="G11" s="104">
        <v>1.1292635151225077</v>
      </c>
      <c r="H11" s="103">
        <v>109506883.40895881</v>
      </c>
      <c r="I11" s="104">
        <v>1.1292635151225077</v>
      </c>
      <c r="J11" s="103">
        <v>4562786.808706617</v>
      </c>
      <c r="K11" s="103" t="e">
        <v>#DIV/0!</v>
      </c>
      <c r="L11" s="105">
        <v>1095068.8340895881</v>
      </c>
    </row>
    <row r="12" spans="1:12" ht="15.75" x14ac:dyDescent="0.25">
      <c r="A12" s="126"/>
      <c r="B12" s="19" t="s">
        <v>107</v>
      </c>
      <c r="C12" s="106">
        <v>31630902.408567004</v>
      </c>
      <c r="D12" s="87">
        <v>37819097.976955846</v>
      </c>
      <c r="E12" s="87">
        <v>37507204.335448697</v>
      </c>
      <c r="F12" s="87">
        <v>311893.64150714874</v>
      </c>
      <c r="G12" s="88">
        <v>1.1956376548622532</v>
      </c>
      <c r="H12" s="87">
        <v>37819097.976955846</v>
      </c>
      <c r="I12" s="88">
        <v>1.1956376548622532</v>
      </c>
      <c r="J12" s="87">
        <v>1575795.7490398269</v>
      </c>
      <c r="K12" s="87" t="e">
        <v>#DIV/0!</v>
      </c>
      <c r="L12" s="107">
        <v>756381.95953911694</v>
      </c>
    </row>
    <row r="13" spans="1:12" ht="15.75" x14ac:dyDescent="0.25">
      <c r="A13" s="126"/>
      <c r="B13" s="19" t="s">
        <v>91</v>
      </c>
      <c r="C13" s="106">
        <v>128363916.07462499</v>
      </c>
      <c r="D13" s="87">
        <v>128539493.63379455</v>
      </c>
      <c r="E13" s="87">
        <v>107458900.02742086</v>
      </c>
      <c r="F13" s="87">
        <v>21080593.606373683</v>
      </c>
      <c r="G13" s="88">
        <v>1.0013678108656914</v>
      </c>
      <c r="H13" s="87">
        <v>128539493.63379455</v>
      </c>
      <c r="I13" s="88">
        <v>1.0013678108656914</v>
      </c>
      <c r="J13" s="87">
        <v>5355812.2347414391</v>
      </c>
      <c r="K13" s="87" t="e">
        <v>#DIV/0!</v>
      </c>
      <c r="L13" s="107">
        <v>642697.46816897276</v>
      </c>
    </row>
    <row r="14" spans="1:12" ht="15.75" x14ac:dyDescent="0.25">
      <c r="A14" s="126"/>
      <c r="B14" s="19" t="s">
        <v>112</v>
      </c>
      <c r="C14" s="106">
        <v>42449057.394974999</v>
      </c>
      <c r="D14" s="87">
        <v>39140279.651432775</v>
      </c>
      <c r="E14" s="87">
        <v>38089399.671858914</v>
      </c>
      <c r="F14" s="87">
        <v>1050879.9795738608</v>
      </c>
      <c r="G14" s="88">
        <v>0.92205297486926274</v>
      </c>
      <c r="H14" s="87">
        <v>39140279.651432775</v>
      </c>
      <c r="I14" s="88">
        <v>0.92205297486926274</v>
      </c>
      <c r="J14" s="87">
        <v>1630844.9854763655</v>
      </c>
      <c r="K14" s="87" t="e">
        <v>#DIV/0!</v>
      </c>
      <c r="L14" s="107">
        <v>0</v>
      </c>
    </row>
    <row r="15" spans="1:12" ht="15.75" x14ac:dyDescent="0.25">
      <c r="A15" s="126"/>
      <c r="B15" s="19" t="s">
        <v>108</v>
      </c>
      <c r="C15" s="106">
        <v>42449057.394974999</v>
      </c>
      <c r="D15" s="87">
        <v>51508469.291534513</v>
      </c>
      <c r="E15" s="87">
        <v>45407233.8525308</v>
      </c>
      <c r="F15" s="87">
        <v>6101235.4390037134</v>
      </c>
      <c r="G15" s="88">
        <v>1.2134184467811515</v>
      </c>
      <c r="H15" s="87">
        <v>51508469.291534513</v>
      </c>
      <c r="I15" s="88">
        <v>1.2134184467811515</v>
      </c>
      <c r="J15" s="87">
        <v>2146186.2204806046</v>
      </c>
      <c r="K15" s="87" t="e">
        <v>#DIV/0!</v>
      </c>
      <c r="L15" s="107">
        <v>772627.03937301761</v>
      </c>
    </row>
    <row r="16" spans="1:12" ht="16.5" thickBot="1" x14ac:dyDescent="0.3">
      <c r="A16" s="127"/>
      <c r="B16" s="3"/>
      <c r="C16" s="108">
        <v>341864881.75327951</v>
      </c>
      <c r="D16" s="108">
        <v>366514223.96267653</v>
      </c>
      <c r="E16" s="109">
        <v>335509701.35369682</v>
      </c>
      <c r="F16" s="108">
        <v>31004522.608979702</v>
      </c>
      <c r="G16" s="110">
        <v>1.0721025865042968</v>
      </c>
      <c r="H16" s="108">
        <v>366514223.96267653</v>
      </c>
      <c r="I16" s="110">
        <v>1.0721025865042968</v>
      </c>
      <c r="J16" s="108">
        <v>15271425.998444855</v>
      </c>
      <c r="K16" s="111" t="e">
        <v>#DIV/0!</v>
      </c>
      <c r="L16" s="112"/>
    </row>
    <row r="17" spans="1:12" ht="15.75" x14ac:dyDescent="0.25">
      <c r="A17" s="128" t="s">
        <v>209</v>
      </c>
      <c r="B17" s="69" t="s">
        <v>82</v>
      </c>
      <c r="C17" s="70">
        <v>29338018.132500004</v>
      </c>
      <c r="D17" s="103">
        <v>19719555.307688124</v>
      </c>
      <c r="E17" s="103">
        <v>18802479.760139175</v>
      </c>
      <c r="F17" s="103">
        <v>917075.54754894972</v>
      </c>
      <c r="G17" s="104">
        <v>0.67215021882624171</v>
      </c>
      <c r="H17" s="103">
        <v>19719555.307688124</v>
      </c>
      <c r="I17" s="104">
        <v>0.67215021882624171</v>
      </c>
      <c r="J17" s="103">
        <v>821648.13782033848</v>
      </c>
      <c r="K17" s="103" t="e">
        <v>#DIV/0!</v>
      </c>
      <c r="L17" s="105">
        <v>0</v>
      </c>
    </row>
    <row r="18" spans="1:12" ht="15.75" x14ac:dyDescent="0.25">
      <c r="A18" s="129"/>
      <c r="B18" s="19" t="s">
        <v>83</v>
      </c>
      <c r="C18" s="71">
        <v>24959505.900000002</v>
      </c>
      <c r="D18" s="87">
        <v>21983568.342330094</v>
      </c>
      <c r="E18" s="87">
        <v>20717753.349515107</v>
      </c>
      <c r="F18" s="87">
        <v>1265814.9928149879</v>
      </c>
      <c r="G18" s="88">
        <v>0.88076937221461959</v>
      </c>
      <c r="H18" s="87">
        <v>21983568.342330094</v>
      </c>
      <c r="I18" s="88">
        <v>0.88076937221461959</v>
      </c>
      <c r="J18" s="87">
        <v>915982.0142637539</v>
      </c>
      <c r="K18" s="87" t="e">
        <v>#DIV/0!</v>
      </c>
      <c r="L18" s="107">
        <v>0</v>
      </c>
    </row>
    <row r="19" spans="1:12" ht="15.75" x14ac:dyDescent="0.25">
      <c r="A19" s="129"/>
      <c r="B19" s="19" t="s">
        <v>93</v>
      </c>
      <c r="C19" s="71">
        <v>25856650.1655</v>
      </c>
      <c r="D19" s="87">
        <v>21823999.631053858</v>
      </c>
      <c r="E19" s="87">
        <v>21195317.753972314</v>
      </c>
      <c r="F19" s="87">
        <v>628681.87708154321</v>
      </c>
      <c r="G19" s="88">
        <v>0.84403816779689333</v>
      </c>
      <c r="H19" s="87">
        <v>21823999.631053858</v>
      </c>
      <c r="I19" s="88">
        <v>0.84403816779689333</v>
      </c>
      <c r="J19" s="87">
        <v>909333.31796057743</v>
      </c>
      <c r="K19" s="87" t="e">
        <v>#DIV/0!</v>
      </c>
      <c r="L19" s="107">
        <v>0</v>
      </c>
    </row>
    <row r="20" spans="1:12" ht="15.75" x14ac:dyDescent="0.25">
      <c r="A20" s="129"/>
      <c r="B20" s="19" t="s">
        <v>96</v>
      </c>
      <c r="C20" s="71">
        <v>33548130</v>
      </c>
      <c r="D20" s="87">
        <v>46880747.882440269</v>
      </c>
      <c r="E20" s="87">
        <v>45288523.133737519</v>
      </c>
      <c r="F20" s="87">
        <v>1592224.7487027496</v>
      </c>
      <c r="G20" s="88">
        <v>1.3974176170904389</v>
      </c>
      <c r="H20" s="87">
        <v>46880747.882440269</v>
      </c>
      <c r="I20" s="88">
        <v>1.3974176170904389</v>
      </c>
      <c r="J20" s="87">
        <v>1953364.495101678</v>
      </c>
      <c r="K20" s="87" t="e">
        <v>#DIV/0!</v>
      </c>
      <c r="L20" s="107">
        <v>937614.95764880534</v>
      </c>
    </row>
    <row r="21" spans="1:12" ht="15.75" x14ac:dyDescent="0.25">
      <c r="A21" s="129"/>
      <c r="B21" s="19" t="s">
        <v>98</v>
      </c>
      <c r="C21" s="71">
        <v>25458510</v>
      </c>
      <c r="D21" s="87">
        <v>26026854.067610081</v>
      </c>
      <c r="E21" s="87">
        <v>24833322.870954808</v>
      </c>
      <c r="F21" s="87">
        <v>1193531.1966552734</v>
      </c>
      <c r="G21" s="88">
        <v>1.0223243256423915</v>
      </c>
      <c r="H21" s="87">
        <v>26026854.067610078</v>
      </c>
      <c r="I21" s="88">
        <v>1.0223243256423913</v>
      </c>
      <c r="J21" s="87">
        <v>1084452.2528170866</v>
      </c>
      <c r="K21" s="87" t="e">
        <v>#DIV/0!</v>
      </c>
      <c r="L21" s="107">
        <v>260268.54067610079</v>
      </c>
    </row>
    <row r="22" spans="1:12" ht="15.75" x14ac:dyDescent="0.25">
      <c r="A22" s="129"/>
      <c r="B22" s="19" t="s">
        <v>220</v>
      </c>
      <c r="C22" s="71">
        <v>31742890.200000003</v>
      </c>
      <c r="D22" s="87">
        <v>32141338.909916095</v>
      </c>
      <c r="E22" s="87">
        <v>29990683.655022953</v>
      </c>
      <c r="F22" s="87">
        <v>2150655.2548931427</v>
      </c>
      <c r="G22" s="88">
        <v>1.0125523765292201</v>
      </c>
      <c r="H22" s="87">
        <v>32141338.909916095</v>
      </c>
      <c r="I22" s="88">
        <v>1.0125523765292201</v>
      </c>
      <c r="J22" s="87">
        <v>1339222.4545798374</v>
      </c>
      <c r="K22" s="87" t="e">
        <v>#DIV/0!</v>
      </c>
      <c r="L22" s="107">
        <v>321413.38909916097</v>
      </c>
    </row>
    <row r="23" spans="1:12" ht="15.75" x14ac:dyDescent="0.25">
      <c r="A23" s="129"/>
      <c r="B23" s="19" t="s">
        <v>161</v>
      </c>
      <c r="C23" s="71">
        <v>27435946.230000004</v>
      </c>
      <c r="D23" s="87">
        <v>25710568.579956032</v>
      </c>
      <c r="E23" s="87">
        <v>25061497.754885402</v>
      </c>
      <c r="F23" s="87">
        <v>649070.82507063076</v>
      </c>
      <c r="G23" s="88">
        <v>0.93711251525353456</v>
      </c>
      <c r="H23" s="87">
        <v>25710568.579956032</v>
      </c>
      <c r="I23" s="88">
        <v>0.93711251525353456</v>
      </c>
      <c r="J23" s="87">
        <v>1071273.6908315013</v>
      </c>
      <c r="K23" s="87" t="e">
        <v>#DIV/0!</v>
      </c>
      <c r="L23" s="107">
        <v>0</v>
      </c>
    </row>
    <row r="24" spans="1:12" ht="15.75" x14ac:dyDescent="0.25">
      <c r="A24" s="129"/>
      <c r="B24" s="19" t="s">
        <v>221</v>
      </c>
      <c r="C24" s="71">
        <v>33494055</v>
      </c>
      <c r="D24" s="87">
        <v>40082800.76103171</v>
      </c>
      <c r="E24" s="87">
        <v>38511020.179810099</v>
      </c>
      <c r="F24" s="87">
        <v>1571780.5812216103</v>
      </c>
      <c r="G24" s="88">
        <v>1.1967138873161733</v>
      </c>
      <c r="H24" s="87">
        <v>40082800.76103171</v>
      </c>
      <c r="I24" s="88">
        <v>1.1967138873161733</v>
      </c>
      <c r="J24" s="87">
        <v>1670116.6983763212</v>
      </c>
      <c r="K24" s="87" t="e">
        <v>#DIV/0!</v>
      </c>
      <c r="L24" s="107">
        <v>801656.01522063417</v>
      </c>
    </row>
    <row r="25" spans="1:12" ht="15.75" x14ac:dyDescent="0.25">
      <c r="A25" s="129"/>
      <c r="B25" s="19" t="s">
        <v>140</v>
      </c>
      <c r="C25" s="71">
        <v>54064952.86500001</v>
      </c>
      <c r="D25" s="87">
        <v>52746975.667182915</v>
      </c>
      <c r="E25" s="87">
        <v>53020207.657182917</v>
      </c>
      <c r="F25" s="87">
        <v>-273231.99000000209</v>
      </c>
      <c r="G25" s="88">
        <v>0.97562233705986801</v>
      </c>
      <c r="H25" s="87">
        <v>52746975.667182922</v>
      </c>
      <c r="I25" s="88">
        <v>0.97562233705986812</v>
      </c>
      <c r="J25" s="87">
        <v>2197790.6527992883</v>
      </c>
      <c r="K25" s="87" t="e">
        <v>#DIV/0!</v>
      </c>
      <c r="L25" s="107">
        <v>0</v>
      </c>
    </row>
    <row r="26" spans="1:12" ht="16.5" thickBot="1" x14ac:dyDescent="0.3">
      <c r="A26" s="130"/>
      <c r="B26" s="72"/>
      <c r="C26" s="111">
        <v>285898658.49300003</v>
      </c>
      <c r="D26" s="111">
        <v>287116409.1492092</v>
      </c>
      <c r="E26" s="109">
        <v>277420806.11522031</v>
      </c>
      <c r="F26" s="111">
        <v>9695603.033988893</v>
      </c>
      <c r="G26" s="110">
        <v>1.0042593786995295</v>
      </c>
      <c r="H26" s="108">
        <v>287116409.1492092</v>
      </c>
      <c r="I26" s="110">
        <v>1.0042593786995295</v>
      </c>
      <c r="J26" s="108">
        <v>11963183.714550383</v>
      </c>
      <c r="K26" s="111" t="e">
        <v>#DIV/0!</v>
      </c>
      <c r="L26" s="112"/>
    </row>
    <row r="27" spans="1:12" ht="15.75" x14ac:dyDescent="0.25">
      <c r="A27" s="125" t="s">
        <v>217</v>
      </c>
      <c r="B27" s="69" t="s">
        <v>212</v>
      </c>
      <c r="C27" s="113">
        <v>81977700</v>
      </c>
      <c r="D27" s="103">
        <v>82008915.323856413</v>
      </c>
      <c r="E27" s="103">
        <v>79349932.648902804</v>
      </c>
      <c r="F27" s="103">
        <v>2658982.6749536097</v>
      </c>
      <c r="G27" s="104">
        <v>1.0003807782342808</v>
      </c>
      <c r="H27" s="103">
        <v>82008915.323856413</v>
      </c>
      <c r="I27" s="104">
        <v>1.0003807782342808</v>
      </c>
      <c r="J27" s="103">
        <v>3417038.1384940171</v>
      </c>
      <c r="K27" s="103" t="e">
        <v>#DIV/0!</v>
      </c>
      <c r="L27" s="105">
        <v>410044.57661928207</v>
      </c>
    </row>
    <row r="28" spans="1:12" ht="15.75" x14ac:dyDescent="0.25">
      <c r="A28" s="126"/>
      <c r="B28" s="19" t="s">
        <v>214</v>
      </c>
      <c r="C28" s="114">
        <v>21000000</v>
      </c>
      <c r="D28" s="87">
        <v>13952963.300386658</v>
      </c>
      <c r="E28" s="87">
        <v>13582204.364812182</v>
      </c>
      <c r="F28" s="87">
        <v>370758.93557447568</v>
      </c>
      <c r="G28" s="88">
        <v>0.66442682382793605</v>
      </c>
      <c r="H28" s="87">
        <v>13952963.300386656</v>
      </c>
      <c r="I28" s="88">
        <v>0.66442682382793605</v>
      </c>
      <c r="J28" s="87">
        <v>581373.47084944404</v>
      </c>
      <c r="K28" s="87" t="e">
        <v>#DIV/0!</v>
      </c>
      <c r="L28" s="107">
        <v>0</v>
      </c>
    </row>
    <row r="29" spans="1:12" ht="15.75" x14ac:dyDescent="0.25">
      <c r="A29" s="126"/>
      <c r="B29" s="19" t="s">
        <v>87</v>
      </c>
      <c r="C29" s="114">
        <v>25739700</v>
      </c>
      <c r="D29" s="87">
        <v>21961957.090655975</v>
      </c>
      <c r="E29" s="87">
        <v>21103395.521965481</v>
      </c>
      <c r="F29" s="87">
        <v>858561.5686904937</v>
      </c>
      <c r="G29" s="88">
        <v>0.85323283063345634</v>
      </c>
      <c r="H29" s="87">
        <v>21961957.090655975</v>
      </c>
      <c r="I29" s="88">
        <v>0.85323283063345634</v>
      </c>
      <c r="J29" s="87">
        <v>915081.545443999</v>
      </c>
      <c r="K29" s="87" t="e">
        <v>#DIV/0!</v>
      </c>
      <c r="L29" s="107">
        <v>0</v>
      </c>
    </row>
    <row r="30" spans="1:12" ht="15.75" x14ac:dyDescent="0.25">
      <c r="A30" s="126"/>
      <c r="B30" s="19" t="s">
        <v>213</v>
      </c>
      <c r="C30" s="114">
        <v>38233205.112125672</v>
      </c>
      <c r="D30" s="87">
        <v>21863190.112295818</v>
      </c>
      <c r="E30" s="87">
        <v>21279417.512409199</v>
      </c>
      <c r="F30" s="87">
        <v>583772.59988661855</v>
      </c>
      <c r="G30" s="88">
        <v>0.57183775328744024</v>
      </c>
      <c r="H30" s="87">
        <v>21863190.112295818</v>
      </c>
      <c r="I30" s="88">
        <v>0.57183775328744024</v>
      </c>
      <c r="J30" s="87">
        <v>910966.25467899244</v>
      </c>
      <c r="K30" s="87" t="e">
        <v>#DIV/0!</v>
      </c>
      <c r="L30" s="107">
        <v>0</v>
      </c>
    </row>
    <row r="31" spans="1:12" ht="15.75" x14ac:dyDescent="0.25">
      <c r="A31" s="126"/>
      <c r="B31" s="19" t="s">
        <v>99</v>
      </c>
      <c r="C31" s="114">
        <v>25415250</v>
      </c>
      <c r="D31" s="87">
        <v>26313436.609832209</v>
      </c>
      <c r="E31" s="87">
        <v>25866298.235398188</v>
      </c>
      <c r="F31" s="87">
        <v>447138.37443402037</v>
      </c>
      <c r="G31" s="88">
        <v>1.0353404593632645</v>
      </c>
      <c r="H31" s="87">
        <v>26313436.609832205</v>
      </c>
      <c r="I31" s="88">
        <v>1.0353404593632645</v>
      </c>
      <c r="J31" s="87">
        <v>1096393.1920763419</v>
      </c>
      <c r="K31" s="87" t="e">
        <v>#DIV/0!</v>
      </c>
      <c r="L31" s="107">
        <v>263134.36609832203</v>
      </c>
    </row>
    <row r="32" spans="1:12" ht="15.75" x14ac:dyDescent="0.25">
      <c r="A32" s="126"/>
      <c r="B32" s="19" t="s">
        <v>211</v>
      </c>
      <c r="C32" s="114">
        <v>25200000</v>
      </c>
      <c r="D32" s="87">
        <v>18151384.413142633</v>
      </c>
      <c r="E32" s="87">
        <v>17244550.074721541</v>
      </c>
      <c r="F32" s="87">
        <v>906834.33842109144</v>
      </c>
      <c r="G32" s="88">
        <v>0.7202930322675648</v>
      </c>
      <c r="H32" s="87">
        <v>18151384.413142633</v>
      </c>
      <c r="I32" s="88">
        <v>0.7202930322675648</v>
      </c>
      <c r="J32" s="87">
        <v>756307.68388094299</v>
      </c>
      <c r="K32" s="87" t="e">
        <v>#DIV/0!</v>
      </c>
      <c r="L32" s="107">
        <v>0</v>
      </c>
    </row>
    <row r="33" spans="1:12" ht="15.75" x14ac:dyDescent="0.25">
      <c r="A33" s="126"/>
      <c r="B33" s="19" t="s">
        <v>100</v>
      </c>
      <c r="C33" s="114">
        <v>26496750</v>
      </c>
      <c r="D33" s="87">
        <v>20837293.557389762</v>
      </c>
      <c r="E33" s="87">
        <v>20072218.044281825</v>
      </c>
      <c r="F33" s="87">
        <v>765075.51310793683</v>
      </c>
      <c r="G33" s="88">
        <v>0.78640941086698413</v>
      </c>
      <c r="H33" s="87">
        <v>20837293.557389762</v>
      </c>
      <c r="I33" s="88">
        <v>0.78640941086698413</v>
      </c>
      <c r="J33" s="87">
        <v>868220.56489124009</v>
      </c>
      <c r="K33" s="87" t="e">
        <v>#DIV/0!</v>
      </c>
      <c r="L33" s="107">
        <v>0</v>
      </c>
    </row>
    <row r="34" spans="1:12" ht="15.75" x14ac:dyDescent="0.25">
      <c r="A34" s="126"/>
      <c r="B34" s="19" t="s">
        <v>139</v>
      </c>
      <c r="C34" s="114">
        <v>21000000</v>
      </c>
      <c r="D34" s="87">
        <v>13727467.509959595</v>
      </c>
      <c r="E34" s="87">
        <v>13039481.563812835</v>
      </c>
      <c r="F34" s="87">
        <v>687985.94614676014</v>
      </c>
      <c r="G34" s="88">
        <v>0.65368892904569498</v>
      </c>
      <c r="H34" s="87">
        <v>13727467.509959595</v>
      </c>
      <c r="I34" s="88">
        <v>0.65368892904569498</v>
      </c>
      <c r="J34" s="87">
        <v>571977.81291498314</v>
      </c>
      <c r="K34" s="87" t="e">
        <v>#DIV/0!</v>
      </c>
      <c r="L34" s="107">
        <v>0</v>
      </c>
    </row>
    <row r="35" spans="1:12" ht="15.75" x14ac:dyDescent="0.25">
      <c r="A35" s="126"/>
      <c r="B35" s="19" t="s">
        <v>104</v>
      </c>
      <c r="C35" s="114">
        <v>24658200</v>
      </c>
      <c r="D35" s="87">
        <v>7728017.7449721582</v>
      </c>
      <c r="E35" s="87">
        <v>7427038.0634731874</v>
      </c>
      <c r="F35" s="87">
        <v>300979.68149897084</v>
      </c>
      <c r="G35" s="88">
        <v>0.31340559103957943</v>
      </c>
      <c r="H35" s="87">
        <v>7728017.7449721582</v>
      </c>
      <c r="I35" s="88">
        <v>0.31340559103957943</v>
      </c>
      <c r="J35" s="87">
        <v>322000.73937383993</v>
      </c>
      <c r="K35" s="87" t="e">
        <v>#DIV/0!</v>
      </c>
      <c r="L35" s="107">
        <v>0</v>
      </c>
    </row>
    <row r="36" spans="1:12" ht="15.75" x14ac:dyDescent="0.25">
      <c r="A36" s="126"/>
      <c r="B36" s="19" t="s">
        <v>205</v>
      </c>
      <c r="C36" s="114">
        <v>25235000</v>
      </c>
      <c r="D36" s="87">
        <v>14092423.235800521</v>
      </c>
      <c r="E36" s="87">
        <v>13787711.752287488</v>
      </c>
      <c r="F36" s="87">
        <v>304711.48351303302</v>
      </c>
      <c r="G36" s="88">
        <v>0.55844752271846732</v>
      </c>
      <c r="H36" s="87">
        <v>14092423.23580052</v>
      </c>
      <c r="I36" s="88">
        <v>0.5584475227184672</v>
      </c>
      <c r="J36" s="87">
        <v>587184.30149168835</v>
      </c>
      <c r="K36" s="87" t="e">
        <v>#DIV/0!</v>
      </c>
      <c r="L36" s="107">
        <v>0</v>
      </c>
    </row>
    <row r="37" spans="1:12" ht="15.75" x14ac:dyDescent="0.25">
      <c r="A37" s="126"/>
      <c r="B37" s="19" t="s">
        <v>111</v>
      </c>
      <c r="C37" s="114">
        <v>122011750</v>
      </c>
      <c r="D37" s="87">
        <v>65662670.917833798</v>
      </c>
      <c r="E37" s="87">
        <v>59403378.702583797</v>
      </c>
      <c r="F37" s="87">
        <v>6259292.2152500004</v>
      </c>
      <c r="G37" s="88">
        <v>0.53816678244377114</v>
      </c>
      <c r="H37" s="87">
        <v>65662670.917833805</v>
      </c>
      <c r="I37" s="88">
        <v>0.53816678244377125</v>
      </c>
      <c r="J37" s="87">
        <v>2735944.6215764084</v>
      </c>
      <c r="K37" s="87" t="e">
        <v>#DIV/0!</v>
      </c>
      <c r="L37" s="107">
        <v>0</v>
      </c>
    </row>
    <row r="38" spans="1:12" ht="15.75" x14ac:dyDescent="0.25">
      <c r="A38" s="126"/>
      <c r="B38" s="19" t="s">
        <v>215</v>
      </c>
      <c r="C38" s="114">
        <v>35700000</v>
      </c>
      <c r="D38" s="87">
        <v>16480410.572651757</v>
      </c>
      <c r="E38" s="87">
        <v>17136087.737651758</v>
      </c>
      <c r="F38" s="87">
        <v>-655677.16500000097</v>
      </c>
      <c r="G38" s="88">
        <v>0.46163615049444695</v>
      </c>
      <c r="H38" s="87">
        <v>16480410.572651755</v>
      </c>
      <c r="I38" s="88">
        <v>0.4616361504944469</v>
      </c>
      <c r="J38" s="87">
        <v>686683.77386048983</v>
      </c>
      <c r="K38" s="87" t="e">
        <v>#DIV/0!</v>
      </c>
      <c r="L38" s="107">
        <v>0</v>
      </c>
    </row>
    <row r="39" spans="1:12" ht="15.75" x14ac:dyDescent="0.25">
      <c r="A39" s="126"/>
      <c r="B39" s="19" t="s">
        <v>81</v>
      </c>
      <c r="C39" s="114">
        <v>36361427.739</v>
      </c>
      <c r="D39" s="87">
        <v>25054842.418592516</v>
      </c>
      <c r="E39" s="87">
        <v>24470367.165487725</v>
      </c>
      <c r="F39" s="87">
        <v>584475.25310479105</v>
      </c>
      <c r="G39" s="88">
        <v>0.68905001746451133</v>
      </c>
      <c r="H39" s="87">
        <v>25054842.418592516</v>
      </c>
      <c r="I39" s="88">
        <v>0.68905001746451133</v>
      </c>
      <c r="J39" s="87">
        <v>1043951.7674413548</v>
      </c>
      <c r="K39" s="87" t="e">
        <v>#DIV/0!</v>
      </c>
      <c r="L39" s="107">
        <v>0</v>
      </c>
    </row>
    <row r="40" spans="1:12" ht="16.5" thickBot="1" x14ac:dyDescent="0.3">
      <c r="A40" s="127"/>
      <c r="B40" s="3"/>
      <c r="C40" s="115">
        <v>509028982.85112572</v>
      </c>
      <c r="D40" s="111">
        <v>347834972.80736977</v>
      </c>
      <c r="E40" s="109">
        <v>333762081.387788</v>
      </c>
      <c r="F40" s="111">
        <v>14072891.419581771</v>
      </c>
      <c r="G40" s="110">
        <v>0.68333038888887809</v>
      </c>
      <c r="H40" s="108">
        <v>347834972.80736977</v>
      </c>
      <c r="I40" s="110">
        <v>0.68333038888887809</v>
      </c>
      <c r="J40" s="108">
        <v>14493123.866973741</v>
      </c>
      <c r="K40" s="111" t="e">
        <v>#DIV/0!</v>
      </c>
      <c r="L40" s="112"/>
    </row>
    <row r="41" spans="1:12" ht="16.5" thickBot="1" x14ac:dyDescent="0.3">
      <c r="A41" s="116" t="s">
        <v>42</v>
      </c>
      <c r="B41" s="117"/>
      <c r="C41" s="118">
        <v>1379767147.0931361</v>
      </c>
      <c r="D41" s="118">
        <v>1286698787.5289791</v>
      </c>
      <c r="E41" s="119">
        <v>1222086810.2959023</v>
      </c>
      <c r="F41" s="118">
        <v>64611977.233076811</v>
      </c>
      <c r="G41" s="120">
        <v>0.93254777825357604</v>
      </c>
      <c r="H41" s="118">
        <v>1286698787.5289791</v>
      </c>
      <c r="I41" s="141">
        <v>0.93254777825357604</v>
      </c>
      <c r="J41" s="118">
        <v>53612449.480374128</v>
      </c>
      <c r="K41" s="118" t="e">
        <v>#DIV/0!</v>
      </c>
      <c r="L41" s="121"/>
    </row>
    <row r="42" spans="1:1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</row>
    <row r="43" spans="1:12" ht="15.75" x14ac:dyDescent="0.25">
      <c r="B43" s="19" t="s">
        <v>145</v>
      </c>
      <c r="C43" s="98">
        <v>40000000</v>
      </c>
      <c r="D43" s="87">
        <v>31200035.617086809</v>
      </c>
      <c r="E43" s="87">
        <v>31230263.361085694</v>
      </c>
      <c r="F43" s="87">
        <v>-30227.743998885155</v>
      </c>
      <c r="G43" s="88">
        <v>0.78000089042717025</v>
      </c>
      <c r="H43" s="87">
        <v>31200035.617086805</v>
      </c>
      <c r="I43" s="88">
        <v>0.78000089042717013</v>
      </c>
      <c r="J43" s="87">
        <v>1300001.4840452836</v>
      </c>
      <c r="K43" s="87" t="e">
        <v>#DIV/0!</v>
      </c>
      <c r="L43" s="87">
        <v>0</v>
      </c>
    </row>
    <row r="44" spans="1:12" ht="15.75" x14ac:dyDescent="0.25">
      <c r="B44" s="19" t="s">
        <v>146</v>
      </c>
      <c r="C44" s="98">
        <v>30000000</v>
      </c>
      <c r="D44" s="87">
        <v>24332681.799774844</v>
      </c>
      <c r="E44" s="87">
        <v>24332681.799774844</v>
      </c>
      <c r="F44" s="87">
        <v>0</v>
      </c>
      <c r="G44" s="88">
        <v>0.81108939332582819</v>
      </c>
      <c r="H44" s="87">
        <v>24332681.799774844</v>
      </c>
      <c r="I44" s="88">
        <v>0.81108939332582819</v>
      </c>
      <c r="J44" s="87">
        <v>1013861.7416572851</v>
      </c>
      <c r="K44" s="87" t="e">
        <v>#DIV/0!</v>
      </c>
      <c r="L44" s="87">
        <v>0</v>
      </c>
    </row>
  </sheetData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  <vt:lpstr>Historico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2026-07-08T18:01:15Z</dcterms:modified>
</cp:coreProperties>
</file>