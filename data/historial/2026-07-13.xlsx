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13_ncr:1_{A0415CCF-0410-4657-8A63-FF52B75C91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COBERTURA!$C$1:$N$46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8" l="1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I12" i="6" s="1"/>
  <c r="H11" i="6"/>
  <c r="G11" i="6"/>
  <c r="I11" i="6" s="1"/>
  <c r="F11" i="6"/>
  <c r="H10" i="6"/>
  <c r="F10" i="6" s="1"/>
  <c r="G10" i="6"/>
  <c r="I10" i="6" s="1"/>
  <c r="H9" i="6"/>
  <c r="G9" i="6"/>
  <c r="F9" i="6"/>
  <c r="D9" i="6"/>
  <c r="H8" i="6"/>
  <c r="F8" i="6" s="1"/>
  <c r="G8" i="6"/>
  <c r="I8" i="6" s="1"/>
  <c r="H7" i="6"/>
  <c r="G7" i="6"/>
  <c r="I7" i="6" s="1"/>
  <c r="F7" i="6"/>
  <c r="D7" i="6"/>
  <c r="H6" i="6"/>
  <c r="F6" i="6" s="1"/>
  <c r="G6" i="6"/>
  <c r="I6" i="6" s="1"/>
  <c r="H5" i="6"/>
  <c r="G5" i="6"/>
  <c r="I5" i="6" s="1"/>
  <c r="F5" i="6"/>
  <c r="D5" i="6"/>
  <c r="H4" i="6"/>
  <c r="F4" i="6" s="1"/>
  <c r="G4" i="6"/>
  <c r="I4" i="6" s="1"/>
  <c r="H3" i="6"/>
  <c r="G3" i="6"/>
  <c r="I3" i="6" s="1"/>
  <c r="F3" i="6"/>
  <c r="D3" i="6"/>
  <c r="C15" i="6"/>
  <c r="G15" i="6"/>
  <c r="H15" i="6"/>
  <c r="D15" i="6" s="1"/>
  <c r="C16" i="6"/>
  <c r="G16" i="6"/>
  <c r="H16" i="6"/>
  <c r="D16" i="6" s="1"/>
  <c r="C17" i="6"/>
  <c r="G17" i="6"/>
  <c r="H17" i="6"/>
  <c r="D17" i="6" s="1"/>
  <c r="I17" i="6"/>
  <c r="C18" i="6"/>
  <c r="G18" i="6"/>
  <c r="H18" i="6"/>
  <c r="C19" i="6"/>
  <c r="G19" i="6"/>
  <c r="H19" i="6"/>
  <c r="D19" i="6" s="1"/>
  <c r="I19" i="6"/>
  <c r="C20" i="6"/>
  <c r="G20" i="6"/>
  <c r="H20" i="6"/>
  <c r="F20" i="6" s="1"/>
  <c r="I20" i="6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D25" i="6" s="1"/>
  <c r="I25" i="6"/>
  <c r="C26" i="6"/>
  <c r="G26" i="6"/>
  <c r="H26" i="6"/>
  <c r="F26" i="6" s="1"/>
  <c r="C27" i="6"/>
  <c r="G27" i="6"/>
  <c r="H27" i="6"/>
  <c r="F27" i="6" s="1"/>
  <c r="I27" i="6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I31" i="6"/>
  <c r="C32" i="6"/>
  <c r="G32" i="6"/>
  <c r="H32" i="6"/>
  <c r="F32" i="6" s="1"/>
  <c r="C33" i="6"/>
  <c r="G33" i="6"/>
  <c r="H33" i="6"/>
  <c r="I33" i="6"/>
  <c r="C34" i="6"/>
  <c r="G34" i="6"/>
  <c r="H34" i="6"/>
  <c r="F34" i="6" s="1"/>
  <c r="C35" i="6"/>
  <c r="G35" i="6"/>
  <c r="I35" i="6" s="1"/>
  <c r="H35" i="6"/>
  <c r="F35" i="6" s="1"/>
  <c r="C36" i="6"/>
  <c r="G36" i="6"/>
  <c r="H36" i="6"/>
  <c r="F36" i="6" s="1"/>
  <c r="G38" i="6"/>
  <c r="H38" i="6"/>
  <c r="F38" i="6" s="1"/>
  <c r="G39" i="6"/>
  <c r="H39" i="6"/>
  <c r="D39" i="6" s="1"/>
  <c r="I39" i="6"/>
  <c r="G40" i="6"/>
  <c r="H40" i="6"/>
  <c r="F40" i="6" s="1"/>
  <c r="G41" i="6"/>
  <c r="H41" i="6"/>
  <c r="G42" i="6"/>
  <c r="H42" i="6"/>
  <c r="D42" i="6" s="1"/>
  <c r="I42" i="6"/>
  <c r="G43" i="6"/>
  <c r="H43" i="6"/>
  <c r="F43" i="6" s="1"/>
  <c r="I43" i="6"/>
  <c r="G44" i="6"/>
  <c r="H44" i="6"/>
  <c r="F44" i="6" s="1"/>
  <c r="I44" i="6"/>
  <c r="I21" i="6" l="1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4" i="6"/>
  <c r="I38" i="6"/>
  <c r="I41" i="6"/>
  <c r="D32" i="6"/>
  <c r="D26" i="6"/>
  <c r="G23" i="6"/>
  <c r="F18" i="6"/>
  <c r="D34" i="6"/>
  <c r="G37" i="6"/>
  <c r="G45" i="6" s="1"/>
  <c r="H23" i="6"/>
  <c r="D4" i="6"/>
  <c r="D8" i="6"/>
  <c r="D12" i="6"/>
  <c r="D6" i="6"/>
  <c r="D10" i="6"/>
  <c r="H37" i="6"/>
  <c r="H45" i="6" s="1"/>
  <c r="F33" i="6"/>
  <c r="F29" i="6"/>
  <c r="F25" i="6"/>
  <c r="F37" i="6" s="1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23" i="6" l="1"/>
  <c r="F46" i="3"/>
  <c r="G40" i="3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6" i="3" l="1"/>
  <c r="G46" i="3"/>
  <c r="G43" i="3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6" i="6" s="1"/>
  <c r="G2" i="6"/>
  <c r="G14" i="6" s="1"/>
  <c r="G46" i="6" s="1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6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6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<sst xmlns="http://schemas.openxmlformats.org/spreadsheetml/2006/main" count="1558" uniqueCount="284">
  <si>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</si>
  <si>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</si>
  <si>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</si>
  <si>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</si>
  <si>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</si>
  <si>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</si>
  <si>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</si>
  <si>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</si>
  <si>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</si>
  <si>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</si>
  <si>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</si>
  <si>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</si>
  <si>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</si>
  <si>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</si>
  <si>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</si>
  <si>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</si>
  <si>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</si>
  <si>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</si>
  <si>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</si>
  <si>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</si>
  <si>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</si>
  <si>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</si>
  <si>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</si>
  <si>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</si>
  <si>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</si>
  <si>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</si>
  <si>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</si>
  <si>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</si>
  <si>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</si>
  <si>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</si>
  <si>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</si>
  <si>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</si>
  <si>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</si>
  <si>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</si>
  <si>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</si>
  <si>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</si>
  <si>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</si>
  <si>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</si>
  <si>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</si>
  <si>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</si>
  <si>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</si>
  <si>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</si>
  <si>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</si>
  <si>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</si>
  <si>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</si>
  <si>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</si>
  <si>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</si>
  <si>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</si>
  <si>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</si>
  <si>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</si>
  <si>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</si>
  <si>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</si>
  <si>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</si>
  <si>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</si>
  <si>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</si>
  <si>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</si>
  <si>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</si>
  <si>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</si>
  <si>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</si>
  <si>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</si>
  <si>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</si>
  <si>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</si>
  <si>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</si>
  <si>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</si>
  <si>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</si>
  <si>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</si>
  <si>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</si>
  <si>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</si>
  <si>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</si>
  <si>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</si>
  <si>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</si>
  <si>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</si>
  <si>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</si>
  <si>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</si>
  <si>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</si>
  <si>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</si>
  <si>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</si>
  <si>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</si>
  <si>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</si>
  <si>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</si>
  <si>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</si>
  <si>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</si>
  <si>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</si>
  <si>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</si>
  <si>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</si>
  <si>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</si>
  <si>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</si>
  <si>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</si>
  <si>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</si>
  <si>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</si>
  <si>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</si>
  <si>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</si>
  <si>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</si>
  <si>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</si>
  <si>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</si>
  <si>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</si>
  <si>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</si>
  <si>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</si>
  <si>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</si>
  <si>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</si>
  <si>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</si>
  <si>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</si>
  <si>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</si>
  <si>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</si>
  <si>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</si>
  <si>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</si>
  <si>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</si>
  <si>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</si>
  <si>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</si>
  <si>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</si>
  <si>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</si>
  <si>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</si>
  <si>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</si>
  <si>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</si>
  <si>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</si>
  <si>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</si>
  <si>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</si>
  <si>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</si>
  <si>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</si>
  <si>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</si>
  <si>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</si>
  <si>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</si>
  <si>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</si>
  <si>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</si>
  <si>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</si>
  <si>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</si>
  <si>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</si>
  <si>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</si>
  <si>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</si>
  <si>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</si>
  <si>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</si>
  <si>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</si>
  <si>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</si>
  <si>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</si>
  <si>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</si>
  <si>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</si>
  <si>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</si>
  <si>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</si>
  <si>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</si>
  <si>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</si>
  <si>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</si>
  <si>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</si>
  <si>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</si>
  <si>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</si>
  <si>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</si>
  <si>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</si>
  <si>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</si>
  <si>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</si>
  <si>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</si>
  <si>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</si>
  <si>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</si>
  <si>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</si>
  <si>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</si>
  <si>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</si>
  <si>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</si>
  <si>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</si>
  <si>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</si>
  <si>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</si>
  <si>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</si>
  <si>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</si>
  <si>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</si>
  <si>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</si>
  <si>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</si>
  <si>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</si>
  <si>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</si>
  <si>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</si>
  <si>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</si>
  <si>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</si>
  <si>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</si>
  <si>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</si>
  <si>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</si>
  <si>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</si>
  <si>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</si>
  <si>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</si>
  <si>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</si>
  <si>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</si>
  <si>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</si>
  <si>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</si>
  <si>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</si>
  <si>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</si>
  <si>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</si>
  <si>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</si>
  <si>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</si>
  <si>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</si>
  <si>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</si>
  <si>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</si>
  <si>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</si>
  <si>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</si>
  <si>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</si>
  <si>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</si>
  <si>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</si>
  <si>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</si>
  <si>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</si>
  <si>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</si>
  <si>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</si>
  <si>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</si>
  <si>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</si>
  <si>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</si>
  <si>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</si>
  <si>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</si>
  <si>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</si>
  <si>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</si>
  <si>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</si>
  <si>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</si>
  <si>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</si>
  <si>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</si>
  <si>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</si>
  <si>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</si>
  <si>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</si>
  <si>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</si>
  <si>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</si>
  <si>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</si>
  <si>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</si>
  <si>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</si>
  <si>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</si>
  <si>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</si>
  <si>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</si>
  <si>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</si>
  <si>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</si>
  <si>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</si>
  <si>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</si>
  <si>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</si>
  <si>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</si>
  <si>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</si>
  <si>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</si>
  <si>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</si>
  <si>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</si>
  <si>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</si>
  <si>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</si>
  <si>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</si>
  <si>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</si>
  <si>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</si>
  <si>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</si>
  <si>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</si>
  <si>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</si>
  <si>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</si>
  <si>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</si>
  <si>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</si>
  <si>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</si>
  <si>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</si>
  <si>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</si>
  <si>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</si>
  <si>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</si>
  <si>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</si>
  <si>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</si>
  <si>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</si>
  <si>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</si>
  <si>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</si>
  <si>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</si>
  <si>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</si>
  <si>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</si>
  <si>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</si>
  <si>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</si>
  <si>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</si>
  <si>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</si>
  <si>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</si>
  <si>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</si>
  <si>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</si>
  <si>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</si>
  <si>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</si>
  <si>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</si>
  <si>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</si>
  <si>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</si>
  <si>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</si>
  <si>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</si>
  <si>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</si>
  <si>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</si>
  <si>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</si>
  <si>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</si>
  <si>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</si>
  <si>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</si>
  <si>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</si>
  <si>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</si>
  <si>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</si>
  <si>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</si>
  <si>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</si>
  <si>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</si>
  <si>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</si>
  <si>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</si>
  <si>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</si>
  <si>
    <t>8 - PARRA MAXIMILIANO</t>
  </si>
  <si>
    <t>52 - RAVAROTTO EMANUEL</t>
  </si>
  <si>
    <t>GENERAL</t>
  </si>
  <si>
    <t>37 - SALAJ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</si>
</sst>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A10" workbookViewId="0">
      <selection activeCell="A32" sqref="A32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43627.681390946796</v>
      </c>
      <c r="D2" s="153">
        <v>219578.4459675434</v>
      </c>
      <c r="E2" s="153">
        <v>764367662.29890335</v>
      </c>
      <c r="F2" s="153">
        <v>0</v>
      </c>
      <c r="G2" s="153">
        <v>356434.57432461297</v>
      </c>
      <c r="H2" s="153">
        <v>356434.59</v>
      </c>
    </row>
    <row r="3" spans="1:8" x14ac:dyDescent="0.25">
      <c r="A3" s="153" t="s">
        <v>80</v>
      </c>
      <c r="B3" s="153">
        <v>1</v>
      </c>
      <c r="C3" s="153">
        <v>437.3328769821</v>
      </c>
      <c r="D3" s="153">
        <v>923.92562201999999</v>
      </c>
      <c r="E3" s="153">
        <v>11881152.477487061</v>
      </c>
      <c r="F3" s="153">
        <v>0</v>
      </c>
      <c r="G3" s="153">
        <v>356434.57432461297</v>
      </c>
      <c r="H3" s="153">
        <v>356434.59</v>
      </c>
    </row>
    <row r="4" spans="1:8" x14ac:dyDescent="0.25">
      <c r="A4" s="153" t="s">
        <v>81</v>
      </c>
      <c r="B4" s="153">
        <v>1</v>
      </c>
      <c r="C4" s="153">
        <v>301.21901454869999</v>
      </c>
      <c r="D4" s="153">
        <v>750.00039285289995</v>
      </c>
      <c r="E4" s="153">
        <v>8126363.5119889127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519.10353174440002</v>
      </c>
      <c r="D5" s="153">
        <v>3330.8530238167</v>
      </c>
      <c r="E5" s="153">
        <v>12217152.73219602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728.64920634780003</v>
      </c>
      <c r="D6" s="153">
        <v>2132.3198154841998</v>
      </c>
      <c r="E6" s="153">
        <v>17835828.027716957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976.26894620600001</v>
      </c>
      <c r="D7" s="153">
        <v>4499.6770599707997</v>
      </c>
      <c r="E7" s="153">
        <v>18337849.903465498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2528.5</v>
      </c>
      <c r="D8" s="153">
        <v>4420.3999999999996</v>
      </c>
      <c r="E8" s="153">
        <v>41225241.713749997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280</v>
      </c>
      <c r="B9" s="153">
        <v>1</v>
      </c>
      <c r="C9" s="153">
        <v>457.28349206370001</v>
      </c>
      <c r="D9" s="153">
        <v>1559.8162500041001</v>
      </c>
      <c r="E9" s="153">
        <v>8357553.6702762637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244.35777380959999</v>
      </c>
      <c r="D10" s="153">
        <v>1105.4886785862</v>
      </c>
      <c r="E10" s="153">
        <v>8370904.1887592161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336.54293650779999</v>
      </c>
      <c r="D11" s="153">
        <v>894.21000000859999</v>
      </c>
      <c r="E11" s="153">
        <v>6318586.0525565213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709.37309523600004</v>
      </c>
      <c r="D12" s="153">
        <v>2269.2859166791</v>
      </c>
      <c r="E12" s="153">
        <v>11676700.57947417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746.40552777560004</v>
      </c>
      <c r="D13" s="153">
        <v>2178.9617619087999</v>
      </c>
      <c r="E13" s="153">
        <v>13527706.135194056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3220.4116964274999</v>
      </c>
      <c r="D14" s="153">
        <v>14674.3311354138</v>
      </c>
      <c r="E14" s="153">
        <v>47231129.16144067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626.46309523740001</v>
      </c>
      <c r="D15" s="153">
        <v>2790.0192619078998</v>
      </c>
      <c r="E15" s="153">
        <v>13677245.664196365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433.50738095209999</v>
      </c>
      <c r="D16" s="153">
        <v>2067.6260119234998</v>
      </c>
      <c r="E16" s="153">
        <v>10588309.368073536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926.45198412649995</v>
      </c>
      <c r="D17" s="153">
        <v>3404.4547619160999</v>
      </c>
      <c r="E17" s="153">
        <v>19355831.922628429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1053.8296031740999</v>
      </c>
      <c r="D18" s="153">
        <v>5775.2555952574003</v>
      </c>
      <c r="E18" s="153">
        <v>22342132.067335729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750.27642856880004</v>
      </c>
      <c r="D19" s="153">
        <v>3345.2522797621</v>
      </c>
      <c r="E19" s="153">
        <v>17572348.655228786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3278.7910218254001</v>
      </c>
      <c r="D20" s="153">
        <v>22196.162444938</v>
      </c>
      <c r="E20" s="153">
        <v>55118391.531639598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252.68101190319999</v>
      </c>
      <c r="D21" s="153">
        <v>1096.3618571565</v>
      </c>
      <c r="E21" s="153">
        <v>6300208.1602029596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204</v>
      </c>
      <c r="B22" s="153">
        <v>1</v>
      </c>
      <c r="C22" s="153">
        <v>245.42164682539999</v>
      </c>
      <c r="D22" s="153">
        <v>1032.5952500159001</v>
      </c>
      <c r="E22" s="153">
        <v>4419370.3133026697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2758.0937103161</v>
      </c>
      <c r="D23" s="153">
        <v>15299.309261905</v>
      </c>
      <c r="E23" s="153">
        <v>47656242.120122135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1647.796428571</v>
      </c>
      <c r="D24" s="153">
        <v>16606.9816071393</v>
      </c>
      <c r="E24" s="153">
        <v>25612719.376140997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493.71513095109998</v>
      </c>
      <c r="D25" s="153">
        <v>2159.4092500071001</v>
      </c>
      <c r="E25" s="153">
        <v>11517135.717646666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446.53517856910003</v>
      </c>
      <c r="D26" s="153">
        <v>1104.4845237996001</v>
      </c>
      <c r="E26" s="153">
        <v>8156312.7246988863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4627.0555555556002</v>
      </c>
      <c r="D27" s="153">
        <v>5911.68</v>
      </c>
      <c r="E27" s="153">
        <v>47007970.248993061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620.59285714069995</v>
      </c>
      <c r="D28" s="153">
        <v>2214.6677261897999</v>
      </c>
      <c r="E28" s="153">
        <v>12690359.941456947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1918.204563492</v>
      </c>
      <c r="D29" s="153">
        <v>10014.1889047637</v>
      </c>
      <c r="E29" s="153">
        <v>31504313.129517388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212.3189087291</v>
      </c>
      <c r="D30" s="153">
        <v>797.6792618961</v>
      </c>
      <c r="E30" s="153">
        <v>4948082.8401815249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384.24057539609998</v>
      </c>
      <c r="D31" s="153">
        <v>876.16250000570005</v>
      </c>
      <c r="E31" s="153">
        <v>5625443.5907326406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283</v>
      </c>
      <c r="B32" s="153">
        <v>1</v>
      </c>
      <c r="C32" s="153">
        <v>70.464087300499997</v>
      </c>
      <c r="D32" s="153">
        <v>507.52499999560001</v>
      </c>
      <c r="E32" s="153">
        <v>2608377.8855874469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631.816653438</v>
      </c>
      <c r="D33" s="153">
        <v>3188.4112500009001</v>
      </c>
      <c r="E33" s="153">
        <v>9691202.16131524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78.830304621799996</v>
      </c>
      <c r="D34" s="153">
        <v>1028.4044166649001</v>
      </c>
      <c r="E34" s="153">
        <v>2603101.5820571147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1377.9625000000001</v>
      </c>
      <c r="D35" s="153">
        <v>9828.4400000002006</v>
      </c>
      <c r="E35" s="153">
        <v>17718219.575619414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529.04107142789996</v>
      </c>
      <c r="D36" s="153">
        <v>2752.8582619118001</v>
      </c>
      <c r="E36" s="153">
        <v>12140425.886230147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560.63746031769995</v>
      </c>
      <c r="D37" s="153">
        <v>3724.0450000085998</v>
      </c>
      <c r="E37" s="153">
        <v>12996243.526553847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281</v>
      </c>
      <c r="B38" s="153">
        <v>1</v>
      </c>
      <c r="C38" s="153">
        <v>707.66666666649996</v>
      </c>
      <c r="D38" s="153">
        <v>7812.6399999976002</v>
      </c>
      <c r="E38" s="153">
        <v>16840704.884016886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814.48544372289996</v>
      </c>
      <c r="D39" s="153">
        <v>9537.3650000005</v>
      </c>
      <c r="E39" s="153">
        <v>18588350.254008073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1017.6952546279</v>
      </c>
      <c r="D40" s="153">
        <v>5069.1769181650998</v>
      </c>
      <c r="E40" s="153">
        <v>17565236.403726086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1960.6847222223</v>
      </c>
      <c r="D41" s="153">
        <v>13892.718416666499</v>
      </c>
      <c r="E41" s="153">
        <v>23595021.610075861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515.125</v>
      </c>
      <c r="D42" s="153">
        <v>4147.4399999999996</v>
      </c>
      <c r="E42" s="153">
        <v>9560182.3710999992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249.78120039679999</v>
      </c>
      <c r="D43" s="153">
        <v>984.91860386630003</v>
      </c>
      <c r="E43" s="153">
        <v>12176290.928946314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352.33075396859999</v>
      </c>
      <c r="D44" s="153">
        <v>2667.0354881005001</v>
      </c>
      <c r="E44" s="153">
        <v>7242623.3585071834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154</v>
      </c>
      <c r="B45" s="153">
        <v>1</v>
      </c>
      <c r="C45" s="153">
        <v>1004.4537599197</v>
      </c>
      <c r="D45" s="153">
        <v>1841.887456836</v>
      </c>
      <c r="E45" s="153">
        <v>8897153.2774781901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218</v>
      </c>
      <c r="B46" s="153">
        <v>1</v>
      </c>
      <c r="C46" s="153">
        <v>1875.2833333333001</v>
      </c>
      <c r="D46" s="153">
        <v>17164.02</v>
      </c>
      <c r="E46" s="153">
        <v>42945943.067277841</v>
      </c>
      <c r="F46" s="153">
        <v>0</v>
      </c>
      <c r="G46" s="153">
        <v>0</v>
      </c>
      <c r="H46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B33" sqref="B33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22342132.067335729</v>
      </c>
      <c r="E2" s="59">
        <v>19552740.660452452</v>
      </c>
      <c r="F2" s="59">
        <f t="shared" ref="F2:F9" si="0">+D2-E2</f>
        <v>2789391.406883277</v>
      </c>
      <c r="G2" s="60">
        <f t="shared" ref="G2:G46" si="1">+D2/C2</f>
        <v>0.69215524092347391</v>
      </c>
      <c r="H2" s="59">
        <f>+D2/$N$3*$N$4</f>
        <v>58089543.375072889</v>
      </c>
      <c r="I2" s="60">
        <f t="shared" ref="I2:I47" si="2">+H2/C2</f>
        <v>1.799603626401032</v>
      </c>
      <c r="J2" s="59">
        <f>+D2/$N$3</f>
        <v>2234213.2067335728</v>
      </c>
      <c r="K2" s="59">
        <f t="shared" ref="K2:K38" si="3">+(C2-D2)/$N$2</f>
        <v>621059.03568218905</v>
      </c>
      <c r="L2" s="61" cm="1">
        <f t="array" ref="L2">+_xlfn.IFS(I2&gt;114%,H2*0.02,I2&gt;109%,H2*0.015,I2&gt;104%,H2*0.0125,I2&gt;99%,H2*0.01,I2&lt;99%,H2*0)</f>
        <v>1161790.8675014579</v>
      </c>
      <c r="M2" s="53" t="s">
        <v>36</v>
      </c>
      <c r="N2">
        <v>16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19355831.922628429</v>
      </c>
      <c r="E3" s="4">
        <v>17977081.551723093</v>
      </c>
      <c r="F3" s="59">
        <f t="shared" si="0"/>
        <v>1378750.370905336</v>
      </c>
      <c r="G3" s="5">
        <f t="shared" si="1"/>
        <v>0.62472974655023072</v>
      </c>
      <c r="H3" s="4">
        <f t="shared" ref="H3:H38" si="4">+D3/$N$3*$N$4</f>
        <v>50325162.99883391</v>
      </c>
      <c r="I3" s="5">
        <f t="shared" si="2"/>
        <v>1.6242973410305999</v>
      </c>
      <c r="J3" s="4">
        <f t="shared" ref="J3:J38" si="5">+D3/$N$3</f>
        <v>1935583.1922628428</v>
      </c>
      <c r="K3" s="4">
        <f t="shared" si="3"/>
        <v>726681.01601592661</v>
      </c>
      <c r="L3" s="63" cm="1">
        <f t="array" ref="L3">+_xlfn.IFS(I3&gt;114%,H3*0.02,I3&gt;109%,H3*0.015,I3&gt;104%,H3*0.0125,I3&gt;99%,H3*0.01,I3&lt;99%,H3*0)</f>
        <v>1006503.2599766782</v>
      </c>
      <c r="M3" s="53" t="s">
        <v>40</v>
      </c>
      <c r="N3">
        <f>N4-N2</f>
        <v>10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13677245.664196365</v>
      </c>
      <c r="E4" s="4">
        <v>11861929.267558387</v>
      </c>
      <c r="F4" s="59">
        <f t="shared" si="0"/>
        <v>1815316.396637978</v>
      </c>
      <c r="G4" s="5">
        <f t="shared" si="1"/>
        <v>0.48176226150886392</v>
      </c>
      <c r="H4" s="4">
        <f t="shared" si="4"/>
        <v>35560838.726910546</v>
      </c>
      <c r="I4" s="5">
        <f t="shared" si="2"/>
        <v>1.2525818799230461</v>
      </c>
      <c r="J4" s="4">
        <f t="shared" si="5"/>
        <v>1367724.5664196364</v>
      </c>
      <c r="K4" s="4">
        <f t="shared" si="3"/>
        <v>919549.09974699304</v>
      </c>
      <c r="L4" s="63" cm="1">
        <f t="array" ref="L4">+_xlfn.IFS(I4&gt;114%,H4*0.02,I4&gt;109%,H4*0.015,I4&gt;104%,H4*0.0125,I4&gt;99%,H4*0.01,I4&lt;99%,H4*0)</f>
        <v>711216.77453821094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13527706.135194056</v>
      </c>
      <c r="E5" s="4">
        <v>12401381.582669917</v>
      </c>
      <c r="F5" s="59">
        <f t="shared" si="0"/>
        <v>1126324.5525241382</v>
      </c>
      <c r="G5" s="5">
        <f t="shared" si="1"/>
        <v>0.47649493624134226</v>
      </c>
      <c r="H5" s="4">
        <f t="shared" si="4"/>
        <v>35172035.951504543</v>
      </c>
      <c r="I5" s="5">
        <f t="shared" si="2"/>
        <v>1.2388868342274899</v>
      </c>
      <c r="J5" s="4">
        <f t="shared" si="5"/>
        <v>1352770.6135194055</v>
      </c>
      <c r="K5" s="4">
        <f t="shared" si="3"/>
        <v>928895.32030963735</v>
      </c>
      <c r="L5" s="63" cm="1">
        <f t="array" ref="L5">+_xlfn.IFS(I5&gt;114%,H5*0.02,I5&gt;109%,H5*0.015,I5&gt;104%,H5*0.0125,I5&gt;99%,H5*0.01,I5&lt;99%,H5*0)</f>
        <v>703440.71903009084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11676700.57947417</v>
      </c>
      <c r="E6" s="4">
        <v>10918089.941928057</v>
      </c>
      <c r="F6" s="59">
        <f t="shared" si="0"/>
        <v>758610.63754611276</v>
      </c>
      <c r="G6" s="5">
        <f t="shared" si="1"/>
        <v>0.49627426938735658</v>
      </c>
      <c r="H6" s="4">
        <f t="shared" si="4"/>
        <v>30359421.506632842</v>
      </c>
      <c r="I6" s="5">
        <f t="shared" si="2"/>
        <v>1.2903131004071271</v>
      </c>
      <c r="J6" s="4">
        <f t="shared" si="5"/>
        <v>1167670.057947417</v>
      </c>
      <c r="K6" s="4">
        <f t="shared" si="3"/>
        <v>740751.49737787223</v>
      </c>
      <c r="L6" s="63" cm="1">
        <f t="array" ref="L6">+_xlfn.IFS(I6&gt;114%,H6*0.02,I6&gt;109%,H6*0.015,I6&gt;104%,H6*0.0125,I6&gt;99%,H6*0.01,I6&lt;99%,H6*0)</f>
        <v>607188.43013265682</v>
      </c>
    </row>
    <row r="7" spans="1:14" ht="16.5" thickBot="1" x14ac:dyDescent="0.3">
      <c r="A7" s="145"/>
      <c r="B7" s="36" t="s">
        <v>280</v>
      </c>
      <c r="C7" s="62">
        <v>27741857.030464504</v>
      </c>
      <c r="D7" s="4">
        <f>IFERROR(+VLOOKUP(B7,COMISIONES!A:E,5,FALSE),"0")*1</f>
        <v>8357553.6702762637</v>
      </c>
      <c r="E7" s="4">
        <v>7214996.7617135243</v>
      </c>
      <c r="F7" s="59">
        <f t="shared" si="0"/>
        <v>1142556.9085627394</v>
      </c>
      <c r="G7" s="5">
        <f t="shared" si="1"/>
        <v>0.30126150751546593</v>
      </c>
      <c r="H7" s="4">
        <f t="shared" si="4"/>
        <v>21729639.542718284</v>
      </c>
      <c r="I7" s="5">
        <f t="shared" si="2"/>
        <v>0.78327991954021137</v>
      </c>
      <c r="J7" s="4">
        <f t="shared" si="5"/>
        <v>835755.36702762637</v>
      </c>
      <c r="K7" s="4">
        <f t="shared" si="3"/>
        <v>1211518.9600117649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18337849.903465498</v>
      </c>
      <c r="E8" s="4">
        <v>16744582.100505682</v>
      </c>
      <c r="F8" s="59">
        <f t="shared" si="0"/>
        <v>1593267.8029598165</v>
      </c>
      <c r="G8" s="5">
        <f t="shared" si="1"/>
        <v>0.51178625640558573</v>
      </c>
      <c r="H8" s="4">
        <f t="shared" si="4"/>
        <v>47678409.749010295</v>
      </c>
      <c r="I8" s="5">
        <f t="shared" si="2"/>
        <v>1.3306442666545228</v>
      </c>
      <c r="J8" s="4">
        <f t="shared" si="5"/>
        <v>1833784.9903465498</v>
      </c>
      <c r="K8" s="4">
        <f t="shared" si="3"/>
        <v>1093326.3445907629</v>
      </c>
      <c r="L8" s="63" cm="1">
        <f t="array" ref="L8">+_xlfn.IFS(I8&gt;114%,H8*0.02,I8&gt;109%,H8*0.015,I8&gt;104%,H8*0.0125,I8&gt;99%,H8*0.01,I8&lt;99%,H8*0)</f>
        <v>953568.19498020597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17835828.027716957</v>
      </c>
      <c r="E9" s="4">
        <v>16071170.940304974</v>
      </c>
      <c r="F9" s="59">
        <f t="shared" si="0"/>
        <v>1764657.0874119829</v>
      </c>
      <c r="G9" s="5">
        <f t="shared" si="1"/>
        <v>0.4977754591869597</v>
      </c>
      <c r="H9" s="4">
        <f t="shared" si="4"/>
        <v>46373152.872064084</v>
      </c>
      <c r="I9" s="5">
        <f t="shared" si="2"/>
        <v>1.2942161938860952</v>
      </c>
      <c r="J9" s="4">
        <f t="shared" si="5"/>
        <v>1783582.8027716957</v>
      </c>
      <c r="K9" s="4">
        <f t="shared" si="3"/>
        <v>1124702.7118250467</v>
      </c>
      <c r="L9" s="63" cm="1">
        <f t="array" ref="L9">+_xlfn.IFS(I9&gt;114%,H9*0.02,I9&gt;109%,H9*0.015,I9&gt;104%,H9*0.0125,I9&gt;99%,H9*0.01,I9&lt;99%,H9*0)</f>
        <v>927463.05744128174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125110847.97028747</v>
      </c>
      <c r="E10" s="65">
        <v>112741972.8068561</v>
      </c>
      <c r="F10" s="67">
        <f>+D10-E10</f>
        <v>12368875.163431376</v>
      </c>
      <c r="G10" s="66">
        <f t="shared" si="1"/>
        <v>0.51491329638512517</v>
      </c>
      <c r="H10" s="64">
        <f t="shared" si="4"/>
        <v>325288204.72274739</v>
      </c>
      <c r="I10" s="66">
        <f t="shared" si="2"/>
        <v>1.3387745706013252</v>
      </c>
      <c r="J10" s="64">
        <f t="shared" si="5"/>
        <v>12511084.797028746</v>
      </c>
      <c r="K10" s="67">
        <f t="shared" si="3"/>
        <v>7366483.9855601899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55118391.531639598</v>
      </c>
      <c r="E11" s="59">
        <v>52078292.351673193</v>
      </c>
      <c r="F11" s="59">
        <f t="shared" ref="F11:F14" si="6">+D11-E11</f>
        <v>3040099.179966405</v>
      </c>
      <c r="G11" s="60">
        <f t="shared" si="1"/>
        <v>0.56839521527124248</v>
      </c>
      <c r="H11" s="59">
        <f t="shared" si="4"/>
        <v>143307817.98226297</v>
      </c>
      <c r="I11" s="60">
        <f t="shared" si="2"/>
        <v>1.4778275597052306</v>
      </c>
      <c r="J11" s="59">
        <f t="shared" si="5"/>
        <v>5511839.1531639602</v>
      </c>
      <c r="K11" s="59">
        <f t="shared" si="3"/>
        <v>2615847.3092811196</v>
      </c>
      <c r="L11" s="61" cm="1">
        <f t="array" ref="L11">+_xlfn.IFS(I11&gt;114%,H11*0.0125,I11&gt;109%,H11*0.01,I11&gt;104%,H11*0.0075,I11&gt;99%,H11*0.005,I11&lt;99%,H11*0)</f>
        <v>1791347.7247782871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47231129.16144067</v>
      </c>
      <c r="E12" s="4">
        <v>43967168.22664921</v>
      </c>
      <c r="F12" s="59">
        <f t="shared" si="6"/>
        <v>3263960.9347914606</v>
      </c>
      <c r="G12" s="5">
        <f t="shared" si="1"/>
        <v>0.36794708829218503</v>
      </c>
      <c r="H12" s="4">
        <f t="shared" si="4"/>
        <v>122800935.81974575</v>
      </c>
      <c r="I12" s="5">
        <f t="shared" si="2"/>
        <v>0.95666242955968117</v>
      </c>
      <c r="J12" s="4">
        <f t="shared" si="5"/>
        <v>4723112.9161440674</v>
      </c>
      <c r="K12" s="4">
        <f t="shared" si="3"/>
        <v>5070799.1820740197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281</v>
      </c>
      <c r="C13" s="62">
        <v>42449057.394974999</v>
      </c>
      <c r="D13" s="4">
        <f>IFERROR(+VLOOKUP(B13,COMISIONES!A:E,5,FALSE),"0")*1</f>
        <v>16840704.884016886</v>
      </c>
      <c r="E13" s="4">
        <v>15508510.361208066</v>
      </c>
      <c r="F13" s="59">
        <f t="shared" si="6"/>
        <v>1332194.52280882</v>
      </c>
      <c r="G13" s="5">
        <f t="shared" si="1"/>
        <v>0.39672741675555889</v>
      </c>
      <c r="H13" s="4">
        <f t="shared" si="4"/>
        <v>43785832.698443905</v>
      </c>
      <c r="I13" s="5">
        <f t="shared" si="2"/>
        <v>1.0314912835644532</v>
      </c>
      <c r="J13" s="4">
        <f t="shared" si="5"/>
        <v>1684070.4884016886</v>
      </c>
      <c r="K13" s="4">
        <f t="shared" si="3"/>
        <v>1600522.031934882</v>
      </c>
      <c r="L13" s="63" cm="1">
        <f t="array" ref="L13">+_xlfn.IFS(I13&gt;109%,H13*0.015,I13&gt;104%,H13*0.0125,I13&gt;99%,H13*0.01,I13&lt;99%,H13*0)</f>
        <v>437858.32698443905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18588350.254008073</v>
      </c>
      <c r="E14" s="4">
        <v>15134794.861808075</v>
      </c>
      <c r="F14" s="59">
        <f t="shared" si="6"/>
        <v>3453555.3921999987</v>
      </c>
      <c r="G14" s="5">
        <f t="shared" si="1"/>
        <v>0.43789783318506642</v>
      </c>
      <c r="H14" s="4">
        <f t="shared" si="4"/>
        <v>48329710.660420991</v>
      </c>
      <c r="I14" s="5">
        <f t="shared" si="2"/>
        <v>1.1385343662811729</v>
      </c>
      <c r="J14" s="4">
        <f t="shared" si="5"/>
        <v>1858835.0254008074</v>
      </c>
      <c r="K14" s="4">
        <f t="shared" si="3"/>
        <v>1491294.1963104329</v>
      </c>
      <c r="L14" s="63" cm="1">
        <f t="array" ref="L14">+_xlfn.IFS(I14&gt;109%,H14*0.015,I14&gt;104%,H14*0.0125,I14&gt;99%,H14*0.01,I14&lt;99%,H14*0)</f>
        <v>724945.6599063148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137778575.83110523</v>
      </c>
      <c r="E15" s="65">
        <v>126688765.80133855</v>
      </c>
      <c r="F15" s="67">
        <f>+D15-E15</f>
        <v>11089810.029766679</v>
      </c>
      <c r="G15" s="66">
        <f t="shared" si="1"/>
        <v>0.40302055924696784</v>
      </c>
      <c r="H15" s="64">
        <f t="shared" si="4"/>
        <v>358224297.16087359</v>
      </c>
      <c r="I15" s="66">
        <f t="shared" si="2"/>
        <v>1.0478534540421163</v>
      </c>
      <c r="J15" s="64">
        <f t="shared" si="5"/>
        <v>13777857.583110522</v>
      </c>
      <c r="K15" s="67">
        <f t="shared" si="3"/>
        <v>12755394.120135892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8126363.5119889127</v>
      </c>
      <c r="E16" s="59">
        <v>7923450.3851792915</v>
      </c>
      <c r="F16" s="59">
        <f t="shared" ref="F16:F45" si="7">+D16-E16</f>
        <v>202913.12680962123</v>
      </c>
      <c r="G16" s="60">
        <f t="shared" si="1"/>
        <v>0.28583761913432687</v>
      </c>
      <c r="H16" s="59">
        <f t="shared" si="4"/>
        <v>21128545.131171174</v>
      </c>
      <c r="I16" s="60">
        <f t="shared" si="2"/>
        <v>0.74317780974924985</v>
      </c>
      <c r="J16" s="59">
        <f t="shared" si="5"/>
        <v>812636.35119889129</v>
      </c>
      <c r="K16" s="59">
        <f t="shared" si="3"/>
        <v>1268977.280500693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12217152.73219602</v>
      </c>
      <c r="E17" s="4">
        <v>11499873.253337771</v>
      </c>
      <c r="F17" s="59">
        <f t="shared" si="7"/>
        <v>717279.47885824926</v>
      </c>
      <c r="G17" s="5">
        <f t="shared" si="1"/>
        <v>0.48868610928784079</v>
      </c>
      <c r="H17" s="4">
        <f t="shared" si="4"/>
        <v>31764597.103709649</v>
      </c>
      <c r="I17" s="5">
        <f t="shared" si="2"/>
        <v>1.2705838841483861</v>
      </c>
      <c r="J17" s="4">
        <f t="shared" si="5"/>
        <v>1221715.2732196019</v>
      </c>
      <c r="K17" s="4">
        <f t="shared" si="3"/>
        <v>798927.95423774875</v>
      </c>
      <c r="L17" s="63" cm="1">
        <f t="array" ref="L17">+_xlfn.IFS(I17&gt;114%,H17*0.02,I17&gt;109%,H17*0.015,I17&gt;104%,H17*0.0125,I17&gt;99%,H17*0.01,I17&lt;99%,H17*0)</f>
        <v>635291.94207419304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10588309.368073536</v>
      </c>
      <c r="E18" s="4">
        <v>9370192.4356296156</v>
      </c>
      <c r="F18" s="59">
        <f t="shared" si="7"/>
        <v>1218116.9324439205</v>
      </c>
      <c r="G18" s="5">
        <f t="shared" si="1"/>
        <v>0.41522781835582495</v>
      </c>
      <c r="H18" s="4">
        <f t="shared" si="4"/>
        <v>27529604.35699119</v>
      </c>
      <c r="I18" s="5">
        <f t="shared" si="2"/>
        <v>1.0795923277251447</v>
      </c>
      <c r="J18" s="4">
        <f t="shared" si="5"/>
        <v>1058830.9368073535</v>
      </c>
      <c r="K18" s="4">
        <f t="shared" si="3"/>
        <v>931980.66449540399</v>
      </c>
      <c r="L18" s="63" cm="1">
        <f t="array" ref="L18">+_xlfn.IFS(I18&gt;114%,H18*0.02,I18&gt;109%,H18*0.015,I18&gt;104%,H18*0.0125,I18&gt;99%,H18*0.01,I18&lt;99%,H18*0)</f>
        <v>344120.0544623899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17572348.655228786</v>
      </c>
      <c r="E19" s="4">
        <v>14939045.834358348</v>
      </c>
      <c r="F19" s="59">
        <f t="shared" si="7"/>
        <v>2633302.8208704386</v>
      </c>
      <c r="G19" s="5">
        <f t="shared" si="1"/>
        <v>0.49921445043263596</v>
      </c>
      <c r="H19" s="4">
        <f t="shared" si="4"/>
        <v>45688106.503594846</v>
      </c>
      <c r="I19" s="5">
        <f t="shared" si="2"/>
        <v>1.2979575711248537</v>
      </c>
      <c r="J19" s="4">
        <f t="shared" si="5"/>
        <v>1757234.8655228787</v>
      </c>
      <c r="K19" s="4">
        <f t="shared" si="3"/>
        <v>1101728.2090482009</v>
      </c>
      <c r="L19" s="63" cm="1">
        <f t="array" ref="L19">+_xlfn.IFS(I19&gt;114%,H19*0.02,I19&gt;109%,H19*0.015,I19&gt;104%,H19*0.0125,I19&gt;99%,H19*0.01,I19&lt;99%,H19*0)</f>
        <v>913762.13007189694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6300208.1602029596</v>
      </c>
      <c r="E20" s="4">
        <v>5717931.7358681224</v>
      </c>
      <c r="F20" s="59">
        <f t="shared" si="7"/>
        <v>582276.42433483712</v>
      </c>
      <c r="G20" s="5">
        <f t="shared" si="1"/>
        <v>0.24138728583153102</v>
      </c>
      <c r="H20" s="4">
        <f t="shared" si="4"/>
        <v>16380541.216527695</v>
      </c>
      <c r="I20" s="5">
        <f t="shared" si="2"/>
        <v>0.62760694316198062</v>
      </c>
      <c r="J20" s="4">
        <f t="shared" si="5"/>
        <v>630020.81602029596</v>
      </c>
      <c r="K20" s="4">
        <f t="shared" si="3"/>
        <v>1237486.9899873151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12690359.941456947</v>
      </c>
      <c r="E21" s="4">
        <v>10963858.340031276</v>
      </c>
      <c r="F21" s="59">
        <f t="shared" si="7"/>
        <v>1726501.6014256719</v>
      </c>
      <c r="G21" s="5">
        <f t="shared" si="1"/>
        <v>0.38927484482996771</v>
      </c>
      <c r="H21" s="4">
        <f t="shared" si="4"/>
        <v>32994935.847788062</v>
      </c>
      <c r="I21" s="5">
        <f t="shared" si="2"/>
        <v>1.0121145965579159</v>
      </c>
      <c r="J21" s="4">
        <f t="shared" si="5"/>
        <v>1269035.9941456947</v>
      </c>
      <c r="K21" s="4">
        <f t="shared" si="3"/>
        <v>1244352.5036589408</v>
      </c>
      <c r="L21" s="63" cm="1">
        <f t="array" ref="L21">+_xlfn.IFS(I21&gt;114%,H21*0.02,I21&gt;109%,H21*0.015,I21&gt;104%,H21*0.0125,I21&gt;99%,H21*0.01,I21&lt;99%,H21*0)</f>
        <v>329949.35847788065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12140425.886230147</v>
      </c>
      <c r="E22" s="4">
        <v>10699217.0063674</v>
      </c>
      <c r="F22" s="59">
        <f t="shared" si="7"/>
        <v>1441208.8798627462</v>
      </c>
      <c r="G22" s="5">
        <f t="shared" si="1"/>
        <v>0.43051155624929599</v>
      </c>
      <c r="H22" s="4">
        <f t="shared" si="4"/>
        <v>31565107.304198384</v>
      </c>
      <c r="I22" s="5">
        <f t="shared" si="2"/>
        <v>1.1193300462481697</v>
      </c>
      <c r="J22" s="4">
        <f t="shared" si="5"/>
        <v>1214042.5886230147</v>
      </c>
      <c r="K22" s="4">
        <f t="shared" si="3"/>
        <v>1003723.3821106158</v>
      </c>
      <c r="L22" s="63" cm="1">
        <f t="array" ref="L22">+_xlfn.IFS(I22&gt;114%,H22*0.02,I22&gt;109%,H22*0.015,I22&gt;104%,H22*0.0125,I22&gt;99%,H22*0.01,I22&lt;99%,H22*0)</f>
        <v>473476.60956297576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17565236.403726086</v>
      </c>
      <c r="E23" s="4">
        <v>16650267.546214843</v>
      </c>
      <c r="F23" s="59">
        <f t="shared" si="7"/>
        <v>914968.85751124285</v>
      </c>
      <c r="G23" s="5">
        <f t="shared" si="1"/>
        <v>0.47992449190508429</v>
      </c>
      <c r="H23" s="4">
        <f t="shared" si="4"/>
        <v>45669614.649687819</v>
      </c>
      <c r="I23" s="5">
        <f t="shared" si="2"/>
        <v>1.2478036789532192</v>
      </c>
      <c r="J23" s="4">
        <f t="shared" si="5"/>
        <v>1756523.6403726086</v>
      </c>
      <c r="K23" s="4">
        <f t="shared" si="3"/>
        <v>1189672.7247671196</v>
      </c>
      <c r="L23" s="63" cm="1">
        <f t="array" ref="L23">+_xlfn.IFS(I23&gt;114%,H23*0.02,I23&gt;109%,H23*0.015,I23&gt;104%,H23*0.0125,I23&gt;99%,H23*0.01,I23&lt;99%,H23*0)</f>
        <v>913392.29299375636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97200404.659103394</v>
      </c>
      <c r="E24" s="65">
        <v>87763836.536986679</v>
      </c>
      <c r="F24" s="67">
        <f>+D24-E24</f>
        <v>9436568.1221167147</v>
      </c>
      <c r="G24" s="66">
        <f t="shared" si="1"/>
        <v>0.40904096561504605</v>
      </c>
      <c r="H24" s="64">
        <f t="shared" si="4"/>
        <v>252721052.11366883</v>
      </c>
      <c r="I24" s="66">
        <f t="shared" si="2"/>
        <v>1.0635065105991197</v>
      </c>
      <c r="J24" s="64">
        <f t="shared" si="5"/>
        <v>9720040.4659103397</v>
      </c>
      <c r="K24" s="67">
        <f t="shared" si="3"/>
        <v>8776849.7088060379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31504313.129517388</v>
      </c>
      <c r="E25" s="59">
        <v>24060089.417401519</v>
      </c>
      <c r="F25" s="59">
        <f t="shared" si="7"/>
        <v>7444223.7121158689</v>
      </c>
      <c r="G25" s="60">
        <f t="shared" si="1"/>
        <v>0.37493019745991468</v>
      </c>
      <c r="H25" s="59">
        <f t="shared" si="4"/>
        <v>81911214.136745214</v>
      </c>
      <c r="I25" s="60">
        <f t="shared" si="2"/>
        <v>0.97481851339577819</v>
      </c>
      <c r="J25" s="59">
        <f t="shared" si="5"/>
        <v>3150431.3129517389</v>
      </c>
      <c r="K25" s="59">
        <f t="shared" si="3"/>
        <v>3282676.835655163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5625443.5907326406</v>
      </c>
      <c r="E26" s="4">
        <v>5222780.7537779333</v>
      </c>
      <c r="F26" s="59">
        <f t="shared" si="7"/>
        <v>402662.83695470728</v>
      </c>
      <c r="G26" s="5">
        <f t="shared" si="1"/>
        <v>0.26134464997596474</v>
      </c>
      <c r="H26" s="4">
        <f t="shared" si="4"/>
        <v>14626153.335904866</v>
      </c>
      <c r="I26" s="5">
        <f t="shared" si="2"/>
        <v>0.67949608993750843</v>
      </c>
      <c r="J26" s="4">
        <f t="shared" si="5"/>
        <v>562544.35907326406</v>
      </c>
      <c r="K26" s="4">
        <f t="shared" si="3"/>
        <v>993722.27557920967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8370904.1887592161</v>
      </c>
      <c r="E27" s="4">
        <v>8170804.3336611763</v>
      </c>
      <c r="F27" s="59">
        <f t="shared" si="7"/>
        <v>200099.85509803984</v>
      </c>
      <c r="G27" s="5">
        <f t="shared" si="1"/>
        <v>0.31728170079338264</v>
      </c>
      <c r="H27" s="4">
        <f t="shared" si="4"/>
        <v>21764350.890773963</v>
      </c>
      <c r="I27" s="5">
        <f t="shared" si="2"/>
        <v>0.82493242206279493</v>
      </c>
      <c r="J27" s="4">
        <f t="shared" si="5"/>
        <v>837090.41887592163</v>
      </c>
      <c r="K27" s="4">
        <f t="shared" si="3"/>
        <v>1125768.0194525488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9691202.16131524</v>
      </c>
      <c r="E28" s="4">
        <v>7671844.4784002034</v>
      </c>
      <c r="F28" s="59">
        <f t="shared" si="7"/>
        <v>2019357.6829150366</v>
      </c>
      <c r="G28" s="5">
        <f t="shared" si="1"/>
        <v>0.24729371626482644</v>
      </c>
      <c r="H28" s="4">
        <f t="shared" si="4"/>
        <v>25197125.619419623</v>
      </c>
      <c r="I28" s="5">
        <f t="shared" si="2"/>
        <v>0.64296366228854873</v>
      </c>
      <c r="J28" s="4">
        <f t="shared" si="5"/>
        <v>969120.21613152395</v>
      </c>
      <c r="K28" s="4">
        <f t="shared" si="3"/>
        <v>1843614.5674133482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11517135.717646666</v>
      </c>
      <c r="E29" s="4">
        <v>9166499.405219052</v>
      </c>
      <c r="F29" s="59">
        <f t="shared" si="7"/>
        <v>2350636.3124276139</v>
      </c>
      <c r="G29" s="5">
        <f t="shared" si="1"/>
        <v>0.44210582104979385</v>
      </c>
      <c r="H29" s="4">
        <f t="shared" si="4"/>
        <v>29944552.865881331</v>
      </c>
      <c r="I29" s="5">
        <f t="shared" si="2"/>
        <v>1.1494751347294641</v>
      </c>
      <c r="J29" s="4">
        <f t="shared" si="5"/>
        <v>1151713.5717646666</v>
      </c>
      <c r="K29" s="4">
        <f t="shared" si="3"/>
        <v>908343.47077208315</v>
      </c>
      <c r="L29" s="63" cm="1">
        <f t="array" ref="L29">+_xlfn.IFS(I29&gt;114%,H29*0.02,I29&gt;109%,H29*0.015,I29&gt;104%,H29*0.0125,I29&gt;99%,H29*0.01,I29&lt;99%,H29*0)</f>
        <v>598891.05731762666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6318586.0525565213</v>
      </c>
      <c r="E30" s="4">
        <v>5133908.4258306324</v>
      </c>
      <c r="F30" s="59">
        <f t="shared" si="7"/>
        <v>1184677.6267258888</v>
      </c>
      <c r="G30" s="5">
        <f t="shared" si="1"/>
        <v>0.24462199196889362</v>
      </c>
      <c r="H30" s="4">
        <f t="shared" si="4"/>
        <v>16428323.736646954</v>
      </c>
      <c r="I30" s="5">
        <f t="shared" si="2"/>
        <v>0.63601717911912337</v>
      </c>
      <c r="J30" s="4">
        <f t="shared" si="5"/>
        <v>631858.6052556521</v>
      </c>
      <c r="K30" s="4">
        <f t="shared" si="3"/>
        <v>1219463.3717152171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8156312.7246988863</v>
      </c>
      <c r="E31" s="4">
        <v>7658047.6725885291</v>
      </c>
      <c r="F31" s="59">
        <f t="shared" si="7"/>
        <v>498265.05211035721</v>
      </c>
      <c r="G31" s="5">
        <f t="shared" si="1"/>
        <v>0.30031525632384781</v>
      </c>
      <c r="H31" s="4">
        <f t="shared" si="4"/>
        <v>21206413.084217105</v>
      </c>
      <c r="I31" s="5">
        <f t="shared" si="2"/>
        <v>0.78081966644200429</v>
      </c>
      <c r="J31" s="4">
        <f t="shared" si="5"/>
        <v>815631.27246988867</v>
      </c>
      <c r="K31" s="4">
        <f t="shared" si="3"/>
        <v>1187678.5015813194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4948082.8401815249</v>
      </c>
      <c r="E32" s="4">
        <v>4332303.2895083474</v>
      </c>
      <c r="F32" s="59">
        <f t="shared" si="7"/>
        <v>615779.55067317747</v>
      </c>
      <c r="G32" s="5">
        <f t="shared" si="1"/>
        <v>0.22987609013619167</v>
      </c>
      <c r="H32" s="4">
        <f t="shared" si="4"/>
        <v>12865015.384471966</v>
      </c>
      <c r="I32" s="5">
        <f t="shared" si="2"/>
        <v>0.59767783435409838</v>
      </c>
      <c r="J32" s="4">
        <f t="shared" si="5"/>
        <v>494808.28401815251</v>
      </c>
      <c r="K32" s="4">
        <f t="shared" si="3"/>
        <v>1036057.3224886544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283</v>
      </c>
      <c r="C33" s="74">
        <v>25274654.999999996</v>
      </c>
      <c r="D33" s="4">
        <f>IFERROR(+VLOOKUP(B33,COMISIONES!A:E,5,FALSE),"0")*1</f>
        <v>2608377.8855874469</v>
      </c>
      <c r="E33" s="4">
        <v>2133095.2540488364</v>
      </c>
      <c r="F33" s="59">
        <f t="shared" si="7"/>
        <v>475282.63153861044</v>
      </c>
      <c r="G33" s="5">
        <f t="shared" si="1"/>
        <v>0.10320132502649185</v>
      </c>
      <c r="H33" s="4">
        <f t="shared" si="4"/>
        <v>6781782.5025273617</v>
      </c>
      <c r="I33" s="5">
        <f t="shared" si="2"/>
        <v>0.26832344506887879</v>
      </c>
      <c r="J33" s="4">
        <f t="shared" si="5"/>
        <v>260837.78855874468</v>
      </c>
      <c r="K33" s="4">
        <f t="shared" si="3"/>
        <v>1416642.3196507844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204</v>
      </c>
      <c r="C34" s="74">
        <v>25865874.999999996</v>
      </c>
      <c r="D34" s="4">
        <f>IFERROR(+VLOOKUP(B34,COMISIONES!A:E,5,FALSE),"0")*1</f>
        <v>4419370.3133026697</v>
      </c>
      <c r="E34" s="4">
        <v>3594969.6032369891</v>
      </c>
      <c r="F34" s="59">
        <f t="shared" si="7"/>
        <v>824400.71006568056</v>
      </c>
      <c r="G34" s="5">
        <f t="shared" si="1"/>
        <v>0.17085717430021874</v>
      </c>
      <c r="H34" s="4">
        <f t="shared" si="4"/>
        <v>11490362.814586941</v>
      </c>
      <c r="I34" s="5">
        <f t="shared" si="2"/>
        <v>0.4442286531805687</v>
      </c>
      <c r="J34" s="4">
        <f t="shared" si="5"/>
        <v>441937.03133026697</v>
      </c>
      <c r="K34" s="4">
        <f t="shared" si="3"/>
        <v>1340406.5429185829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41225241.713749997</v>
      </c>
      <c r="E35" s="4">
        <v>19525903.446049999</v>
      </c>
      <c r="F35" s="59">
        <f t="shared" si="7"/>
        <v>21699338.267699998</v>
      </c>
      <c r="G35" s="5">
        <f t="shared" si="1"/>
        <v>0.32963831773099422</v>
      </c>
      <c r="H35" s="4">
        <f t="shared" si="4"/>
        <v>107185628.45575</v>
      </c>
      <c r="I35" s="5">
        <f t="shared" si="2"/>
        <v>0.85705962610058506</v>
      </c>
      <c r="J35" s="4">
        <f t="shared" si="5"/>
        <v>4122524.1713749999</v>
      </c>
      <c r="K35" s="4">
        <f t="shared" si="3"/>
        <v>5239800.1272656247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9560182.3710999992</v>
      </c>
      <c r="E36" s="4">
        <v>9509747.7706000004</v>
      </c>
      <c r="F36" s="59">
        <f t="shared" si="7"/>
        <v>50434.600499998778</v>
      </c>
      <c r="G36" s="5">
        <f t="shared" si="1"/>
        <v>0.26126070563913367</v>
      </c>
      <c r="H36" s="4">
        <f t="shared" si="4"/>
        <v>24856474.164859995</v>
      </c>
      <c r="I36" s="5">
        <f t="shared" si="2"/>
        <v>0.67927783466174751</v>
      </c>
      <c r="J36" s="4">
        <f t="shared" si="5"/>
        <v>956018.23710999987</v>
      </c>
      <c r="K36" s="4">
        <f t="shared" si="3"/>
        <v>1689519.8518062499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11881152.477487061</v>
      </c>
      <c r="E37" s="4">
        <v>10815585.894405756</v>
      </c>
      <c r="F37" s="59">
        <f t="shared" si="7"/>
        <v>1065566.583081305</v>
      </c>
      <c r="G37" s="5">
        <f t="shared" si="1"/>
        <v>0.31878198936304664</v>
      </c>
      <c r="H37" s="4">
        <f t="shared" si="4"/>
        <v>30890996.441466358</v>
      </c>
      <c r="I37" s="5">
        <f t="shared" si="2"/>
        <v>0.82883317234392118</v>
      </c>
      <c r="J37" s="4">
        <f t="shared" si="5"/>
        <v>1188115.247748706</v>
      </c>
      <c r="K37" s="4">
        <f t="shared" si="3"/>
        <v>1586831.9346867457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155826305.16663527</v>
      </c>
      <c r="E38" s="65">
        <v>116995579.74472897</v>
      </c>
      <c r="F38" s="67">
        <f>+D38-E38</f>
        <v>38830725.421906307</v>
      </c>
      <c r="G38" s="66">
        <f t="shared" si="1"/>
        <v>0.2986581681964221</v>
      </c>
      <c r="H38" s="64">
        <f t="shared" si="4"/>
        <v>405148393.43325168</v>
      </c>
      <c r="I38" s="66">
        <f t="shared" si="2"/>
        <v>0.77651123731069749</v>
      </c>
      <c r="J38" s="64">
        <f t="shared" si="5"/>
        <v>15582630.516663527</v>
      </c>
      <c r="K38" s="67">
        <f t="shared" si="3"/>
        <v>22870525.14098553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12176290.928946314</v>
      </c>
      <c r="E39" s="4">
        <v>12176290.928946314</v>
      </c>
      <c r="F39" s="59">
        <f t="shared" si="7"/>
        <v>0</v>
      </c>
      <c r="G39" s="5">
        <f t="shared" si="1"/>
        <v>0.34789402654132329</v>
      </c>
      <c r="H39" s="4">
        <f t="shared" ref="H39:H46" si="8">+D39/$N$3*$N$4</f>
        <v>31658356.415260419</v>
      </c>
      <c r="I39" s="5">
        <f t="shared" ref="I39:I46" si="9">+H39/C39</f>
        <v>0.90452446900744055</v>
      </c>
      <c r="J39" s="4">
        <f t="shared" ref="J39:J46" si="10">+D39/$N$3</f>
        <v>1217629.0928946314</v>
      </c>
      <c r="K39" s="4">
        <f t="shared" ref="K39:K46" si="11">+(C39-D39)/$N$2</f>
        <v>1426481.8169408552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7242623.3585071834</v>
      </c>
      <c r="E40" s="4">
        <v>7242623.3585071834</v>
      </c>
      <c r="F40" s="59">
        <f t="shared" si="7"/>
        <v>0</v>
      </c>
      <c r="G40" s="5">
        <f t="shared" si="1"/>
        <v>0.24142077861690611</v>
      </c>
      <c r="H40" s="4">
        <f t="shared" si="8"/>
        <v>18830820.732118677</v>
      </c>
      <c r="I40" s="5">
        <f t="shared" si="9"/>
        <v>0.62769402440395594</v>
      </c>
      <c r="J40" s="4">
        <f t="shared" si="10"/>
        <v>724262.33585071831</v>
      </c>
      <c r="K40" s="4">
        <f t="shared" si="11"/>
        <v>1422336.0400933011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12996243.526553847</v>
      </c>
      <c r="E41" s="4">
        <v>4903927.0361729171</v>
      </c>
      <c r="F41" s="59">
        <f t="shared" si="7"/>
        <v>8092316.4903809298</v>
      </c>
      <c r="G41" s="5">
        <f t="shared" si="1"/>
        <v>0.4008504662102722</v>
      </c>
      <c r="H41" s="4">
        <f t="shared" si="8"/>
        <v>33790233.169040002</v>
      </c>
      <c r="I41" s="5">
        <f t="shared" si="9"/>
        <v>1.0422112121467078</v>
      </c>
      <c r="J41" s="4">
        <f t="shared" si="10"/>
        <v>1299624.3526553847</v>
      </c>
      <c r="K41" s="4">
        <f t="shared" si="11"/>
        <v>1214089.4651392081</v>
      </c>
      <c r="L41" s="63" cm="1">
        <f t="array" ref="L41">+_xlfn.IFS(I41&gt;114%,H41*0.02,I41&gt;109%,H41*0.015,I41&gt;104%,H41*0.0125,I41&gt;99%,H41*0.01,I41&lt;99%,H41*0)</f>
        <v>422377.91461300006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23595021.610075861</v>
      </c>
      <c r="E42" s="4">
        <v>23585829.082068507</v>
      </c>
      <c r="F42" s="59">
        <f t="shared" si="7"/>
        <v>9192.5280073545873</v>
      </c>
      <c r="G42" s="5">
        <f t="shared" si="1"/>
        <v>0.42577551737818925</v>
      </c>
      <c r="H42" s="4">
        <f t="shared" si="8"/>
        <v>61347056.186197236</v>
      </c>
      <c r="I42" s="5">
        <f t="shared" si="9"/>
        <v>1.1070163451832919</v>
      </c>
      <c r="J42" s="4">
        <f t="shared" si="10"/>
        <v>2359502.1610075859</v>
      </c>
      <c r="K42" s="4">
        <f t="shared" si="11"/>
        <v>1988847.1922843214</v>
      </c>
      <c r="L42" s="63" cm="1">
        <f t="array" ref="L42">+_xlfn.IFS(I42&gt;114%,H42*0.02,I42&gt;109%,H42*0.015,I42&gt;104%,H42*0.0125,I42&gt;99%,H42*0.01,I42&lt;99%,H42*0)</f>
        <v>920205.84279295849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25612719.376140997</v>
      </c>
      <c r="E43" s="4">
        <v>25612719.376140997</v>
      </c>
      <c r="F43" s="59">
        <f t="shared" si="7"/>
        <v>0</v>
      </c>
      <c r="G43" s="5">
        <f t="shared" si="1"/>
        <v>0.25612719376140997</v>
      </c>
      <c r="H43" s="4">
        <f t="shared" si="8"/>
        <v>66593070.37796659</v>
      </c>
      <c r="I43" s="5">
        <f t="shared" si="9"/>
        <v>0.6659307037796659</v>
      </c>
      <c r="J43" s="4">
        <f t="shared" si="10"/>
        <v>2561271.9376140996</v>
      </c>
      <c r="K43" s="4">
        <f t="shared" si="11"/>
        <v>4649205.0389911877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47656242.120122135</v>
      </c>
      <c r="E44" s="4">
        <v>43860121.140050523</v>
      </c>
      <c r="F44" s="59">
        <f t="shared" si="7"/>
        <v>3796120.9800716117</v>
      </c>
      <c r="G44" s="5">
        <f t="shared" si="1"/>
        <v>0.47656242120122133</v>
      </c>
      <c r="H44" s="4">
        <f t="shared" si="8"/>
        <v>123906229.51231755</v>
      </c>
      <c r="I44" s="5">
        <f t="shared" si="9"/>
        <v>1.2390622951231756</v>
      </c>
      <c r="J44" s="4">
        <f t="shared" si="10"/>
        <v>4765624.2120122137</v>
      </c>
      <c r="K44" s="4">
        <f t="shared" si="11"/>
        <v>3271484.8674923666</v>
      </c>
      <c r="L44" s="63" cm="1">
        <f t="array" ref="L44">+_xlfn.IFS(I44&gt;114%,H44*0.02,I44&gt;109%,H44*0.015,I44&gt;104%,H44*0.0125,I44&gt;99%,H44*0.01,I44&lt;99%,H44*0)</f>
        <v>2478124.590246351</v>
      </c>
    </row>
    <row r="45" spans="1:12" ht="15.75" x14ac:dyDescent="0.25">
      <c r="A45" s="145"/>
      <c r="B45" s="140" t="s">
        <v>268</v>
      </c>
      <c r="C45" s="4">
        <v>100000000</v>
      </c>
      <c r="D45" s="4">
        <f>IFERROR(+VLOOKUP(B45,COMISIONES!A:E,5,FALSE),"0")*1</f>
        <v>17718219.575619414</v>
      </c>
      <c r="E45" s="4">
        <v>17718219.575619414</v>
      </c>
      <c r="F45" s="59">
        <f t="shared" si="7"/>
        <v>0</v>
      </c>
      <c r="G45" s="5">
        <f t="shared" si="1"/>
        <v>0.17718219575619415</v>
      </c>
      <c r="H45" s="4">
        <f t="shared" si="8"/>
        <v>46067370.896610476</v>
      </c>
      <c r="I45" s="5">
        <f t="shared" si="9"/>
        <v>0.46067370896610477</v>
      </c>
      <c r="J45" s="4">
        <f t="shared" si="10"/>
        <v>1771821.9575619414</v>
      </c>
      <c r="K45" s="4">
        <f t="shared" si="11"/>
        <v>5142611.2765237866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6"/>
      <c r="B46" s="137"/>
      <c r="C46" s="67">
        <v>455695855.27356702</v>
      </c>
      <c r="D46" s="67">
        <f>SUM(D39:D45)</f>
        <v>146997360.49596575</v>
      </c>
      <c r="E46" s="67">
        <v>135099730.49750584</v>
      </c>
      <c r="F46" s="67">
        <f>+SUM(F39:F45)</f>
        <v>11897629.998459896</v>
      </c>
      <c r="G46" s="66">
        <f t="shared" si="1"/>
        <v>0.32257778690508193</v>
      </c>
      <c r="H46" s="64">
        <f t="shared" si="8"/>
        <v>382193137.28951091</v>
      </c>
      <c r="I46" s="66">
        <f t="shared" si="9"/>
        <v>0.83870224595321285</v>
      </c>
      <c r="J46" s="64">
        <f t="shared" si="10"/>
        <v>14699736.049596574</v>
      </c>
      <c r="K46" s="67">
        <f t="shared" si="11"/>
        <v>19293655.923600078</v>
      </c>
      <c r="L46" s="68"/>
    </row>
    <row r="47" spans="1:12" ht="16.5" thickBot="1" x14ac:dyDescent="0.3">
      <c r="A47" s="76" t="s">
        <v>282</v>
      </c>
      <c r="B47" s="77"/>
      <c r="C47" s="78">
        <v>1379767147.0931361</v>
      </c>
      <c r="D47" s="78">
        <f>+D38+D24+D10+D15+D46</f>
        <v>662913494.12309706</v>
      </c>
      <c r="E47" s="79">
        <v>579289885.38741612</v>
      </c>
      <c r="F47" s="78">
        <f>+D47-E47</f>
        <v>83623608.735680938</v>
      </c>
      <c r="G47" s="80">
        <f>+D47/C47</f>
        <v>0.48045316597058352</v>
      </c>
      <c r="H47" s="78">
        <f>+D47/$N$3*$N$4</f>
        <v>1723575084.7200522</v>
      </c>
      <c r="I47" s="142">
        <f t="shared" si="2"/>
        <v>1.2491782315235171</v>
      </c>
      <c r="J47" s="78">
        <f>+D47/$N$3</f>
        <v>66291349.412309706</v>
      </c>
      <c r="K47" s="78">
        <f>+(C47-D47)/$N$2</f>
        <v>44803353.310627438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6"/>
  <sheetViews>
    <sheetView workbookViewId="0">
      <selection activeCell="H47" sqref="H47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0.66666666666666663</v>
      </c>
      <c r="E2" s="13">
        <v>33</v>
      </c>
      <c r="F2" s="12">
        <f>+H2-E2</f>
        <v>17</v>
      </c>
      <c r="G2" s="13">
        <f>VLOOKUP(B2,'Base Cobertura'!$A:$C,3,FALSE)</f>
        <v>75</v>
      </c>
      <c r="H2" s="13">
        <f>VLOOKUP(B2,'Base Cobertura'!$A:$C,2,FALSE)</f>
        <v>50</v>
      </c>
      <c r="I2" s="17">
        <f>(+G2*$M$2)-H2</f>
        <v>13.75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0.72687224669603523</v>
      </c>
      <c r="E3" s="13">
        <v>126</v>
      </c>
      <c r="F3" s="12">
        <f t="shared" ref="F3:F13" si="1">+H3-E3</f>
        <v>39</v>
      </c>
      <c r="G3" s="13">
        <f>VLOOKUP(B3,'Base Cobertura'!$A:$C,3,FALSE)</f>
        <v>227</v>
      </c>
      <c r="H3" s="13">
        <f>VLOOKUP(B3,'Base Cobertura'!$A:$C,2,FALSE)</f>
        <v>165</v>
      </c>
      <c r="I3" s="17">
        <f t="shared" ref="I3:I13" si="2">(+G3*$M$2)-H3</f>
        <v>27.949999999999989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40</v>
      </c>
      <c r="T3" s="12">
        <v>173</v>
      </c>
      <c r="U3" s="41">
        <f>+S3/T3</f>
        <v>0.23121387283236994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0.52307692307692311</v>
      </c>
      <c r="E4" s="13">
        <v>21</v>
      </c>
      <c r="F4" s="12">
        <f t="shared" si="1"/>
        <v>13</v>
      </c>
      <c r="G4" s="13">
        <f>VLOOKUP(B4,'Base Cobertura'!$A:$C,3,FALSE)</f>
        <v>65</v>
      </c>
      <c r="H4" s="13">
        <f>VLOOKUP(B4,'Base Cobertura'!$A:$C,2,FALSE)</f>
        <v>34</v>
      </c>
      <c r="I4" s="17">
        <f t="shared" si="2"/>
        <v>21.25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25</v>
      </c>
      <c r="T4" s="13">
        <v>173</v>
      </c>
      <c r="U4" s="5">
        <f t="shared" ref="U4:U11" si="3">+S4/T4</f>
        <v>0.14450867052023122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0.66826923076923073</v>
      </c>
      <c r="E5" s="13">
        <v>100</v>
      </c>
      <c r="F5" s="12">
        <f t="shared" si="1"/>
        <v>39</v>
      </c>
      <c r="G5" s="13">
        <f>VLOOKUP(B5,'Base Cobertura'!$A:$C,3,FALSE)</f>
        <v>208</v>
      </c>
      <c r="H5" s="13">
        <f>VLOOKUP(B5,'Base Cobertura'!$A:$C,2,FALSE)</f>
        <v>139</v>
      </c>
      <c r="I5" s="17">
        <f t="shared" si="2"/>
        <v>37.799999999999983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33</v>
      </c>
      <c r="T5" s="13">
        <v>173</v>
      </c>
      <c r="U5" s="5">
        <f t="shared" si="3"/>
        <v>0.19075144508670519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0.63316582914572861</v>
      </c>
      <c r="E6" s="13">
        <v>81</v>
      </c>
      <c r="F6" s="12">
        <f t="shared" si="1"/>
        <v>45</v>
      </c>
      <c r="G6" s="13">
        <f>VLOOKUP(B6,'Base Cobertura'!$A:$C,3,FALSE)</f>
        <v>199</v>
      </c>
      <c r="H6" s="13">
        <f>VLOOKUP(B6,'Base Cobertura'!$A:$C,2,FALSE)</f>
        <v>126</v>
      </c>
      <c r="I6" s="17">
        <f t="shared" si="2"/>
        <v>43.150000000000006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38</v>
      </c>
      <c r="T6" s="13">
        <v>173</v>
      </c>
      <c r="U6" s="5">
        <f t="shared" si="3"/>
        <v>0.21965317919075145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0.66355140186915884</v>
      </c>
      <c r="E7" s="13">
        <v>89</v>
      </c>
      <c r="F7" s="12">
        <f t="shared" si="1"/>
        <v>53</v>
      </c>
      <c r="G7" s="13">
        <f>VLOOKUP(B7,'Base Cobertura'!$A:$C,3,FALSE)</f>
        <v>214</v>
      </c>
      <c r="H7" s="13">
        <f>VLOOKUP(B7,'Base Cobertura'!$A:$C,2,FALSE)</f>
        <v>142</v>
      </c>
      <c r="I7" s="17">
        <f t="shared" si="2"/>
        <v>39.900000000000006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46</v>
      </c>
      <c r="T7" s="13">
        <v>173</v>
      </c>
      <c r="U7" s="5">
        <f t="shared" si="3"/>
        <v>0.26589595375722541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0.65697674418604646</v>
      </c>
      <c r="E8" s="13">
        <v>92</v>
      </c>
      <c r="F8" s="12">
        <f t="shared" si="1"/>
        <v>21</v>
      </c>
      <c r="G8" s="13">
        <f>VLOOKUP(B8,'Base Cobertura'!$A:$C,3,FALSE)</f>
        <v>172</v>
      </c>
      <c r="H8" s="13">
        <f>VLOOKUP(B8,'Base Cobertura'!$A:$C,2,FALSE)</f>
        <v>113</v>
      </c>
      <c r="I8" s="17">
        <f t="shared" si="2"/>
        <v>33.199999999999989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36</v>
      </c>
      <c r="T8" s="13">
        <v>173</v>
      </c>
      <c r="U8" s="5">
        <f t="shared" si="3"/>
        <v>0.20809248554913296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0.38461538461538464</v>
      </c>
      <c r="E9" s="13">
        <v>64</v>
      </c>
      <c r="F9" s="12">
        <f t="shared" si="1"/>
        <v>11</v>
      </c>
      <c r="G9" s="13">
        <f>VLOOKUP(B9,'Base Cobertura'!$A:$C,3,FALSE)</f>
        <v>195</v>
      </c>
      <c r="H9" s="13">
        <f>VLOOKUP(B9,'Base Cobertura'!$A:$C,2,FALSE)</f>
        <v>75</v>
      </c>
      <c r="I9" s="17">
        <f t="shared" si="2"/>
        <v>90.75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44</v>
      </c>
      <c r="T9" s="13">
        <v>173</v>
      </c>
      <c r="U9" s="5">
        <f t="shared" si="3"/>
        <v>0.25433526011560692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0.25242718446601942</v>
      </c>
      <c r="E10" s="31">
        <v>19</v>
      </c>
      <c r="F10" s="33">
        <f t="shared" si="1"/>
        <v>7</v>
      </c>
      <c r="G10" s="13">
        <f>VLOOKUP(B10,'Base Cobertura'!$A:$C,3,FALSE)</f>
        <v>103</v>
      </c>
      <c r="H10" s="13">
        <f>VLOOKUP(B10,'Base Cobertura'!$A:$C,2,FALSE)</f>
        <v>26</v>
      </c>
      <c r="I10" s="34">
        <f t="shared" si="2"/>
        <v>61.55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25</v>
      </c>
      <c r="T10" s="13">
        <v>173</v>
      </c>
      <c r="U10" s="5">
        <f t="shared" si="3"/>
        <v>0.14450867052023122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0.30476190476190479</v>
      </c>
      <c r="E11" s="31">
        <v>24</v>
      </c>
      <c r="F11" s="33">
        <f t="shared" si="1"/>
        <v>8</v>
      </c>
      <c r="G11" s="13">
        <f>VLOOKUP(B11,'Base Cobertura'!$A:$C,3,FALSE)</f>
        <v>105</v>
      </c>
      <c r="H11" s="13">
        <f>VLOOKUP(B11,'Base Cobertura'!$A:$C,2,FALSE)</f>
        <v>32</v>
      </c>
      <c r="I11" s="34">
        <f t="shared" si="2"/>
        <v>57.25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14</v>
      </c>
      <c r="T11" s="13">
        <v>173</v>
      </c>
      <c r="U11" s="5">
        <f t="shared" si="3"/>
        <v>8.0924855491329481E-2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0.66666666666666663</v>
      </c>
      <c r="E12" s="13">
        <v>144</v>
      </c>
      <c r="F12" s="12">
        <f t="shared" si="1"/>
        <v>30</v>
      </c>
      <c r="G12" s="13">
        <f>VLOOKUP(B12,'Base Cobertura'!$A:$C,3,FALSE)</f>
        <v>261</v>
      </c>
      <c r="H12" s="13">
        <f>VLOOKUP(B12,'Base Cobertura'!$A:$C,2,FALSE)</f>
        <v>174</v>
      </c>
      <c r="I12" s="17">
        <f t="shared" si="2"/>
        <v>47.849999999999994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0.56593406593406592</v>
      </c>
      <c r="E13" s="13">
        <v>85</v>
      </c>
      <c r="F13" s="12">
        <f t="shared" si="1"/>
        <v>18</v>
      </c>
      <c r="G13" s="13">
        <f>VLOOKUP(B13,'Base Cobertura'!$A:$C,3,FALSE)</f>
        <v>182</v>
      </c>
      <c r="H13" s="13">
        <f>VLOOKUP(B13,'Base Cobertura'!$A:$C,2,FALSE)</f>
        <v>103</v>
      </c>
      <c r="I13" s="17">
        <f t="shared" si="2"/>
        <v>51.699999999999989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301</v>
      </c>
      <c r="G14" s="8">
        <f>+SUM(G1:G13)</f>
        <v>2006</v>
      </c>
      <c r="H14" s="8">
        <f>+SUM(H1:H13)</f>
        <v>1179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0.56441717791411039</v>
      </c>
      <c r="E15" s="13">
        <v>90</v>
      </c>
      <c r="F15" s="12">
        <f t="shared" ref="F15:F36" si="6">+H15-E15</f>
        <v>2</v>
      </c>
      <c r="G15" s="13">
        <f>VLOOKUP(B15,'Base Cobertura'!$A:$C,3,FALSE)</f>
        <v>163</v>
      </c>
      <c r="H15" s="13">
        <f>VLOOKUP(B15,'Base Cobertura'!$A:$C,2,FALSE)</f>
        <v>92</v>
      </c>
      <c r="I15" s="17">
        <f t="shared" ref="I15:I36" si="7">(+G15*$M$2)-H15</f>
        <v>46.549999999999983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0.57360406091370564</v>
      </c>
      <c r="E16" s="13">
        <v>92</v>
      </c>
      <c r="F16" s="12">
        <f t="shared" si="6"/>
        <v>21</v>
      </c>
      <c r="G16" s="13">
        <f>VLOOKUP(B16,'Base Cobertura'!$A:$C,3,FALSE)</f>
        <v>197</v>
      </c>
      <c r="H16" s="13">
        <f>VLOOKUP(B16,'Base Cobertura'!$A:$C,2,FALSE)</f>
        <v>113</v>
      </c>
      <c r="I16" s="17">
        <f t="shared" si="7"/>
        <v>54.449999999999989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0.68235294117647061</v>
      </c>
      <c r="E17" s="13">
        <v>88</v>
      </c>
      <c r="F17" s="12">
        <f t="shared" si="6"/>
        <v>28</v>
      </c>
      <c r="G17" s="13">
        <f>VLOOKUP(B17,'Base Cobertura'!$A:$C,3,FALSE)</f>
        <v>170</v>
      </c>
      <c r="H17" s="13">
        <f>VLOOKUP(B17,'Base Cobertura'!$A:$C,2,FALSE)</f>
        <v>116</v>
      </c>
      <c r="I17" s="17">
        <f t="shared" si="7"/>
        <v>28.5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</v>
      </c>
      <c r="E18" s="13">
        <v>95</v>
      </c>
      <c r="F18" s="12">
        <f t="shared" si="6"/>
        <v>-2</v>
      </c>
      <c r="G18" s="13">
        <f>VLOOKUP(B18,'Base Cobertura'!$A:$C,3,FALSE)</f>
        <v>155</v>
      </c>
      <c r="H18" s="13">
        <f>VLOOKUP(B18,'Base Cobertura'!$A:$C,2,FALSE)</f>
        <v>93</v>
      </c>
      <c r="I18" s="17">
        <f t="shared" si="7"/>
        <v>38.75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0.70718232044198892</v>
      </c>
      <c r="E19" s="13">
        <v>83</v>
      </c>
      <c r="F19" s="12">
        <f t="shared" si="6"/>
        <v>45</v>
      </c>
      <c r="G19" s="13">
        <f>VLOOKUP(B19,'Base Cobertura'!$A:$C,3,FALSE)</f>
        <v>181</v>
      </c>
      <c r="H19" s="13">
        <f>VLOOKUP(B19,'Base Cobertura'!$A:$C,2,FALSE)</f>
        <v>128</v>
      </c>
      <c r="I19" s="17">
        <f t="shared" si="7"/>
        <v>25.849999999999994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0.63218390804597702</v>
      </c>
      <c r="E20" s="13">
        <v>64</v>
      </c>
      <c r="F20" s="12">
        <f t="shared" si="6"/>
        <v>46</v>
      </c>
      <c r="G20" s="13">
        <f>VLOOKUP(B20,'Base Cobertura'!$A:$C,3,FALSE)</f>
        <v>174</v>
      </c>
      <c r="H20" s="13">
        <f>VLOOKUP(B20,'Base Cobertura'!$A:$C,2,FALSE)</f>
        <v>110</v>
      </c>
      <c r="I20" s="17">
        <f t="shared" si="7"/>
        <v>37.900000000000006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0.64406779661016944</v>
      </c>
      <c r="E21" s="13">
        <v>70</v>
      </c>
      <c r="F21" s="12">
        <f t="shared" si="6"/>
        <v>6</v>
      </c>
      <c r="G21" s="13">
        <f>VLOOKUP(B21,'Base Cobertura'!$A:$C,3,FALSE)</f>
        <v>118</v>
      </c>
      <c r="H21" s="13">
        <f>VLOOKUP(B21,'Base Cobertura'!$A:$C,2,FALSE)</f>
        <v>76</v>
      </c>
      <c r="I21" s="17">
        <f t="shared" si="7"/>
        <v>24.299999999999997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0.72514619883040932</v>
      </c>
      <c r="E22" s="13">
        <v>79</v>
      </c>
      <c r="F22" s="12">
        <f t="shared" si="6"/>
        <v>45</v>
      </c>
      <c r="G22" s="13">
        <f>VLOOKUP(B22,'Base Cobertura'!$A:$C,3,FALSE)</f>
        <v>171</v>
      </c>
      <c r="H22" s="13">
        <f>VLOOKUP(B22,'Base Cobertura'!$A:$C,2,FALSE)</f>
        <v>124</v>
      </c>
      <c r="I22" s="17">
        <f t="shared" si="7"/>
        <v>21.349999999999994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191</v>
      </c>
      <c r="G23" s="8">
        <f>+SUM(G15:G22)</f>
        <v>1329</v>
      </c>
      <c r="H23" s="8">
        <f>+SUM(H15:H22)</f>
        <v>852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0.51724137931034486</v>
      </c>
      <c r="E24" s="13">
        <v>20</v>
      </c>
      <c r="F24" s="12">
        <f>+H24-E24</f>
        <v>10</v>
      </c>
      <c r="G24" s="13">
        <f>VLOOKUP(B24,'Base Cobertura'!$A:$C,3,FALSE)</f>
        <v>58</v>
      </c>
      <c r="H24" s="13">
        <f>VLOOKUP(B24,'Base Cobertura'!$A:$C,2,FALSE)</f>
        <v>30</v>
      </c>
      <c r="I24" s="17">
        <f t="shared" si="7"/>
        <v>19.299999999999997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0.50931677018633537</v>
      </c>
      <c r="E25" s="13">
        <v>68</v>
      </c>
      <c r="F25" s="12">
        <f t="shared" si="6"/>
        <v>14</v>
      </c>
      <c r="G25" s="13">
        <f>VLOOKUP(B25,'Base Cobertura'!$A:$C,3,FALSE)</f>
        <v>161</v>
      </c>
      <c r="H25" s="13">
        <f>VLOOKUP(B25,'Base Cobertura'!$A:$C,2,FALSE)</f>
        <v>82</v>
      </c>
      <c r="I25" s="17">
        <f t="shared" si="7"/>
        <v>54.849999999999994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0.66025641025641024</v>
      </c>
      <c r="E26" s="13">
        <v>80</v>
      </c>
      <c r="F26" s="12">
        <f t="shared" si="6"/>
        <v>23</v>
      </c>
      <c r="G26" s="13">
        <f>VLOOKUP(B26,'Base Cobertura'!$A:$C,3,FALSE)</f>
        <v>156</v>
      </c>
      <c r="H26" s="13">
        <f>VLOOKUP(B26,'Base Cobertura'!$A:$C,2,FALSE)</f>
        <v>103</v>
      </c>
      <c r="I26" s="17">
        <f t="shared" si="7"/>
        <v>29.599999999999994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0.34661354581673309</v>
      </c>
      <c r="E27" s="13">
        <v>68</v>
      </c>
      <c r="F27" s="12">
        <f t="shared" si="6"/>
        <v>19</v>
      </c>
      <c r="G27" s="13">
        <f>VLOOKUP(B27,'Base Cobertura'!$A:$C,3,FALSE)</f>
        <v>251</v>
      </c>
      <c r="H27" s="13">
        <f>VLOOKUP(B27,'Base Cobertura'!$A:$C,2,FALSE)</f>
        <v>87</v>
      </c>
      <c r="I27" s="17">
        <f t="shared" si="7"/>
        <v>126.35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0.74436090225563911</v>
      </c>
      <c r="E28" s="13">
        <v>73</v>
      </c>
      <c r="F28" s="12">
        <f t="shared" si="6"/>
        <v>26</v>
      </c>
      <c r="G28" s="13">
        <f>VLOOKUP(B28,'Base Cobertura'!$A:$C,3,FALSE)</f>
        <v>133</v>
      </c>
      <c r="H28" s="13">
        <f>VLOOKUP(B28,'Base Cobertura'!$A:$C,2,FALSE)</f>
        <v>99</v>
      </c>
      <c r="I28" s="17">
        <f t="shared" si="7"/>
        <v>14.049999999999997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0.52173913043478259</v>
      </c>
      <c r="E29" s="13">
        <v>40</v>
      </c>
      <c r="F29" s="12">
        <f t="shared" si="6"/>
        <v>56</v>
      </c>
      <c r="G29" s="13">
        <f>VLOOKUP(B29,'Base Cobertura'!$A:$C,3,FALSE)</f>
        <v>184</v>
      </c>
      <c r="H29" s="13">
        <f>VLOOKUP(B29,'Base Cobertura'!$A:$C,2,FALSE)</f>
        <v>96</v>
      </c>
      <c r="I29" s="17">
        <f t="shared" si="7"/>
        <v>60.400000000000006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0.6785714285714286</v>
      </c>
      <c r="E30" s="13">
        <v>67</v>
      </c>
      <c r="F30" s="12">
        <f t="shared" si="6"/>
        <v>47</v>
      </c>
      <c r="G30" s="13">
        <f>VLOOKUP(B30,'Base Cobertura'!$A:$C,3,FALSE)</f>
        <v>168</v>
      </c>
      <c r="H30" s="13">
        <f>VLOOKUP(B30,'Base Cobertura'!$A:$C,2,FALSE)</f>
        <v>114</v>
      </c>
      <c r="I30" s="17">
        <f t="shared" si="7"/>
        <v>28.799999999999983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0.58682634730538918</v>
      </c>
      <c r="E31" s="13">
        <v>66</v>
      </c>
      <c r="F31" s="12">
        <f t="shared" si="6"/>
        <v>32</v>
      </c>
      <c r="G31" s="13">
        <f>VLOOKUP(B31,'Base Cobertura'!$A:$C,3,FALSE)</f>
        <v>167</v>
      </c>
      <c r="H31" s="13">
        <f>VLOOKUP(B31,'Base Cobertura'!$A:$C,2,FALSE)</f>
        <v>98</v>
      </c>
      <c r="I31" s="17">
        <f t="shared" si="7"/>
        <v>43.949999999999989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0.26573426573426573</v>
      </c>
      <c r="E32" s="13">
        <v>82</v>
      </c>
      <c r="F32" s="12">
        <f t="shared" si="6"/>
        <v>-44</v>
      </c>
      <c r="G32" s="13">
        <f>VLOOKUP(B32,'Base Cobertura'!$A:$C,3,FALSE)</f>
        <v>143</v>
      </c>
      <c r="H32" s="13">
        <f>VLOOKUP(B32,'Base Cobertura'!$A:$C,2,FALSE)</f>
        <v>38</v>
      </c>
      <c r="I32" s="17">
        <f t="shared" si="7"/>
        <v>83.55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MARTINEZ JORGE NICOLAS</v>
      </c>
      <c r="D33" s="22">
        <f t="shared" si="5"/>
        <v>0.33333333333333331</v>
      </c>
      <c r="E33" s="13">
        <v>81</v>
      </c>
      <c r="F33" s="12">
        <f t="shared" si="6"/>
        <v>-21</v>
      </c>
      <c r="G33" s="13">
        <f>VLOOKUP(B33,'Base Cobertura'!$A:$C,3,FALSE)</f>
        <v>180</v>
      </c>
      <c r="H33" s="13">
        <f>VLOOKUP(B33,'Base Cobertura'!$A:$C,2,FALSE)</f>
        <v>60</v>
      </c>
      <c r="I33" s="17">
        <f t="shared" si="7"/>
        <v>93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5.1724137931034482E-2</v>
      </c>
      <c r="E34" s="13">
        <v>0</v>
      </c>
      <c r="F34" s="12">
        <f t="shared" si="6"/>
        <v>6</v>
      </c>
      <c r="G34" s="13">
        <f>VLOOKUP(B34,'Base Cobertura'!$A:$C,3,FALSE)</f>
        <v>116</v>
      </c>
      <c r="H34" s="13">
        <f>VLOOKUP(B34,'Base Cobertura'!$A:$C,2,FALSE)</f>
        <v>6</v>
      </c>
      <c r="I34" s="17">
        <f t="shared" si="7"/>
        <v>92.6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0.18095238095238095</v>
      </c>
      <c r="E35" s="13">
        <v>17</v>
      </c>
      <c r="F35" s="12">
        <f t="shared" si="6"/>
        <v>2</v>
      </c>
      <c r="G35" s="13">
        <f>VLOOKUP(B35,'Base Cobertura'!$A:$C,3,FALSE)</f>
        <v>105</v>
      </c>
      <c r="H35" s="13">
        <f>VLOOKUP(B35,'Base Cobertura'!$A:$C,2,FALSE)</f>
        <v>19</v>
      </c>
      <c r="I35" s="17">
        <f t="shared" si="7"/>
        <v>70.25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0.62204724409448819</v>
      </c>
      <c r="E36" s="13">
        <v>60</v>
      </c>
      <c r="F36" s="12">
        <f t="shared" si="6"/>
        <v>19</v>
      </c>
      <c r="G36" s="13">
        <f>VLOOKUP(B36,'Base Cobertura'!$A:$C,3,FALSE)</f>
        <v>127</v>
      </c>
      <c r="H36" s="13">
        <f>VLOOKUP(B36,'Base Cobertura'!$A:$C,2,FALSE)</f>
        <v>79</v>
      </c>
      <c r="I36" s="17">
        <f t="shared" si="7"/>
        <v>28.950000000000003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189</v>
      </c>
      <c r="G37" s="8">
        <f>+SUM(G24:G36)</f>
        <v>1949</v>
      </c>
      <c r="H37" s="8">
        <f>+SUM(H24:H36)</f>
        <v>911</v>
      </c>
      <c r="I37" s="8"/>
    </row>
    <row r="38" spans="1:12" x14ac:dyDescent="0.25">
      <c r="A38" s="150" t="s">
        <v>269</v>
      </c>
      <c r="B38">
        <v>58</v>
      </c>
      <c r="C38" t="s">
        <v>144</v>
      </c>
      <c r="D38" s="22">
        <f t="shared" ref="D38:D44" si="8">H38/G38</f>
        <v>0.21311475409836064</v>
      </c>
      <c r="E38" s="13">
        <v>60</v>
      </c>
      <c r="F38" s="12">
        <f t="shared" ref="F38:F44" si="9">+H38-E38</f>
        <v>-34</v>
      </c>
      <c r="G38" s="13">
        <f>VLOOKUP(B38,'Base Cobertura'!$A:$C,3,FALSE)</f>
        <v>122</v>
      </c>
      <c r="H38" s="13">
        <f>VLOOKUP(B38,'Base Cobertura'!$A:$C,2,FALSE)</f>
        <v>26</v>
      </c>
      <c r="I38" s="17">
        <f t="shared" ref="I38:I44" si="10">(+G38*$M$2)-H38</f>
        <v>77.7</v>
      </c>
    </row>
    <row r="39" spans="1:12" x14ac:dyDescent="0.25">
      <c r="A39" s="151"/>
      <c r="B39">
        <v>59</v>
      </c>
      <c r="C39" t="s">
        <v>145</v>
      </c>
      <c r="D39" s="22">
        <f t="shared" si="8"/>
        <v>0.4</v>
      </c>
      <c r="E39" s="13">
        <v>60</v>
      </c>
      <c r="F39" s="12">
        <f t="shared" si="9"/>
        <v>-10</v>
      </c>
      <c r="G39" s="13">
        <f>VLOOKUP(B39,'Base Cobertura'!$A:$C,3,FALSE)</f>
        <v>125</v>
      </c>
      <c r="H39" s="13">
        <f>VLOOKUP(B39,'Base Cobertura'!$A:$C,2,FALSE)</f>
        <v>50</v>
      </c>
      <c r="I39" s="17">
        <f t="shared" si="10"/>
        <v>56.25</v>
      </c>
    </row>
    <row r="40" spans="1:12" x14ac:dyDescent="0.25">
      <c r="A40" s="151"/>
      <c r="B40">
        <v>49</v>
      </c>
      <c r="C40" t="s">
        <v>106</v>
      </c>
      <c r="D40" s="22">
        <f t="shared" si="8"/>
        <v>0.19262295081967212</v>
      </c>
      <c r="E40" s="13">
        <v>60</v>
      </c>
      <c r="F40" s="12">
        <f t="shared" si="9"/>
        <v>-13</v>
      </c>
      <c r="G40" s="13">
        <f>VLOOKUP(B40,'Base Cobertura'!$A:$C,3,FALSE)</f>
        <v>244</v>
      </c>
      <c r="H40" s="13">
        <f>VLOOKUP(B40,'Base Cobertura'!$A:$C,2,FALSE)</f>
        <v>47</v>
      </c>
      <c r="I40" s="17">
        <f t="shared" si="10"/>
        <v>160.4</v>
      </c>
    </row>
    <row r="41" spans="1:12" x14ac:dyDescent="0.25">
      <c r="A41" s="151"/>
      <c r="B41">
        <v>56</v>
      </c>
      <c r="C41" t="s">
        <v>139</v>
      </c>
      <c r="D41" s="22">
        <f t="shared" si="8"/>
        <v>0.31818181818181818</v>
      </c>
      <c r="E41" s="13">
        <v>60</v>
      </c>
      <c r="F41" s="12">
        <f t="shared" si="9"/>
        <v>3</v>
      </c>
      <c r="G41" s="13">
        <f>VLOOKUP(B41,'Base Cobertura'!$A:$C,3,FALSE)</f>
        <v>198</v>
      </c>
      <c r="H41" s="13">
        <f>VLOOKUP(B41,'Base Cobertura'!$A:$C,2,FALSE)</f>
        <v>63</v>
      </c>
      <c r="I41" s="17">
        <f t="shared" si="10"/>
        <v>105.29999999999998</v>
      </c>
    </row>
    <row r="42" spans="1:12" x14ac:dyDescent="0.25">
      <c r="A42" s="151"/>
      <c r="B42">
        <v>26</v>
      </c>
      <c r="C42" t="s">
        <v>266</v>
      </c>
      <c r="D42" s="22">
        <f t="shared" si="8"/>
        <v>0.20359281437125748</v>
      </c>
      <c r="E42" s="13">
        <v>60</v>
      </c>
      <c r="F42" s="12">
        <f t="shared" si="9"/>
        <v>-26</v>
      </c>
      <c r="G42" s="13">
        <f>VLOOKUP(B42,'Base Cobertura'!$A:$C,3,FALSE)</f>
        <v>167</v>
      </c>
      <c r="H42" s="13">
        <f>VLOOKUP(B42,'Base Cobertura'!$A:$C,2,FALSE)</f>
        <v>34</v>
      </c>
      <c r="I42" s="17">
        <f t="shared" si="10"/>
        <v>107.94999999999999</v>
      </c>
    </row>
    <row r="43" spans="1:12" x14ac:dyDescent="0.25">
      <c r="A43" s="151"/>
      <c r="B43">
        <v>25</v>
      </c>
      <c r="C43" t="s">
        <v>267</v>
      </c>
      <c r="D43" s="22">
        <f t="shared" si="8"/>
        <v>0.39884393063583817</v>
      </c>
      <c r="E43" s="13">
        <v>60</v>
      </c>
      <c r="F43" s="12">
        <f t="shared" si="9"/>
        <v>9</v>
      </c>
      <c r="G43" s="13">
        <f>VLOOKUP(B43,'Base Cobertura'!$A:$C,3,FALSE)</f>
        <v>173</v>
      </c>
      <c r="H43" s="13">
        <f>VLOOKUP(B43,'Base Cobertura'!$A:$C,2,FALSE)</f>
        <v>69</v>
      </c>
      <c r="I43" s="17">
        <f t="shared" si="10"/>
        <v>78.049999999999983</v>
      </c>
    </row>
    <row r="44" spans="1:12" ht="15.75" thickBot="1" x14ac:dyDescent="0.3">
      <c r="A44" s="151"/>
      <c r="B44">
        <v>43</v>
      </c>
      <c r="C44" t="s">
        <v>268</v>
      </c>
      <c r="D44" s="22">
        <f t="shared" si="8"/>
        <v>0.17204301075268819</v>
      </c>
      <c r="E44" s="13">
        <v>60</v>
      </c>
      <c r="F44" s="12">
        <f t="shared" si="9"/>
        <v>-44</v>
      </c>
      <c r="G44" s="13">
        <f>VLOOKUP(B44,'Base Cobertura'!$A:$C,3,FALSE)</f>
        <v>93</v>
      </c>
      <c r="H44" s="13">
        <f>VLOOKUP(B44,'Base Cobertura'!$A:$C,2,FALSE)</f>
        <v>16</v>
      </c>
      <c r="I44" s="17">
        <f t="shared" si="10"/>
        <v>63.05</v>
      </c>
    </row>
    <row r="45" spans="1:12" ht="15.75" thickBot="1" x14ac:dyDescent="0.3">
      <c r="A45" s="136"/>
      <c r="C45" s="9"/>
      <c r="D45" s="23"/>
      <c r="E45" s="13"/>
      <c r="F45" s="12"/>
      <c r="G45" s="8">
        <f>+SUM(G32:G44)</f>
        <v>3742</v>
      </c>
      <c r="H45" s="8">
        <f>+SUM(H32:H44)</f>
        <v>1418</v>
      </c>
      <c r="I45" s="8"/>
      <c r="L45" t="s">
        <v>67</v>
      </c>
    </row>
    <row r="46" spans="1:12" x14ac:dyDescent="0.25">
      <c r="A46" s="11" t="s">
        <v>42</v>
      </c>
      <c r="C46" s="11"/>
      <c r="D46" s="24"/>
      <c r="E46" s="6"/>
      <c r="F46" s="8" t="e">
        <f>+SUM(F37+F23+#REF!)</f>
        <v>#REF!</v>
      </c>
      <c r="G46" s="8">
        <f>+G45+G23+G37+G14</f>
        <v>9026</v>
      </c>
      <c r="H46" s="8">
        <f>+H45+H23+H37+H14</f>
        <v>4360</v>
      </c>
      <c r="I46" s="8"/>
      <c r="L46" s="1">
        <f>+H46/G46</f>
        <v>0.48304896964325283</v>
      </c>
    </row>
  </sheetData>
  <autoFilter ref="C1:N46" xr:uid="{00000000-0001-0000-0500-000000000000}"/>
  <mergeCells count="3">
    <mergeCell ref="A15:A23"/>
    <mergeCell ref="A24:A37"/>
    <mergeCell ref="A38:A44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4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3</v>
      </c>
      <c r="C3" s="51">
        <v>3481</v>
      </c>
      <c r="G3" t="s">
        <v>271</v>
      </c>
      <c r="H3" s="51">
        <v>3</v>
      </c>
      <c r="I3" s="51">
        <v>3481</v>
      </c>
    </row>
    <row r="4" spans="1:9" x14ac:dyDescent="0.25">
      <c r="A4">
        <v>1</v>
      </c>
      <c r="B4" s="51">
        <v>79</v>
      </c>
      <c r="C4" s="51">
        <v>127</v>
      </c>
      <c r="G4" t="s">
        <v>272</v>
      </c>
      <c r="H4">
        <v>1</v>
      </c>
      <c r="I4" s="51">
        <v>3481</v>
      </c>
    </row>
    <row r="5" spans="1:9" x14ac:dyDescent="0.25">
      <c r="A5">
        <v>10</v>
      </c>
      <c r="B5" s="51">
        <v>96</v>
      </c>
      <c r="C5" s="51">
        <v>184</v>
      </c>
      <c r="G5" t="s">
        <v>273</v>
      </c>
      <c r="H5" s="51">
        <v>2</v>
      </c>
      <c r="I5" s="51">
        <v>3481</v>
      </c>
    </row>
    <row r="6" spans="1:9" x14ac:dyDescent="0.25">
      <c r="A6">
        <v>100</v>
      </c>
      <c r="B6" s="51">
        <v>37</v>
      </c>
      <c r="C6" s="51">
        <v>2030</v>
      </c>
      <c r="G6" t="s">
        <v>274</v>
      </c>
      <c r="H6" s="51"/>
      <c r="I6" s="51">
        <v>3481</v>
      </c>
    </row>
    <row r="7" spans="1:9" x14ac:dyDescent="0.25">
      <c r="A7">
        <v>11</v>
      </c>
      <c r="B7" s="51">
        <v>113</v>
      </c>
      <c r="C7" s="51">
        <v>172</v>
      </c>
      <c r="G7" t="s">
        <v>275</v>
      </c>
      <c r="H7" s="51">
        <v>1</v>
      </c>
      <c r="I7" s="51">
        <v>3481</v>
      </c>
    </row>
    <row r="8" spans="1:9" x14ac:dyDescent="0.25">
      <c r="A8">
        <v>12</v>
      </c>
      <c r="B8" s="51">
        <v>142</v>
      </c>
      <c r="C8" s="51">
        <v>214</v>
      </c>
      <c r="G8" t="s">
        <v>276</v>
      </c>
      <c r="H8" s="51">
        <v>2</v>
      </c>
      <c r="I8" s="51">
        <v>3481</v>
      </c>
    </row>
    <row r="9" spans="1:9" x14ac:dyDescent="0.25">
      <c r="A9">
        <v>123</v>
      </c>
      <c r="B9" s="51">
        <v>30</v>
      </c>
      <c r="C9" s="51">
        <v>484</v>
      </c>
      <c r="G9" t="s">
        <v>277</v>
      </c>
      <c r="H9" s="51">
        <v>2</v>
      </c>
      <c r="I9" s="51">
        <v>3481</v>
      </c>
    </row>
    <row r="10" spans="1:9" x14ac:dyDescent="0.25">
      <c r="A10">
        <v>15</v>
      </c>
      <c r="B10" s="51">
        <v>34</v>
      </c>
      <c r="C10" s="51">
        <v>65</v>
      </c>
      <c r="G10" t="s">
        <v>278</v>
      </c>
      <c r="I10" s="51">
        <v>3481</v>
      </c>
    </row>
    <row r="11" spans="1:9" x14ac:dyDescent="0.25">
      <c r="A11">
        <v>16</v>
      </c>
      <c r="B11" s="51">
        <v>126</v>
      </c>
      <c r="C11" s="51">
        <v>199</v>
      </c>
      <c r="G11" t="s">
        <v>279</v>
      </c>
      <c r="H11" s="51"/>
      <c r="I11" s="51">
        <v>3481</v>
      </c>
    </row>
    <row r="12" spans="1:9" x14ac:dyDescent="0.25">
      <c r="A12">
        <v>18</v>
      </c>
      <c r="B12" s="51">
        <v>128</v>
      </c>
      <c r="C12" s="51">
        <v>181</v>
      </c>
      <c r="E12">
        <f>+F12</f>
        <v>1</v>
      </c>
      <c r="F12">
        <v>1</v>
      </c>
      <c r="G12" t="s">
        <v>271</v>
      </c>
      <c r="H12">
        <v>34</v>
      </c>
      <c r="I12" s="51">
        <v>127</v>
      </c>
    </row>
    <row r="13" spans="1:9" x14ac:dyDescent="0.25">
      <c r="A13">
        <v>19</v>
      </c>
      <c r="B13" s="51">
        <v>139</v>
      </c>
      <c r="C13" s="51">
        <v>208</v>
      </c>
      <c r="E13">
        <f>+$E$12</f>
        <v>1</v>
      </c>
      <c r="G13" t="s">
        <v>272</v>
      </c>
      <c r="H13" s="51">
        <v>20</v>
      </c>
      <c r="I13" s="51">
        <v>127</v>
      </c>
    </row>
    <row r="14" spans="1:9" x14ac:dyDescent="0.25">
      <c r="A14">
        <v>2</v>
      </c>
      <c r="B14" s="51">
        <v>76</v>
      </c>
      <c r="C14" s="51">
        <v>118</v>
      </c>
      <c r="E14">
        <f t="shared" ref="E14:E20" si="0">+$E$12</f>
        <v>1</v>
      </c>
      <c r="G14" t="s">
        <v>273</v>
      </c>
      <c r="H14" s="51">
        <v>37</v>
      </c>
      <c r="I14" s="51">
        <v>127</v>
      </c>
    </row>
    <row r="15" spans="1:9" x14ac:dyDescent="0.25">
      <c r="A15">
        <v>20</v>
      </c>
      <c r="B15" s="51">
        <v>165</v>
      </c>
      <c r="C15" s="51">
        <v>227</v>
      </c>
      <c r="E15">
        <f t="shared" si="0"/>
        <v>1</v>
      </c>
      <c r="G15" t="s">
        <v>274</v>
      </c>
      <c r="H15" s="51">
        <v>31</v>
      </c>
      <c r="I15" s="51">
        <v>127</v>
      </c>
    </row>
    <row r="16" spans="1:9" x14ac:dyDescent="0.25">
      <c r="A16">
        <v>21</v>
      </c>
      <c r="B16" s="51">
        <v>116</v>
      </c>
      <c r="C16" s="51">
        <v>170</v>
      </c>
      <c r="E16">
        <f t="shared" si="0"/>
        <v>1</v>
      </c>
      <c r="G16" t="s">
        <v>275</v>
      </c>
      <c r="H16" s="51">
        <v>50</v>
      </c>
      <c r="I16" s="51">
        <v>127</v>
      </c>
    </row>
    <row r="17" spans="1:9" x14ac:dyDescent="0.25">
      <c r="A17">
        <v>22</v>
      </c>
      <c r="B17" s="51">
        <v>50</v>
      </c>
      <c r="C17" s="51">
        <v>75</v>
      </c>
      <c r="E17">
        <f t="shared" si="0"/>
        <v>1</v>
      </c>
      <c r="G17" t="s">
        <v>276</v>
      </c>
      <c r="H17" s="51">
        <v>46</v>
      </c>
      <c r="I17" s="51">
        <v>127</v>
      </c>
    </row>
    <row r="18" spans="1:9" x14ac:dyDescent="0.25">
      <c r="A18">
        <v>23</v>
      </c>
      <c r="B18" s="51">
        <v>93</v>
      </c>
      <c r="C18" s="51">
        <v>155</v>
      </c>
      <c r="E18">
        <f t="shared" si="0"/>
        <v>1</v>
      </c>
      <c r="G18" t="s">
        <v>277</v>
      </c>
      <c r="H18" s="51">
        <v>20</v>
      </c>
      <c r="I18" s="51">
        <v>127</v>
      </c>
    </row>
    <row r="19" spans="1:9" x14ac:dyDescent="0.25">
      <c r="A19">
        <v>24</v>
      </c>
      <c r="B19" s="51">
        <v>60</v>
      </c>
      <c r="C19" s="51">
        <v>180</v>
      </c>
      <c r="E19">
        <f t="shared" si="0"/>
        <v>1</v>
      </c>
      <c r="G19" t="s">
        <v>278</v>
      </c>
      <c r="H19" s="51">
        <v>21</v>
      </c>
      <c r="I19" s="51">
        <v>127</v>
      </c>
    </row>
    <row r="20" spans="1:9" x14ac:dyDescent="0.25">
      <c r="A20">
        <v>25</v>
      </c>
      <c r="B20" s="51">
        <v>69</v>
      </c>
      <c r="C20" s="51">
        <v>173</v>
      </c>
      <c r="E20">
        <f t="shared" si="0"/>
        <v>1</v>
      </c>
      <c r="G20" t="s">
        <v>279</v>
      </c>
      <c r="H20">
        <v>24</v>
      </c>
      <c r="I20" s="51">
        <v>127</v>
      </c>
    </row>
    <row r="21" spans="1:9" x14ac:dyDescent="0.25">
      <c r="A21">
        <v>26</v>
      </c>
      <c r="B21" s="51">
        <v>34</v>
      </c>
      <c r="C21" s="51">
        <v>167</v>
      </c>
      <c r="E21">
        <f>+$F$21</f>
        <v>10</v>
      </c>
      <c r="F21">
        <v>10</v>
      </c>
      <c r="G21" t="s">
        <v>271</v>
      </c>
      <c r="H21" s="51">
        <v>16</v>
      </c>
      <c r="I21" s="51">
        <v>184</v>
      </c>
    </row>
    <row r="22" spans="1:9" x14ac:dyDescent="0.25">
      <c r="A22">
        <v>27</v>
      </c>
      <c r="B22" s="51">
        <v>99</v>
      </c>
      <c r="C22" s="51">
        <v>133</v>
      </c>
      <c r="E22">
        <f t="shared" ref="E22:E29" si="1">+$F$21</f>
        <v>10</v>
      </c>
      <c r="G22" t="s">
        <v>272</v>
      </c>
      <c r="H22" s="51">
        <v>8</v>
      </c>
      <c r="I22" s="51">
        <v>184</v>
      </c>
    </row>
    <row r="23" spans="1:9" x14ac:dyDescent="0.25">
      <c r="A23">
        <v>28</v>
      </c>
      <c r="B23" s="51">
        <v>114</v>
      </c>
      <c r="C23" s="51">
        <v>168</v>
      </c>
      <c r="E23">
        <f t="shared" si="1"/>
        <v>10</v>
      </c>
      <c r="G23" t="s">
        <v>273</v>
      </c>
      <c r="H23" s="51">
        <v>42</v>
      </c>
      <c r="I23" s="51">
        <v>184</v>
      </c>
    </row>
    <row r="24" spans="1:9" x14ac:dyDescent="0.25">
      <c r="A24">
        <v>3</v>
      </c>
      <c r="B24" s="51">
        <v>124</v>
      </c>
      <c r="C24" s="51">
        <v>171</v>
      </c>
      <c r="E24">
        <f t="shared" si="1"/>
        <v>10</v>
      </c>
      <c r="G24" t="s">
        <v>274</v>
      </c>
      <c r="H24" s="51">
        <v>46</v>
      </c>
      <c r="I24" s="51">
        <v>184</v>
      </c>
    </row>
    <row r="25" spans="1:9" x14ac:dyDescent="0.25">
      <c r="A25">
        <v>30</v>
      </c>
      <c r="B25" s="51">
        <v>6</v>
      </c>
      <c r="C25" s="51">
        <v>65</v>
      </c>
      <c r="E25">
        <f t="shared" si="1"/>
        <v>10</v>
      </c>
      <c r="G25" t="s">
        <v>275</v>
      </c>
      <c r="H25" s="51">
        <v>41</v>
      </c>
      <c r="I25" s="51">
        <v>184</v>
      </c>
    </row>
    <row r="26" spans="1:9" x14ac:dyDescent="0.25">
      <c r="A26">
        <v>31</v>
      </c>
      <c r="B26" s="51">
        <v>92</v>
      </c>
      <c r="C26" s="51">
        <v>163</v>
      </c>
      <c r="E26">
        <f t="shared" si="1"/>
        <v>10</v>
      </c>
      <c r="G26" t="s">
        <v>276</v>
      </c>
      <c r="H26" s="51">
        <v>28</v>
      </c>
      <c r="I26" s="51">
        <v>184</v>
      </c>
    </row>
    <row r="27" spans="1:9" x14ac:dyDescent="0.25">
      <c r="A27">
        <v>32</v>
      </c>
      <c r="B27" s="51">
        <v>30</v>
      </c>
      <c r="C27" s="51">
        <v>58</v>
      </c>
      <c r="E27">
        <f t="shared" si="1"/>
        <v>10</v>
      </c>
      <c r="G27" t="s">
        <v>277</v>
      </c>
      <c r="H27" s="51">
        <v>12</v>
      </c>
      <c r="I27" s="51">
        <v>184</v>
      </c>
    </row>
    <row r="28" spans="1:9" x14ac:dyDescent="0.25">
      <c r="A28">
        <v>33</v>
      </c>
      <c r="B28" s="51">
        <v>98</v>
      </c>
      <c r="C28" s="51">
        <v>167</v>
      </c>
      <c r="E28">
        <f t="shared" si="1"/>
        <v>10</v>
      </c>
      <c r="G28" t="s">
        <v>278</v>
      </c>
      <c r="H28" s="51">
        <v>10</v>
      </c>
      <c r="I28" s="51">
        <v>184</v>
      </c>
    </row>
    <row r="29" spans="1:9" x14ac:dyDescent="0.25">
      <c r="A29">
        <v>36</v>
      </c>
      <c r="B29" s="51">
        <v>82</v>
      </c>
      <c r="C29" s="51">
        <v>161</v>
      </c>
      <c r="E29">
        <f t="shared" si="1"/>
        <v>10</v>
      </c>
      <c r="G29" t="s">
        <v>279</v>
      </c>
      <c r="H29" s="51">
        <v>7</v>
      </c>
      <c r="I29" s="51">
        <v>184</v>
      </c>
    </row>
    <row r="30" spans="1:9" x14ac:dyDescent="0.25">
      <c r="A30">
        <v>37</v>
      </c>
      <c r="B30" s="51">
        <v>38</v>
      </c>
      <c r="C30" s="51">
        <v>143</v>
      </c>
      <c r="E30">
        <f>+$F$30</f>
        <v>100</v>
      </c>
      <c r="F30">
        <v>100</v>
      </c>
      <c r="G30" t="s">
        <v>271</v>
      </c>
      <c r="H30" s="51">
        <v>17</v>
      </c>
      <c r="I30" s="51">
        <v>2030</v>
      </c>
    </row>
    <row r="31" spans="1:9" x14ac:dyDescent="0.25">
      <c r="A31">
        <v>4</v>
      </c>
      <c r="B31" s="51">
        <v>103</v>
      </c>
      <c r="C31" s="51">
        <v>182</v>
      </c>
      <c r="E31">
        <f t="shared" ref="E31:E38" si="2">+$F$30</f>
        <v>100</v>
      </c>
      <c r="G31" t="s">
        <v>272</v>
      </c>
      <c r="H31" s="51">
        <v>18</v>
      </c>
      <c r="I31" s="51">
        <v>2030</v>
      </c>
    </row>
    <row r="32" spans="1:9" x14ac:dyDescent="0.25">
      <c r="A32">
        <v>40</v>
      </c>
      <c r="B32" s="51">
        <v>87</v>
      </c>
      <c r="C32" s="51">
        <v>251</v>
      </c>
      <c r="E32">
        <f t="shared" si="2"/>
        <v>100</v>
      </c>
      <c r="G32" t="s">
        <v>273</v>
      </c>
      <c r="H32" s="51">
        <v>15</v>
      </c>
      <c r="I32" s="51">
        <v>2030</v>
      </c>
    </row>
    <row r="33" spans="1:9" x14ac:dyDescent="0.25">
      <c r="A33">
        <v>42</v>
      </c>
      <c r="B33" s="51">
        <v>12</v>
      </c>
      <c r="C33" s="51">
        <v>52</v>
      </c>
      <c r="E33">
        <f t="shared" si="2"/>
        <v>100</v>
      </c>
      <c r="G33" t="s">
        <v>274</v>
      </c>
      <c r="H33" s="51">
        <v>14</v>
      </c>
      <c r="I33" s="51">
        <v>2030</v>
      </c>
    </row>
    <row r="34" spans="1:9" x14ac:dyDescent="0.25">
      <c r="A34">
        <v>43</v>
      </c>
      <c r="B34" s="51">
        <v>16</v>
      </c>
      <c r="C34" s="51">
        <v>93</v>
      </c>
      <c r="E34">
        <f t="shared" si="2"/>
        <v>100</v>
      </c>
      <c r="G34" t="s">
        <v>275</v>
      </c>
      <c r="H34" s="51">
        <v>20</v>
      </c>
      <c r="I34" s="51">
        <v>2030</v>
      </c>
    </row>
    <row r="35" spans="1:9" x14ac:dyDescent="0.25">
      <c r="A35">
        <v>44</v>
      </c>
      <c r="B35" s="51">
        <v>110</v>
      </c>
      <c r="C35" s="51">
        <v>174</v>
      </c>
      <c r="E35">
        <f t="shared" si="2"/>
        <v>100</v>
      </c>
      <c r="G35" t="s">
        <v>276</v>
      </c>
      <c r="H35" s="51">
        <v>18</v>
      </c>
      <c r="I35" s="51">
        <v>2030</v>
      </c>
    </row>
    <row r="36" spans="1:9" x14ac:dyDescent="0.25">
      <c r="A36">
        <v>49</v>
      </c>
      <c r="B36" s="51">
        <v>47</v>
      </c>
      <c r="C36" s="51">
        <v>244</v>
      </c>
      <c r="E36">
        <f t="shared" si="2"/>
        <v>100</v>
      </c>
      <c r="G36" t="s">
        <v>277</v>
      </c>
      <c r="H36" s="51">
        <v>14</v>
      </c>
      <c r="I36" s="51">
        <v>2030</v>
      </c>
    </row>
    <row r="37" spans="1:9" x14ac:dyDescent="0.25">
      <c r="A37">
        <v>5</v>
      </c>
      <c r="B37" s="51">
        <v>174</v>
      </c>
      <c r="C37" s="51">
        <v>261</v>
      </c>
      <c r="E37">
        <f t="shared" si="2"/>
        <v>100</v>
      </c>
      <c r="G37" t="s">
        <v>278</v>
      </c>
      <c r="H37" s="51">
        <v>8</v>
      </c>
      <c r="I37" s="51">
        <v>2030</v>
      </c>
    </row>
    <row r="38" spans="1:9" x14ac:dyDescent="0.25">
      <c r="A38">
        <v>52</v>
      </c>
      <c r="B38" s="51">
        <v>26</v>
      </c>
      <c r="C38" s="51">
        <v>103</v>
      </c>
      <c r="E38">
        <f t="shared" si="2"/>
        <v>100</v>
      </c>
      <c r="G38" t="s">
        <v>279</v>
      </c>
      <c r="H38" s="51">
        <v>2</v>
      </c>
      <c r="I38" s="51">
        <v>2030</v>
      </c>
    </row>
    <row r="39" spans="1:9" x14ac:dyDescent="0.25">
      <c r="A39">
        <v>53</v>
      </c>
      <c r="B39" s="51">
        <v>32</v>
      </c>
      <c r="C39" s="51">
        <v>105</v>
      </c>
      <c r="E39">
        <f>+$F$39</f>
        <v>11</v>
      </c>
      <c r="F39">
        <v>11</v>
      </c>
      <c r="G39" t="s">
        <v>271</v>
      </c>
      <c r="H39" s="51">
        <v>38</v>
      </c>
      <c r="I39" s="51">
        <v>172</v>
      </c>
    </row>
    <row r="40" spans="1:9" x14ac:dyDescent="0.25">
      <c r="A40">
        <v>54</v>
      </c>
      <c r="B40" s="51">
        <v>113</v>
      </c>
      <c r="C40" s="51">
        <v>197</v>
      </c>
      <c r="E40">
        <f t="shared" ref="E40:E47" si="3">+$F$39</f>
        <v>11</v>
      </c>
      <c r="G40" t="s">
        <v>272</v>
      </c>
      <c r="H40" s="51">
        <v>20</v>
      </c>
      <c r="I40" s="51">
        <v>172</v>
      </c>
    </row>
    <row r="41" spans="1:9" x14ac:dyDescent="0.25">
      <c r="A41">
        <v>56</v>
      </c>
      <c r="B41">
        <v>63</v>
      </c>
      <c r="C41" s="51">
        <v>198</v>
      </c>
      <c r="E41">
        <f t="shared" si="3"/>
        <v>11</v>
      </c>
      <c r="G41" t="s">
        <v>273</v>
      </c>
      <c r="H41" s="51">
        <v>63</v>
      </c>
      <c r="I41" s="51">
        <v>172</v>
      </c>
    </row>
    <row r="42" spans="1:9" x14ac:dyDescent="0.25">
      <c r="A42">
        <v>57</v>
      </c>
      <c r="B42" s="51">
        <v>19</v>
      </c>
      <c r="C42" s="51">
        <v>105</v>
      </c>
      <c r="E42">
        <f t="shared" si="3"/>
        <v>11</v>
      </c>
      <c r="G42" t="s">
        <v>274</v>
      </c>
      <c r="H42" s="51">
        <v>35</v>
      </c>
      <c r="I42" s="51">
        <v>172</v>
      </c>
    </row>
    <row r="43" spans="1:9" x14ac:dyDescent="0.25">
      <c r="A43">
        <v>58</v>
      </c>
      <c r="B43" s="51">
        <v>26</v>
      </c>
      <c r="C43" s="51">
        <v>122</v>
      </c>
      <c r="E43">
        <f t="shared" si="3"/>
        <v>11</v>
      </c>
      <c r="G43" t="s">
        <v>275</v>
      </c>
      <c r="H43" s="51">
        <v>70</v>
      </c>
      <c r="I43" s="51">
        <v>172</v>
      </c>
    </row>
    <row r="44" spans="1:9" x14ac:dyDescent="0.25">
      <c r="A44">
        <v>59</v>
      </c>
      <c r="B44" s="51">
        <v>50</v>
      </c>
      <c r="C44" s="51">
        <v>125</v>
      </c>
      <c r="E44">
        <f t="shared" si="3"/>
        <v>11</v>
      </c>
      <c r="G44" t="s">
        <v>276</v>
      </c>
      <c r="H44" s="51">
        <v>35</v>
      </c>
      <c r="I44" s="51">
        <v>172</v>
      </c>
    </row>
    <row r="45" spans="1:9" x14ac:dyDescent="0.25">
      <c r="A45">
        <v>60</v>
      </c>
      <c r="B45" s="51">
        <v>7</v>
      </c>
      <c r="C45" s="51">
        <v>91</v>
      </c>
      <c r="E45">
        <f t="shared" si="3"/>
        <v>11</v>
      </c>
      <c r="G45" t="s">
        <v>277</v>
      </c>
      <c r="H45" s="51">
        <v>9</v>
      </c>
      <c r="I45" s="51">
        <v>172</v>
      </c>
    </row>
    <row r="46" spans="1:9" x14ac:dyDescent="0.25">
      <c r="A46">
        <v>7</v>
      </c>
      <c r="B46" s="51">
        <v>6</v>
      </c>
      <c r="C46" s="51">
        <v>116</v>
      </c>
      <c r="E46">
        <f t="shared" si="3"/>
        <v>11</v>
      </c>
      <c r="G46" t="s">
        <v>278</v>
      </c>
      <c r="H46" s="51">
        <v>11</v>
      </c>
      <c r="I46" s="51">
        <v>172</v>
      </c>
    </row>
    <row r="47" spans="1:9" x14ac:dyDescent="0.25">
      <c r="A47">
        <v>8</v>
      </c>
      <c r="B47" s="51">
        <v>75</v>
      </c>
      <c r="C47" s="51">
        <v>195</v>
      </c>
      <c r="E47">
        <f t="shared" si="3"/>
        <v>11</v>
      </c>
      <c r="G47" t="s">
        <v>279</v>
      </c>
      <c r="H47" s="51">
        <v>10</v>
      </c>
      <c r="I47" s="51">
        <v>172</v>
      </c>
    </row>
    <row r="48" spans="1:9" x14ac:dyDescent="0.25">
      <c r="A48">
        <v>9</v>
      </c>
      <c r="B48" s="51">
        <v>103</v>
      </c>
      <c r="C48" s="51">
        <v>156</v>
      </c>
      <c r="E48">
        <f>+$F$48</f>
        <v>12</v>
      </c>
      <c r="F48">
        <v>12</v>
      </c>
      <c r="G48" t="s">
        <v>271</v>
      </c>
      <c r="H48" s="51">
        <v>38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272</v>
      </c>
      <c r="H49" s="51">
        <v>34</v>
      </c>
      <c r="I49" s="51">
        <v>214</v>
      </c>
    </row>
    <row r="50" spans="2:9" x14ac:dyDescent="0.25">
      <c r="E50">
        <f t="shared" si="4"/>
        <v>12</v>
      </c>
      <c r="G50" t="s">
        <v>273</v>
      </c>
      <c r="H50" s="51">
        <v>42</v>
      </c>
      <c r="I50" s="51">
        <v>214</v>
      </c>
    </row>
    <row r="51" spans="2:9" x14ac:dyDescent="0.25">
      <c r="E51">
        <f t="shared" si="4"/>
        <v>12</v>
      </c>
      <c r="G51" t="s">
        <v>274</v>
      </c>
      <c r="H51" s="51">
        <v>44</v>
      </c>
      <c r="I51" s="51">
        <v>214</v>
      </c>
    </row>
    <row r="52" spans="2:9" x14ac:dyDescent="0.25">
      <c r="E52">
        <f t="shared" si="4"/>
        <v>12</v>
      </c>
      <c r="G52" t="s">
        <v>275</v>
      </c>
      <c r="H52" s="51">
        <v>72</v>
      </c>
      <c r="I52" s="51">
        <v>214</v>
      </c>
    </row>
    <row r="53" spans="2:9" x14ac:dyDescent="0.25">
      <c r="E53">
        <f t="shared" si="4"/>
        <v>12</v>
      </c>
      <c r="G53" t="s">
        <v>276</v>
      </c>
      <c r="H53" s="51">
        <v>47</v>
      </c>
      <c r="I53" s="51">
        <v>214</v>
      </c>
    </row>
    <row r="54" spans="2:9" x14ac:dyDescent="0.25">
      <c r="E54">
        <f t="shared" si="4"/>
        <v>12</v>
      </c>
      <c r="G54" t="s">
        <v>277</v>
      </c>
      <c r="H54" s="51">
        <v>15</v>
      </c>
      <c r="I54" s="51">
        <v>214</v>
      </c>
    </row>
    <row r="55" spans="2:9" x14ac:dyDescent="0.25">
      <c r="E55">
        <f t="shared" si="4"/>
        <v>12</v>
      </c>
      <c r="G55" t="s">
        <v>278</v>
      </c>
      <c r="H55" s="51">
        <v>17</v>
      </c>
      <c r="I55" s="51">
        <v>214</v>
      </c>
    </row>
    <row r="56" spans="2:9" x14ac:dyDescent="0.25">
      <c r="E56">
        <f t="shared" si="4"/>
        <v>12</v>
      </c>
      <c r="G56" t="s">
        <v>279</v>
      </c>
      <c r="H56" s="51">
        <v>24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271</v>
      </c>
      <c r="H57" s="51">
        <v>19</v>
      </c>
      <c r="I57" s="51">
        <v>484</v>
      </c>
    </row>
    <row r="58" spans="2:9" x14ac:dyDescent="0.25">
      <c r="E58">
        <f t="shared" ref="E58:E65" si="5">+$F$57</f>
        <v>123</v>
      </c>
      <c r="G58" t="s">
        <v>272</v>
      </c>
      <c r="H58" s="51">
        <v>20</v>
      </c>
      <c r="I58" s="51">
        <v>484</v>
      </c>
    </row>
    <row r="59" spans="2:9" x14ac:dyDescent="0.25">
      <c r="E59">
        <f t="shared" si="5"/>
        <v>123</v>
      </c>
      <c r="G59" t="s">
        <v>273</v>
      </c>
      <c r="H59" s="51">
        <v>14</v>
      </c>
      <c r="I59" s="51">
        <v>484</v>
      </c>
    </row>
    <row r="60" spans="2:9" x14ac:dyDescent="0.25">
      <c r="E60">
        <f t="shared" si="5"/>
        <v>123</v>
      </c>
      <c r="G60" t="s">
        <v>274</v>
      </c>
      <c r="H60" s="51">
        <v>11</v>
      </c>
      <c r="I60" s="51">
        <v>484</v>
      </c>
    </row>
    <row r="61" spans="2:9" x14ac:dyDescent="0.25">
      <c r="E61">
        <f t="shared" si="5"/>
        <v>123</v>
      </c>
      <c r="G61" t="s">
        <v>275</v>
      </c>
      <c r="H61" s="51">
        <v>17</v>
      </c>
      <c r="I61" s="51">
        <v>484</v>
      </c>
    </row>
    <row r="62" spans="2:9" x14ac:dyDescent="0.25">
      <c r="E62">
        <f t="shared" si="5"/>
        <v>123</v>
      </c>
      <c r="G62" t="s">
        <v>276</v>
      </c>
      <c r="H62" s="51">
        <v>11</v>
      </c>
      <c r="I62" s="51">
        <v>484</v>
      </c>
    </row>
    <row r="63" spans="2:9" x14ac:dyDescent="0.25">
      <c r="E63">
        <f t="shared" si="5"/>
        <v>123</v>
      </c>
      <c r="G63" t="s">
        <v>277</v>
      </c>
      <c r="H63" s="51">
        <v>9</v>
      </c>
      <c r="I63" s="51">
        <v>484</v>
      </c>
    </row>
    <row r="64" spans="2:9" x14ac:dyDescent="0.25">
      <c r="E64">
        <f t="shared" si="5"/>
        <v>123</v>
      </c>
      <c r="G64" t="s">
        <v>278</v>
      </c>
      <c r="H64" s="51">
        <v>4</v>
      </c>
      <c r="I64" s="51">
        <v>484</v>
      </c>
    </row>
    <row r="65" spans="5:9" x14ac:dyDescent="0.25">
      <c r="E65">
        <f t="shared" si="5"/>
        <v>123</v>
      </c>
      <c r="G65" t="s">
        <v>279</v>
      </c>
      <c r="H65" s="51">
        <v>4</v>
      </c>
      <c r="I65" s="51">
        <v>484</v>
      </c>
    </row>
    <row r="66" spans="5:9" x14ac:dyDescent="0.25">
      <c r="E66">
        <f>+$F$66</f>
        <v>15</v>
      </c>
      <c r="F66">
        <v>15</v>
      </c>
      <c r="G66" t="s">
        <v>271</v>
      </c>
      <c r="H66" s="51">
        <v>20</v>
      </c>
      <c r="I66" s="51">
        <v>65</v>
      </c>
    </row>
    <row r="67" spans="5:9" x14ac:dyDescent="0.25">
      <c r="E67">
        <f t="shared" ref="E67:E74" si="6">+$F$66</f>
        <v>15</v>
      </c>
      <c r="G67" t="s">
        <v>272</v>
      </c>
      <c r="H67" s="51">
        <v>5</v>
      </c>
      <c r="I67" s="51">
        <v>65</v>
      </c>
    </row>
    <row r="68" spans="5:9" x14ac:dyDescent="0.25">
      <c r="E68">
        <f t="shared" si="6"/>
        <v>15</v>
      </c>
      <c r="G68" t="s">
        <v>273</v>
      </c>
      <c r="H68" s="51">
        <v>13</v>
      </c>
      <c r="I68" s="51">
        <v>65</v>
      </c>
    </row>
    <row r="69" spans="5:9" x14ac:dyDescent="0.25">
      <c r="E69">
        <f t="shared" si="6"/>
        <v>15</v>
      </c>
      <c r="G69" t="s">
        <v>274</v>
      </c>
      <c r="H69" s="51">
        <v>11</v>
      </c>
      <c r="I69" s="51">
        <v>65</v>
      </c>
    </row>
    <row r="70" spans="5:9" x14ac:dyDescent="0.25">
      <c r="E70">
        <f t="shared" si="6"/>
        <v>15</v>
      </c>
      <c r="G70" t="s">
        <v>275</v>
      </c>
      <c r="H70" s="51">
        <v>24</v>
      </c>
      <c r="I70" s="51">
        <v>65</v>
      </c>
    </row>
    <row r="71" spans="5:9" x14ac:dyDescent="0.25">
      <c r="E71">
        <f t="shared" si="6"/>
        <v>15</v>
      </c>
      <c r="G71" t="s">
        <v>276</v>
      </c>
      <c r="H71" s="51">
        <v>12</v>
      </c>
      <c r="I71" s="51">
        <v>65</v>
      </c>
    </row>
    <row r="72" spans="5:9" x14ac:dyDescent="0.25">
      <c r="E72">
        <f t="shared" si="6"/>
        <v>15</v>
      </c>
      <c r="G72" t="s">
        <v>277</v>
      </c>
      <c r="H72" s="51">
        <v>9</v>
      </c>
      <c r="I72" s="51">
        <v>65</v>
      </c>
    </row>
    <row r="73" spans="5:9" x14ac:dyDescent="0.25">
      <c r="E73">
        <f t="shared" si="6"/>
        <v>15</v>
      </c>
      <c r="G73" t="s">
        <v>278</v>
      </c>
      <c r="H73" s="51">
        <v>8</v>
      </c>
      <c r="I73" s="51">
        <v>65</v>
      </c>
    </row>
    <row r="74" spans="5:9" x14ac:dyDescent="0.25">
      <c r="E74">
        <f t="shared" si="6"/>
        <v>15</v>
      </c>
      <c r="G74" t="s">
        <v>279</v>
      </c>
      <c r="H74" s="51">
        <v>6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271</v>
      </c>
      <c r="H75" s="51">
        <v>24</v>
      </c>
      <c r="I75" s="51">
        <v>199</v>
      </c>
    </row>
    <row r="76" spans="5:9" x14ac:dyDescent="0.25">
      <c r="E76">
        <f t="shared" ref="E76:E83" si="7">+$F$75</f>
        <v>16</v>
      </c>
      <c r="G76" t="s">
        <v>272</v>
      </c>
      <c r="H76">
        <v>18</v>
      </c>
      <c r="I76" s="51">
        <v>199</v>
      </c>
    </row>
    <row r="77" spans="5:9" x14ac:dyDescent="0.25">
      <c r="E77">
        <f t="shared" si="7"/>
        <v>16</v>
      </c>
      <c r="G77" t="s">
        <v>273</v>
      </c>
      <c r="H77" s="51">
        <v>54</v>
      </c>
      <c r="I77" s="51">
        <v>199</v>
      </c>
    </row>
    <row r="78" spans="5:9" x14ac:dyDescent="0.25">
      <c r="E78">
        <f t="shared" si="7"/>
        <v>16</v>
      </c>
      <c r="G78" t="s">
        <v>274</v>
      </c>
      <c r="H78" s="51">
        <v>39</v>
      </c>
      <c r="I78" s="51">
        <v>199</v>
      </c>
    </row>
    <row r="79" spans="5:9" x14ac:dyDescent="0.25">
      <c r="E79">
        <f t="shared" si="7"/>
        <v>16</v>
      </c>
      <c r="G79" t="s">
        <v>275</v>
      </c>
      <c r="H79" s="51">
        <v>66</v>
      </c>
      <c r="I79" s="51">
        <v>199</v>
      </c>
    </row>
    <row r="80" spans="5:9" x14ac:dyDescent="0.25">
      <c r="E80">
        <f t="shared" si="7"/>
        <v>16</v>
      </c>
      <c r="G80" t="s">
        <v>276</v>
      </c>
      <c r="H80" s="51">
        <v>48</v>
      </c>
      <c r="I80" s="51">
        <v>199</v>
      </c>
    </row>
    <row r="81" spans="5:9" x14ac:dyDescent="0.25">
      <c r="E81">
        <f t="shared" si="7"/>
        <v>16</v>
      </c>
      <c r="G81" t="s">
        <v>277</v>
      </c>
      <c r="H81" s="51">
        <v>9</v>
      </c>
      <c r="I81" s="51">
        <v>199</v>
      </c>
    </row>
    <row r="82" spans="5:9" x14ac:dyDescent="0.25">
      <c r="E82">
        <f t="shared" si="7"/>
        <v>16</v>
      </c>
      <c r="G82" t="s">
        <v>278</v>
      </c>
      <c r="H82" s="51">
        <v>22</v>
      </c>
      <c r="I82" s="51">
        <v>199</v>
      </c>
    </row>
    <row r="83" spans="5:9" x14ac:dyDescent="0.25">
      <c r="E83">
        <f t="shared" si="7"/>
        <v>16</v>
      </c>
      <c r="G83" t="s">
        <v>279</v>
      </c>
      <c r="H83" s="51">
        <v>13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271</v>
      </c>
      <c r="H84" s="51">
        <v>37</v>
      </c>
      <c r="I84" s="51">
        <v>181</v>
      </c>
    </row>
    <row r="85" spans="5:9" x14ac:dyDescent="0.25">
      <c r="E85">
        <f t="shared" ref="E85:E92" si="8">+$F$84</f>
        <v>18</v>
      </c>
      <c r="G85" t="s">
        <v>272</v>
      </c>
      <c r="H85" s="51">
        <v>24</v>
      </c>
      <c r="I85" s="51">
        <v>181</v>
      </c>
    </row>
    <row r="86" spans="5:9" x14ac:dyDescent="0.25">
      <c r="E86">
        <f t="shared" si="8"/>
        <v>18</v>
      </c>
      <c r="G86" t="s">
        <v>273</v>
      </c>
      <c r="H86" s="51">
        <v>42</v>
      </c>
      <c r="I86" s="51">
        <v>181</v>
      </c>
    </row>
    <row r="87" spans="5:9" x14ac:dyDescent="0.25">
      <c r="E87">
        <f t="shared" si="8"/>
        <v>18</v>
      </c>
      <c r="G87" t="s">
        <v>274</v>
      </c>
      <c r="H87" s="51">
        <v>46</v>
      </c>
      <c r="I87" s="51">
        <v>181</v>
      </c>
    </row>
    <row r="88" spans="5:9" x14ac:dyDescent="0.25">
      <c r="E88">
        <f t="shared" si="8"/>
        <v>18</v>
      </c>
      <c r="G88" t="s">
        <v>275</v>
      </c>
      <c r="H88" s="51">
        <v>82</v>
      </c>
      <c r="I88" s="51">
        <v>181</v>
      </c>
    </row>
    <row r="89" spans="5:9" x14ac:dyDescent="0.25">
      <c r="E89">
        <f t="shared" si="8"/>
        <v>18</v>
      </c>
      <c r="G89" t="s">
        <v>276</v>
      </c>
      <c r="H89" s="51">
        <v>62</v>
      </c>
      <c r="I89" s="51">
        <v>181</v>
      </c>
    </row>
    <row r="90" spans="5:9" x14ac:dyDescent="0.25">
      <c r="E90">
        <f t="shared" si="8"/>
        <v>18</v>
      </c>
      <c r="G90" t="s">
        <v>277</v>
      </c>
      <c r="H90" s="51">
        <v>15</v>
      </c>
      <c r="I90" s="51">
        <v>181</v>
      </c>
    </row>
    <row r="91" spans="5:9" x14ac:dyDescent="0.25">
      <c r="E91">
        <f t="shared" si="8"/>
        <v>18</v>
      </c>
      <c r="G91" t="s">
        <v>278</v>
      </c>
      <c r="H91" s="51">
        <v>24</v>
      </c>
      <c r="I91" s="51">
        <v>181</v>
      </c>
    </row>
    <row r="92" spans="5:9" x14ac:dyDescent="0.25">
      <c r="E92">
        <f t="shared" si="8"/>
        <v>18</v>
      </c>
      <c r="G92" t="s">
        <v>279</v>
      </c>
      <c r="H92" s="51">
        <v>30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271</v>
      </c>
      <c r="H93" s="51">
        <v>39</v>
      </c>
      <c r="I93" s="51">
        <v>208</v>
      </c>
    </row>
    <row r="94" spans="5:9" x14ac:dyDescent="0.25">
      <c r="E94">
        <f t="shared" ref="E94:E101" si="9">+$F$93</f>
        <v>19</v>
      </c>
      <c r="G94" t="s">
        <v>272</v>
      </c>
      <c r="H94" s="51">
        <v>24</v>
      </c>
      <c r="I94" s="51">
        <v>208</v>
      </c>
    </row>
    <row r="95" spans="5:9" x14ac:dyDescent="0.25">
      <c r="E95">
        <f t="shared" si="9"/>
        <v>19</v>
      </c>
      <c r="G95" t="s">
        <v>273</v>
      </c>
      <c r="H95" s="51">
        <v>66</v>
      </c>
      <c r="I95" s="51">
        <v>208</v>
      </c>
    </row>
    <row r="96" spans="5:9" x14ac:dyDescent="0.25">
      <c r="E96">
        <f t="shared" si="9"/>
        <v>19</v>
      </c>
      <c r="G96" t="s">
        <v>274</v>
      </c>
      <c r="H96" s="51">
        <v>49</v>
      </c>
      <c r="I96" s="51">
        <v>208</v>
      </c>
    </row>
    <row r="97" spans="5:9" x14ac:dyDescent="0.25">
      <c r="E97">
        <f t="shared" si="9"/>
        <v>19</v>
      </c>
      <c r="G97" t="s">
        <v>275</v>
      </c>
      <c r="H97" s="51">
        <v>87</v>
      </c>
      <c r="I97" s="51">
        <v>208</v>
      </c>
    </row>
    <row r="98" spans="5:9" x14ac:dyDescent="0.25">
      <c r="E98">
        <f t="shared" si="9"/>
        <v>19</v>
      </c>
      <c r="G98" t="s">
        <v>276</v>
      </c>
      <c r="H98" s="51">
        <v>58</v>
      </c>
      <c r="I98" s="51">
        <v>208</v>
      </c>
    </row>
    <row r="99" spans="5:9" x14ac:dyDescent="0.25">
      <c r="E99">
        <f t="shared" si="9"/>
        <v>19</v>
      </c>
      <c r="G99" t="s">
        <v>277</v>
      </c>
      <c r="H99" s="51">
        <v>11</v>
      </c>
      <c r="I99" s="51">
        <v>208</v>
      </c>
    </row>
    <row r="100" spans="5:9" x14ac:dyDescent="0.25">
      <c r="E100">
        <f t="shared" si="9"/>
        <v>19</v>
      </c>
      <c r="G100" t="s">
        <v>278</v>
      </c>
      <c r="H100" s="51">
        <v>24</v>
      </c>
      <c r="I100" s="51">
        <v>208</v>
      </c>
    </row>
    <row r="101" spans="5:9" x14ac:dyDescent="0.25">
      <c r="E101">
        <f t="shared" si="9"/>
        <v>19</v>
      </c>
      <c r="G101" t="s">
        <v>279</v>
      </c>
      <c r="H101" s="51">
        <v>20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271</v>
      </c>
      <c r="H102" s="51">
        <v>21</v>
      </c>
      <c r="I102" s="51">
        <v>118</v>
      </c>
    </row>
    <row r="103" spans="5:9" x14ac:dyDescent="0.25">
      <c r="E103">
        <f t="shared" ref="E103:E110" si="10">+$F$102</f>
        <v>2</v>
      </c>
      <c r="G103" t="s">
        <v>272</v>
      </c>
      <c r="H103" s="51">
        <v>9</v>
      </c>
      <c r="I103" s="51">
        <v>118</v>
      </c>
    </row>
    <row r="104" spans="5:9" x14ac:dyDescent="0.25">
      <c r="E104">
        <f t="shared" si="10"/>
        <v>2</v>
      </c>
      <c r="G104" t="s">
        <v>273</v>
      </c>
      <c r="H104" s="51">
        <v>31</v>
      </c>
      <c r="I104" s="51">
        <v>118</v>
      </c>
    </row>
    <row r="105" spans="5:9" x14ac:dyDescent="0.25">
      <c r="E105">
        <f t="shared" si="10"/>
        <v>2</v>
      </c>
      <c r="G105" t="s">
        <v>274</v>
      </c>
      <c r="H105" s="51">
        <v>32</v>
      </c>
      <c r="I105" s="51">
        <v>118</v>
      </c>
    </row>
    <row r="106" spans="5:9" x14ac:dyDescent="0.25">
      <c r="E106">
        <f t="shared" si="10"/>
        <v>2</v>
      </c>
      <c r="G106" t="s">
        <v>275</v>
      </c>
      <c r="H106" s="51">
        <v>50</v>
      </c>
      <c r="I106" s="51">
        <v>118</v>
      </c>
    </row>
    <row r="107" spans="5:9" x14ac:dyDescent="0.25">
      <c r="E107">
        <f t="shared" si="10"/>
        <v>2</v>
      </c>
      <c r="G107" t="s">
        <v>276</v>
      </c>
      <c r="H107" s="51">
        <v>28</v>
      </c>
      <c r="I107" s="51">
        <v>118</v>
      </c>
    </row>
    <row r="108" spans="5:9" x14ac:dyDescent="0.25">
      <c r="E108">
        <f t="shared" si="10"/>
        <v>2</v>
      </c>
      <c r="G108" t="s">
        <v>277</v>
      </c>
      <c r="H108" s="51">
        <v>13</v>
      </c>
      <c r="I108" s="51">
        <v>118</v>
      </c>
    </row>
    <row r="109" spans="5:9" x14ac:dyDescent="0.25">
      <c r="E109">
        <f t="shared" si="10"/>
        <v>2</v>
      </c>
      <c r="G109" t="s">
        <v>278</v>
      </c>
      <c r="H109" s="51">
        <v>12</v>
      </c>
      <c r="I109" s="51">
        <v>118</v>
      </c>
    </row>
    <row r="110" spans="5:9" x14ac:dyDescent="0.25">
      <c r="E110">
        <f t="shared" si="10"/>
        <v>2</v>
      </c>
      <c r="G110" t="s">
        <v>279</v>
      </c>
      <c r="H110" s="51">
        <v>18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271</v>
      </c>
      <c r="H111" s="51">
        <v>41</v>
      </c>
      <c r="I111" s="51">
        <v>227</v>
      </c>
    </row>
    <row r="112" spans="5:9" x14ac:dyDescent="0.25">
      <c r="E112">
        <f t="shared" ref="E112:E119" si="11">+$F$111</f>
        <v>20</v>
      </c>
      <c r="G112" t="s">
        <v>272</v>
      </c>
      <c r="H112" s="51">
        <v>30</v>
      </c>
      <c r="I112" s="51">
        <v>227</v>
      </c>
    </row>
    <row r="113" spans="5:9" x14ac:dyDescent="0.25">
      <c r="E113">
        <f t="shared" si="11"/>
        <v>20</v>
      </c>
      <c r="G113" t="s">
        <v>273</v>
      </c>
      <c r="H113" s="51">
        <v>76</v>
      </c>
      <c r="I113" s="51">
        <v>227</v>
      </c>
    </row>
    <row r="114" spans="5:9" x14ac:dyDescent="0.25">
      <c r="E114">
        <f t="shared" si="11"/>
        <v>20</v>
      </c>
      <c r="G114" t="s">
        <v>274</v>
      </c>
      <c r="H114" s="51">
        <v>62</v>
      </c>
      <c r="I114" s="51">
        <v>227</v>
      </c>
    </row>
    <row r="115" spans="5:9" x14ac:dyDescent="0.25">
      <c r="E115">
        <f t="shared" si="11"/>
        <v>20</v>
      </c>
      <c r="G115" t="s">
        <v>275</v>
      </c>
      <c r="H115" s="51">
        <v>108</v>
      </c>
      <c r="I115" s="51">
        <v>227</v>
      </c>
    </row>
    <row r="116" spans="5:9" x14ac:dyDescent="0.25">
      <c r="E116">
        <f t="shared" si="11"/>
        <v>20</v>
      </c>
      <c r="G116" t="s">
        <v>276</v>
      </c>
      <c r="H116">
        <v>71</v>
      </c>
      <c r="I116" s="51">
        <v>227</v>
      </c>
    </row>
    <row r="117" spans="5:9" x14ac:dyDescent="0.25">
      <c r="E117">
        <f t="shared" si="11"/>
        <v>20</v>
      </c>
      <c r="G117" t="s">
        <v>277</v>
      </c>
      <c r="H117" s="51">
        <v>12</v>
      </c>
      <c r="I117" s="51">
        <v>227</v>
      </c>
    </row>
    <row r="118" spans="5:9" x14ac:dyDescent="0.25">
      <c r="E118">
        <f t="shared" si="11"/>
        <v>20</v>
      </c>
      <c r="G118" t="s">
        <v>278</v>
      </c>
      <c r="H118" s="51">
        <v>24</v>
      </c>
      <c r="I118" s="51">
        <v>227</v>
      </c>
    </row>
    <row r="119" spans="5:9" x14ac:dyDescent="0.25">
      <c r="E119">
        <f t="shared" si="11"/>
        <v>20</v>
      </c>
      <c r="G119" t="s">
        <v>279</v>
      </c>
      <c r="H119" s="51">
        <v>21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271</v>
      </c>
      <c r="H120" s="51">
        <v>39</v>
      </c>
      <c r="I120" s="51">
        <v>170</v>
      </c>
    </row>
    <row r="121" spans="5:9" x14ac:dyDescent="0.25">
      <c r="E121">
        <f t="shared" ref="E121:E128" si="12">+$F$120</f>
        <v>21</v>
      </c>
      <c r="G121" t="s">
        <v>272</v>
      </c>
      <c r="H121" s="51">
        <v>30</v>
      </c>
      <c r="I121" s="51">
        <v>170</v>
      </c>
    </row>
    <row r="122" spans="5:9" x14ac:dyDescent="0.25">
      <c r="E122">
        <f t="shared" si="12"/>
        <v>21</v>
      </c>
      <c r="G122" t="s">
        <v>273</v>
      </c>
      <c r="H122" s="51">
        <v>61</v>
      </c>
      <c r="I122" s="51">
        <v>170</v>
      </c>
    </row>
    <row r="123" spans="5:9" x14ac:dyDescent="0.25">
      <c r="E123">
        <f t="shared" si="12"/>
        <v>21</v>
      </c>
      <c r="G123" t="s">
        <v>274</v>
      </c>
      <c r="H123" s="51">
        <v>47</v>
      </c>
      <c r="I123" s="51">
        <v>170</v>
      </c>
    </row>
    <row r="124" spans="5:9" x14ac:dyDescent="0.25">
      <c r="E124">
        <f t="shared" si="12"/>
        <v>21</v>
      </c>
      <c r="G124" t="s">
        <v>275</v>
      </c>
      <c r="H124">
        <v>96</v>
      </c>
      <c r="I124" s="51">
        <v>170</v>
      </c>
    </row>
    <row r="125" spans="5:9" x14ac:dyDescent="0.25">
      <c r="E125">
        <f t="shared" si="12"/>
        <v>21</v>
      </c>
      <c r="G125" t="s">
        <v>276</v>
      </c>
      <c r="H125" s="51">
        <v>59</v>
      </c>
      <c r="I125" s="51">
        <v>170</v>
      </c>
    </row>
    <row r="126" spans="5:9" x14ac:dyDescent="0.25">
      <c r="E126">
        <f t="shared" si="12"/>
        <v>21</v>
      </c>
      <c r="G126" t="s">
        <v>277</v>
      </c>
      <c r="H126" s="51">
        <v>15</v>
      </c>
      <c r="I126" s="51">
        <v>170</v>
      </c>
    </row>
    <row r="127" spans="5:9" x14ac:dyDescent="0.25">
      <c r="E127">
        <f t="shared" si="12"/>
        <v>21</v>
      </c>
      <c r="G127" t="s">
        <v>278</v>
      </c>
      <c r="H127" s="51">
        <v>15</v>
      </c>
      <c r="I127" s="51">
        <v>170</v>
      </c>
    </row>
    <row r="128" spans="5:9" x14ac:dyDescent="0.25">
      <c r="E128">
        <f t="shared" si="12"/>
        <v>21</v>
      </c>
      <c r="G128" t="s">
        <v>279</v>
      </c>
      <c r="H128" s="51">
        <v>16</v>
      </c>
      <c r="I128" s="51">
        <v>170</v>
      </c>
    </row>
    <row r="129" spans="5:9" x14ac:dyDescent="0.25">
      <c r="E129">
        <f>+$F$129</f>
        <v>22</v>
      </c>
      <c r="F129">
        <v>22</v>
      </c>
      <c r="G129" t="s">
        <v>271</v>
      </c>
      <c r="H129" s="51">
        <v>32</v>
      </c>
      <c r="I129" s="51">
        <v>75</v>
      </c>
    </row>
    <row r="130" spans="5:9" x14ac:dyDescent="0.25">
      <c r="E130">
        <f t="shared" ref="E130:E137" si="13">+$F$129</f>
        <v>22</v>
      </c>
      <c r="G130" t="s">
        <v>272</v>
      </c>
      <c r="H130" s="51">
        <v>23</v>
      </c>
      <c r="I130" s="51">
        <v>75</v>
      </c>
    </row>
    <row r="131" spans="5:9" x14ac:dyDescent="0.25">
      <c r="E131">
        <f t="shared" si="13"/>
        <v>22</v>
      </c>
      <c r="G131" t="s">
        <v>273</v>
      </c>
      <c r="H131" s="51">
        <v>19</v>
      </c>
      <c r="I131" s="51">
        <v>75</v>
      </c>
    </row>
    <row r="132" spans="5:9" x14ac:dyDescent="0.25">
      <c r="E132">
        <f t="shared" si="13"/>
        <v>22</v>
      </c>
      <c r="G132" t="s">
        <v>274</v>
      </c>
      <c r="H132" s="51">
        <v>37</v>
      </c>
      <c r="I132" s="51">
        <v>75</v>
      </c>
    </row>
    <row r="133" spans="5:9" x14ac:dyDescent="0.25">
      <c r="E133">
        <f t="shared" si="13"/>
        <v>22</v>
      </c>
      <c r="G133" t="s">
        <v>275</v>
      </c>
      <c r="H133" s="51">
        <v>44</v>
      </c>
      <c r="I133" s="51">
        <v>75</v>
      </c>
    </row>
    <row r="134" spans="5:9" x14ac:dyDescent="0.25">
      <c r="E134">
        <f t="shared" si="13"/>
        <v>22</v>
      </c>
      <c r="G134" t="s">
        <v>276</v>
      </c>
      <c r="H134" s="51">
        <v>32</v>
      </c>
      <c r="I134" s="51">
        <v>75</v>
      </c>
    </row>
    <row r="135" spans="5:9" x14ac:dyDescent="0.25">
      <c r="E135">
        <f t="shared" si="13"/>
        <v>22</v>
      </c>
      <c r="G135" t="s">
        <v>277</v>
      </c>
      <c r="H135" s="51">
        <v>37</v>
      </c>
      <c r="I135" s="51">
        <v>75</v>
      </c>
    </row>
    <row r="136" spans="5:9" x14ac:dyDescent="0.25">
      <c r="E136">
        <f t="shared" si="13"/>
        <v>22</v>
      </c>
      <c r="G136" t="s">
        <v>278</v>
      </c>
      <c r="H136" s="51">
        <v>18</v>
      </c>
      <c r="I136" s="51">
        <v>75</v>
      </c>
    </row>
    <row r="137" spans="5:9" x14ac:dyDescent="0.25">
      <c r="E137">
        <f t="shared" si="13"/>
        <v>22</v>
      </c>
      <c r="G137" t="s">
        <v>279</v>
      </c>
      <c r="H137" s="51">
        <v>20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271</v>
      </c>
      <c r="H138" s="51">
        <v>27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272</v>
      </c>
      <c r="H139" s="51">
        <v>20</v>
      </c>
      <c r="I139" s="51">
        <v>155</v>
      </c>
    </row>
    <row r="140" spans="5:9" x14ac:dyDescent="0.25">
      <c r="E140">
        <f t="shared" si="14"/>
        <v>23</v>
      </c>
      <c r="G140" t="s">
        <v>273</v>
      </c>
      <c r="H140">
        <v>42</v>
      </c>
      <c r="I140" s="51">
        <v>155</v>
      </c>
    </row>
    <row r="141" spans="5:9" x14ac:dyDescent="0.25">
      <c r="E141">
        <f t="shared" si="14"/>
        <v>23</v>
      </c>
      <c r="G141" t="s">
        <v>274</v>
      </c>
      <c r="H141" s="51">
        <v>25</v>
      </c>
      <c r="I141" s="51">
        <v>155</v>
      </c>
    </row>
    <row r="142" spans="5:9" x14ac:dyDescent="0.25">
      <c r="E142">
        <f t="shared" si="14"/>
        <v>23</v>
      </c>
      <c r="G142" t="s">
        <v>275</v>
      </c>
      <c r="H142" s="51">
        <v>64</v>
      </c>
      <c r="I142" s="51">
        <v>155</v>
      </c>
    </row>
    <row r="143" spans="5:9" x14ac:dyDescent="0.25">
      <c r="E143">
        <f t="shared" si="14"/>
        <v>23</v>
      </c>
      <c r="G143" t="s">
        <v>276</v>
      </c>
      <c r="H143" s="51">
        <v>42</v>
      </c>
      <c r="I143" s="51">
        <v>155</v>
      </c>
    </row>
    <row r="144" spans="5:9" x14ac:dyDescent="0.25">
      <c r="E144">
        <f t="shared" si="14"/>
        <v>23</v>
      </c>
      <c r="G144" t="s">
        <v>277</v>
      </c>
      <c r="H144" s="51">
        <v>5</v>
      </c>
      <c r="I144" s="51">
        <v>155</v>
      </c>
    </row>
    <row r="145" spans="5:9" x14ac:dyDescent="0.25">
      <c r="E145">
        <f t="shared" si="14"/>
        <v>23</v>
      </c>
      <c r="G145" t="s">
        <v>278</v>
      </c>
      <c r="H145" s="51">
        <v>12</v>
      </c>
      <c r="I145" s="51">
        <v>155</v>
      </c>
    </row>
    <row r="146" spans="5:9" x14ac:dyDescent="0.25">
      <c r="E146">
        <f t="shared" si="14"/>
        <v>23</v>
      </c>
      <c r="G146" t="s">
        <v>279</v>
      </c>
      <c r="H146" s="51">
        <v>6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271</v>
      </c>
      <c r="H147" s="51">
        <v>13</v>
      </c>
      <c r="I147" s="51">
        <v>180</v>
      </c>
    </row>
    <row r="148" spans="5:9" x14ac:dyDescent="0.25">
      <c r="E148">
        <f t="shared" ref="E148:E155" si="15">+$F$147</f>
        <v>24</v>
      </c>
      <c r="G148" t="s">
        <v>272</v>
      </c>
      <c r="H148">
        <v>5</v>
      </c>
      <c r="I148" s="51">
        <v>180</v>
      </c>
    </row>
    <row r="149" spans="5:9" x14ac:dyDescent="0.25">
      <c r="E149">
        <f t="shared" si="15"/>
        <v>24</v>
      </c>
      <c r="G149" t="s">
        <v>273</v>
      </c>
      <c r="H149" s="51">
        <v>26</v>
      </c>
      <c r="I149" s="51">
        <v>180</v>
      </c>
    </row>
    <row r="150" spans="5:9" x14ac:dyDescent="0.25">
      <c r="E150">
        <f t="shared" si="15"/>
        <v>24</v>
      </c>
      <c r="G150" t="s">
        <v>274</v>
      </c>
      <c r="H150" s="51">
        <v>20</v>
      </c>
      <c r="I150" s="51">
        <v>180</v>
      </c>
    </row>
    <row r="151" spans="5:9" x14ac:dyDescent="0.25">
      <c r="E151">
        <f t="shared" si="15"/>
        <v>24</v>
      </c>
      <c r="G151" t="s">
        <v>275</v>
      </c>
      <c r="H151" s="51">
        <v>25</v>
      </c>
      <c r="I151" s="51">
        <v>180</v>
      </c>
    </row>
    <row r="152" spans="5:9" x14ac:dyDescent="0.25">
      <c r="E152">
        <f t="shared" si="15"/>
        <v>24</v>
      </c>
      <c r="G152" t="s">
        <v>276</v>
      </c>
      <c r="H152" s="51">
        <v>21</v>
      </c>
      <c r="I152" s="51">
        <v>180</v>
      </c>
    </row>
    <row r="153" spans="5:9" x14ac:dyDescent="0.25">
      <c r="E153">
        <f t="shared" si="15"/>
        <v>24</v>
      </c>
      <c r="G153" t="s">
        <v>277</v>
      </c>
      <c r="H153" s="51">
        <v>9</v>
      </c>
      <c r="I153" s="51">
        <v>180</v>
      </c>
    </row>
    <row r="154" spans="5:9" x14ac:dyDescent="0.25">
      <c r="E154">
        <f t="shared" si="15"/>
        <v>24</v>
      </c>
      <c r="G154" t="s">
        <v>278</v>
      </c>
      <c r="H154" s="51">
        <v>10</v>
      </c>
      <c r="I154" s="51">
        <v>180</v>
      </c>
    </row>
    <row r="155" spans="5:9" x14ac:dyDescent="0.25">
      <c r="E155">
        <f t="shared" si="15"/>
        <v>24</v>
      </c>
      <c r="G155" t="s">
        <v>279</v>
      </c>
      <c r="H155" s="51">
        <v>4</v>
      </c>
      <c r="I155" s="51">
        <v>180</v>
      </c>
    </row>
    <row r="156" spans="5:9" x14ac:dyDescent="0.25">
      <c r="E156">
        <f>+$F$156</f>
        <v>25</v>
      </c>
      <c r="F156">
        <v>25</v>
      </c>
      <c r="G156" t="s">
        <v>271</v>
      </c>
      <c r="H156" s="51">
        <v>40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272</v>
      </c>
      <c r="H157" s="51">
        <v>25</v>
      </c>
      <c r="I157" s="51">
        <v>173</v>
      </c>
    </row>
    <row r="158" spans="5:9" x14ac:dyDescent="0.25">
      <c r="E158">
        <f t="shared" si="16"/>
        <v>25</v>
      </c>
      <c r="G158" t="s">
        <v>273</v>
      </c>
      <c r="H158" s="51">
        <v>33</v>
      </c>
      <c r="I158" s="51">
        <v>173</v>
      </c>
    </row>
    <row r="159" spans="5:9" x14ac:dyDescent="0.25">
      <c r="E159">
        <f t="shared" si="16"/>
        <v>25</v>
      </c>
      <c r="G159" t="s">
        <v>274</v>
      </c>
      <c r="H159" s="51">
        <v>38</v>
      </c>
      <c r="I159" s="51">
        <v>173</v>
      </c>
    </row>
    <row r="160" spans="5:9" x14ac:dyDescent="0.25">
      <c r="E160">
        <f t="shared" si="16"/>
        <v>25</v>
      </c>
      <c r="G160" t="s">
        <v>275</v>
      </c>
      <c r="H160" s="51">
        <v>46</v>
      </c>
      <c r="I160" s="51">
        <v>173</v>
      </c>
    </row>
    <row r="161" spans="5:9" x14ac:dyDescent="0.25">
      <c r="E161">
        <f t="shared" si="16"/>
        <v>25</v>
      </c>
      <c r="G161" t="s">
        <v>276</v>
      </c>
      <c r="H161" s="51">
        <v>36</v>
      </c>
      <c r="I161" s="51">
        <v>173</v>
      </c>
    </row>
    <row r="162" spans="5:9" x14ac:dyDescent="0.25">
      <c r="E162">
        <f t="shared" si="16"/>
        <v>25</v>
      </c>
      <c r="G162" t="s">
        <v>277</v>
      </c>
      <c r="H162" s="51">
        <v>44</v>
      </c>
      <c r="I162" s="51">
        <v>173</v>
      </c>
    </row>
    <row r="163" spans="5:9" x14ac:dyDescent="0.25">
      <c r="E163">
        <f t="shared" si="16"/>
        <v>25</v>
      </c>
      <c r="G163" t="s">
        <v>278</v>
      </c>
      <c r="H163" s="51">
        <v>25</v>
      </c>
      <c r="I163" s="51">
        <v>173</v>
      </c>
    </row>
    <row r="164" spans="5:9" x14ac:dyDescent="0.25">
      <c r="E164">
        <f t="shared" si="16"/>
        <v>25</v>
      </c>
      <c r="G164" t="s">
        <v>279</v>
      </c>
      <c r="H164">
        <v>14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271</v>
      </c>
      <c r="H165" s="51">
        <v>15</v>
      </c>
      <c r="I165" s="51">
        <v>167</v>
      </c>
    </row>
    <row r="166" spans="5:9" x14ac:dyDescent="0.25">
      <c r="E166">
        <f t="shared" ref="E166:E173" si="17">+$F$165</f>
        <v>26</v>
      </c>
      <c r="G166" t="s">
        <v>272</v>
      </c>
      <c r="H166" s="51">
        <v>5</v>
      </c>
      <c r="I166" s="51">
        <v>167</v>
      </c>
    </row>
    <row r="167" spans="5:9" x14ac:dyDescent="0.25">
      <c r="E167">
        <f t="shared" si="17"/>
        <v>26</v>
      </c>
      <c r="G167" t="s">
        <v>273</v>
      </c>
      <c r="H167" s="51">
        <v>6</v>
      </c>
      <c r="I167" s="51">
        <v>167</v>
      </c>
    </row>
    <row r="168" spans="5:9" x14ac:dyDescent="0.25">
      <c r="E168">
        <f t="shared" si="17"/>
        <v>26</v>
      </c>
      <c r="G168" t="s">
        <v>274</v>
      </c>
      <c r="H168" s="51">
        <v>10</v>
      </c>
      <c r="I168" s="51">
        <v>167</v>
      </c>
    </row>
    <row r="169" spans="5:9" x14ac:dyDescent="0.25">
      <c r="E169">
        <f t="shared" si="17"/>
        <v>26</v>
      </c>
      <c r="G169" t="s">
        <v>275</v>
      </c>
      <c r="H169" s="51">
        <v>17</v>
      </c>
      <c r="I169" s="51">
        <v>167</v>
      </c>
    </row>
    <row r="170" spans="5:9" x14ac:dyDescent="0.25">
      <c r="E170">
        <f t="shared" si="17"/>
        <v>26</v>
      </c>
      <c r="G170" t="s">
        <v>276</v>
      </c>
      <c r="H170" s="51">
        <v>10</v>
      </c>
      <c r="I170" s="51">
        <v>167</v>
      </c>
    </row>
    <row r="171" spans="5:9" x14ac:dyDescent="0.25">
      <c r="E171">
        <f t="shared" si="17"/>
        <v>26</v>
      </c>
      <c r="G171" t="s">
        <v>277</v>
      </c>
      <c r="H171" s="51">
        <v>13</v>
      </c>
      <c r="I171" s="51">
        <v>167</v>
      </c>
    </row>
    <row r="172" spans="5:9" x14ac:dyDescent="0.25">
      <c r="E172">
        <f t="shared" si="17"/>
        <v>26</v>
      </c>
      <c r="G172" t="s">
        <v>278</v>
      </c>
      <c r="H172" s="51">
        <v>8</v>
      </c>
      <c r="I172" s="51">
        <v>167</v>
      </c>
    </row>
    <row r="173" spans="5:9" x14ac:dyDescent="0.25">
      <c r="E173">
        <f t="shared" si="17"/>
        <v>26</v>
      </c>
      <c r="G173" t="s">
        <v>279</v>
      </c>
      <c r="H173" s="51">
        <v>7</v>
      </c>
      <c r="I173" s="51">
        <v>167</v>
      </c>
    </row>
    <row r="174" spans="5:9" x14ac:dyDescent="0.25">
      <c r="E174">
        <f>+$F$174</f>
        <v>27</v>
      </c>
      <c r="F174">
        <v>27</v>
      </c>
      <c r="G174" t="s">
        <v>271</v>
      </c>
      <c r="H174" s="51">
        <v>30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272</v>
      </c>
      <c r="H175" s="51">
        <v>18</v>
      </c>
      <c r="I175" s="51">
        <v>133</v>
      </c>
    </row>
    <row r="176" spans="5:9" x14ac:dyDescent="0.25">
      <c r="E176">
        <f t="shared" si="18"/>
        <v>27</v>
      </c>
      <c r="G176" t="s">
        <v>273</v>
      </c>
      <c r="H176" s="51">
        <v>28</v>
      </c>
      <c r="I176" s="51">
        <v>133</v>
      </c>
    </row>
    <row r="177" spans="5:9" x14ac:dyDescent="0.25">
      <c r="E177">
        <f t="shared" si="18"/>
        <v>27</v>
      </c>
      <c r="G177" t="s">
        <v>274</v>
      </c>
      <c r="H177" s="51">
        <v>46</v>
      </c>
      <c r="I177" s="51">
        <v>133</v>
      </c>
    </row>
    <row r="178" spans="5:9" x14ac:dyDescent="0.25">
      <c r="E178">
        <f t="shared" si="18"/>
        <v>27</v>
      </c>
      <c r="G178" t="s">
        <v>275</v>
      </c>
      <c r="H178" s="51">
        <v>72</v>
      </c>
      <c r="I178" s="51">
        <v>133</v>
      </c>
    </row>
    <row r="179" spans="5:9" x14ac:dyDescent="0.25">
      <c r="E179">
        <f t="shared" si="18"/>
        <v>27</v>
      </c>
      <c r="G179" t="s">
        <v>276</v>
      </c>
      <c r="H179" s="51">
        <v>43</v>
      </c>
      <c r="I179" s="51">
        <v>133</v>
      </c>
    </row>
    <row r="180" spans="5:9" x14ac:dyDescent="0.25">
      <c r="E180">
        <f t="shared" si="18"/>
        <v>27</v>
      </c>
      <c r="G180" t="s">
        <v>277</v>
      </c>
      <c r="H180">
        <v>16</v>
      </c>
      <c r="I180" s="51">
        <v>133</v>
      </c>
    </row>
    <row r="181" spans="5:9" x14ac:dyDescent="0.25">
      <c r="E181">
        <f t="shared" si="18"/>
        <v>27</v>
      </c>
      <c r="G181" t="s">
        <v>278</v>
      </c>
      <c r="H181" s="51">
        <v>16</v>
      </c>
      <c r="I181" s="51">
        <v>133</v>
      </c>
    </row>
    <row r="182" spans="5:9" x14ac:dyDescent="0.25">
      <c r="E182">
        <f t="shared" si="18"/>
        <v>27</v>
      </c>
      <c r="G182" t="s">
        <v>279</v>
      </c>
      <c r="H182" s="51">
        <v>12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271</v>
      </c>
      <c r="H183" s="51">
        <v>27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272</v>
      </c>
      <c r="H184" s="51">
        <v>15</v>
      </c>
      <c r="I184" s="51">
        <v>168</v>
      </c>
    </row>
    <row r="185" spans="5:9" x14ac:dyDescent="0.25">
      <c r="E185">
        <f t="shared" si="19"/>
        <v>28</v>
      </c>
      <c r="G185" t="s">
        <v>273</v>
      </c>
      <c r="H185" s="51">
        <v>33</v>
      </c>
      <c r="I185" s="51">
        <v>168</v>
      </c>
    </row>
    <row r="186" spans="5:9" x14ac:dyDescent="0.25">
      <c r="E186">
        <f t="shared" si="19"/>
        <v>28</v>
      </c>
      <c r="G186" t="s">
        <v>274</v>
      </c>
      <c r="H186">
        <v>36</v>
      </c>
      <c r="I186" s="51">
        <v>168</v>
      </c>
    </row>
    <row r="187" spans="5:9" x14ac:dyDescent="0.25">
      <c r="E187">
        <f t="shared" si="19"/>
        <v>28</v>
      </c>
      <c r="G187" t="s">
        <v>275</v>
      </c>
      <c r="H187" s="51">
        <v>65</v>
      </c>
      <c r="I187" s="51">
        <v>168</v>
      </c>
    </row>
    <row r="188" spans="5:9" x14ac:dyDescent="0.25">
      <c r="E188">
        <f t="shared" si="19"/>
        <v>28</v>
      </c>
      <c r="G188" t="s">
        <v>276</v>
      </c>
      <c r="H188" s="51">
        <v>44</v>
      </c>
      <c r="I188" s="51">
        <v>168</v>
      </c>
    </row>
    <row r="189" spans="5:9" x14ac:dyDescent="0.25">
      <c r="E189">
        <f t="shared" si="19"/>
        <v>28</v>
      </c>
      <c r="G189" t="s">
        <v>277</v>
      </c>
      <c r="H189" s="51">
        <v>11</v>
      </c>
      <c r="I189" s="51">
        <v>168</v>
      </c>
    </row>
    <row r="190" spans="5:9" x14ac:dyDescent="0.25">
      <c r="E190">
        <f t="shared" si="19"/>
        <v>28</v>
      </c>
      <c r="G190" t="s">
        <v>278</v>
      </c>
      <c r="H190" s="51">
        <v>14</v>
      </c>
      <c r="I190" s="51">
        <v>168</v>
      </c>
    </row>
    <row r="191" spans="5:9" x14ac:dyDescent="0.25">
      <c r="E191">
        <f t="shared" si="19"/>
        <v>28</v>
      </c>
      <c r="G191" t="s">
        <v>279</v>
      </c>
      <c r="H191" s="51">
        <v>7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271</v>
      </c>
      <c r="H192" s="51">
        <v>29</v>
      </c>
      <c r="I192" s="51">
        <v>171</v>
      </c>
    </row>
    <row r="193" spans="5:9" x14ac:dyDescent="0.25">
      <c r="E193">
        <f t="shared" ref="E193:E200" si="20">+$F$192</f>
        <v>3</v>
      </c>
      <c r="G193" t="s">
        <v>272</v>
      </c>
      <c r="H193" s="51">
        <v>25</v>
      </c>
      <c r="I193" s="51">
        <v>171</v>
      </c>
    </row>
    <row r="194" spans="5:9" x14ac:dyDescent="0.25">
      <c r="E194">
        <f t="shared" si="20"/>
        <v>3</v>
      </c>
      <c r="G194" t="s">
        <v>273</v>
      </c>
      <c r="H194" s="51">
        <v>55</v>
      </c>
      <c r="I194" s="51">
        <v>171</v>
      </c>
    </row>
    <row r="195" spans="5:9" x14ac:dyDescent="0.25">
      <c r="E195">
        <f t="shared" si="20"/>
        <v>3</v>
      </c>
      <c r="G195" t="s">
        <v>274</v>
      </c>
      <c r="H195" s="51">
        <v>47</v>
      </c>
      <c r="I195" s="51">
        <v>171</v>
      </c>
    </row>
    <row r="196" spans="5:9" x14ac:dyDescent="0.25">
      <c r="E196">
        <f t="shared" si="20"/>
        <v>3</v>
      </c>
      <c r="G196" t="s">
        <v>275</v>
      </c>
      <c r="H196">
        <v>79</v>
      </c>
      <c r="I196" s="51">
        <v>171</v>
      </c>
    </row>
    <row r="197" spans="5:9" x14ac:dyDescent="0.25">
      <c r="E197">
        <f t="shared" si="20"/>
        <v>3</v>
      </c>
      <c r="G197" t="s">
        <v>276</v>
      </c>
      <c r="H197" s="51">
        <v>60</v>
      </c>
      <c r="I197" s="51">
        <v>171</v>
      </c>
    </row>
    <row r="198" spans="5:9" x14ac:dyDescent="0.25">
      <c r="E198">
        <f t="shared" si="20"/>
        <v>3</v>
      </c>
      <c r="G198" t="s">
        <v>277</v>
      </c>
      <c r="H198" s="51">
        <v>15</v>
      </c>
      <c r="I198" s="51">
        <v>171</v>
      </c>
    </row>
    <row r="199" spans="5:9" x14ac:dyDescent="0.25">
      <c r="E199">
        <f t="shared" si="20"/>
        <v>3</v>
      </c>
      <c r="G199" t="s">
        <v>278</v>
      </c>
      <c r="H199" s="51">
        <v>12</v>
      </c>
      <c r="I199" s="51">
        <v>171</v>
      </c>
    </row>
    <row r="200" spans="5:9" x14ac:dyDescent="0.25">
      <c r="E200">
        <f t="shared" si="20"/>
        <v>3</v>
      </c>
      <c r="G200" t="s">
        <v>279</v>
      </c>
      <c r="H200" s="51">
        <v>20</v>
      </c>
      <c r="I200" s="51">
        <v>171</v>
      </c>
    </row>
    <row r="201" spans="5:9" x14ac:dyDescent="0.25">
      <c r="E201">
        <f>+$F$201</f>
        <v>30</v>
      </c>
      <c r="F201">
        <v>30</v>
      </c>
      <c r="G201" t="s">
        <v>271</v>
      </c>
      <c r="H201" s="51">
        <v>3</v>
      </c>
      <c r="I201" s="51">
        <v>65</v>
      </c>
    </row>
    <row r="202" spans="5:9" x14ac:dyDescent="0.25">
      <c r="E202">
        <f t="shared" ref="E202:E209" si="21">+$F$201</f>
        <v>30</v>
      </c>
      <c r="G202" t="s">
        <v>272</v>
      </c>
      <c r="H202" s="51"/>
      <c r="I202" s="51">
        <v>65</v>
      </c>
    </row>
    <row r="203" spans="5:9" x14ac:dyDescent="0.25">
      <c r="E203">
        <f t="shared" si="21"/>
        <v>30</v>
      </c>
      <c r="G203" t="s">
        <v>273</v>
      </c>
      <c r="H203" s="51">
        <v>4</v>
      </c>
      <c r="I203" s="51">
        <v>65</v>
      </c>
    </row>
    <row r="204" spans="5:9" x14ac:dyDescent="0.25">
      <c r="E204">
        <f t="shared" si="21"/>
        <v>30</v>
      </c>
      <c r="G204" t="s">
        <v>274</v>
      </c>
      <c r="H204" s="51"/>
      <c r="I204" s="51">
        <v>65</v>
      </c>
    </row>
    <row r="205" spans="5:9" x14ac:dyDescent="0.25">
      <c r="E205">
        <f t="shared" si="21"/>
        <v>30</v>
      </c>
      <c r="G205" t="s">
        <v>275</v>
      </c>
      <c r="H205" s="51">
        <v>2</v>
      </c>
      <c r="I205" s="51">
        <v>65</v>
      </c>
    </row>
    <row r="206" spans="5:9" x14ac:dyDescent="0.25">
      <c r="E206">
        <f t="shared" si="21"/>
        <v>30</v>
      </c>
      <c r="G206" t="s">
        <v>276</v>
      </c>
      <c r="H206" s="51"/>
      <c r="I206" s="51">
        <v>65</v>
      </c>
    </row>
    <row r="207" spans="5:9" x14ac:dyDescent="0.25">
      <c r="E207">
        <f t="shared" si="21"/>
        <v>30</v>
      </c>
      <c r="G207" t="s">
        <v>277</v>
      </c>
      <c r="H207" s="51">
        <v>2</v>
      </c>
      <c r="I207" s="51">
        <v>65</v>
      </c>
    </row>
    <row r="208" spans="5:9" x14ac:dyDescent="0.25">
      <c r="E208">
        <f t="shared" si="21"/>
        <v>30</v>
      </c>
      <c r="G208" t="s">
        <v>278</v>
      </c>
      <c r="H208" s="51"/>
      <c r="I208" s="51">
        <v>65</v>
      </c>
    </row>
    <row r="209" spans="5:9" x14ac:dyDescent="0.25">
      <c r="E209">
        <f t="shared" si="21"/>
        <v>30</v>
      </c>
      <c r="G209" t="s">
        <v>279</v>
      </c>
      <c r="H209" s="51">
        <v>1</v>
      </c>
      <c r="I209" s="51">
        <v>65</v>
      </c>
    </row>
    <row r="210" spans="5:9" x14ac:dyDescent="0.25">
      <c r="E210">
        <f>+$F$210</f>
        <v>31</v>
      </c>
      <c r="F210">
        <v>31</v>
      </c>
      <c r="G210" t="s">
        <v>271</v>
      </c>
      <c r="H210" s="51">
        <v>21</v>
      </c>
      <c r="I210" s="51">
        <v>163</v>
      </c>
    </row>
    <row r="211" spans="5:9" x14ac:dyDescent="0.25">
      <c r="E211">
        <f t="shared" ref="E211:E218" si="22">+$F$210</f>
        <v>31</v>
      </c>
      <c r="G211" t="s">
        <v>272</v>
      </c>
      <c r="H211" s="51">
        <v>26</v>
      </c>
      <c r="I211" s="51">
        <v>163</v>
      </c>
    </row>
    <row r="212" spans="5:9" x14ac:dyDescent="0.25">
      <c r="E212">
        <f t="shared" si="22"/>
        <v>31</v>
      </c>
      <c r="G212" t="s">
        <v>273</v>
      </c>
      <c r="H212">
        <v>50</v>
      </c>
      <c r="I212" s="51">
        <v>163</v>
      </c>
    </row>
    <row r="213" spans="5:9" x14ac:dyDescent="0.25">
      <c r="E213">
        <f t="shared" si="22"/>
        <v>31</v>
      </c>
      <c r="G213" t="s">
        <v>274</v>
      </c>
      <c r="H213" s="51">
        <v>40</v>
      </c>
      <c r="I213" s="51">
        <v>163</v>
      </c>
    </row>
    <row r="214" spans="5:9" x14ac:dyDescent="0.25">
      <c r="E214">
        <f t="shared" si="22"/>
        <v>31</v>
      </c>
      <c r="G214" t="s">
        <v>275</v>
      </c>
      <c r="H214" s="51">
        <v>63</v>
      </c>
      <c r="I214" s="51">
        <v>163</v>
      </c>
    </row>
    <row r="215" spans="5:9" x14ac:dyDescent="0.25">
      <c r="E215">
        <f t="shared" si="22"/>
        <v>31</v>
      </c>
      <c r="G215" t="s">
        <v>276</v>
      </c>
      <c r="H215" s="51">
        <v>45</v>
      </c>
      <c r="I215" s="51">
        <v>163</v>
      </c>
    </row>
    <row r="216" spans="5:9" x14ac:dyDescent="0.25">
      <c r="E216">
        <f t="shared" si="22"/>
        <v>31</v>
      </c>
      <c r="G216" t="s">
        <v>277</v>
      </c>
      <c r="H216" s="51">
        <v>21</v>
      </c>
      <c r="I216" s="51">
        <v>163</v>
      </c>
    </row>
    <row r="217" spans="5:9" x14ac:dyDescent="0.25">
      <c r="E217">
        <f t="shared" si="22"/>
        <v>31</v>
      </c>
      <c r="G217" t="s">
        <v>278</v>
      </c>
      <c r="H217" s="51">
        <v>15</v>
      </c>
      <c r="I217" s="51">
        <v>163</v>
      </c>
    </row>
    <row r="218" spans="5:9" x14ac:dyDescent="0.25">
      <c r="E218">
        <f t="shared" si="22"/>
        <v>31</v>
      </c>
      <c r="G218" t="s">
        <v>279</v>
      </c>
      <c r="H218" s="51">
        <v>10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271</v>
      </c>
      <c r="H219" s="51">
        <v>21</v>
      </c>
      <c r="I219" s="51">
        <v>58</v>
      </c>
    </row>
    <row r="220" spans="5:9" x14ac:dyDescent="0.25">
      <c r="E220">
        <f t="shared" ref="E220:E227" si="23">+$F$219</f>
        <v>32</v>
      </c>
      <c r="G220" t="s">
        <v>272</v>
      </c>
      <c r="H220" s="51">
        <v>3</v>
      </c>
      <c r="I220" s="51">
        <v>58</v>
      </c>
    </row>
    <row r="221" spans="5:9" x14ac:dyDescent="0.25">
      <c r="E221">
        <f t="shared" si="23"/>
        <v>32</v>
      </c>
      <c r="G221" t="s">
        <v>273</v>
      </c>
      <c r="H221" s="51">
        <v>5</v>
      </c>
      <c r="I221" s="51">
        <v>58</v>
      </c>
    </row>
    <row r="222" spans="5:9" x14ac:dyDescent="0.25">
      <c r="E222">
        <f t="shared" si="23"/>
        <v>32</v>
      </c>
      <c r="G222" t="s">
        <v>274</v>
      </c>
      <c r="H222" s="51">
        <v>17</v>
      </c>
      <c r="I222" s="51">
        <v>58</v>
      </c>
    </row>
    <row r="223" spans="5:9" x14ac:dyDescent="0.25">
      <c r="E223">
        <f t="shared" si="23"/>
        <v>32</v>
      </c>
      <c r="G223" t="s">
        <v>275</v>
      </c>
      <c r="H223" s="51">
        <v>24</v>
      </c>
      <c r="I223" s="51">
        <v>58</v>
      </c>
    </row>
    <row r="224" spans="5:9" x14ac:dyDescent="0.25">
      <c r="E224">
        <f t="shared" si="23"/>
        <v>32</v>
      </c>
      <c r="G224" t="s">
        <v>276</v>
      </c>
      <c r="H224" s="51">
        <v>14</v>
      </c>
      <c r="I224" s="51">
        <v>58</v>
      </c>
    </row>
    <row r="225" spans="5:9" x14ac:dyDescent="0.25">
      <c r="E225">
        <f t="shared" si="23"/>
        <v>32</v>
      </c>
      <c r="G225" t="s">
        <v>277</v>
      </c>
      <c r="H225" s="51">
        <v>18</v>
      </c>
      <c r="I225" s="51">
        <v>58</v>
      </c>
    </row>
    <row r="226" spans="5:9" x14ac:dyDescent="0.25">
      <c r="E226">
        <f t="shared" si="23"/>
        <v>32</v>
      </c>
      <c r="G226" t="s">
        <v>278</v>
      </c>
      <c r="H226" s="51">
        <v>5</v>
      </c>
      <c r="I226" s="51">
        <v>58</v>
      </c>
    </row>
    <row r="227" spans="5:9" x14ac:dyDescent="0.25">
      <c r="E227">
        <f t="shared" si="23"/>
        <v>32</v>
      </c>
      <c r="G227" t="s">
        <v>279</v>
      </c>
      <c r="H227" s="51">
        <v>10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271</v>
      </c>
      <c r="H228" s="51">
        <v>17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272</v>
      </c>
      <c r="H229" s="51">
        <v>12</v>
      </c>
      <c r="I229" s="51">
        <v>167</v>
      </c>
    </row>
    <row r="230" spans="5:9" x14ac:dyDescent="0.25">
      <c r="E230">
        <f t="shared" si="24"/>
        <v>33</v>
      </c>
      <c r="G230" t="s">
        <v>273</v>
      </c>
      <c r="H230" s="51">
        <v>33</v>
      </c>
      <c r="I230" s="51">
        <v>167</v>
      </c>
    </row>
    <row r="231" spans="5:9" x14ac:dyDescent="0.25">
      <c r="E231">
        <f t="shared" si="24"/>
        <v>33</v>
      </c>
      <c r="G231" t="s">
        <v>274</v>
      </c>
      <c r="H231" s="51">
        <v>34</v>
      </c>
      <c r="I231" s="51">
        <v>167</v>
      </c>
    </row>
    <row r="232" spans="5:9" x14ac:dyDescent="0.25">
      <c r="E232">
        <f t="shared" si="24"/>
        <v>33</v>
      </c>
      <c r="G232" t="s">
        <v>275</v>
      </c>
      <c r="H232" s="51">
        <v>49</v>
      </c>
      <c r="I232" s="51">
        <v>167</v>
      </c>
    </row>
    <row r="233" spans="5:9" x14ac:dyDescent="0.25">
      <c r="E233">
        <f t="shared" si="24"/>
        <v>33</v>
      </c>
      <c r="G233" t="s">
        <v>276</v>
      </c>
      <c r="H233" s="51">
        <v>38</v>
      </c>
      <c r="I233" s="51">
        <v>167</v>
      </c>
    </row>
    <row r="234" spans="5:9" x14ac:dyDescent="0.25">
      <c r="E234">
        <f t="shared" si="24"/>
        <v>33</v>
      </c>
      <c r="G234" t="s">
        <v>277</v>
      </c>
      <c r="H234" s="51">
        <v>7</v>
      </c>
      <c r="I234" s="51">
        <v>167</v>
      </c>
    </row>
    <row r="235" spans="5:9" x14ac:dyDescent="0.25">
      <c r="E235">
        <f t="shared" si="24"/>
        <v>33</v>
      </c>
      <c r="G235" t="s">
        <v>278</v>
      </c>
      <c r="H235" s="51">
        <v>12</v>
      </c>
      <c r="I235" s="51">
        <v>167</v>
      </c>
    </row>
    <row r="236" spans="5:9" x14ac:dyDescent="0.25">
      <c r="E236">
        <f t="shared" si="24"/>
        <v>33</v>
      </c>
      <c r="G236" t="s">
        <v>279</v>
      </c>
      <c r="H236">
        <v>12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271</v>
      </c>
      <c r="H237" s="51">
        <v>17</v>
      </c>
      <c r="I237" s="51">
        <v>161</v>
      </c>
    </row>
    <row r="238" spans="5:9" x14ac:dyDescent="0.25">
      <c r="E238">
        <f t="shared" ref="E238:E245" si="25">+$F$237</f>
        <v>36</v>
      </c>
      <c r="G238" t="s">
        <v>272</v>
      </c>
      <c r="H238" s="51">
        <v>9</v>
      </c>
      <c r="I238" s="51">
        <v>161</v>
      </c>
    </row>
    <row r="239" spans="5:9" x14ac:dyDescent="0.25">
      <c r="E239">
        <f t="shared" si="25"/>
        <v>36</v>
      </c>
      <c r="G239" t="s">
        <v>273</v>
      </c>
      <c r="H239" s="51">
        <v>38</v>
      </c>
      <c r="I239" s="51">
        <v>161</v>
      </c>
    </row>
    <row r="240" spans="5:9" x14ac:dyDescent="0.25">
      <c r="E240">
        <f t="shared" si="25"/>
        <v>36</v>
      </c>
      <c r="G240" t="s">
        <v>274</v>
      </c>
      <c r="H240" s="51">
        <v>26</v>
      </c>
      <c r="I240" s="51">
        <v>161</v>
      </c>
    </row>
    <row r="241" spans="5:9" x14ac:dyDescent="0.25">
      <c r="E241">
        <f t="shared" si="25"/>
        <v>36</v>
      </c>
      <c r="G241" t="s">
        <v>275</v>
      </c>
      <c r="H241" s="51">
        <v>49</v>
      </c>
      <c r="I241" s="51">
        <v>161</v>
      </c>
    </row>
    <row r="242" spans="5:9" x14ac:dyDescent="0.25">
      <c r="E242">
        <f t="shared" si="25"/>
        <v>36</v>
      </c>
      <c r="G242" t="s">
        <v>276</v>
      </c>
      <c r="H242" s="51">
        <v>22</v>
      </c>
      <c r="I242" s="51">
        <v>161</v>
      </c>
    </row>
    <row r="243" spans="5:9" x14ac:dyDescent="0.25">
      <c r="E243">
        <f t="shared" si="25"/>
        <v>36</v>
      </c>
      <c r="G243" t="s">
        <v>277</v>
      </c>
      <c r="H243" s="51">
        <v>12</v>
      </c>
      <c r="I243" s="51">
        <v>161</v>
      </c>
    </row>
    <row r="244" spans="5:9" x14ac:dyDescent="0.25">
      <c r="E244">
        <f t="shared" si="25"/>
        <v>36</v>
      </c>
      <c r="G244" t="s">
        <v>278</v>
      </c>
      <c r="H244">
        <v>7</v>
      </c>
      <c r="I244" s="51">
        <v>161</v>
      </c>
    </row>
    <row r="245" spans="5:9" x14ac:dyDescent="0.25">
      <c r="E245">
        <f t="shared" si="25"/>
        <v>36</v>
      </c>
      <c r="G245" t="s">
        <v>279</v>
      </c>
      <c r="H245" s="51">
        <v>7</v>
      </c>
      <c r="I245" s="51">
        <v>161</v>
      </c>
    </row>
    <row r="246" spans="5:9" x14ac:dyDescent="0.25">
      <c r="E246">
        <f>+$F$246</f>
        <v>37</v>
      </c>
      <c r="F246">
        <v>37</v>
      </c>
      <c r="G246" t="s">
        <v>271</v>
      </c>
      <c r="H246" s="51">
        <v>13</v>
      </c>
      <c r="I246" s="51">
        <v>143</v>
      </c>
    </row>
    <row r="247" spans="5:9" x14ac:dyDescent="0.25">
      <c r="E247">
        <f t="shared" ref="E247:E254" si="26">+$F$246</f>
        <v>37</v>
      </c>
      <c r="G247" t="s">
        <v>272</v>
      </c>
      <c r="H247" s="51">
        <v>4</v>
      </c>
      <c r="I247" s="51">
        <v>143</v>
      </c>
    </row>
    <row r="248" spans="5:9" x14ac:dyDescent="0.25">
      <c r="E248">
        <f t="shared" si="26"/>
        <v>37</v>
      </c>
      <c r="G248" t="s">
        <v>273</v>
      </c>
      <c r="H248" s="51">
        <v>9</v>
      </c>
      <c r="I248" s="51">
        <v>143</v>
      </c>
    </row>
    <row r="249" spans="5:9" x14ac:dyDescent="0.25">
      <c r="E249">
        <f t="shared" si="26"/>
        <v>37</v>
      </c>
      <c r="G249" t="s">
        <v>274</v>
      </c>
      <c r="H249" s="51">
        <v>17</v>
      </c>
      <c r="I249" s="51">
        <v>143</v>
      </c>
    </row>
    <row r="250" spans="5:9" x14ac:dyDescent="0.25">
      <c r="E250">
        <f t="shared" si="26"/>
        <v>37</v>
      </c>
      <c r="G250" t="s">
        <v>275</v>
      </c>
      <c r="H250" s="51">
        <v>24</v>
      </c>
      <c r="I250" s="51">
        <v>143</v>
      </c>
    </row>
    <row r="251" spans="5:9" x14ac:dyDescent="0.25">
      <c r="E251">
        <f t="shared" si="26"/>
        <v>37</v>
      </c>
      <c r="G251" t="s">
        <v>276</v>
      </c>
      <c r="H251" s="51">
        <v>11</v>
      </c>
      <c r="I251" s="51">
        <v>143</v>
      </c>
    </row>
    <row r="252" spans="5:9" x14ac:dyDescent="0.25">
      <c r="E252">
        <f t="shared" si="26"/>
        <v>37</v>
      </c>
      <c r="G252" t="s">
        <v>277</v>
      </c>
      <c r="H252">
        <v>4</v>
      </c>
      <c r="I252" s="51">
        <v>143</v>
      </c>
    </row>
    <row r="253" spans="5:9" x14ac:dyDescent="0.25">
      <c r="E253">
        <f t="shared" si="26"/>
        <v>37</v>
      </c>
      <c r="G253" t="s">
        <v>278</v>
      </c>
      <c r="H253" s="51">
        <v>12</v>
      </c>
      <c r="I253" s="51">
        <v>143</v>
      </c>
    </row>
    <row r="254" spans="5:9" x14ac:dyDescent="0.25">
      <c r="E254">
        <f t="shared" si="26"/>
        <v>37</v>
      </c>
      <c r="G254" t="s">
        <v>279</v>
      </c>
      <c r="H254" s="51">
        <v>6</v>
      </c>
      <c r="I254" s="51">
        <v>143</v>
      </c>
    </row>
    <row r="255" spans="5:9" x14ac:dyDescent="0.25">
      <c r="E255">
        <f>+$F$255</f>
        <v>4</v>
      </c>
      <c r="F255">
        <v>4</v>
      </c>
      <c r="G255" t="s">
        <v>271</v>
      </c>
      <c r="H255" s="51">
        <v>24</v>
      </c>
      <c r="I255" s="51">
        <v>182</v>
      </c>
    </row>
    <row r="256" spans="5:9" x14ac:dyDescent="0.25">
      <c r="E256">
        <f t="shared" ref="E256:E263" si="27">+$F$255</f>
        <v>4</v>
      </c>
      <c r="G256" t="s">
        <v>272</v>
      </c>
      <c r="H256" s="51">
        <v>26</v>
      </c>
      <c r="I256" s="51">
        <v>182</v>
      </c>
    </row>
    <row r="257" spans="5:9" x14ac:dyDescent="0.25">
      <c r="E257">
        <f t="shared" si="27"/>
        <v>4</v>
      </c>
      <c r="G257" t="s">
        <v>273</v>
      </c>
      <c r="H257" s="51">
        <v>41</v>
      </c>
      <c r="I257" s="51">
        <v>182</v>
      </c>
    </row>
    <row r="258" spans="5:9" x14ac:dyDescent="0.25">
      <c r="E258">
        <f t="shared" si="27"/>
        <v>4</v>
      </c>
      <c r="G258" t="s">
        <v>274</v>
      </c>
      <c r="H258">
        <v>39</v>
      </c>
      <c r="I258" s="51">
        <v>182</v>
      </c>
    </row>
    <row r="259" spans="5:9" x14ac:dyDescent="0.25">
      <c r="E259">
        <f t="shared" si="27"/>
        <v>4</v>
      </c>
      <c r="G259" t="s">
        <v>275</v>
      </c>
      <c r="H259" s="51">
        <v>63</v>
      </c>
      <c r="I259" s="51">
        <v>182</v>
      </c>
    </row>
    <row r="260" spans="5:9" x14ac:dyDescent="0.25">
      <c r="E260">
        <f t="shared" si="27"/>
        <v>4</v>
      </c>
      <c r="G260" t="s">
        <v>276</v>
      </c>
      <c r="H260">
        <v>42</v>
      </c>
      <c r="I260" s="51">
        <v>182</v>
      </c>
    </row>
    <row r="261" spans="5:9" x14ac:dyDescent="0.25">
      <c r="E261">
        <f t="shared" si="27"/>
        <v>4</v>
      </c>
      <c r="G261" t="s">
        <v>277</v>
      </c>
      <c r="H261" s="51">
        <v>14</v>
      </c>
      <c r="I261" s="51">
        <v>182</v>
      </c>
    </row>
    <row r="262" spans="5:9" x14ac:dyDescent="0.25">
      <c r="E262">
        <f t="shared" si="27"/>
        <v>4</v>
      </c>
      <c r="G262" t="s">
        <v>278</v>
      </c>
      <c r="H262" s="51">
        <v>17</v>
      </c>
      <c r="I262" s="51">
        <v>182</v>
      </c>
    </row>
    <row r="263" spans="5:9" x14ac:dyDescent="0.25">
      <c r="E263">
        <f t="shared" si="27"/>
        <v>4</v>
      </c>
      <c r="G263" t="s">
        <v>279</v>
      </c>
      <c r="H263" s="51">
        <v>24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271</v>
      </c>
      <c r="H264" s="51">
        <v>18</v>
      </c>
      <c r="I264" s="51">
        <v>251</v>
      </c>
    </row>
    <row r="265" spans="5:9" x14ac:dyDescent="0.25">
      <c r="E265">
        <f t="shared" ref="E265:E272" si="28">+$F$264</f>
        <v>40</v>
      </c>
      <c r="G265" t="s">
        <v>272</v>
      </c>
      <c r="H265">
        <v>12</v>
      </c>
      <c r="I265" s="51">
        <v>251</v>
      </c>
    </row>
    <row r="266" spans="5:9" x14ac:dyDescent="0.25">
      <c r="E266">
        <f t="shared" si="28"/>
        <v>40</v>
      </c>
      <c r="G266" t="s">
        <v>273</v>
      </c>
      <c r="H266" s="51">
        <v>32</v>
      </c>
      <c r="I266" s="51">
        <v>251</v>
      </c>
    </row>
    <row r="267" spans="5:9" x14ac:dyDescent="0.25">
      <c r="E267">
        <f t="shared" si="28"/>
        <v>40</v>
      </c>
      <c r="G267" t="s">
        <v>274</v>
      </c>
      <c r="H267" s="51">
        <v>30</v>
      </c>
      <c r="I267" s="51">
        <v>251</v>
      </c>
    </row>
    <row r="268" spans="5:9" x14ac:dyDescent="0.25">
      <c r="E268">
        <f t="shared" si="28"/>
        <v>40</v>
      </c>
      <c r="G268" t="s">
        <v>275</v>
      </c>
      <c r="H268">
        <v>40</v>
      </c>
      <c r="I268" s="51">
        <v>251</v>
      </c>
    </row>
    <row r="269" spans="5:9" x14ac:dyDescent="0.25">
      <c r="E269">
        <f t="shared" si="28"/>
        <v>40</v>
      </c>
      <c r="G269" t="s">
        <v>276</v>
      </c>
      <c r="H269" s="51">
        <v>33</v>
      </c>
      <c r="I269" s="51">
        <v>251</v>
      </c>
    </row>
    <row r="270" spans="5:9" x14ac:dyDescent="0.25">
      <c r="E270">
        <f t="shared" si="28"/>
        <v>40</v>
      </c>
      <c r="G270" t="s">
        <v>277</v>
      </c>
      <c r="H270" s="51">
        <v>24</v>
      </c>
      <c r="I270" s="51">
        <v>251</v>
      </c>
    </row>
    <row r="271" spans="5:9" x14ac:dyDescent="0.25">
      <c r="E271">
        <f t="shared" si="28"/>
        <v>40</v>
      </c>
      <c r="G271" t="s">
        <v>278</v>
      </c>
      <c r="H271" s="51">
        <v>14</v>
      </c>
      <c r="I271" s="51">
        <v>251</v>
      </c>
    </row>
    <row r="272" spans="5:9" x14ac:dyDescent="0.25">
      <c r="E272">
        <f t="shared" si="28"/>
        <v>40</v>
      </c>
      <c r="G272" t="s">
        <v>279</v>
      </c>
      <c r="H272" s="51">
        <v>6</v>
      </c>
      <c r="I272" s="51">
        <v>251</v>
      </c>
    </row>
    <row r="273" spans="5:9" x14ac:dyDescent="0.25">
      <c r="E273">
        <f>+$F$273</f>
        <v>42</v>
      </c>
      <c r="F273">
        <v>42</v>
      </c>
      <c r="G273" t="s">
        <v>271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272</v>
      </c>
      <c r="H274" s="51">
        <v>1</v>
      </c>
      <c r="I274" s="51">
        <v>52</v>
      </c>
    </row>
    <row r="275" spans="5:9" x14ac:dyDescent="0.25">
      <c r="E275">
        <f t="shared" si="29"/>
        <v>42</v>
      </c>
      <c r="G275" t="s">
        <v>273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274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275</v>
      </c>
      <c r="H277" s="51">
        <v>5</v>
      </c>
      <c r="I277" s="51">
        <v>52</v>
      </c>
    </row>
    <row r="278" spans="5:9" x14ac:dyDescent="0.25">
      <c r="E278">
        <f t="shared" si="29"/>
        <v>42</v>
      </c>
      <c r="G278" t="s">
        <v>276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277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278</v>
      </c>
      <c r="H280" s="51">
        <v>6</v>
      </c>
      <c r="I280" s="51">
        <v>52</v>
      </c>
    </row>
    <row r="281" spans="5:9" x14ac:dyDescent="0.25">
      <c r="E281">
        <f t="shared" si="29"/>
        <v>42</v>
      </c>
      <c r="G281" t="s">
        <v>279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271</v>
      </c>
      <c r="H282" s="51">
        <v>9</v>
      </c>
      <c r="I282" s="51">
        <v>93</v>
      </c>
    </row>
    <row r="283" spans="5:9" x14ac:dyDescent="0.25">
      <c r="E283">
        <f t="shared" ref="E283:E290" si="30">+$F$282</f>
        <v>43</v>
      </c>
      <c r="G283" t="s">
        <v>272</v>
      </c>
      <c r="H283" s="51"/>
      <c r="I283" s="51">
        <v>93</v>
      </c>
    </row>
    <row r="284" spans="5:9" x14ac:dyDescent="0.25">
      <c r="E284">
        <f t="shared" si="30"/>
        <v>43</v>
      </c>
      <c r="G284" t="s">
        <v>273</v>
      </c>
      <c r="H284">
        <v>3</v>
      </c>
      <c r="I284" s="51">
        <v>93</v>
      </c>
    </row>
    <row r="285" spans="5:9" x14ac:dyDescent="0.25">
      <c r="E285">
        <f t="shared" si="30"/>
        <v>43</v>
      </c>
      <c r="G285" t="s">
        <v>274</v>
      </c>
      <c r="I285" s="51">
        <v>93</v>
      </c>
    </row>
    <row r="286" spans="5:9" x14ac:dyDescent="0.25">
      <c r="E286">
        <f t="shared" si="30"/>
        <v>43</v>
      </c>
      <c r="G286" t="s">
        <v>275</v>
      </c>
      <c r="I286" s="51">
        <v>93</v>
      </c>
    </row>
    <row r="287" spans="5:9" x14ac:dyDescent="0.25">
      <c r="E287">
        <f t="shared" si="30"/>
        <v>43</v>
      </c>
      <c r="G287" t="s">
        <v>276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278</v>
      </c>
      <c r="H289" s="51">
        <v>2</v>
      </c>
      <c r="I289" s="51">
        <v>93</v>
      </c>
    </row>
    <row r="290" spans="5:9" x14ac:dyDescent="0.25">
      <c r="E290">
        <f t="shared" si="30"/>
        <v>43</v>
      </c>
      <c r="G290" t="s">
        <v>279</v>
      </c>
      <c r="H290">
        <v>3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271</v>
      </c>
      <c r="H291">
        <v>24</v>
      </c>
      <c r="I291" s="51">
        <v>174</v>
      </c>
    </row>
    <row r="292" spans="5:9" x14ac:dyDescent="0.25">
      <c r="E292">
        <f t="shared" ref="E292:E299" si="31">+$F$291</f>
        <v>44</v>
      </c>
      <c r="G292" t="s">
        <v>272</v>
      </c>
      <c r="H292">
        <v>29</v>
      </c>
      <c r="I292" s="51">
        <v>174</v>
      </c>
    </row>
    <row r="293" spans="5:9" x14ac:dyDescent="0.25">
      <c r="E293">
        <f t="shared" si="31"/>
        <v>44</v>
      </c>
      <c r="G293" t="s">
        <v>273</v>
      </c>
      <c r="H293">
        <v>65</v>
      </c>
      <c r="I293" s="51">
        <v>174</v>
      </c>
    </row>
    <row r="294" spans="5:9" x14ac:dyDescent="0.25">
      <c r="E294">
        <f t="shared" si="31"/>
        <v>44</v>
      </c>
      <c r="G294" t="s">
        <v>274</v>
      </c>
      <c r="H294">
        <v>33</v>
      </c>
      <c r="I294" s="51">
        <v>174</v>
      </c>
    </row>
    <row r="295" spans="5:9" x14ac:dyDescent="0.25">
      <c r="E295">
        <f t="shared" si="31"/>
        <v>44</v>
      </c>
      <c r="G295" t="s">
        <v>275</v>
      </c>
      <c r="H295">
        <v>84</v>
      </c>
      <c r="I295" s="51">
        <v>174</v>
      </c>
    </row>
    <row r="296" spans="5:9" x14ac:dyDescent="0.25">
      <c r="E296">
        <f t="shared" si="31"/>
        <v>44</v>
      </c>
      <c r="G296" t="s">
        <v>276</v>
      </c>
      <c r="H296">
        <v>59</v>
      </c>
      <c r="I296" s="51">
        <v>174</v>
      </c>
    </row>
    <row r="297" spans="5:9" x14ac:dyDescent="0.25">
      <c r="E297">
        <f t="shared" si="31"/>
        <v>44</v>
      </c>
      <c r="G297" t="s">
        <v>277</v>
      </c>
      <c r="H297" s="51">
        <v>12</v>
      </c>
      <c r="I297" s="51">
        <v>174</v>
      </c>
    </row>
    <row r="298" spans="5:9" x14ac:dyDescent="0.25">
      <c r="E298">
        <f t="shared" si="31"/>
        <v>44</v>
      </c>
      <c r="G298" t="s">
        <v>278</v>
      </c>
      <c r="H298">
        <v>16</v>
      </c>
      <c r="I298" s="51">
        <v>174</v>
      </c>
    </row>
    <row r="299" spans="5:9" x14ac:dyDescent="0.25">
      <c r="E299">
        <f t="shared" si="31"/>
        <v>44</v>
      </c>
      <c r="G299" t="s">
        <v>279</v>
      </c>
      <c r="H299" s="51">
        <v>18</v>
      </c>
      <c r="I299" s="51">
        <v>174</v>
      </c>
    </row>
    <row r="300" spans="5:9" x14ac:dyDescent="0.25">
      <c r="E300">
        <f>+$F$300</f>
        <v>49</v>
      </c>
      <c r="F300">
        <v>49</v>
      </c>
      <c r="G300" t="s">
        <v>271</v>
      </c>
      <c r="H300" s="51">
        <v>7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272</v>
      </c>
      <c r="H301" s="51">
        <v>4</v>
      </c>
      <c r="I301" s="51">
        <v>244</v>
      </c>
    </row>
    <row r="302" spans="5:9" x14ac:dyDescent="0.25">
      <c r="E302">
        <f t="shared" si="32"/>
        <v>49</v>
      </c>
      <c r="G302" t="s">
        <v>273</v>
      </c>
      <c r="H302" s="51">
        <v>13</v>
      </c>
      <c r="I302" s="51">
        <v>244</v>
      </c>
    </row>
    <row r="303" spans="5:9" x14ac:dyDescent="0.25">
      <c r="E303">
        <f t="shared" si="32"/>
        <v>49</v>
      </c>
      <c r="G303" t="s">
        <v>274</v>
      </c>
      <c r="H303" s="51">
        <v>8</v>
      </c>
      <c r="I303" s="51">
        <v>244</v>
      </c>
    </row>
    <row r="304" spans="5:9" x14ac:dyDescent="0.25">
      <c r="E304">
        <f t="shared" si="32"/>
        <v>49</v>
      </c>
      <c r="G304" t="s">
        <v>275</v>
      </c>
      <c r="H304" s="51">
        <v>14</v>
      </c>
      <c r="I304" s="51">
        <v>244</v>
      </c>
    </row>
    <row r="305" spans="5:9" x14ac:dyDescent="0.25">
      <c r="E305">
        <f t="shared" si="32"/>
        <v>49</v>
      </c>
      <c r="G305" t="s">
        <v>276</v>
      </c>
      <c r="H305" s="51">
        <v>7</v>
      </c>
      <c r="I305" s="51">
        <v>244</v>
      </c>
    </row>
    <row r="306" spans="5:9" x14ac:dyDescent="0.25">
      <c r="E306">
        <f t="shared" si="32"/>
        <v>49</v>
      </c>
      <c r="G306" t="s">
        <v>277</v>
      </c>
      <c r="H306" s="51">
        <v>15</v>
      </c>
      <c r="I306" s="51">
        <v>244</v>
      </c>
    </row>
    <row r="307" spans="5:9" x14ac:dyDescent="0.25">
      <c r="E307">
        <f t="shared" si="32"/>
        <v>49</v>
      </c>
      <c r="G307" t="s">
        <v>278</v>
      </c>
      <c r="H307">
        <v>4</v>
      </c>
      <c r="I307" s="51">
        <v>244</v>
      </c>
    </row>
    <row r="308" spans="5:9" x14ac:dyDescent="0.25">
      <c r="E308">
        <f t="shared" si="32"/>
        <v>49</v>
      </c>
      <c r="G308" t="s">
        <v>279</v>
      </c>
      <c r="H308">
        <v>6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271</v>
      </c>
      <c r="H309">
        <v>65</v>
      </c>
      <c r="I309" s="51">
        <v>261</v>
      </c>
    </row>
    <row r="310" spans="5:9" x14ac:dyDescent="0.25">
      <c r="E310">
        <f t="shared" ref="E310:E317" si="33">+$F$309</f>
        <v>5</v>
      </c>
      <c r="G310" t="s">
        <v>272</v>
      </c>
      <c r="H310">
        <v>36</v>
      </c>
      <c r="I310" s="51">
        <v>261</v>
      </c>
    </row>
    <row r="311" spans="5:9" x14ac:dyDescent="0.25">
      <c r="E311">
        <f t="shared" si="33"/>
        <v>5</v>
      </c>
      <c r="G311" t="s">
        <v>273</v>
      </c>
      <c r="H311">
        <v>98</v>
      </c>
      <c r="I311" s="51">
        <v>261</v>
      </c>
    </row>
    <row r="312" spans="5:9" x14ac:dyDescent="0.25">
      <c r="E312">
        <f t="shared" si="33"/>
        <v>5</v>
      </c>
      <c r="G312" t="s">
        <v>274</v>
      </c>
      <c r="H312">
        <v>62</v>
      </c>
      <c r="I312" s="51">
        <v>261</v>
      </c>
    </row>
    <row r="313" spans="5:9" x14ac:dyDescent="0.25">
      <c r="E313">
        <f t="shared" si="33"/>
        <v>5</v>
      </c>
      <c r="G313" t="s">
        <v>275</v>
      </c>
      <c r="H313">
        <v>112</v>
      </c>
      <c r="I313" s="51">
        <v>261</v>
      </c>
    </row>
    <row r="314" spans="5:9" x14ac:dyDescent="0.25">
      <c r="E314">
        <f t="shared" si="33"/>
        <v>5</v>
      </c>
      <c r="G314" t="s">
        <v>276</v>
      </c>
      <c r="H314">
        <v>70</v>
      </c>
      <c r="I314" s="51">
        <v>261</v>
      </c>
    </row>
    <row r="315" spans="5:9" x14ac:dyDescent="0.25">
      <c r="E315">
        <f t="shared" si="33"/>
        <v>5</v>
      </c>
      <c r="G315" t="s">
        <v>277</v>
      </c>
      <c r="H315" s="51">
        <v>25</v>
      </c>
      <c r="I315" s="51">
        <v>261</v>
      </c>
    </row>
    <row r="316" spans="5:9" x14ac:dyDescent="0.25">
      <c r="E316">
        <f t="shared" si="33"/>
        <v>5</v>
      </c>
      <c r="G316" t="s">
        <v>278</v>
      </c>
      <c r="H316">
        <v>22</v>
      </c>
      <c r="I316" s="51">
        <v>261</v>
      </c>
    </row>
    <row r="317" spans="5:9" x14ac:dyDescent="0.25">
      <c r="E317">
        <f t="shared" si="33"/>
        <v>5</v>
      </c>
      <c r="G317" t="s">
        <v>279</v>
      </c>
      <c r="H317" s="51">
        <v>24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271</v>
      </c>
      <c r="H318" s="51"/>
      <c r="I318" s="51">
        <v>103</v>
      </c>
    </row>
    <row r="319" spans="5:9" x14ac:dyDescent="0.25">
      <c r="E319">
        <f t="shared" ref="E319:E326" si="34">+$F$318</f>
        <v>52</v>
      </c>
      <c r="G319" t="s">
        <v>272</v>
      </c>
      <c r="H319" s="51"/>
      <c r="I319" s="51">
        <v>103</v>
      </c>
    </row>
    <row r="320" spans="5:9" x14ac:dyDescent="0.25">
      <c r="E320">
        <f t="shared" si="34"/>
        <v>52</v>
      </c>
      <c r="G320" t="s">
        <v>273</v>
      </c>
      <c r="H320" s="51"/>
      <c r="I320" s="51">
        <v>103</v>
      </c>
    </row>
    <row r="321" spans="5:9" x14ac:dyDescent="0.25">
      <c r="E321">
        <f t="shared" si="34"/>
        <v>52</v>
      </c>
      <c r="G321" t="s">
        <v>274</v>
      </c>
      <c r="H321" s="51"/>
      <c r="I321" s="51">
        <v>103</v>
      </c>
    </row>
    <row r="322" spans="5:9" x14ac:dyDescent="0.25">
      <c r="E322">
        <f t="shared" si="34"/>
        <v>52</v>
      </c>
      <c r="G322" t="s">
        <v>275</v>
      </c>
      <c r="H322" s="51"/>
      <c r="I322" s="51">
        <v>103</v>
      </c>
    </row>
    <row r="323" spans="5:9" x14ac:dyDescent="0.25">
      <c r="E323">
        <f t="shared" si="34"/>
        <v>52</v>
      </c>
      <c r="G323" t="s">
        <v>276</v>
      </c>
      <c r="I323" s="51">
        <v>103</v>
      </c>
    </row>
    <row r="324" spans="5:9" x14ac:dyDescent="0.25">
      <c r="E324">
        <f t="shared" si="34"/>
        <v>52</v>
      </c>
      <c r="G324" t="s">
        <v>277</v>
      </c>
      <c r="H324" s="51">
        <v>26</v>
      </c>
      <c r="I324" s="51">
        <v>103</v>
      </c>
    </row>
    <row r="325" spans="5:9" x14ac:dyDescent="0.25">
      <c r="E325">
        <f t="shared" si="34"/>
        <v>52</v>
      </c>
      <c r="G325" t="s">
        <v>278</v>
      </c>
      <c r="H325" s="51"/>
      <c r="I325" s="51">
        <v>103</v>
      </c>
    </row>
    <row r="326" spans="5:9" x14ac:dyDescent="0.25">
      <c r="E326">
        <f t="shared" si="34"/>
        <v>52</v>
      </c>
      <c r="G326" t="s">
        <v>279</v>
      </c>
      <c r="H326" s="51"/>
      <c r="I326" s="51">
        <v>103</v>
      </c>
    </row>
    <row r="327" spans="5:9" x14ac:dyDescent="0.25">
      <c r="E327">
        <f>+$F$327</f>
        <v>53</v>
      </c>
      <c r="F327">
        <v>53</v>
      </c>
      <c r="G327" t="s">
        <v>271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272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273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274</v>
      </c>
      <c r="I330" s="51">
        <v>105</v>
      </c>
    </row>
    <row r="331" spans="5:9" x14ac:dyDescent="0.25">
      <c r="E331">
        <f t="shared" si="35"/>
        <v>53</v>
      </c>
      <c r="G331" t="s">
        <v>275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276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277</v>
      </c>
      <c r="H333" s="51">
        <v>31</v>
      </c>
      <c r="I333" s="51">
        <v>105</v>
      </c>
    </row>
    <row r="334" spans="5:9" x14ac:dyDescent="0.25">
      <c r="E334">
        <f t="shared" si="35"/>
        <v>53</v>
      </c>
      <c r="G334" t="s">
        <v>278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271</v>
      </c>
      <c r="H336" s="51">
        <v>27</v>
      </c>
      <c r="I336" s="51">
        <v>197</v>
      </c>
    </row>
    <row r="337" spans="5:9" x14ac:dyDescent="0.25">
      <c r="E337">
        <f t="shared" ref="E337:E344" si="36">+$F$336</f>
        <v>54</v>
      </c>
      <c r="G337" t="s">
        <v>272</v>
      </c>
      <c r="H337" s="51">
        <v>27</v>
      </c>
      <c r="I337" s="51">
        <v>197</v>
      </c>
    </row>
    <row r="338" spans="5:9" x14ac:dyDescent="0.25">
      <c r="E338">
        <f t="shared" si="36"/>
        <v>54</v>
      </c>
      <c r="G338" t="s">
        <v>273</v>
      </c>
      <c r="H338" s="51">
        <v>62</v>
      </c>
      <c r="I338" s="51">
        <v>197</v>
      </c>
    </row>
    <row r="339" spans="5:9" x14ac:dyDescent="0.25">
      <c r="E339">
        <f t="shared" si="36"/>
        <v>54</v>
      </c>
      <c r="G339" t="s">
        <v>274</v>
      </c>
      <c r="H339" s="51">
        <v>51</v>
      </c>
      <c r="I339" s="51">
        <v>197</v>
      </c>
    </row>
    <row r="340" spans="5:9" x14ac:dyDescent="0.25">
      <c r="E340">
        <f t="shared" si="36"/>
        <v>54</v>
      </c>
      <c r="G340" t="s">
        <v>275</v>
      </c>
      <c r="H340">
        <v>73</v>
      </c>
      <c r="I340" s="51">
        <v>197</v>
      </c>
    </row>
    <row r="341" spans="5:9" x14ac:dyDescent="0.25">
      <c r="E341">
        <f t="shared" si="36"/>
        <v>54</v>
      </c>
      <c r="G341" t="s">
        <v>276</v>
      </c>
      <c r="H341" s="51">
        <v>49</v>
      </c>
      <c r="I341" s="51">
        <v>197</v>
      </c>
    </row>
    <row r="342" spans="5:9" x14ac:dyDescent="0.25">
      <c r="E342">
        <f t="shared" si="36"/>
        <v>54</v>
      </c>
      <c r="G342" t="s">
        <v>277</v>
      </c>
      <c r="H342" s="51">
        <v>16</v>
      </c>
      <c r="I342" s="51">
        <v>197</v>
      </c>
    </row>
    <row r="343" spans="5:9" x14ac:dyDescent="0.25">
      <c r="E343">
        <f t="shared" si="36"/>
        <v>54</v>
      </c>
      <c r="G343" t="s">
        <v>278</v>
      </c>
      <c r="H343" s="51">
        <v>23</v>
      </c>
      <c r="I343" s="51">
        <v>197</v>
      </c>
    </row>
    <row r="344" spans="5:9" x14ac:dyDescent="0.25">
      <c r="E344">
        <f t="shared" si="36"/>
        <v>54</v>
      </c>
      <c r="G344" t="s">
        <v>279</v>
      </c>
      <c r="H344" s="51">
        <v>19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271</v>
      </c>
      <c r="H345">
        <v>7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272</v>
      </c>
      <c r="H346" s="51">
        <v>4</v>
      </c>
      <c r="I346" s="51">
        <v>198</v>
      </c>
    </row>
    <row r="347" spans="5:9" x14ac:dyDescent="0.25">
      <c r="E347">
        <f t="shared" si="37"/>
        <v>56</v>
      </c>
      <c r="G347" t="s">
        <v>273</v>
      </c>
      <c r="H347" s="51">
        <v>36</v>
      </c>
      <c r="I347" s="51">
        <v>198</v>
      </c>
    </row>
    <row r="348" spans="5:9" x14ac:dyDescent="0.25">
      <c r="E348">
        <f t="shared" si="37"/>
        <v>56</v>
      </c>
      <c r="G348" t="s">
        <v>274</v>
      </c>
      <c r="H348">
        <v>15</v>
      </c>
      <c r="I348" s="51">
        <v>198</v>
      </c>
    </row>
    <row r="349" spans="5:9" x14ac:dyDescent="0.25">
      <c r="E349">
        <f t="shared" si="37"/>
        <v>56</v>
      </c>
      <c r="G349" t="s">
        <v>275</v>
      </c>
      <c r="H349" s="51">
        <v>26</v>
      </c>
      <c r="I349" s="51">
        <v>198</v>
      </c>
    </row>
    <row r="350" spans="5:9" x14ac:dyDescent="0.25">
      <c r="E350">
        <f t="shared" si="37"/>
        <v>56</v>
      </c>
      <c r="G350" t="s">
        <v>276</v>
      </c>
      <c r="H350" s="51">
        <v>16</v>
      </c>
      <c r="I350" s="51">
        <v>198</v>
      </c>
    </row>
    <row r="351" spans="5:9" x14ac:dyDescent="0.25">
      <c r="E351">
        <f t="shared" si="37"/>
        <v>56</v>
      </c>
      <c r="G351" t="s">
        <v>277</v>
      </c>
      <c r="H351" s="51">
        <v>28</v>
      </c>
      <c r="I351" s="51">
        <v>198</v>
      </c>
    </row>
    <row r="352" spans="5:9" x14ac:dyDescent="0.25">
      <c r="E352">
        <f t="shared" si="37"/>
        <v>56</v>
      </c>
      <c r="G352" t="s">
        <v>278</v>
      </c>
      <c r="H352">
        <v>7</v>
      </c>
      <c r="I352" s="51">
        <v>198</v>
      </c>
    </row>
    <row r="353" spans="5:9" x14ac:dyDescent="0.25">
      <c r="E353">
        <f t="shared" si="37"/>
        <v>56</v>
      </c>
      <c r="G353" t="s">
        <v>279</v>
      </c>
      <c r="H353" s="51">
        <v>9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271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272</v>
      </c>
      <c r="H355" s="51">
        <v>3</v>
      </c>
      <c r="I355" s="51">
        <v>105</v>
      </c>
    </row>
    <row r="356" spans="5:9" x14ac:dyDescent="0.25">
      <c r="E356">
        <f t="shared" si="38"/>
        <v>57</v>
      </c>
      <c r="G356" t="s">
        <v>273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274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275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276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277</v>
      </c>
      <c r="H360" s="51">
        <v>19</v>
      </c>
      <c r="I360" s="51">
        <v>105</v>
      </c>
    </row>
    <row r="361" spans="5:9" x14ac:dyDescent="0.25">
      <c r="E361">
        <f t="shared" si="38"/>
        <v>57</v>
      </c>
      <c r="G361" t="s">
        <v>278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279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271</v>
      </c>
      <c r="H363" s="51">
        <v>4</v>
      </c>
      <c r="I363" s="51">
        <v>122</v>
      </c>
    </row>
    <row r="364" spans="5:9" x14ac:dyDescent="0.25">
      <c r="E364">
        <f t="shared" ref="E364:E371" si="39">+$F$363</f>
        <v>58</v>
      </c>
      <c r="G364" t="s">
        <v>272</v>
      </c>
      <c r="H364" s="51">
        <v>9</v>
      </c>
      <c r="I364" s="51">
        <v>122</v>
      </c>
    </row>
    <row r="365" spans="5:9" x14ac:dyDescent="0.25">
      <c r="E365">
        <f t="shared" si="39"/>
        <v>58</v>
      </c>
      <c r="G365" t="s">
        <v>273</v>
      </c>
      <c r="H365" s="51">
        <v>6</v>
      </c>
      <c r="I365" s="51">
        <v>122</v>
      </c>
    </row>
    <row r="366" spans="5:9" x14ac:dyDescent="0.25">
      <c r="E366">
        <f t="shared" si="39"/>
        <v>58</v>
      </c>
      <c r="G366" t="s">
        <v>274</v>
      </c>
      <c r="H366" s="51">
        <v>16</v>
      </c>
      <c r="I366" s="51">
        <v>122</v>
      </c>
    </row>
    <row r="367" spans="5:9" x14ac:dyDescent="0.25">
      <c r="E367">
        <f t="shared" si="39"/>
        <v>58</v>
      </c>
      <c r="G367" t="s">
        <v>275</v>
      </c>
      <c r="H367" s="51">
        <v>13</v>
      </c>
      <c r="I367" s="51">
        <v>122</v>
      </c>
    </row>
    <row r="368" spans="5:9" x14ac:dyDescent="0.25">
      <c r="E368">
        <f t="shared" si="39"/>
        <v>58</v>
      </c>
      <c r="G368" t="s">
        <v>276</v>
      </c>
      <c r="H368" s="51">
        <v>19</v>
      </c>
      <c r="I368" s="51">
        <v>122</v>
      </c>
    </row>
    <row r="369" spans="5:9" x14ac:dyDescent="0.25">
      <c r="E369">
        <f t="shared" si="39"/>
        <v>58</v>
      </c>
      <c r="G369" t="s">
        <v>277</v>
      </c>
      <c r="H369" s="51">
        <v>6</v>
      </c>
      <c r="I369" s="51">
        <v>122</v>
      </c>
    </row>
    <row r="370" spans="5:9" x14ac:dyDescent="0.25">
      <c r="E370">
        <f t="shared" si="39"/>
        <v>58</v>
      </c>
      <c r="G370" t="s">
        <v>278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279</v>
      </c>
      <c r="H371" s="35">
        <v>3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271</v>
      </c>
      <c r="H372">
        <v>20</v>
      </c>
      <c r="I372">
        <v>125</v>
      </c>
    </row>
    <row r="373" spans="5:9" x14ac:dyDescent="0.25">
      <c r="E373">
        <f t="shared" ref="E373:E380" si="40">+$F$372</f>
        <v>59</v>
      </c>
      <c r="G373" t="s">
        <v>272</v>
      </c>
      <c r="H373">
        <v>15</v>
      </c>
      <c r="I373">
        <v>125</v>
      </c>
    </row>
    <row r="374" spans="5:9" x14ac:dyDescent="0.25">
      <c r="E374">
        <f t="shared" si="40"/>
        <v>59</v>
      </c>
      <c r="G374" t="s">
        <v>273</v>
      </c>
      <c r="H374">
        <v>8</v>
      </c>
      <c r="I374">
        <v>125</v>
      </c>
    </row>
    <row r="375" spans="5:9" x14ac:dyDescent="0.25">
      <c r="E375">
        <f t="shared" si="40"/>
        <v>59</v>
      </c>
      <c r="G375" t="s">
        <v>274</v>
      </c>
      <c r="H375">
        <v>26</v>
      </c>
      <c r="I375">
        <v>125</v>
      </c>
    </row>
    <row r="376" spans="5:9" x14ac:dyDescent="0.25">
      <c r="E376">
        <f t="shared" si="40"/>
        <v>59</v>
      </c>
      <c r="G376" t="s">
        <v>275</v>
      </c>
      <c r="H376">
        <v>26</v>
      </c>
      <c r="I376">
        <v>125</v>
      </c>
    </row>
    <row r="377" spans="5:9" x14ac:dyDescent="0.25">
      <c r="E377">
        <f t="shared" si="40"/>
        <v>59</v>
      </c>
      <c r="G377" t="s">
        <v>276</v>
      </c>
      <c r="H377">
        <v>23</v>
      </c>
      <c r="I377">
        <v>125</v>
      </c>
    </row>
    <row r="378" spans="5:9" x14ac:dyDescent="0.25">
      <c r="E378">
        <f t="shared" si="40"/>
        <v>59</v>
      </c>
      <c r="G378" t="s">
        <v>277</v>
      </c>
      <c r="H378">
        <v>7</v>
      </c>
      <c r="I378">
        <v>125</v>
      </c>
    </row>
    <row r="379" spans="5:9" x14ac:dyDescent="0.25">
      <c r="E379">
        <f t="shared" si="40"/>
        <v>59</v>
      </c>
      <c r="G379" t="s">
        <v>278</v>
      </c>
      <c r="H379">
        <v>3</v>
      </c>
      <c r="I379">
        <v>125</v>
      </c>
    </row>
    <row r="380" spans="5:9" x14ac:dyDescent="0.25">
      <c r="E380">
        <f t="shared" si="40"/>
        <v>59</v>
      </c>
      <c r="G380" t="s">
        <v>279</v>
      </c>
      <c r="H380">
        <v>2</v>
      </c>
      <c r="I380">
        <v>125</v>
      </c>
    </row>
    <row r="381" spans="5:9" x14ac:dyDescent="0.25">
      <c r="E381">
        <f>+$F$381</f>
        <v>60</v>
      </c>
      <c r="F381">
        <v>60</v>
      </c>
      <c r="G381" t="s">
        <v>271</v>
      </c>
      <c r="H381">
        <v>3</v>
      </c>
      <c r="I381">
        <v>91</v>
      </c>
    </row>
    <row r="382" spans="5:9" x14ac:dyDescent="0.25">
      <c r="E382">
        <f t="shared" ref="E382:E389" si="41">+$F$381</f>
        <v>60</v>
      </c>
      <c r="G382" t="s">
        <v>272</v>
      </c>
      <c r="I382">
        <v>91</v>
      </c>
    </row>
    <row r="383" spans="5:9" x14ac:dyDescent="0.25">
      <c r="E383">
        <f t="shared" si="41"/>
        <v>60</v>
      </c>
      <c r="G383" t="s">
        <v>273</v>
      </c>
      <c r="H383">
        <v>2</v>
      </c>
      <c r="I383">
        <v>91</v>
      </c>
    </row>
    <row r="384" spans="5:9" x14ac:dyDescent="0.25">
      <c r="E384">
        <f t="shared" si="41"/>
        <v>60</v>
      </c>
      <c r="G384" t="s">
        <v>274</v>
      </c>
      <c r="H384">
        <v>1</v>
      </c>
      <c r="I384">
        <v>91</v>
      </c>
    </row>
    <row r="385" spans="5:9" x14ac:dyDescent="0.25">
      <c r="E385">
        <f t="shared" si="41"/>
        <v>60</v>
      </c>
      <c r="G385" t="s">
        <v>275</v>
      </c>
      <c r="H385">
        <v>2</v>
      </c>
      <c r="I385">
        <v>91</v>
      </c>
    </row>
    <row r="386" spans="5:9" x14ac:dyDescent="0.25">
      <c r="E386">
        <f t="shared" si="41"/>
        <v>60</v>
      </c>
      <c r="G386" t="s">
        <v>276</v>
      </c>
      <c r="H386">
        <v>1</v>
      </c>
      <c r="I386">
        <v>91</v>
      </c>
    </row>
    <row r="387" spans="5:9" x14ac:dyDescent="0.25">
      <c r="E387">
        <f t="shared" si="41"/>
        <v>60</v>
      </c>
      <c r="G387" t="s">
        <v>277</v>
      </c>
      <c r="H387">
        <v>4</v>
      </c>
      <c r="I387">
        <v>91</v>
      </c>
    </row>
    <row r="388" spans="5:9" x14ac:dyDescent="0.25">
      <c r="E388">
        <f t="shared" si="41"/>
        <v>60</v>
      </c>
      <c r="G388" t="s">
        <v>278</v>
      </c>
      <c r="I388">
        <v>91</v>
      </c>
    </row>
    <row r="389" spans="5:9" x14ac:dyDescent="0.25">
      <c r="E389">
        <f t="shared" si="41"/>
        <v>60</v>
      </c>
      <c r="G389" t="s">
        <v>279</v>
      </c>
      <c r="H389">
        <v>1</v>
      </c>
      <c r="I389">
        <v>91</v>
      </c>
    </row>
    <row r="390" spans="5:9" x14ac:dyDescent="0.25">
      <c r="E390">
        <f>+$F$390</f>
        <v>7</v>
      </c>
      <c r="F390">
        <v>7</v>
      </c>
      <c r="G390" t="s">
        <v>271</v>
      </c>
      <c r="I390">
        <v>116</v>
      </c>
    </row>
    <row r="391" spans="5:9" x14ac:dyDescent="0.25">
      <c r="E391">
        <f t="shared" ref="E391:E398" si="42">+$F$390</f>
        <v>7</v>
      </c>
      <c r="G391" t="s">
        <v>272</v>
      </c>
      <c r="I391">
        <v>116</v>
      </c>
    </row>
    <row r="392" spans="5:9" x14ac:dyDescent="0.25">
      <c r="E392">
        <f t="shared" si="42"/>
        <v>7</v>
      </c>
      <c r="G392" t="s">
        <v>273</v>
      </c>
      <c r="H392">
        <v>3</v>
      </c>
      <c r="I392">
        <v>116</v>
      </c>
    </row>
    <row r="393" spans="5:9" x14ac:dyDescent="0.25">
      <c r="E393">
        <f t="shared" si="42"/>
        <v>7</v>
      </c>
      <c r="G393" t="s">
        <v>274</v>
      </c>
      <c r="I393">
        <v>116</v>
      </c>
    </row>
    <row r="394" spans="5:9" x14ac:dyDescent="0.25">
      <c r="E394">
        <f t="shared" si="42"/>
        <v>7</v>
      </c>
      <c r="G394" t="s">
        <v>275</v>
      </c>
      <c r="H394">
        <v>2</v>
      </c>
      <c r="I394">
        <v>116</v>
      </c>
    </row>
    <row r="395" spans="5:9" x14ac:dyDescent="0.25">
      <c r="E395">
        <f t="shared" si="42"/>
        <v>7</v>
      </c>
      <c r="G395" t="s">
        <v>276</v>
      </c>
      <c r="I395">
        <v>116</v>
      </c>
    </row>
    <row r="396" spans="5:9" x14ac:dyDescent="0.25">
      <c r="E396">
        <f t="shared" si="42"/>
        <v>7</v>
      </c>
      <c r="G396" t="s">
        <v>277</v>
      </c>
      <c r="H396">
        <v>5</v>
      </c>
      <c r="I396">
        <v>116</v>
      </c>
    </row>
    <row r="397" spans="5:9" x14ac:dyDescent="0.25">
      <c r="E397">
        <f t="shared" si="42"/>
        <v>7</v>
      </c>
      <c r="G397" t="s">
        <v>278</v>
      </c>
      <c r="H397">
        <v>2</v>
      </c>
      <c r="I397">
        <v>116</v>
      </c>
    </row>
    <row r="398" spans="5:9" x14ac:dyDescent="0.25">
      <c r="E398">
        <f t="shared" si="42"/>
        <v>7</v>
      </c>
      <c r="G398" t="s">
        <v>279</v>
      </c>
      <c r="H398">
        <v>2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271</v>
      </c>
      <c r="H399">
        <v>17</v>
      </c>
      <c r="I399">
        <v>195</v>
      </c>
    </row>
    <row r="400" spans="5:9" x14ac:dyDescent="0.25">
      <c r="E400">
        <f t="shared" ref="E400:E407" si="43">+$F$399</f>
        <v>8</v>
      </c>
      <c r="G400" t="s">
        <v>272</v>
      </c>
      <c r="H400">
        <v>7</v>
      </c>
      <c r="I400">
        <v>195</v>
      </c>
    </row>
    <row r="401" spans="5:9" x14ac:dyDescent="0.25">
      <c r="E401">
        <f t="shared" si="43"/>
        <v>8</v>
      </c>
      <c r="G401" t="s">
        <v>273</v>
      </c>
      <c r="H401">
        <v>31</v>
      </c>
      <c r="I401">
        <v>195</v>
      </c>
    </row>
    <row r="402" spans="5:9" x14ac:dyDescent="0.25">
      <c r="E402">
        <f t="shared" si="43"/>
        <v>8</v>
      </c>
      <c r="G402" t="s">
        <v>274</v>
      </c>
      <c r="H402">
        <v>21</v>
      </c>
      <c r="I402">
        <v>195</v>
      </c>
    </row>
    <row r="403" spans="5:9" x14ac:dyDescent="0.25">
      <c r="E403">
        <f t="shared" si="43"/>
        <v>8</v>
      </c>
      <c r="G403" t="s">
        <v>275</v>
      </c>
      <c r="H403">
        <v>44</v>
      </c>
      <c r="I403">
        <v>195</v>
      </c>
    </row>
    <row r="404" spans="5:9" x14ac:dyDescent="0.25">
      <c r="E404">
        <f t="shared" si="43"/>
        <v>8</v>
      </c>
      <c r="G404" t="s">
        <v>276</v>
      </c>
      <c r="H404">
        <v>28</v>
      </c>
      <c r="I404">
        <v>195</v>
      </c>
    </row>
    <row r="405" spans="5:9" x14ac:dyDescent="0.25">
      <c r="E405">
        <f t="shared" si="43"/>
        <v>8</v>
      </c>
      <c r="G405" t="s">
        <v>277</v>
      </c>
      <c r="H405">
        <v>6</v>
      </c>
      <c r="I405">
        <v>195</v>
      </c>
    </row>
    <row r="406" spans="5:9" x14ac:dyDescent="0.25">
      <c r="E406">
        <f t="shared" si="43"/>
        <v>8</v>
      </c>
      <c r="G406" t="s">
        <v>278</v>
      </c>
      <c r="H406">
        <v>10</v>
      </c>
      <c r="I406">
        <v>195</v>
      </c>
    </row>
    <row r="407" spans="5:9" x14ac:dyDescent="0.25">
      <c r="E407">
        <f t="shared" si="43"/>
        <v>8</v>
      </c>
      <c r="G407" t="s">
        <v>279</v>
      </c>
      <c r="H407">
        <v>13</v>
      </c>
      <c r="I407">
        <v>195</v>
      </c>
    </row>
    <row r="408" spans="5:9" x14ac:dyDescent="0.25">
      <c r="F408">
        <v>9</v>
      </c>
      <c r="G408" t="s">
        <v>271</v>
      </c>
      <c r="H408">
        <v>25</v>
      </c>
      <c r="I408">
        <v>156</v>
      </c>
    </row>
    <row r="409" spans="5:9" x14ac:dyDescent="0.25">
      <c r="G409" t="s">
        <v>272</v>
      </c>
      <c r="H409">
        <v>26</v>
      </c>
      <c r="I409">
        <v>156</v>
      </c>
    </row>
    <row r="410" spans="5:9" x14ac:dyDescent="0.25">
      <c r="G410" t="s">
        <v>273</v>
      </c>
      <c r="H410">
        <v>40</v>
      </c>
      <c r="I410">
        <v>156</v>
      </c>
    </row>
    <row r="411" spans="5:9" x14ac:dyDescent="0.25">
      <c r="G411" t="s">
        <v>274</v>
      </c>
      <c r="H411">
        <v>34</v>
      </c>
      <c r="I411">
        <v>156</v>
      </c>
    </row>
    <row r="412" spans="5:9" x14ac:dyDescent="0.25">
      <c r="G412" t="s">
        <v>275</v>
      </c>
      <c r="H412">
        <v>56</v>
      </c>
      <c r="I412">
        <v>156</v>
      </c>
    </row>
    <row r="413" spans="5:9" x14ac:dyDescent="0.25">
      <c r="G413" t="s">
        <v>276</v>
      </c>
      <c r="H413">
        <v>41</v>
      </c>
      <c r="I413">
        <v>156</v>
      </c>
    </row>
    <row r="414" spans="5:9" x14ac:dyDescent="0.25">
      <c r="G414" t="s">
        <v>277</v>
      </c>
      <c r="H414">
        <v>9</v>
      </c>
      <c r="I414">
        <v>156</v>
      </c>
    </row>
    <row r="415" spans="5:9" x14ac:dyDescent="0.25">
      <c r="G415" t="s">
        <v>278</v>
      </c>
      <c r="H415">
        <v>16</v>
      </c>
      <c r="I415">
        <v>156</v>
      </c>
    </row>
    <row r="416" spans="5:9" x14ac:dyDescent="0.25">
      <c r="G416" t="s">
        <v>279</v>
      </c>
      <c r="H416">
        <v>19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B36" sqref="B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0.18139901620370369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0.25978636188271598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0.22343605324074073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0.23064284336419755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0.19954234182098768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0.24433593750000002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0.21612268518518518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0.20964265046296299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7.0644290123456799E-2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0.22045428240740741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0.25640817901234569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0.17121913580246917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0.25209972993827157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0.22163966049382716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0.21663049768518522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0.22956597222222222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0.23599006558641977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0.22255063657407406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0.27473813657407409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0.23477623456790125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0.21970196759259258</v>
      </c>
    </row>
    <row r="23" spans="1:4" x14ac:dyDescent="0.25">
      <c r="A23" s="135" t="s">
        <v>251</v>
      </c>
      <c r="B23" s="135" t="str">
        <f>+AVANCE!B34</f>
        <v>24 - MARTINEZ JORGE NICOLAS</v>
      </c>
      <c r="C23" s="133"/>
      <c r="D23" s="133">
        <v>0.1863560956790124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0.24946228780864199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0.18695457175925934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0.2126900077160494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0.23002893518518519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0.18755111882716047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0.19110387731481482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0.153539737654321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0.16412519290123456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0.17061294367283947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0.1753322723765432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0.10330391589506172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0.11651620370370372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2026-07-13T17:55:27Z</dcterms:modified>
</cp:coreProperties>
</file>