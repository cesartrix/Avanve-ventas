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8_{2F32765F-9F8F-4E4A-A3D6-AEDF8D18FAF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AVANCE!$B$1:$N$47</definedName>
    <definedName name="_xlnm._FilterDatabase" localSheetId="2" hidden="1">COBERTURA!$C$1:$N$48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6" l="1"/>
  <c r="H46" i="6" l="1"/>
  <c r="F46" i="6" s="1"/>
  <c r="G46" i="6"/>
  <c r="H45" i="6"/>
  <c r="F45" i="6" s="1"/>
  <c r="G45" i="6"/>
  <c r="H44" i="6"/>
  <c r="F44" i="6" s="1"/>
  <c r="G44" i="6"/>
  <c r="H43" i="6"/>
  <c r="F43" i="6" s="1"/>
  <c r="G43" i="6"/>
  <c r="I43" i="6" s="1"/>
  <c r="H42" i="6"/>
  <c r="G42" i="6"/>
  <c r="H41" i="6"/>
  <c r="F41" i="6" s="1"/>
  <c r="G41" i="6"/>
  <c r="H40" i="6"/>
  <c r="G40" i="6"/>
  <c r="D45" i="3"/>
  <c r="F45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C37" i="6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D41" i="6" l="1"/>
  <c r="I41" i="6"/>
  <c r="D42" i="6"/>
  <c r="D46" i="6"/>
  <c r="F42" i="6"/>
  <c r="I46" i="6"/>
  <c r="I42" i="6"/>
  <c r="F46" i="3"/>
  <c r="G40" i="3"/>
  <c r="D40" i="6"/>
  <c r="F40" i="6"/>
  <c r="I40" i="6"/>
  <c r="D43" i="6"/>
  <c r="I45" i="6"/>
  <c r="D45" i="6"/>
  <c r="I44" i="6"/>
  <c r="D44" i="6"/>
  <c r="K44" i="3"/>
  <c r="K45" i="3"/>
  <c r="K41" i="3"/>
  <c r="D46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7" i="6"/>
  <c r="C28" i="6"/>
  <c r="C29" i="6"/>
  <c r="C30" i="6"/>
  <c r="C31" i="6"/>
  <c r="C32" i="6"/>
  <c r="C33" i="6"/>
  <c r="C34" i="6"/>
  <c r="C35" i="6"/>
  <c r="C36" i="6"/>
  <c r="C38" i="6"/>
  <c r="C26" i="6"/>
  <c r="C24" i="6"/>
  <c r="C23" i="6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33" i="6"/>
  <c r="H33" i="6"/>
  <c r="K46" i="3" l="1"/>
  <c r="G46" i="3"/>
  <c r="G43" i="3"/>
  <c r="D33" i="6"/>
  <c r="I33" i="6"/>
  <c r="F33" i="6"/>
  <c r="R2" i="6"/>
  <c r="Q2" i="6"/>
  <c r="G45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38" i="6"/>
  <c r="G38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J45" i="3" l="1"/>
  <c r="H45" i="3"/>
  <c r="I45" i="3" s="1"/>
  <c r="L45" i="3" s="1" a="1"/>
  <c r="L45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6" i="3"/>
  <c r="H46" i="3"/>
  <c r="I46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7" i="3"/>
  <c r="G38" i="3"/>
  <c r="F47" i="3"/>
  <c r="D9" i="6"/>
  <c r="G34" i="3" l="1"/>
  <c r="G6" i="3"/>
  <c r="K3" i="3"/>
  <c r="G2" i="3"/>
  <c r="G39" i="6" l="1"/>
  <c r="G47" i="6" s="1"/>
  <c r="G15" i="6"/>
  <c r="G25" i="6"/>
  <c r="G22" i="3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D19" i="6"/>
  <c r="F19" i="6"/>
  <c r="I5" i="6"/>
  <c r="I6" i="6"/>
  <c r="I7" i="6"/>
  <c r="I8" i="6"/>
  <c r="I9" i="6"/>
  <c r="I14" i="6"/>
  <c r="H39" i="6" l="1"/>
  <c r="H47" i="6" s="1"/>
  <c r="H15" i="6"/>
  <c r="H25" i="6"/>
  <c r="G48" i="6"/>
  <c r="D37" i="6"/>
  <c r="F37" i="6"/>
  <c r="D36" i="6"/>
  <c r="F36" i="6"/>
  <c r="D35" i="6"/>
  <c r="F35" i="6"/>
  <c r="D32" i="6"/>
  <c r="F32" i="6"/>
  <c r="D27" i="6"/>
  <c r="F27" i="6"/>
  <c r="D34" i="6"/>
  <c r="F34" i="6"/>
  <c r="D31" i="6"/>
  <c r="F31" i="6"/>
  <c r="D30" i="6"/>
  <c r="F30" i="6"/>
  <c r="D29" i="6"/>
  <c r="F29" i="6"/>
  <c r="D28" i="6"/>
  <c r="F28" i="6"/>
  <c r="D38" i="6"/>
  <c r="F38" i="6"/>
  <c r="D26" i="6"/>
  <c r="F26" i="6"/>
  <c r="H11" i="3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4" i="6"/>
  <c r="D4" i="6"/>
  <c r="F2" i="6"/>
  <c r="D2" i="6"/>
  <c r="F3" i="6"/>
  <c r="D3" i="6"/>
  <c r="F14" i="6"/>
  <c r="D14" i="6"/>
  <c r="F13" i="6"/>
  <c r="D13" i="6"/>
  <c r="I13" i="6"/>
  <c r="F12" i="6"/>
  <c r="D12" i="6"/>
  <c r="F23" i="6"/>
  <c r="D23" i="6"/>
  <c r="F11" i="6"/>
  <c r="D11" i="6"/>
  <c r="F22" i="6"/>
  <c r="D22" i="6"/>
  <c r="F10" i="6"/>
  <c r="D10" i="6"/>
  <c r="F21" i="6"/>
  <c r="D21" i="6"/>
  <c r="F8" i="6"/>
  <c r="D8" i="6"/>
  <c r="F7" i="6"/>
  <c r="D7" i="6"/>
  <c r="F18" i="6"/>
  <c r="D18" i="6"/>
  <c r="F17" i="6"/>
  <c r="D17" i="6"/>
  <c r="F24" i="6"/>
  <c r="D24" i="6"/>
  <c r="I12" i="6"/>
  <c r="F9" i="6"/>
  <c r="F20" i="6"/>
  <c r="D20" i="6"/>
  <c r="F6" i="6"/>
  <c r="D6" i="6"/>
  <c r="I3" i="6"/>
  <c r="F5" i="6"/>
  <c r="D5" i="6"/>
  <c r="F16" i="6"/>
  <c r="D16" i="6"/>
  <c r="I10" i="6"/>
  <c r="K22" i="3"/>
  <c r="I30" i="6"/>
  <c r="I34" i="6"/>
  <c r="G14" i="3"/>
  <c r="I4" i="6"/>
  <c r="I29" i="6"/>
  <c r="I31" i="6"/>
  <c r="I28" i="6"/>
  <c r="I37" i="6"/>
  <c r="I27" i="6"/>
  <c r="I38" i="6"/>
  <c r="I11" i="6"/>
  <c r="I17" i="6"/>
  <c r="I2" i="6"/>
  <c r="I26" i="6"/>
  <c r="I16" i="6"/>
  <c r="I18" i="6"/>
  <c r="I21" i="6"/>
  <c r="I24" i="6"/>
  <c r="I36" i="6"/>
  <c r="I23" i="6"/>
  <c r="I35" i="6"/>
  <c r="I22" i="6"/>
  <c r="I20" i="6"/>
  <c r="I32" i="6"/>
  <c r="I19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H48" i="6" l="1"/>
  <c r="L48" i="6" s="1"/>
  <c r="F39" i="6"/>
  <c r="H38" i="3"/>
  <c r="J38" i="3"/>
  <c r="J10" i="3"/>
  <c r="H10" i="3"/>
  <c r="K15" i="3"/>
  <c r="G15" i="3"/>
  <c r="H15" i="3"/>
  <c r="I15" i="3" s="1"/>
  <c r="J15" i="3"/>
  <c r="F25" i="6"/>
  <c r="F15" i="6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8" i="6" l="1"/>
  <c r="H47" i="3"/>
  <c r="J47" i="3"/>
  <c r="I38" i="3"/>
  <c r="I24" i="3"/>
  <c r="I10" i="3"/>
  <c r="K47" i="3"/>
  <c r="G47" i="3"/>
  <c r="I47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<sst xmlns="http://schemas.openxmlformats.org/spreadsheetml/2006/main" count="1586" uniqueCount="289">
  <si>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</si>
  <si>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</si>
  <si>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</si>
  <si>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</si>
  <si>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</si>
  <si>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</si>
  <si>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</si>
  <si>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</si>
  <si>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</si>
  <si>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</si>
  <si>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</si>
  <si>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</si>
  <si>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</si>
  <si>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</si>
  <si>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</si>
  <si>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</si>
  <si>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</si>
  <si>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</si>
  <si>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</si>
  <si>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</si>
  <si>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</si>
  <si>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</si>
  <si>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</si>
  <si>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</si>
  <si>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</si>
  <si>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</si>
  <si>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</si>
  <si>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</si>
  <si>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</si>
  <si>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</si>
  <si>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</si>
  <si>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</si>
  <si>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</si>
  <si>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</si>
  <si>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</si>
  <si>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</si>
  <si>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</si>
  <si>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</si>
  <si>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</si>
  <si>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</si>
  <si>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</si>
  <si>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</si>
  <si>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</si>
  <si>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</si>
  <si>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</si>
  <si>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</si>
  <si>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</si>
  <si>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</si>
  <si>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</si>
  <si>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</si>
  <si>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</si>
  <si>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</si>
  <si>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</si>
  <si>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</si>
  <si>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</si>
  <si>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</si>
  <si>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</si>
  <si>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</si>
  <si>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</si>
  <si>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</si>
  <si>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</si>
  <si>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</si>
  <si>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</si>
  <si>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</si>
  <si>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</si>
  <si>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</si>
  <si>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apretar/charlar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</si>
  <si>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</si>
  <si>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</si>
  <si>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</si>
  <si>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</si>
  <si>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</si>
  <si>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</si>
  <si>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</si>
  <si>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</si>
  <si>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</si>
  <si>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</si>
  <si>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</si>
  <si>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</si>
  <si>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</si>
  <si>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</si>
  <si>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</si>
  <si>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</si>
  <si>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</si>
  <si>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</si>
  <si>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</si>
  <si>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</si>
  <si>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</si>
  <si>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</si>
  <si>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</si>
  <si>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</si>
  <si>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</si>
  <si>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</si>
  <si>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</si>
  <si>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</si>
  <si>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</si>
  <si>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</si>
  <si>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</si>
  <si>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</si>
  <si>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</si>
  <si>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</si>
  <si>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</si>
  <si>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</si>
  <si>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</si>
  <si>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</si>
  <si>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</si>
  <si>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</si>
  <si>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</si>
  <si>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</si>
  <si>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</si>
  <si>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</si>
  <si>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</si>
  <si>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</si>
  <si>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</si>
  <si>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</si>
  <si>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</si>
  <si>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</si>
  <si>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</si>
  <si>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</si>
  <si>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</si>
  <si>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</si>
  <si>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</si>
  <si>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</si>
  <si>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</si>
  <si>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</si>
  <si>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</si>
  <si>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</si>
  <si>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</si>
  <si>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</si>
  <si>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</si>
  <si>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</si>
  <si>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</si>
  <si>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</si>
  <si>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</si>
  <si>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</si>
  <si>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</si>
  <si>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</si>
  <si>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</si>
  <si>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</si>
  <si>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</si>
  <si>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</si>
  <si>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</si>
  <si>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</si>
  <si>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</si>
  <si>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</si>
  <si>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</si>
  <si>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</si>
  <si>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</si>
  <si>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</si>
  <si>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</si>
  <si>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</si>
  <si>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</si>
  <si>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</si>
  <si>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</si>
  <si>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</si>
  <si>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</si>
  <si>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</si>
  <si>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</si>
  <si>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</si>
  <si>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</si>
  <si>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</si>
  <si>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</si>
  <si>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</si>
  <si>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</si>
  <si>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</si>
  <si>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</si>
  <si>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</si>
  <si>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</si>
  <si>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</si>
  <si>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</si>
  <si>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</si>
  <si>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</si>
  <si>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</si>
  <si>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</si>
  <si>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</si>
  <si>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</si>
  <si>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</si>
  <si>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</si>
  <si>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</si>
  <si>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</si>
  <si>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</si>
  <si>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</si>
  <si>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</si>
  <si>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</si>
  <si>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</si>
  <si>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</si>
  <si>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</si>
  <si>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</si>
  <si>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</si>
  <si>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</si>
  <si>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</si>
  <si>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</si>
  <si>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</si>
  <si>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</si>
  <si>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</si>
  <si>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</si>
  <si>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</si>
  <si>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</si>
  <si>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</si>
  <si>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</si>
  <si>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</si>
  <si>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</si>
  <si>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</si>
  <si>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</si>
  <si>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</si>
  <si>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</si>
  <si>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</si>
  <si>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</si>
  <si>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</si>
  <si>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</si>
  <si>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</si>
  <si>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</si>
  <si>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</si>
  <si>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</si>
  <si>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</si>
  <si>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</si>
  <si>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</si>
  <si>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</si>
  <si>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</si>
  <si>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</si>
  <si>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</si>
  <si>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</si>
  <si>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</si>
  <si>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</si>
  <si>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</si>
  <si>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</si>
  <si>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</si>
  <si>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</si>
  <si>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</si>
  <si>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</si>
  <si>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</si>
  <si>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</si>
  <si>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</si>
  <si>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</si>
  <si>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</si>
  <si>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</si>
  <si>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</si>
  <si>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</si>
  <si>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</si>
  <si>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</si>
  <si>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</si>
  <si>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</si>
  <si>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</si>
  <si>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</si>
  <si>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</si>
  <si>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</si>
  <si>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</si>
  <si>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</si>
  <si>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</si>
  <si>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</si>
  <si>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</si>
  <si>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</si>
  <si>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</si>
  <si>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</si>
  <si>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</si>
  <si>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</si>
  <si>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</si>
  <si>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</si>
  <si>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</si>
  <si>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</si>
  <si>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</si>
  <si>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</si>
  <si>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</si>
  <si>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</si>
  <si>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</si>
  <si>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</si>
  <si>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RENZO RAMOS</t>
  </si>
  <si>
    <t>SANCHEZ RICARDO</t>
  </si>
  <si>
    <t>MARTINEZ JORGE NICOLAS</t>
  </si>
  <si>
    <t>BRITEZ EMMANUEL</t>
  </si>
  <si>
    <t>COSARINSKI DIEGO</t>
  </si>
  <si>
    <t>IBARROLA JORGE</t>
  </si>
  <si>
    <t>CABRAL GONZALO</t>
  </si>
  <si>
    <t>ROUBINEAU SEBASTIAN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</si>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</sst>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4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selection sqref="A1:H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3" t="s">
        <v>76</v>
      </c>
      <c r="B1" s="153" t="s">
        <v>147</v>
      </c>
      <c r="C1" s="153" t="s">
        <v>148</v>
      </c>
      <c r="D1" s="153" t="s">
        <v>149</v>
      </c>
      <c r="E1" s="153" t="s">
        <v>150</v>
      </c>
      <c r="F1" s="153" t="s">
        <v>151</v>
      </c>
      <c r="G1" s="153" t="s">
        <v>152</v>
      </c>
      <c r="H1" s="153" t="s">
        <v>153</v>
      </c>
    </row>
    <row r="2" spans="1:8" x14ac:dyDescent="0.25">
      <c r="A2" s="152" t="s">
        <v>154</v>
      </c>
      <c r="B2" s="152">
        <v>0</v>
      </c>
      <c r="C2" s="152">
        <v>15246.901408716099</v>
      </c>
      <c r="D2" s="152">
        <v>61936.530971324901</v>
      </c>
      <c r="E2" s="152">
        <v>269902004.37051493</v>
      </c>
      <c r="F2" s="152">
        <v>0</v>
      </c>
      <c r="G2" s="152">
        <v>128649.82769145809</v>
      </c>
      <c r="H2" s="152">
        <v>128649.9</v>
      </c>
    </row>
    <row r="3" spans="1:8" x14ac:dyDescent="0.25">
      <c r="A3" s="152" t="s">
        <v>81</v>
      </c>
      <c r="B3" s="152">
        <v>1</v>
      </c>
      <c r="C3" s="152">
        <v>138.61468253929999</v>
      </c>
      <c r="D3" s="152">
        <v>309.36277084199997</v>
      </c>
      <c r="E3" s="152">
        <v>4288327.5897152461</v>
      </c>
      <c r="F3" s="152">
        <v>0</v>
      </c>
      <c r="G3" s="152">
        <v>128649.82769145809</v>
      </c>
      <c r="H3" s="152">
        <v>128649.9</v>
      </c>
    </row>
    <row r="4" spans="1:8" x14ac:dyDescent="0.25">
      <c r="A4" s="152" t="s">
        <v>82</v>
      </c>
      <c r="B4" s="152">
        <v>1</v>
      </c>
      <c r="C4" s="152">
        <v>88.264682538800002</v>
      </c>
      <c r="D4" s="152">
        <v>238.30484524249999</v>
      </c>
      <c r="E4" s="152">
        <v>2920236.8858872708</v>
      </c>
      <c r="F4" s="152">
        <v>0</v>
      </c>
      <c r="G4" s="152">
        <v>0</v>
      </c>
      <c r="H4" s="152">
        <v>0</v>
      </c>
    </row>
    <row r="5" spans="1:8" x14ac:dyDescent="0.25">
      <c r="A5" s="152" t="s">
        <v>83</v>
      </c>
      <c r="B5" s="152">
        <v>1</v>
      </c>
      <c r="C5" s="152">
        <v>238.1358730151</v>
      </c>
      <c r="D5" s="152">
        <v>2109.6652500025002</v>
      </c>
      <c r="E5" s="152">
        <v>5986784.2517285747</v>
      </c>
      <c r="F5" s="152">
        <v>0</v>
      </c>
      <c r="G5" s="152">
        <v>0</v>
      </c>
      <c r="H5" s="152">
        <v>0</v>
      </c>
    </row>
    <row r="6" spans="1:8" x14ac:dyDescent="0.25">
      <c r="A6" s="152" t="s">
        <v>84</v>
      </c>
      <c r="B6" s="152">
        <v>1</v>
      </c>
      <c r="C6" s="152">
        <v>268.26408730089997</v>
      </c>
      <c r="D6" s="152">
        <v>427.30414881140001</v>
      </c>
      <c r="E6" s="152">
        <v>5830369.0261679478</v>
      </c>
      <c r="F6" s="152">
        <v>0</v>
      </c>
      <c r="G6" s="152">
        <v>0</v>
      </c>
      <c r="H6" s="152">
        <v>0</v>
      </c>
    </row>
    <row r="7" spans="1:8" x14ac:dyDescent="0.25">
      <c r="A7" s="152" t="s">
        <v>85</v>
      </c>
      <c r="B7" s="152">
        <v>1</v>
      </c>
      <c r="C7" s="152">
        <v>337.33152777620001</v>
      </c>
      <c r="D7" s="152">
        <v>1131.8736190505001</v>
      </c>
      <c r="E7" s="152">
        <v>6610300.9918944314</v>
      </c>
      <c r="F7" s="152">
        <v>0</v>
      </c>
      <c r="G7" s="152">
        <v>0</v>
      </c>
      <c r="H7" s="152">
        <v>0</v>
      </c>
    </row>
    <row r="8" spans="1:8" x14ac:dyDescent="0.25">
      <c r="A8" s="152" t="s">
        <v>111</v>
      </c>
      <c r="B8" s="152">
        <v>1</v>
      </c>
      <c r="C8" s="152">
        <v>373.5</v>
      </c>
      <c r="D8" s="152">
        <v>2116.4</v>
      </c>
      <c r="E8" s="152">
        <v>10274187.73955</v>
      </c>
      <c r="F8" s="152">
        <v>0</v>
      </c>
      <c r="G8" s="152">
        <v>0</v>
      </c>
      <c r="H8" s="152">
        <v>0</v>
      </c>
    </row>
    <row r="9" spans="1:8" x14ac:dyDescent="0.25">
      <c r="A9" s="152" t="s">
        <v>86</v>
      </c>
      <c r="B9" s="152">
        <v>1</v>
      </c>
      <c r="C9" s="152">
        <v>86.780555555700005</v>
      </c>
      <c r="D9" s="152">
        <v>209.35833333779999</v>
      </c>
      <c r="E9" s="152">
        <v>1952908.0528812422</v>
      </c>
      <c r="F9" s="152">
        <v>0</v>
      </c>
      <c r="G9" s="152">
        <v>0</v>
      </c>
      <c r="H9" s="152">
        <v>0</v>
      </c>
    </row>
    <row r="10" spans="1:8" x14ac:dyDescent="0.25">
      <c r="A10" s="152" t="s">
        <v>87</v>
      </c>
      <c r="B10" s="152">
        <v>1</v>
      </c>
      <c r="C10" s="152">
        <v>115.6093412701</v>
      </c>
      <c r="D10" s="152">
        <v>770.8550476286</v>
      </c>
      <c r="E10" s="152">
        <v>5129617.2937710555</v>
      </c>
      <c r="F10" s="152">
        <v>0</v>
      </c>
      <c r="G10" s="152">
        <v>0</v>
      </c>
      <c r="H10" s="152">
        <v>0</v>
      </c>
    </row>
    <row r="11" spans="1:8" x14ac:dyDescent="0.25">
      <c r="A11" s="152" t="s">
        <v>211</v>
      </c>
      <c r="B11" s="152">
        <v>1</v>
      </c>
      <c r="C11" s="152">
        <v>107.06603174599999</v>
      </c>
      <c r="D11" s="152">
        <v>449.49650000579999</v>
      </c>
      <c r="E11" s="152">
        <v>2246569.8650664892</v>
      </c>
      <c r="F11" s="152">
        <v>0</v>
      </c>
      <c r="G11" s="152">
        <v>0</v>
      </c>
      <c r="H11" s="152">
        <v>0</v>
      </c>
    </row>
    <row r="12" spans="1:8" x14ac:dyDescent="0.25">
      <c r="A12" s="152" t="s">
        <v>210</v>
      </c>
      <c r="B12" s="152">
        <v>1</v>
      </c>
      <c r="C12" s="152">
        <v>243.43015872940001</v>
      </c>
      <c r="D12" s="152">
        <v>923.66116667430003</v>
      </c>
      <c r="E12" s="152">
        <v>4741561.9669161662</v>
      </c>
      <c r="F12" s="152">
        <v>0</v>
      </c>
      <c r="G12" s="152">
        <v>0</v>
      </c>
      <c r="H12" s="152">
        <v>0</v>
      </c>
    </row>
    <row r="13" spans="1:8" x14ac:dyDescent="0.25">
      <c r="A13" s="152" t="s">
        <v>90</v>
      </c>
      <c r="B13" s="152">
        <v>1</v>
      </c>
      <c r="C13" s="152">
        <v>239.978206349</v>
      </c>
      <c r="D13" s="152">
        <v>945.50922618970003</v>
      </c>
      <c r="E13" s="152">
        <v>4898026.4892421514</v>
      </c>
      <c r="F13" s="152">
        <v>0</v>
      </c>
      <c r="G13" s="152">
        <v>0</v>
      </c>
      <c r="H13" s="152">
        <v>0</v>
      </c>
    </row>
    <row r="14" spans="1:8" x14ac:dyDescent="0.25">
      <c r="A14" s="152" t="s">
        <v>91</v>
      </c>
      <c r="B14" s="152">
        <v>1</v>
      </c>
      <c r="C14" s="152">
        <v>1280.0222222217999</v>
      </c>
      <c r="D14" s="152">
        <v>1562.1049999991999</v>
      </c>
      <c r="E14" s="152">
        <v>13985954.678817466</v>
      </c>
      <c r="F14" s="152">
        <v>0</v>
      </c>
      <c r="G14" s="152">
        <v>0</v>
      </c>
      <c r="H14" s="152">
        <v>0</v>
      </c>
    </row>
    <row r="15" spans="1:8" x14ac:dyDescent="0.25">
      <c r="A15" s="152" t="s">
        <v>92</v>
      </c>
      <c r="B15" s="152">
        <v>1</v>
      </c>
      <c r="C15" s="152">
        <v>239.23313492</v>
      </c>
      <c r="D15" s="152">
        <v>1255.0452619035</v>
      </c>
      <c r="E15" s="152">
        <v>5900796.8388272924</v>
      </c>
      <c r="F15" s="152">
        <v>0</v>
      </c>
      <c r="G15" s="152">
        <v>0</v>
      </c>
      <c r="H15" s="152">
        <v>0</v>
      </c>
    </row>
    <row r="16" spans="1:8" x14ac:dyDescent="0.25">
      <c r="A16" s="152" t="s">
        <v>93</v>
      </c>
      <c r="B16" s="152">
        <v>1</v>
      </c>
      <c r="C16" s="152">
        <v>164.18559523819999</v>
      </c>
      <c r="D16" s="152">
        <v>888.98251191309998</v>
      </c>
      <c r="E16" s="152">
        <v>4221436.3064930774</v>
      </c>
      <c r="F16" s="152">
        <v>0</v>
      </c>
      <c r="G16" s="152">
        <v>0</v>
      </c>
      <c r="H16" s="152">
        <v>0</v>
      </c>
    </row>
    <row r="17" spans="1:8" x14ac:dyDescent="0.25">
      <c r="A17" s="152" t="s">
        <v>94</v>
      </c>
      <c r="B17" s="152">
        <v>1</v>
      </c>
      <c r="C17" s="152">
        <v>320.27571428570002</v>
      </c>
      <c r="D17" s="152">
        <v>1305.7503392931001</v>
      </c>
      <c r="E17" s="152">
        <v>6986537.6545143714</v>
      </c>
      <c r="F17" s="152">
        <v>0</v>
      </c>
      <c r="G17" s="152">
        <v>0</v>
      </c>
      <c r="H17" s="152">
        <v>0</v>
      </c>
    </row>
    <row r="18" spans="1:8" x14ac:dyDescent="0.25">
      <c r="A18" s="152" t="s">
        <v>95</v>
      </c>
      <c r="B18" s="152">
        <v>1</v>
      </c>
      <c r="C18" s="152">
        <v>442.9618650781</v>
      </c>
      <c r="D18" s="152">
        <v>2636.3987500039998</v>
      </c>
      <c r="E18" s="152">
        <v>10189419.157253403</v>
      </c>
      <c r="F18" s="152">
        <v>0</v>
      </c>
      <c r="G18" s="152">
        <v>0</v>
      </c>
      <c r="H18" s="152">
        <v>0</v>
      </c>
    </row>
    <row r="19" spans="1:8" x14ac:dyDescent="0.25">
      <c r="A19" s="152" t="s">
        <v>96</v>
      </c>
      <c r="B19" s="152">
        <v>1</v>
      </c>
      <c r="C19" s="152">
        <v>233.46984126839999</v>
      </c>
      <c r="D19" s="152">
        <v>883.5225714339</v>
      </c>
      <c r="E19" s="152">
        <v>5139902.0994315064</v>
      </c>
      <c r="F19" s="152">
        <v>0</v>
      </c>
      <c r="G19" s="152">
        <v>0</v>
      </c>
      <c r="H19" s="152">
        <v>0</v>
      </c>
    </row>
    <row r="20" spans="1:8" x14ac:dyDescent="0.25">
      <c r="A20" s="152" t="s">
        <v>97</v>
      </c>
      <c r="B20" s="152">
        <v>1</v>
      </c>
      <c r="C20" s="152">
        <v>796.89613095230004</v>
      </c>
      <c r="D20" s="152">
        <v>3773.1936368996999</v>
      </c>
      <c r="E20" s="152">
        <v>13751735.290187441</v>
      </c>
      <c r="F20" s="152">
        <v>0</v>
      </c>
      <c r="G20" s="152">
        <v>0</v>
      </c>
      <c r="H20" s="152">
        <v>0</v>
      </c>
    </row>
    <row r="21" spans="1:8" x14ac:dyDescent="0.25">
      <c r="A21" s="152" t="s">
        <v>98</v>
      </c>
      <c r="B21" s="152">
        <v>1</v>
      </c>
      <c r="C21" s="152">
        <v>182.8991071424</v>
      </c>
      <c r="D21" s="152">
        <v>780.50083334119995</v>
      </c>
      <c r="E21" s="152">
        <v>3885483.7311973237</v>
      </c>
      <c r="F21" s="152">
        <v>0</v>
      </c>
      <c r="G21" s="152">
        <v>0</v>
      </c>
      <c r="H21" s="152">
        <v>0</v>
      </c>
    </row>
    <row r="22" spans="1:8" x14ac:dyDescent="0.25">
      <c r="A22" s="152" t="s">
        <v>205</v>
      </c>
      <c r="B22" s="152">
        <v>1</v>
      </c>
      <c r="C22" s="152">
        <v>167.09347222229999</v>
      </c>
      <c r="D22" s="152">
        <v>694.10275000809997</v>
      </c>
      <c r="E22" s="152">
        <v>2320452.314767275</v>
      </c>
      <c r="F22" s="152">
        <v>0</v>
      </c>
      <c r="G22" s="152">
        <v>0</v>
      </c>
      <c r="H22" s="152">
        <v>0</v>
      </c>
    </row>
    <row r="23" spans="1:8" x14ac:dyDescent="0.25">
      <c r="A23" s="152" t="s">
        <v>276</v>
      </c>
      <c r="B23" s="152">
        <v>1</v>
      </c>
      <c r="C23" s="152">
        <v>1683.2819642857</v>
      </c>
      <c r="D23" s="152">
        <v>9974.1012857140995</v>
      </c>
      <c r="E23" s="152">
        <v>26898917.224855043</v>
      </c>
      <c r="F23" s="152">
        <v>0</v>
      </c>
      <c r="G23" s="152">
        <v>0</v>
      </c>
      <c r="H23" s="152">
        <v>0</v>
      </c>
    </row>
    <row r="24" spans="1:8" x14ac:dyDescent="0.25">
      <c r="A24" s="152" t="s">
        <v>275</v>
      </c>
      <c r="B24" s="152">
        <v>1</v>
      </c>
      <c r="C24" s="152">
        <v>-10</v>
      </c>
      <c r="D24" s="152">
        <v>-75</v>
      </c>
      <c r="E24" s="152">
        <v>-170283.8252251072</v>
      </c>
      <c r="F24" s="152">
        <v>0</v>
      </c>
      <c r="G24" s="152">
        <v>0</v>
      </c>
      <c r="H24" s="152">
        <v>0</v>
      </c>
    </row>
    <row r="25" spans="1:8" x14ac:dyDescent="0.25">
      <c r="A25" s="152" t="s">
        <v>99</v>
      </c>
      <c r="B25" s="152">
        <v>1</v>
      </c>
      <c r="C25" s="152">
        <v>201.478484127</v>
      </c>
      <c r="D25" s="152">
        <v>801.59008334450004</v>
      </c>
      <c r="E25" s="152">
        <v>4483118.8967957702</v>
      </c>
      <c r="F25" s="152">
        <v>0</v>
      </c>
      <c r="G25" s="152">
        <v>0</v>
      </c>
      <c r="H25" s="152">
        <v>0</v>
      </c>
    </row>
    <row r="26" spans="1:8" x14ac:dyDescent="0.25">
      <c r="A26" s="152" t="s">
        <v>100</v>
      </c>
      <c r="B26" s="152">
        <v>1</v>
      </c>
      <c r="C26" s="152">
        <v>280.52450396730001</v>
      </c>
      <c r="D26" s="152">
        <v>561.576249996</v>
      </c>
      <c r="E26" s="152">
        <v>4713407.7473689262</v>
      </c>
      <c r="F26" s="152">
        <v>0</v>
      </c>
      <c r="G26" s="152">
        <v>0</v>
      </c>
      <c r="H26" s="152">
        <v>0</v>
      </c>
    </row>
    <row r="27" spans="1:8" x14ac:dyDescent="0.25">
      <c r="A27" s="152" t="s">
        <v>218</v>
      </c>
      <c r="B27" s="152">
        <v>1</v>
      </c>
      <c r="C27" s="152">
        <v>2435.0555555556002</v>
      </c>
      <c r="D27" s="152">
        <v>-603.72</v>
      </c>
      <c r="E27" s="152">
        <v>24111308.796193063</v>
      </c>
      <c r="F27" s="152">
        <v>0</v>
      </c>
      <c r="G27" s="152">
        <v>0</v>
      </c>
      <c r="H27" s="152">
        <v>0</v>
      </c>
    </row>
    <row r="28" spans="1:8" x14ac:dyDescent="0.25">
      <c r="A28" s="152" t="s">
        <v>220</v>
      </c>
      <c r="B28" s="152">
        <v>1</v>
      </c>
      <c r="C28" s="152">
        <v>311.0469642841</v>
      </c>
      <c r="D28" s="152">
        <v>935.68785713980003</v>
      </c>
      <c r="E28" s="152">
        <v>5479228.0487809759</v>
      </c>
      <c r="F28" s="152">
        <v>0</v>
      </c>
      <c r="G28" s="152">
        <v>0</v>
      </c>
      <c r="H28" s="152">
        <v>0</v>
      </c>
    </row>
    <row r="29" spans="1:8" x14ac:dyDescent="0.25">
      <c r="A29" s="152" t="s">
        <v>212</v>
      </c>
      <c r="B29" s="152">
        <v>1</v>
      </c>
      <c r="C29" s="152">
        <v>525.94166666690001</v>
      </c>
      <c r="D29" s="152">
        <v>2366.3258333366002</v>
      </c>
      <c r="E29" s="152">
        <v>9931381.6972460449</v>
      </c>
      <c r="F29" s="152">
        <v>0</v>
      </c>
      <c r="G29" s="152">
        <v>0</v>
      </c>
      <c r="H29" s="152">
        <v>0</v>
      </c>
    </row>
    <row r="30" spans="1:8" x14ac:dyDescent="0.25">
      <c r="A30" s="152" t="s">
        <v>139</v>
      </c>
      <c r="B30" s="152">
        <v>1</v>
      </c>
      <c r="C30" s="152">
        <v>100.3335912692</v>
      </c>
      <c r="D30" s="152">
        <v>320.23366666359999</v>
      </c>
      <c r="E30" s="152">
        <v>2100384.084211817</v>
      </c>
      <c r="F30" s="152">
        <v>0</v>
      </c>
      <c r="G30" s="152">
        <v>0</v>
      </c>
      <c r="H30" s="152">
        <v>0</v>
      </c>
    </row>
    <row r="31" spans="1:8" x14ac:dyDescent="0.25">
      <c r="A31" s="152" t="s">
        <v>214</v>
      </c>
      <c r="B31" s="152">
        <v>1</v>
      </c>
      <c r="C31" s="152">
        <v>106.77331349160001</v>
      </c>
      <c r="D31" s="152">
        <v>345.56500000400001</v>
      </c>
      <c r="E31" s="152">
        <v>2150502.4388391394</v>
      </c>
      <c r="F31" s="152">
        <v>0</v>
      </c>
      <c r="G31" s="152">
        <v>0</v>
      </c>
      <c r="H31" s="152">
        <v>0</v>
      </c>
    </row>
    <row r="32" spans="1:8" x14ac:dyDescent="0.25">
      <c r="A32" s="152" t="s">
        <v>104</v>
      </c>
      <c r="B32" s="152">
        <v>1</v>
      </c>
      <c r="C32" s="152">
        <v>20.5333333331</v>
      </c>
      <c r="D32" s="152">
        <v>132.00999999920001</v>
      </c>
      <c r="E32" s="152">
        <v>739093.04275509052</v>
      </c>
      <c r="F32" s="152">
        <v>0</v>
      </c>
      <c r="G32" s="152">
        <v>0</v>
      </c>
      <c r="H32" s="152">
        <v>0</v>
      </c>
    </row>
    <row r="33" spans="1:8" x14ac:dyDescent="0.25">
      <c r="A33" s="152" t="s">
        <v>213</v>
      </c>
      <c r="B33" s="152">
        <v>1</v>
      </c>
      <c r="C33" s="152">
        <v>172.42222222160001</v>
      </c>
      <c r="D33" s="152">
        <v>423.47916667010003</v>
      </c>
      <c r="E33" s="152">
        <v>2994261.5667885081</v>
      </c>
      <c r="F33" s="152">
        <v>0</v>
      </c>
      <c r="G33" s="152">
        <v>0</v>
      </c>
      <c r="H33" s="152">
        <v>0</v>
      </c>
    </row>
    <row r="34" spans="1:8" x14ac:dyDescent="0.25">
      <c r="A34" s="152" t="s">
        <v>279</v>
      </c>
      <c r="B34" s="152">
        <v>1</v>
      </c>
      <c r="C34" s="152">
        <v>45.192162698399997</v>
      </c>
      <c r="D34" s="152">
        <v>588.74174999909997</v>
      </c>
      <c r="E34" s="152">
        <v>1558605.7160031793</v>
      </c>
      <c r="F34" s="152">
        <v>0</v>
      </c>
      <c r="G34" s="152">
        <v>0</v>
      </c>
      <c r="H34" s="152">
        <v>0</v>
      </c>
    </row>
    <row r="35" spans="1:8" x14ac:dyDescent="0.25">
      <c r="A35" s="152" t="s">
        <v>277</v>
      </c>
      <c r="B35" s="152">
        <v>1</v>
      </c>
      <c r="C35" s="152">
        <v>818.53750000000002</v>
      </c>
      <c r="D35" s="152">
        <v>6072.2000000001999</v>
      </c>
      <c r="E35" s="152">
        <v>10465826.931419414</v>
      </c>
      <c r="F35" s="152">
        <v>0</v>
      </c>
      <c r="G35" s="152">
        <v>0</v>
      </c>
      <c r="H35" s="152">
        <v>0</v>
      </c>
    </row>
    <row r="36" spans="1:8" x14ac:dyDescent="0.25">
      <c r="A36" s="152" t="s">
        <v>161</v>
      </c>
      <c r="B36" s="152">
        <v>1</v>
      </c>
      <c r="C36" s="152">
        <v>153.3830555559</v>
      </c>
      <c r="D36" s="152">
        <v>641.18625000190002</v>
      </c>
      <c r="E36" s="152">
        <v>3927317.4981492609</v>
      </c>
      <c r="F36" s="152">
        <v>0</v>
      </c>
      <c r="G36" s="152">
        <v>0</v>
      </c>
      <c r="H36" s="152">
        <v>0</v>
      </c>
    </row>
    <row r="37" spans="1:8" x14ac:dyDescent="0.25">
      <c r="A37" s="152" t="s">
        <v>107</v>
      </c>
      <c r="B37" s="152">
        <v>1</v>
      </c>
      <c r="C37" s="152">
        <v>-9.0500000000000007</v>
      </c>
      <c r="D37" s="152">
        <v>-87</v>
      </c>
      <c r="E37" s="152">
        <v>-140371.8553</v>
      </c>
      <c r="F37" s="152">
        <v>0</v>
      </c>
      <c r="G37" s="152">
        <v>0</v>
      </c>
      <c r="H37" s="152">
        <v>0</v>
      </c>
    </row>
    <row r="38" spans="1:8" x14ac:dyDescent="0.25">
      <c r="A38" s="152" t="s">
        <v>112</v>
      </c>
      <c r="B38" s="152">
        <v>1</v>
      </c>
      <c r="C38" s="152">
        <v>212.66666666660001</v>
      </c>
      <c r="D38" s="152">
        <v>1908.7199999987999</v>
      </c>
      <c r="E38" s="152">
        <v>4363046.2478274377</v>
      </c>
      <c r="F38" s="152">
        <v>0</v>
      </c>
      <c r="G38" s="152">
        <v>0</v>
      </c>
      <c r="H38" s="152">
        <v>0</v>
      </c>
    </row>
    <row r="39" spans="1:8" x14ac:dyDescent="0.25">
      <c r="A39" s="152" t="s">
        <v>108</v>
      </c>
      <c r="B39" s="152">
        <v>1</v>
      </c>
      <c r="C39" s="152">
        <v>202.93392857129999</v>
      </c>
      <c r="D39" s="152">
        <v>2327.2349999995999</v>
      </c>
      <c r="E39" s="152">
        <v>4585846.3923633341</v>
      </c>
      <c r="F39" s="152">
        <v>0</v>
      </c>
      <c r="G39" s="152">
        <v>0</v>
      </c>
      <c r="H39" s="152">
        <v>0</v>
      </c>
    </row>
    <row r="40" spans="1:8" x14ac:dyDescent="0.25">
      <c r="A40" s="152" t="s">
        <v>221</v>
      </c>
      <c r="B40" s="152">
        <v>1</v>
      </c>
      <c r="C40" s="152">
        <v>575.30711309490005</v>
      </c>
      <c r="D40" s="152">
        <v>2739.4615610185001</v>
      </c>
      <c r="E40" s="152">
        <v>9103735.864330126</v>
      </c>
      <c r="F40" s="152">
        <v>0</v>
      </c>
      <c r="G40" s="152">
        <v>0</v>
      </c>
      <c r="H40" s="152">
        <v>0</v>
      </c>
    </row>
    <row r="41" spans="1:8" x14ac:dyDescent="0.25">
      <c r="A41" s="152" t="s">
        <v>140</v>
      </c>
      <c r="B41" s="152">
        <v>1</v>
      </c>
      <c r="C41" s="152">
        <v>740.53571428580005</v>
      </c>
      <c r="D41" s="152">
        <v>6037.2134166660999</v>
      </c>
      <c r="E41" s="152">
        <v>10047912.842928981</v>
      </c>
      <c r="F41" s="152">
        <v>0</v>
      </c>
      <c r="G41" s="152">
        <v>0</v>
      </c>
      <c r="H41" s="152">
        <v>0</v>
      </c>
    </row>
    <row r="42" spans="1:8" x14ac:dyDescent="0.25">
      <c r="A42" s="152" t="s">
        <v>215</v>
      </c>
      <c r="B42" s="152">
        <v>1</v>
      </c>
      <c r="C42" s="152">
        <v>82.125</v>
      </c>
      <c r="D42" s="152">
        <v>696.76</v>
      </c>
      <c r="E42" s="152">
        <v>1454259.523</v>
      </c>
      <c r="F42" s="152">
        <v>0</v>
      </c>
      <c r="G42" s="152">
        <v>0</v>
      </c>
      <c r="H42" s="152">
        <v>0</v>
      </c>
    </row>
    <row r="43" spans="1:8" x14ac:dyDescent="0.25">
      <c r="A43" s="152" t="s">
        <v>145</v>
      </c>
      <c r="B43" s="152">
        <v>1</v>
      </c>
      <c r="C43" s="152">
        <v>175.64851190479999</v>
      </c>
      <c r="D43" s="152">
        <v>656.73387896839995</v>
      </c>
      <c r="E43" s="152">
        <v>9045207.269516224</v>
      </c>
      <c r="F43" s="152">
        <v>0</v>
      </c>
      <c r="G43" s="152">
        <v>0</v>
      </c>
      <c r="H43" s="152">
        <v>0</v>
      </c>
    </row>
    <row r="44" spans="1:8" x14ac:dyDescent="0.25">
      <c r="A44" s="152" t="s">
        <v>146</v>
      </c>
      <c r="B44" s="152">
        <v>1</v>
      </c>
      <c r="C44" s="152">
        <v>106.97242063509999</v>
      </c>
      <c r="D44" s="152">
        <v>688.63703572149996</v>
      </c>
      <c r="E44" s="152">
        <v>3169217.5275494526</v>
      </c>
      <c r="F44" s="152">
        <v>0</v>
      </c>
      <c r="G44" s="152">
        <v>0</v>
      </c>
      <c r="H44" s="152">
        <v>0</v>
      </c>
    </row>
    <row r="45" spans="1:8" x14ac:dyDescent="0.25">
      <c r="A45" s="152" t="s">
        <v>155</v>
      </c>
      <c r="B45" s="152">
        <v>1</v>
      </c>
      <c r="C45" s="152">
        <v>181.99550595150001</v>
      </c>
      <c r="D45" s="152">
        <v>1024.3803735020001</v>
      </c>
      <c r="E45" s="152">
        <v>4985556.9301497536</v>
      </c>
      <c r="F45" s="152">
        <v>0</v>
      </c>
      <c r="G45" s="152">
        <v>0</v>
      </c>
      <c r="H45" s="152">
        <v>0</v>
      </c>
    </row>
    <row r="46" spans="1:8" x14ac:dyDescent="0.25">
      <c r="A46" s="152" t="s">
        <v>219</v>
      </c>
      <c r="B46" s="152">
        <v>1</v>
      </c>
      <c r="C46" s="152">
        <v>69.25</v>
      </c>
      <c r="D46" s="152">
        <v>49.02</v>
      </c>
      <c r="E46" s="152">
        <v>2643915.5396587499</v>
      </c>
      <c r="F46" s="152">
        <v>0</v>
      </c>
      <c r="G46" s="152">
        <v>0</v>
      </c>
      <c r="H46" s="1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7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7.1406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206</v>
      </c>
      <c r="B1" s="54" t="s">
        <v>76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3" t="s">
        <v>207</v>
      </c>
      <c r="B2" s="57" t="s">
        <v>95</v>
      </c>
      <c r="C2" s="58">
        <v>32279076.638250753</v>
      </c>
      <c r="D2" s="59">
        <f>IFERROR(+VLOOKUP(B2,COMISIONES!A:E,5,FALSE),"0")*1</f>
        <v>10189419.157253403</v>
      </c>
      <c r="E2" s="59">
        <v>9104303.437854236</v>
      </c>
      <c r="F2" s="59">
        <f t="shared" ref="F2:F9" si="0">+D2-E2</f>
        <v>1085115.7193991672</v>
      </c>
      <c r="G2" s="60">
        <f t="shared" ref="G2:G46" si="1">+D2/C2</f>
        <v>0.3156663764408591</v>
      </c>
      <c r="H2" s="59">
        <f>+D2/$N$3*$N$4</f>
        <v>66231224.522147119</v>
      </c>
      <c r="I2" s="60">
        <f t="shared" ref="I2:I47" si="2">+H2/C2</f>
        <v>2.0518314468655841</v>
      </c>
      <c r="J2" s="59">
        <f>+D2/$N$3</f>
        <v>2547354.7893133508</v>
      </c>
      <c r="K2" s="59">
        <f t="shared" ref="K2:K38" si="3">+(C2-D2)/$N$2</f>
        <v>1004075.3400453341</v>
      </c>
      <c r="L2" s="61" cm="1">
        <f t="array" ref="L2">+_xlfn.IFS(I2&gt;114%,H2*0.02,I2&gt;109%,H2*0.015,I2&gt;104%,H2*0.0125,I2&gt;99%,H2*0.01,I2&lt;99%,H2*0)</f>
        <v>1324624.4904429424</v>
      </c>
      <c r="M2" s="53" t="s">
        <v>36</v>
      </c>
      <c r="N2">
        <v>22</v>
      </c>
    </row>
    <row r="3" spans="1:14" ht="16.5" thickBot="1" x14ac:dyDescent="0.3">
      <c r="A3" s="144"/>
      <c r="B3" s="36" t="s">
        <v>94</v>
      </c>
      <c r="C3" s="62">
        <v>30982728.178883255</v>
      </c>
      <c r="D3" s="4">
        <f>IFERROR(+VLOOKUP(B3,COMISIONES!A:E,5,FALSE),"0")*1</f>
        <v>6986537.6545143714</v>
      </c>
      <c r="E3" s="4">
        <v>5398729.1566851344</v>
      </c>
      <c r="F3" s="59">
        <f t="shared" si="0"/>
        <v>1587808.497829237</v>
      </c>
      <c r="G3" s="5">
        <f t="shared" si="1"/>
        <v>0.22549781975869224</v>
      </c>
      <c r="H3" s="4">
        <f t="shared" ref="H3:H38" si="4">+D3/$N$3*$N$4</f>
        <v>45412494.754343413</v>
      </c>
      <c r="I3" s="5">
        <f t="shared" si="2"/>
        <v>1.4657358284314996</v>
      </c>
      <c r="J3" s="4">
        <f t="shared" ref="J3:J38" si="5">+D3/$N$3</f>
        <v>1746634.4136285929</v>
      </c>
      <c r="K3" s="4">
        <f t="shared" si="3"/>
        <v>1090735.9329258583</v>
      </c>
      <c r="L3" s="63" cm="1">
        <f t="array" ref="L3">+_xlfn.IFS(I3&gt;114%,H3*0.02,I3&gt;109%,H3*0.015,I3&gt;104%,H3*0.0125,I3&gt;99%,H3*0.01,I3&lt;99%,H3*0)</f>
        <v>908249.89508686832</v>
      </c>
      <c r="M3" s="53" t="s">
        <v>40</v>
      </c>
      <c r="N3">
        <f>N4-N2</f>
        <v>4</v>
      </c>
    </row>
    <row r="4" spans="1:14" ht="16.5" thickBot="1" x14ac:dyDescent="0.3">
      <c r="A4" s="144"/>
      <c r="B4" s="36" t="s">
        <v>92</v>
      </c>
      <c r="C4" s="62">
        <v>28390031.260148253</v>
      </c>
      <c r="D4" s="4">
        <f>IFERROR(+VLOOKUP(B4,COMISIONES!A:E,5,FALSE),"0")*1</f>
        <v>5900796.8388272924</v>
      </c>
      <c r="E4" s="4">
        <v>4363038.356344129</v>
      </c>
      <c r="F4" s="59">
        <f t="shared" si="0"/>
        <v>1537758.4824831635</v>
      </c>
      <c r="G4" s="5">
        <f t="shared" si="1"/>
        <v>0.20784749353588694</v>
      </c>
      <c r="H4" s="4">
        <f t="shared" si="4"/>
        <v>38355179.452377401</v>
      </c>
      <c r="I4" s="5">
        <f t="shared" si="2"/>
        <v>1.3510087079832651</v>
      </c>
      <c r="J4" s="4">
        <f t="shared" si="5"/>
        <v>1475199.2097068231</v>
      </c>
      <c r="K4" s="4">
        <f t="shared" si="3"/>
        <v>1022237.9282418619</v>
      </c>
      <c r="L4" s="63" cm="1">
        <f t="array" ref="L4">+_xlfn.IFS(I4&gt;114%,H4*0.02,I4&gt;109%,H4*0.015,I4&gt;104%,H4*0.0125,I4&gt;99%,H4*0.01,I4&lt;99%,H4*0)</f>
        <v>767103.58904754801</v>
      </c>
      <c r="M4" s="53" t="s">
        <v>47</v>
      </c>
      <c r="N4">
        <v>26</v>
      </c>
    </row>
    <row r="5" spans="1:14" ht="16.5" thickBot="1" x14ac:dyDescent="0.3">
      <c r="A5" s="144"/>
      <c r="B5" s="36" t="s">
        <v>90</v>
      </c>
      <c r="C5" s="62">
        <v>28390031.260148253</v>
      </c>
      <c r="D5" s="4">
        <f>IFERROR(+VLOOKUP(B5,COMISIONES!A:E,5,FALSE),"0")*1</f>
        <v>4898026.4892421514</v>
      </c>
      <c r="E5" s="4">
        <v>3800703.9369557151</v>
      </c>
      <c r="F5" s="59">
        <f t="shared" si="0"/>
        <v>1097322.5522864363</v>
      </c>
      <c r="G5" s="5">
        <f t="shared" si="1"/>
        <v>0.17252628024110792</v>
      </c>
      <c r="H5" s="4">
        <f t="shared" si="4"/>
        <v>31837172.180073984</v>
      </c>
      <c r="I5" s="5">
        <f t="shared" si="2"/>
        <v>1.1214208215672015</v>
      </c>
      <c r="J5" s="4">
        <f t="shared" si="5"/>
        <v>1224506.6223105378</v>
      </c>
      <c r="K5" s="4">
        <f t="shared" si="3"/>
        <v>1067818.39867755</v>
      </c>
      <c r="L5" s="63" cm="1">
        <f t="array" ref="L5">+_xlfn.IFS(I5&gt;114%,H5*0.02,I5&gt;109%,H5*0.015,I5&gt;104%,H5*0.0125,I5&gt;99%,H5*0.01,I5&lt;99%,H5*0)</f>
        <v>477557.58270110976</v>
      </c>
    </row>
    <row r="6" spans="1:14" ht="16.5" thickBot="1" x14ac:dyDescent="0.3">
      <c r="A6" s="144"/>
      <c r="B6" s="36" t="s">
        <v>210</v>
      </c>
      <c r="C6" s="62">
        <v>23528724.537520126</v>
      </c>
      <c r="D6" s="4">
        <f>IFERROR(+VLOOKUP(B6,COMISIONES!A:E,5,FALSE),"0")*1</f>
        <v>4741561.9669161662</v>
      </c>
      <c r="E6" s="4">
        <v>3624895.3431065627</v>
      </c>
      <c r="F6" s="59">
        <f t="shared" si="0"/>
        <v>1116666.6238096035</v>
      </c>
      <c r="G6" s="5">
        <f t="shared" si="1"/>
        <v>0.20152226948617744</v>
      </c>
      <c r="H6" s="4">
        <f t="shared" si="4"/>
        <v>30820152.784955081</v>
      </c>
      <c r="I6" s="5">
        <f t="shared" si="2"/>
        <v>1.3098947516601533</v>
      </c>
      <c r="J6" s="4">
        <f t="shared" si="5"/>
        <v>1185390.4917290416</v>
      </c>
      <c r="K6" s="4">
        <f t="shared" si="3"/>
        <v>853961.93502745265</v>
      </c>
      <c r="L6" s="63" cm="1">
        <f t="array" ref="L6">+_xlfn.IFS(I6&gt;114%,H6*0.02,I6&gt;109%,H6*0.015,I6&gt;104%,H6*0.0125,I6&gt;99%,H6*0.01,I6&lt;99%,H6*0)</f>
        <v>616403.05569910165</v>
      </c>
    </row>
    <row r="7" spans="1:14" ht="16.5" thickBot="1" x14ac:dyDescent="0.3">
      <c r="A7" s="144"/>
      <c r="B7" s="36" t="s">
        <v>86</v>
      </c>
      <c r="C7" s="62">
        <v>27741857.030464504</v>
      </c>
      <c r="D7" s="4">
        <f>IFERROR(+VLOOKUP(B7,COMISIONES!A:E,5,FALSE),"0")*1</f>
        <v>1952908.0528812422</v>
      </c>
      <c r="E7" s="4">
        <v>1399344.400687827</v>
      </c>
      <c r="F7" s="59">
        <f t="shared" si="0"/>
        <v>553563.65219341521</v>
      </c>
      <c r="G7" s="5">
        <f t="shared" si="1"/>
        <v>7.0395721913521198E-2</v>
      </c>
      <c r="H7" s="4">
        <f t="shared" si="4"/>
        <v>12693902.343728075</v>
      </c>
      <c r="I7" s="5">
        <f t="shared" si="2"/>
        <v>0.45757219243788783</v>
      </c>
      <c r="J7" s="4">
        <f t="shared" si="5"/>
        <v>488227.01322031056</v>
      </c>
      <c r="K7" s="4">
        <f t="shared" si="3"/>
        <v>1172224.953526512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4"/>
      <c r="B8" s="36" t="s">
        <v>85</v>
      </c>
      <c r="C8" s="62">
        <v>35831071.416917704</v>
      </c>
      <c r="D8" s="4">
        <f>IFERROR(+VLOOKUP(B8,COMISIONES!A:E,5,FALSE),"0")*1</f>
        <v>6610300.9918944314</v>
      </c>
      <c r="E8" s="4">
        <v>5418858.45097013</v>
      </c>
      <c r="F8" s="59">
        <f t="shared" si="0"/>
        <v>1191442.5409243014</v>
      </c>
      <c r="G8" s="5">
        <f t="shared" si="1"/>
        <v>0.18448516135560952</v>
      </c>
      <c r="H8" s="4">
        <f t="shared" si="4"/>
        <v>42966956.4473138</v>
      </c>
      <c r="I8" s="5">
        <f t="shared" si="2"/>
        <v>1.199153548811462</v>
      </c>
      <c r="J8" s="4">
        <f t="shared" si="5"/>
        <v>1652575.2479736079</v>
      </c>
      <c r="K8" s="4">
        <f t="shared" si="3"/>
        <v>1328216.8375010579</v>
      </c>
      <c r="L8" s="63" cm="1">
        <f t="array" ref="L8">+_xlfn.IFS(I8&gt;114%,H8*0.02,I8&gt;109%,H8*0.015,I8&gt;104%,H8*0.0125,I8&gt;99%,H8*0.01,I8&lt;99%,H8*0)</f>
        <v>859339.12894627603</v>
      </c>
    </row>
    <row r="9" spans="1:14" ht="15.75" x14ac:dyDescent="0.25">
      <c r="A9" s="144"/>
      <c r="B9" s="36" t="s">
        <v>84</v>
      </c>
      <c r="C9" s="62">
        <v>35831071.416917704</v>
      </c>
      <c r="D9" s="4">
        <f>IFERROR(+VLOOKUP(B9,COMISIONES!A:E,5,FALSE),"0")*1</f>
        <v>5830369.0261679478</v>
      </c>
      <c r="E9" s="4">
        <v>4384188.8023363175</v>
      </c>
      <c r="F9" s="59">
        <f t="shared" si="0"/>
        <v>1446180.2238316303</v>
      </c>
      <c r="G9" s="5">
        <f t="shared" si="1"/>
        <v>0.16271824412750127</v>
      </c>
      <c r="H9" s="4">
        <f t="shared" si="4"/>
        <v>37897398.670091659</v>
      </c>
      <c r="I9" s="5">
        <f t="shared" si="2"/>
        <v>1.0576685868287583</v>
      </c>
      <c r="J9" s="4">
        <f t="shared" si="5"/>
        <v>1457592.2565419869</v>
      </c>
      <c r="K9" s="4">
        <f t="shared" si="3"/>
        <v>1363668.2904886252</v>
      </c>
      <c r="L9" s="63" cm="1">
        <f t="array" ref="L9">+_xlfn.IFS(I9&gt;114%,H9*0.02,I9&gt;109%,H9*0.015,I9&gt;104%,H9*0.0125,I9&gt;99%,H9*0.01,I9&lt;99%,H9*0)</f>
        <v>473717.48337614577</v>
      </c>
    </row>
    <row r="10" spans="1:14" ht="16.5" thickBot="1" x14ac:dyDescent="0.3">
      <c r="A10" s="145"/>
      <c r="B10" s="3"/>
      <c r="C10" s="64">
        <v>242974591.73925051</v>
      </c>
      <c r="D10" s="64">
        <f>+SUM(D2:D9)</f>
        <v>47109920.177697003</v>
      </c>
      <c r="E10" s="65">
        <v>37494061.884940058</v>
      </c>
      <c r="F10" s="67">
        <f>+D10-E10</f>
        <v>9615858.2927569449</v>
      </c>
      <c r="G10" s="66">
        <f t="shared" si="1"/>
        <v>0.19388825737076767</v>
      </c>
      <c r="H10" s="64">
        <f t="shared" si="4"/>
        <v>306214481.15503049</v>
      </c>
      <c r="I10" s="66">
        <f t="shared" si="2"/>
        <v>1.2602736729099897</v>
      </c>
      <c r="J10" s="64">
        <f t="shared" si="5"/>
        <v>11777480.044424251</v>
      </c>
      <c r="K10" s="67">
        <f t="shared" si="3"/>
        <v>8902939.61643425</v>
      </c>
      <c r="L10" s="68"/>
    </row>
    <row r="11" spans="1:14" ht="16.5" thickBot="1" x14ac:dyDescent="0.3">
      <c r="A11" s="143" t="s">
        <v>208</v>
      </c>
      <c r="B11" s="57" t="s">
        <v>97</v>
      </c>
      <c r="C11" s="58">
        <v>96971948.480137512</v>
      </c>
      <c r="D11" s="59">
        <f>IFERROR(+VLOOKUP(B11,COMISIONES!A:E,5,FALSE),"0")*1</f>
        <v>13751735.290187441</v>
      </c>
      <c r="E11" s="59">
        <v>8221885.5085513741</v>
      </c>
      <c r="F11" s="59">
        <f t="shared" ref="F11:F14" si="6">+D11-E11</f>
        <v>5529849.7816360667</v>
      </c>
      <c r="G11" s="60">
        <f t="shared" si="1"/>
        <v>0.14181147750170423</v>
      </c>
      <c r="H11" s="59">
        <f t="shared" si="4"/>
        <v>89386279.386218369</v>
      </c>
      <c r="I11" s="60">
        <f t="shared" si="2"/>
        <v>0.92177460376107745</v>
      </c>
      <c r="J11" s="59">
        <f t="shared" si="5"/>
        <v>3437933.8225468602</v>
      </c>
      <c r="K11" s="59">
        <f t="shared" si="3"/>
        <v>3782736.9631795492</v>
      </c>
      <c r="L11" s="61" cm="1">
        <f t="array" ref="L11">+_xlfn.IFS(I11&gt;114%,H11*0.0125,I11&gt;109%,H11*0.01,I11&gt;104%,H11*0.0075,I11&gt;99%,H11*0.005,I11&lt;99%,H11*0)</f>
        <v>0</v>
      </c>
    </row>
    <row r="12" spans="1:14" ht="16.5" thickBot="1" x14ac:dyDescent="0.3">
      <c r="A12" s="144"/>
      <c r="B12" s="36" t="s">
        <v>91</v>
      </c>
      <c r="C12" s="62">
        <v>128363916.07462499</v>
      </c>
      <c r="D12" s="4">
        <f>IFERROR(+VLOOKUP(B12,COMISIONES!A:E,5,FALSE),"0")*1</f>
        <v>13985954.678817466</v>
      </c>
      <c r="E12" s="4">
        <v>3238402.8162274663</v>
      </c>
      <c r="F12" s="59">
        <f t="shared" si="6"/>
        <v>10747551.86259</v>
      </c>
      <c r="G12" s="5">
        <f t="shared" si="1"/>
        <v>0.10895550016319745</v>
      </c>
      <c r="H12" s="4">
        <f t="shared" si="4"/>
        <v>90908705.412313521</v>
      </c>
      <c r="I12" s="5">
        <f t="shared" si="2"/>
        <v>0.70821075106078335</v>
      </c>
      <c r="J12" s="4">
        <f t="shared" si="5"/>
        <v>3496488.6697043665</v>
      </c>
      <c r="K12" s="4">
        <f t="shared" si="3"/>
        <v>5198998.2452639779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44"/>
      <c r="B13" s="36" t="s">
        <v>112</v>
      </c>
      <c r="C13" s="62">
        <v>42449057.394974999</v>
      </c>
      <c r="D13" s="4">
        <f>IFERROR(+VLOOKUP(B13,COMISIONES!A:E,5,FALSE),"0")*1</f>
        <v>4363046.2478274377</v>
      </c>
      <c r="E13" s="4">
        <v>4069290.1248274376</v>
      </c>
      <c r="F13" s="59">
        <f t="shared" si="6"/>
        <v>293756.12300000014</v>
      </c>
      <c r="G13" s="5">
        <f t="shared" si="1"/>
        <v>0.10278311264324853</v>
      </c>
      <c r="H13" s="4">
        <f t="shared" si="4"/>
        <v>28359800.610878345</v>
      </c>
      <c r="I13" s="5">
        <f t="shared" si="2"/>
        <v>0.66809023218111552</v>
      </c>
      <c r="J13" s="4">
        <f t="shared" si="5"/>
        <v>1090761.5619568594</v>
      </c>
      <c r="K13" s="4">
        <f t="shared" si="3"/>
        <v>1731182.3248703436</v>
      </c>
      <c r="L13" s="63" cm="1">
        <f t="array" ref="L13">+_xlfn.IFS(I13&gt;109%,H13*0.015,I13&gt;104%,H13*0.0125,I13&gt;99%,H13*0.01,I13&lt;99%,H13*0)</f>
        <v>0</v>
      </c>
      <c r="N13" s="28"/>
    </row>
    <row r="14" spans="1:14" ht="15.75" x14ac:dyDescent="0.25">
      <c r="A14" s="144"/>
      <c r="B14" s="36" t="s">
        <v>108</v>
      </c>
      <c r="C14" s="62">
        <v>42449057.394974999</v>
      </c>
      <c r="D14" s="4">
        <f>IFERROR(+VLOOKUP(B14,COMISIONES!A:E,5,FALSE),"0")*1</f>
        <v>4585846.3923633341</v>
      </c>
      <c r="E14" s="4">
        <v>3131426.4628949971</v>
      </c>
      <c r="F14" s="59">
        <f t="shared" si="6"/>
        <v>1454419.929468337</v>
      </c>
      <c r="G14" s="5">
        <f t="shared" si="1"/>
        <v>0.10803176027428571</v>
      </c>
      <c r="H14" s="4">
        <f t="shared" si="4"/>
        <v>29808001.550361671</v>
      </c>
      <c r="I14" s="5">
        <f t="shared" si="2"/>
        <v>0.70220644178285707</v>
      </c>
      <c r="J14" s="4">
        <f t="shared" si="5"/>
        <v>1146461.5980908335</v>
      </c>
      <c r="K14" s="4">
        <f t="shared" si="3"/>
        <v>1721055.0455732576</v>
      </c>
      <c r="L14" s="63" cm="1">
        <f t="array" ref="L14">+_xlfn.IFS(I14&gt;109%,H14*0.015,I14&gt;104%,H14*0.0125,I14&gt;99%,H14*0.01,I14&lt;99%,H14*0)</f>
        <v>0</v>
      </c>
    </row>
    <row r="15" spans="1:14" ht="16.5" thickBot="1" x14ac:dyDescent="0.3">
      <c r="A15" s="145"/>
      <c r="B15" s="3"/>
      <c r="C15" s="64">
        <v>341864881.75327951</v>
      </c>
      <c r="D15" s="64">
        <f>+SUM(D11:D14)</f>
        <v>36686582.609195679</v>
      </c>
      <c r="E15" s="65">
        <v>18661004.912501276</v>
      </c>
      <c r="F15" s="67">
        <f>+D15-E15</f>
        <v>18025577.696694404</v>
      </c>
      <c r="G15" s="66">
        <f t="shared" si="1"/>
        <v>0.10731310692413273</v>
      </c>
      <c r="H15" s="64">
        <f t="shared" si="4"/>
        <v>238462786.95977193</v>
      </c>
      <c r="I15" s="66">
        <f t="shared" si="2"/>
        <v>0.6975351950068629</v>
      </c>
      <c r="J15" s="64">
        <f t="shared" si="5"/>
        <v>9171645.6522989199</v>
      </c>
      <c r="K15" s="67">
        <f t="shared" si="3"/>
        <v>13871740.87018563</v>
      </c>
      <c r="L15" s="68"/>
    </row>
    <row r="16" spans="1:14" ht="16.5" thickBot="1" x14ac:dyDescent="0.3">
      <c r="A16" s="146" t="s">
        <v>209</v>
      </c>
      <c r="B16" s="69" t="s">
        <v>82</v>
      </c>
      <c r="C16" s="70">
        <v>28430000</v>
      </c>
      <c r="D16" s="59">
        <f>IFERROR(+VLOOKUP(B16,COMISIONES!A:E,5,FALSE),"0")*1</f>
        <v>2920236.8858872708</v>
      </c>
      <c r="E16" s="59">
        <v>2308713.5550126676</v>
      </c>
      <c r="F16" s="59">
        <f t="shared" ref="F16:F45" si="7">+D16-E16</f>
        <v>611523.33087460324</v>
      </c>
      <c r="G16" s="60">
        <f t="shared" si="1"/>
        <v>0.10271673886342844</v>
      </c>
      <c r="H16" s="59">
        <f t="shared" si="4"/>
        <v>18981539.758267261</v>
      </c>
      <c r="I16" s="60">
        <f t="shared" si="2"/>
        <v>0.66765880261228494</v>
      </c>
      <c r="J16" s="59">
        <f t="shared" si="5"/>
        <v>730059.2214718177</v>
      </c>
      <c r="K16" s="59">
        <f t="shared" si="3"/>
        <v>1159534.6870051241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7"/>
      <c r="B17" s="19" t="s">
        <v>83</v>
      </c>
      <c r="C17" s="71">
        <v>25000000</v>
      </c>
      <c r="D17" s="4">
        <f>IFERROR(+VLOOKUP(B17,COMISIONES!A:E,5,FALSE),"0")*1</f>
        <v>5986784.2517285747</v>
      </c>
      <c r="E17" s="4">
        <v>5154646.136248623</v>
      </c>
      <c r="F17" s="59">
        <f t="shared" si="7"/>
        <v>832138.11547995172</v>
      </c>
      <c r="G17" s="5">
        <f t="shared" si="1"/>
        <v>0.23947137006914299</v>
      </c>
      <c r="H17" s="4">
        <f t="shared" si="4"/>
        <v>38914097.636235736</v>
      </c>
      <c r="I17" s="5">
        <f t="shared" si="2"/>
        <v>1.5565639054494294</v>
      </c>
      <c r="J17" s="4">
        <f t="shared" si="5"/>
        <v>1496696.0629321437</v>
      </c>
      <c r="K17" s="4">
        <f t="shared" si="3"/>
        <v>864237.07946688298</v>
      </c>
      <c r="L17" s="63" cm="1">
        <f t="array" ref="L17">+_xlfn.IFS(I17&gt;114%,H17*0.02,I17&gt;109%,H17*0.015,I17&gt;104%,H17*0.0125,I17&gt;99%,H17*0.01,I17&lt;99%,H17*0)</f>
        <v>778281.95272471476</v>
      </c>
    </row>
    <row r="18" spans="1:13" ht="16.5" thickBot="1" x14ac:dyDescent="0.3">
      <c r="A18" s="147"/>
      <c r="B18" s="19" t="s">
        <v>93</v>
      </c>
      <c r="C18" s="71">
        <v>25500000</v>
      </c>
      <c r="D18" s="4">
        <f>IFERROR(+VLOOKUP(B18,COMISIONES!A:E,5,FALSE),"0")*1</f>
        <v>4221436.3064930774</v>
      </c>
      <c r="E18" s="4">
        <v>3308063.121490472</v>
      </c>
      <c r="F18" s="59">
        <f t="shared" si="7"/>
        <v>913373.18500260543</v>
      </c>
      <c r="G18" s="5">
        <f t="shared" si="1"/>
        <v>0.16554652182325794</v>
      </c>
      <c r="H18" s="4">
        <f t="shared" si="4"/>
        <v>27439335.992205001</v>
      </c>
      <c r="I18" s="5">
        <f t="shared" si="2"/>
        <v>1.0760523918511766</v>
      </c>
      <c r="J18" s="4">
        <f t="shared" si="5"/>
        <v>1055359.0766232694</v>
      </c>
      <c r="K18" s="4">
        <f t="shared" si="3"/>
        <v>967207.44061395107</v>
      </c>
      <c r="L18" s="63" cm="1">
        <f t="array" ref="L18">+_xlfn.IFS(I18&gt;114%,H18*0.02,I18&gt;109%,H18*0.015,I18&gt;104%,H18*0.0125,I18&gt;99%,H18*0.01,I18&lt;99%,H18*0)</f>
        <v>342991.69990256254</v>
      </c>
    </row>
    <row r="19" spans="1:13" ht="16.5" thickBot="1" x14ac:dyDescent="0.3">
      <c r="A19" s="147"/>
      <c r="B19" s="19" t="s">
        <v>96</v>
      </c>
      <c r="C19" s="71">
        <v>35200000</v>
      </c>
      <c r="D19" s="4">
        <f>IFERROR(+VLOOKUP(B19,COMISIONES!A:E,5,FALSE),"0")*1</f>
        <v>5139902.0994315064</v>
      </c>
      <c r="E19" s="4">
        <v>4203244.757280454</v>
      </c>
      <c r="F19" s="59">
        <f t="shared" si="7"/>
        <v>936657.34215105232</v>
      </c>
      <c r="G19" s="5">
        <f t="shared" si="1"/>
        <v>0.14601994600657689</v>
      </c>
      <c r="H19" s="4">
        <f t="shared" si="4"/>
        <v>33409363.64630479</v>
      </c>
      <c r="I19" s="5">
        <f t="shared" si="2"/>
        <v>0.94912964904274977</v>
      </c>
      <c r="J19" s="4">
        <f t="shared" si="5"/>
        <v>1284975.5248578766</v>
      </c>
      <c r="K19" s="4">
        <f t="shared" si="3"/>
        <v>1366368.0863894769</v>
      </c>
      <c r="L19" s="63" cm="1">
        <f t="array" ref="L19">+_xlfn.IFS(I19&gt;114%,H19*0.02,I19&gt;109%,H19*0.015,I19&gt;104%,H19*0.0125,I19&gt;99%,H19*0.01,I19&lt;99%,H19*0)</f>
        <v>0</v>
      </c>
    </row>
    <row r="20" spans="1:13" ht="16.5" thickBot="1" x14ac:dyDescent="0.3">
      <c r="A20" s="147"/>
      <c r="B20" s="19" t="s">
        <v>98</v>
      </c>
      <c r="C20" s="71">
        <v>26100000</v>
      </c>
      <c r="D20" s="4">
        <f>IFERROR(+VLOOKUP(B20,COMISIONES!A:E,5,FALSE),"0")*1</f>
        <v>3885483.7311973237</v>
      </c>
      <c r="E20" s="4">
        <v>3382093.5006013489</v>
      </c>
      <c r="F20" s="59">
        <f t="shared" si="7"/>
        <v>503390.23059597472</v>
      </c>
      <c r="G20" s="5">
        <f t="shared" si="1"/>
        <v>0.14886910847499324</v>
      </c>
      <c r="H20" s="4">
        <f t="shared" si="4"/>
        <v>25255644.252782606</v>
      </c>
      <c r="I20" s="5">
        <f t="shared" si="2"/>
        <v>0.96764920508745611</v>
      </c>
      <c r="J20" s="4">
        <f t="shared" si="5"/>
        <v>971370.93279933091</v>
      </c>
      <c r="K20" s="4">
        <f t="shared" si="3"/>
        <v>1009750.7394910307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7"/>
      <c r="B21" s="19" t="s">
        <v>220</v>
      </c>
      <c r="C21" s="71">
        <v>32600000</v>
      </c>
      <c r="D21" s="4">
        <f>IFERROR(+VLOOKUP(B21,COMISIONES!A:E,5,FALSE),"0")*1</f>
        <v>5479228.0487809759</v>
      </c>
      <c r="E21" s="4">
        <v>3736894.4349395661</v>
      </c>
      <c r="F21" s="59">
        <f t="shared" si="7"/>
        <v>1742333.6138414098</v>
      </c>
      <c r="G21" s="5">
        <f t="shared" si="1"/>
        <v>0.16807448002395631</v>
      </c>
      <c r="H21" s="4">
        <f t="shared" si="4"/>
        <v>35614982.31707634</v>
      </c>
      <c r="I21" s="5">
        <f t="shared" si="2"/>
        <v>1.0924841201557161</v>
      </c>
      <c r="J21" s="4">
        <f t="shared" si="5"/>
        <v>1369807.012195244</v>
      </c>
      <c r="K21" s="4">
        <f t="shared" si="3"/>
        <v>1232762.3614190465</v>
      </c>
      <c r="L21" s="63" cm="1">
        <f t="array" ref="L21">+_xlfn.IFS(I21&gt;114%,H21*0.02,I21&gt;109%,H21*0.015,I21&gt;104%,H21*0.0125,I21&gt;99%,H21*0.01,I21&lt;99%,H21*0)</f>
        <v>534224.73475614504</v>
      </c>
    </row>
    <row r="22" spans="1:13" ht="16.5" thickBot="1" x14ac:dyDescent="0.3">
      <c r="A22" s="147"/>
      <c r="B22" s="19" t="s">
        <v>161</v>
      </c>
      <c r="C22" s="71">
        <v>28200000</v>
      </c>
      <c r="D22" s="4">
        <f>IFERROR(+VLOOKUP(B22,COMISIONES!A:E,5,FALSE),"0")*1</f>
        <v>3927317.4981492609</v>
      </c>
      <c r="E22" s="4">
        <v>3225472.8406234691</v>
      </c>
      <c r="F22" s="59">
        <f t="shared" si="7"/>
        <v>701844.65752579179</v>
      </c>
      <c r="G22" s="5">
        <f t="shared" si="1"/>
        <v>0.13926657794855535</v>
      </c>
      <c r="H22" s="4">
        <f t="shared" si="4"/>
        <v>25527563.737970196</v>
      </c>
      <c r="I22" s="5">
        <f t="shared" si="2"/>
        <v>0.90523275666560976</v>
      </c>
      <c r="J22" s="4">
        <f t="shared" si="5"/>
        <v>981829.37453731522</v>
      </c>
      <c r="K22" s="4">
        <f t="shared" si="3"/>
        <v>1103303.7500841245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7"/>
      <c r="B23" s="19" t="s">
        <v>221</v>
      </c>
      <c r="C23" s="71">
        <v>36600000</v>
      </c>
      <c r="D23" s="4">
        <f>IFERROR(+VLOOKUP(B23,COMISIONES!A:E,5,FALSE),"0")*1</f>
        <v>9103735.864330126</v>
      </c>
      <c r="E23" s="4">
        <v>6887142.2724727951</v>
      </c>
      <c r="F23" s="59">
        <f t="shared" si="7"/>
        <v>2216593.5918573309</v>
      </c>
      <c r="G23" s="5">
        <f t="shared" si="1"/>
        <v>0.24873595257732584</v>
      </c>
      <c r="H23" s="4">
        <f t="shared" si="4"/>
        <v>59174283.118145816</v>
      </c>
      <c r="I23" s="5">
        <f t="shared" si="2"/>
        <v>1.6167836917526179</v>
      </c>
      <c r="J23" s="4">
        <f t="shared" si="5"/>
        <v>2275933.9660825315</v>
      </c>
      <c r="K23" s="4">
        <f t="shared" si="3"/>
        <v>1249830.1879849941</v>
      </c>
      <c r="L23" s="63" cm="1">
        <f t="array" ref="L23">+_xlfn.IFS(I23&gt;114%,H23*0.02,I23&gt;109%,H23*0.015,I23&gt;104%,H23*0.0125,I23&gt;99%,H23*0.01,I23&lt;99%,H23*0)</f>
        <v>1183485.6623629164</v>
      </c>
    </row>
    <row r="24" spans="1:13" ht="16.5" thickBot="1" x14ac:dyDescent="0.3">
      <c r="A24" s="148"/>
      <c r="B24" s="72"/>
      <c r="C24" s="67">
        <v>237630000</v>
      </c>
      <c r="D24" s="67">
        <f>+SUM(D16:D23)</f>
        <v>40664124.685998119</v>
      </c>
      <c r="E24" s="65">
        <v>32206270.618669394</v>
      </c>
      <c r="F24" s="67">
        <f>+D24-E24</f>
        <v>8457854.067328725</v>
      </c>
      <c r="G24" s="66">
        <f t="shared" si="1"/>
        <v>0.17112369938979977</v>
      </c>
      <c r="H24" s="64">
        <f t="shared" si="4"/>
        <v>264316810.45898777</v>
      </c>
      <c r="I24" s="66">
        <f t="shared" si="2"/>
        <v>1.1123040460336986</v>
      </c>
      <c r="J24" s="64">
        <f t="shared" si="5"/>
        <v>10166031.17149953</v>
      </c>
      <c r="K24" s="67">
        <f t="shared" si="3"/>
        <v>8952994.3324546311</v>
      </c>
      <c r="L24" s="68"/>
    </row>
    <row r="25" spans="1:13" ht="16.5" thickBot="1" x14ac:dyDescent="0.3">
      <c r="A25" s="143" t="s">
        <v>217</v>
      </c>
      <c r="B25" s="57" t="s">
        <v>212</v>
      </c>
      <c r="C25" s="73">
        <v>84027142.5</v>
      </c>
      <c r="D25" s="59">
        <f>IFERROR(+VLOOKUP(B25,COMISIONES!A:E,5,FALSE),"0")*1</f>
        <v>9931381.6972460449</v>
      </c>
      <c r="E25" s="59">
        <v>7157541.3623291897</v>
      </c>
      <c r="F25" s="59">
        <f t="shared" si="7"/>
        <v>2773840.3349168552</v>
      </c>
      <c r="G25" s="60">
        <f t="shared" si="1"/>
        <v>0.11819254352539769</v>
      </c>
      <c r="H25" s="59">
        <f t="shared" si="4"/>
        <v>64553981.032099292</v>
      </c>
      <c r="I25" s="60">
        <f t="shared" si="2"/>
        <v>0.76825153291508508</v>
      </c>
      <c r="J25" s="59">
        <f t="shared" si="5"/>
        <v>2482845.4243115112</v>
      </c>
      <c r="K25" s="59">
        <f t="shared" si="3"/>
        <v>3367989.127397907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4"/>
      <c r="B26" s="36" t="s">
        <v>214</v>
      </c>
      <c r="C26" s="74">
        <v>21524999.999999996</v>
      </c>
      <c r="D26" s="4">
        <f>IFERROR(+VLOOKUP(B26,COMISIONES!A:E,5,FALSE),"0")*1</f>
        <v>2150502.4388391394</v>
      </c>
      <c r="E26" s="4">
        <v>1703540.5340808574</v>
      </c>
      <c r="F26" s="59">
        <f t="shared" si="7"/>
        <v>446961.90475828201</v>
      </c>
      <c r="G26" s="5">
        <f t="shared" si="1"/>
        <v>9.9907198087764909E-2</v>
      </c>
      <c r="H26" s="4">
        <f t="shared" si="4"/>
        <v>13978265.852454405</v>
      </c>
      <c r="I26" s="5">
        <f t="shared" si="2"/>
        <v>0.64939678757047192</v>
      </c>
      <c r="J26" s="4">
        <f t="shared" si="5"/>
        <v>537625.60970978485</v>
      </c>
      <c r="K26" s="4">
        <f t="shared" si="3"/>
        <v>880658.98005276616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4"/>
      <c r="B27" s="36" t="s">
        <v>87</v>
      </c>
      <c r="C27" s="74">
        <v>26383192.499999996</v>
      </c>
      <c r="D27" s="4">
        <f>IFERROR(+VLOOKUP(B27,COMISIONES!A:E,5,FALSE),"0")*1</f>
        <v>5129617.2937710555</v>
      </c>
      <c r="E27" s="4">
        <v>2680167.0828747172</v>
      </c>
      <c r="F27" s="59">
        <f t="shared" si="7"/>
        <v>2449450.2108963383</v>
      </c>
      <c r="G27" s="5">
        <f t="shared" si="1"/>
        <v>0.19442746717521225</v>
      </c>
      <c r="H27" s="4">
        <f t="shared" si="4"/>
        <v>33342512.40951186</v>
      </c>
      <c r="I27" s="5">
        <f t="shared" si="2"/>
        <v>1.2637785366388796</v>
      </c>
      <c r="J27" s="4">
        <f t="shared" si="5"/>
        <v>1282404.3234427639</v>
      </c>
      <c r="K27" s="4">
        <f t="shared" si="3"/>
        <v>966071.60028313368</v>
      </c>
      <c r="L27" s="63" cm="1">
        <f t="array" ref="L27">+_xlfn.IFS(I27&gt;114%,H27*0.02,I27&gt;109%,H27*0.015,I27&gt;104%,H27*0.0125,I27&gt;99%,H27*0.01,I27&lt;99%,H27*0)</f>
        <v>666850.24819023721</v>
      </c>
      <c r="M27" s="27"/>
    </row>
    <row r="28" spans="1:13" ht="16.5" thickBot="1" x14ac:dyDescent="0.3">
      <c r="A28" s="144"/>
      <c r="B28" s="36" t="s">
        <v>213</v>
      </c>
      <c r="C28" s="74">
        <v>39189035.239928812</v>
      </c>
      <c r="D28" s="4">
        <f>IFERROR(+VLOOKUP(B28,COMISIONES!A:E,5,FALSE),"0")*1</f>
        <v>2994261.5667885081</v>
      </c>
      <c r="E28" s="4">
        <v>2851762.6413119566</v>
      </c>
      <c r="F28" s="59">
        <f t="shared" si="7"/>
        <v>142498.92547655152</v>
      </c>
      <c r="G28" s="5">
        <f t="shared" si="1"/>
        <v>7.6405595301252113E-2</v>
      </c>
      <c r="H28" s="4">
        <f t="shared" si="4"/>
        <v>19462700.184125304</v>
      </c>
      <c r="I28" s="5">
        <f t="shared" si="2"/>
        <v>0.49663636945813872</v>
      </c>
      <c r="J28" s="4">
        <f t="shared" si="5"/>
        <v>748565.39169712702</v>
      </c>
      <c r="K28" s="4">
        <f t="shared" si="3"/>
        <v>1645216.9851427411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4"/>
      <c r="B29" s="36" t="s">
        <v>99</v>
      </c>
      <c r="C29" s="74">
        <v>26050631.249999996</v>
      </c>
      <c r="D29" s="4">
        <f>IFERROR(+VLOOKUP(B29,COMISIONES!A:E,5,FALSE),"0")*1</f>
        <v>4483118.8967957702</v>
      </c>
      <c r="E29" s="4">
        <v>2786133.8338015773</v>
      </c>
      <c r="F29" s="59">
        <f t="shared" si="7"/>
        <v>1696985.0629941928</v>
      </c>
      <c r="G29" s="5">
        <f t="shared" si="1"/>
        <v>0.17209252450632154</v>
      </c>
      <c r="H29" s="4">
        <f t="shared" si="4"/>
        <v>29140272.829172507</v>
      </c>
      <c r="I29" s="5">
        <f t="shared" si="2"/>
        <v>1.1186014092910901</v>
      </c>
      <c r="J29" s="4">
        <f t="shared" si="5"/>
        <v>1120779.7241989425</v>
      </c>
      <c r="K29" s="4">
        <f t="shared" si="3"/>
        <v>980341.4706001922</v>
      </c>
      <c r="L29" s="63" cm="1">
        <f t="array" ref="L29">+_xlfn.IFS(I29&gt;114%,H29*0.02,I29&gt;109%,H29*0.015,I29&gt;104%,H29*0.0125,I29&gt;99%,H29*0.01,I29&lt;99%,H29*0)</f>
        <v>437104.09243758756</v>
      </c>
      <c r="M29" s="27"/>
    </row>
    <row r="30" spans="1:13" ht="16.5" thickBot="1" x14ac:dyDescent="0.3">
      <c r="A30" s="144"/>
      <c r="B30" s="36" t="s">
        <v>211</v>
      </c>
      <c r="C30" s="74">
        <v>25829999.999999996</v>
      </c>
      <c r="D30" s="4">
        <f>IFERROR(+VLOOKUP(B30,COMISIONES!A:E,5,FALSE),"0")*1</f>
        <v>2246569.8650664892</v>
      </c>
      <c r="E30" s="4">
        <v>1655239.2777588351</v>
      </c>
      <c r="F30" s="59">
        <f t="shared" si="7"/>
        <v>591330.58730765409</v>
      </c>
      <c r="G30" s="5">
        <f t="shared" si="1"/>
        <v>8.6975217385462239E-2</v>
      </c>
      <c r="H30" s="4">
        <f t="shared" si="4"/>
        <v>14602704.122932181</v>
      </c>
      <c r="I30" s="5">
        <f t="shared" si="2"/>
        <v>0.56533891300550454</v>
      </c>
      <c r="J30" s="4">
        <f t="shared" si="5"/>
        <v>561642.4662666223</v>
      </c>
      <c r="K30" s="4">
        <f t="shared" si="3"/>
        <v>1071974.0970424323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4"/>
      <c r="B31" s="36" t="s">
        <v>100</v>
      </c>
      <c r="C31" s="74">
        <v>27159168.749999996</v>
      </c>
      <c r="D31" s="4">
        <f>IFERROR(+VLOOKUP(B31,COMISIONES!A:E,5,FALSE),"0")*1</f>
        <v>4713407.7473689262</v>
      </c>
      <c r="E31" s="4">
        <v>4288307.2246991778</v>
      </c>
      <c r="F31" s="59">
        <f t="shared" si="7"/>
        <v>425100.5226697484</v>
      </c>
      <c r="G31" s="5">
        <f t="shared" si="1"/>
        <v>0.17354757027933437</v>
      </c>
      <c r="H31" s="4">
        <f t="shared" si="4"/>
        <v>30637150.357898019</v>
      </c>
      <c r="I31" s="5">
        <f t="shared" si="2"/>
        <v>1.1280592068156734</v>
      </c>
      <c r="J31" s="4">
        <f t="shared" si="5"/>
        <v>1178351.9368422315</v>
      </c>
      <c r="K31" s="4">
        <f t="shared" si="3"/>
        <v>1020261.8637559577</v>
      </c>
      <c r="L31" s="63" cm="1">
        <f t="array" ref="L31">+_xlfn.IFS(I31&gt;114%,H31*0.02,I31&gt;109%,H31*0.015,I31&gt;104%,H31*0.0125,I31&gt;99%,H31*0.01,I31&lt;99%,H31*0)</f>
        <v>459557.25536847027</v>
      </c>
    </row>
    <row r="32" spans="1:13" ht="16.5" thickBot="1" x14ac:dyDescent="0.3">
      <c r="A32" s="144"/>
      <c r="B32" s="36" t="s">
        <v>139</v>
      </c>
      <c r="C32" s="74">
        <v>21524999.999999996</v>
      </c>
      <c r="D32" s="4">
        <f>IFERROR(+VLOOKUP(B32,COMISIONES!A:E,5,FALSE),"0")*1</f>
        <v>2100384.084211817</v>
      </c>
      <c r="E32" s="4">
        <v>1829257.3533400781</v>
      </c>
      <c r="F32" s="59">
        <f t="shared" si="7"/>
        <v>271126.73087173887</v>
      </c>
      <c r="G32" s="5">
        <f t="shared" si="1"/>
        <v>9.757881924329001E-2</v>
      </c>
      <c r="H32" s="4">
        <f t="shared" si="4"/>
        <v>13652496.547376812</v>
      </c>
      <c r="I32" s="5">
        <f t="shared" si="2"/>
        <v>0.63426232508138503</v>
      </c>
      <c r="J32" s="4">
        <f t="shared" si="5"/>
        <v>525096.02105295425</v>
      </c>
      <c r="K32" s="4">
        <f t="shared" si="3"/>
        <v>882937.087081281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4"/>
      <c r="B33" s="19" t="s">
        <v>104</v>
      </c>
      <c r="C33" s="74">
        <v>25274654.999999996</v>
      </c>
      <c r="D33" s="4">
        <f>IFERROR(+VLOOKUP(B33,COMISIONES!A:E,5,FALSE),"0")*1</f>
        <v>739093.04275509052</v>
      </c>
      <c r="E33" s="4">
        <v>698106.25530509045</v>
      </c>
      <c r="F33" s="59">
        <f t="shared" si="7"/>
        <v>40986.787450000062</v>
      </c>
      <c r="G33" s="5">
        <f t="shared" si="1"/>
        <v>2.9242458215753712E-2</v>
      </c>
      <c r="H33" s="4">
        <f t="shared" si="4"/>
        <v>4804104.7779080886</v>
      </c>
      <c r="I33" s="5">
        <f t="shared" si="2"/>
        <v>0.19007597840239915</v>
      </c>
      <c r="J33" s="4">
        <f t="shared" si="5"/>
        <v>184773.26068877263</v>
      </c>
      <c r="K33" s="4">
        <f t="shared" si="3"/>
        <v>1115252.816238405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4"/>
      <c r="B34" s="36" t="s">
        <v>205</v>
      </c>
      <c r="C34" s="74">
        <v>25865874.999999996</v>
      </c>
      <c r="D34" s="4">
        <f>IFERROR(+VLOOKUP(B34,COMISIONES!A:E,5,FALSE),"0")*1</f>
        <v>2320452.314767275</v>
      </c>
      <c r="E34" s="4">
        <v>2320452.314767275</v>
      </c>
      <c r="F34" s="59">
        <f t="shared" si="7"/>
        <v>0</v>
      </c>
      <c r="G34" s="5">
        <f t="shared" si="1"/>
        <v>8.9710953708980481E-2</v>
      </c>
      <c r="H34" s="4">
        <f t="shared" si="4"/>
        <v>15082940.045987288</v>
      </c>
      <c r="I34" s="5">
        <f t="shared" si="2"/>
        <v>0.58312119910837312</v>
      </c>
      <c r="J34" s="4">
        <f t="shared" si="5"/>
        <v>580113.07869181875</v>
      </c>
      <c r="K34" s="4">
        <f t="shared" si="3"/>
        <v>1070246.4856923965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4"/>
      <c r="B35" s="36" t="s">
        <v>111</v>
      </c>
      <c r="C35" s="74">
        <v>125062043.74999999</v>
      </c>
      <c r="D35" s="4">
        <f>IFERROR(+VLOOKUP(B35,COMISIONES!A:E,5,FALSE),"0")*1</f>
        <v>10274187.73955</v>
      </c>
      <c r="E35" s="4">
        <v>10477994.041549999</v>
      </c>
      <c r="F35" s="59">
        <f t="shared" si="7"/>
        <v>-203806.30199999921</v>
      </c>
      <c r="G35" s="5">
        <f t="shared" si="1"/>
        <v>8.2152725411142186E-2</v>
      </c>
      <c r="H35" s="4">
        <f t="shared" si="4"/>
        <v>66782220.307075001</v>
      </c>
      <c r="I35" s="5">
        <f t="shared" si="2"/>
        <v>0.53399271517242419</v>
      </c>
      <c r="J35" s="4">
        <f t="shared" si="5"/>
        <v>2568546.9348875</v>
      </c>
      <c r="K35" s="4">
        <f t="shared" si="3"/>
        <v>5217629.818656818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4"/>
      <c r="B36" s="36" t="s">
        <v>215</v>
      </c>
      <c r="C36" s="74">
        <v>36592500</v>
      </c>
      <c r="D36" s="4">
        <f>IFERROR(+VLOOKUP(B36,COMISIONES!A:E,5,FALSE),"0")*1</f>
        <v>1454259.523</v>
      </c>
      <c r="E36" s="4">
        <v>1454259.523</v>
      </c>
      <c r="F36" s="59">
        <f t="shared" si="7"/>
        <v>0</v>
      </c>
      <c r="G36" s="5">
        <f t="shared" si="1"/>
        <v>3.9742010603265696E-2</v>
      </c>
      <c r="H36" s="4">
        <f t="shared" si="4"/>
        <v>9452686.8995000012</v>
      </c>
      <c r="I36" s="5">
        <f t="shared" si="2"/>
        <v>0.25832306892122708</v>
      </c>
      <c r="J36" s="4">
        <f t="shared" si="5"/>
        <v>363564.88075000001</v>
      </c>
      <c r="K36" s="4">
        <f t="shared" si="3"/>
        <v>1597192.7489545455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4"/>
      <c r="B37" s="36" t="s">
        <v>81</v>
      </c>
      <c r="C37" s="74">
        <v>37270463.432474993</v>
      </c>
      <c r="D37" s="4">
        <f>IFERROR(+VLOOKUP(B37,COMISIONES!A:E,5,FALSE),"0")*1</f>
        <v>4288327.5897152461</v>
      </c>
      <c r="E37" s="4">
        <v>3728844.3234139597</v>
      </c>
      <c r="F37" s="59">
        <f t="shared" si="7"/>
        <v>559483.26630128641</v>
      </c>
      <c r="G37" s="5">
        <f t="shared" si="1"/>
        <v>0.11505967983158169</v>
      </c>
      <c r="H37" s="4">
        <f t="shared" si="4"/>
        <v>27874129.333149098</v>
      </c>
      <c r="I37" s="5">
        <f t="shared" si="2"/>
        <v>0.74788791890528095</v>
      </c>
      <c r="J37" s="4">
        <f t="shared" si="5"/>
        <v>1072081.8974288115</v>
      </c>
      <c r="K37" s="4">
        <f t="shared" si="3"/>
        <v>1499187.9928527158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5"/>
      <c r="B38" s="3"/>
      <c r="C38" s="75">
        <v>521754707.42240375</v>
      </c>
      <c r="D38" s="67">
        <f>+SUM(D25:D37)</f>
        <v>52825563.799875379</v>
      </c>
      <c r="E38" s="65">
        <v>43631605.768232718</v>
      </c>
      <c r="F38" s="67">
        <f>+D38-E38</f>
        <v>9193958.0316426605</v>
      </c>
      <c r="G38" s="66">
        <f t="shared" si="1"/>
        <v>0.10124597449411932</v>
      </c>
      <c r="H38" s="64">
        <f t="shared" si="4"/>
        <v>343366164.69918996</v>
      </c>
      <c r="I38" s="66">
        <f t="shared" si="2"/>
        <v>0.65809883421177562</v>
      </c>
      <c r="J38" s="64">
        <f t="shared" si="5"/>
        <v>13206390.949968845</v>
      </c>
      <c r="K38" s="67">
        <f t="shared" si="3"/>
        <v>21314961.073751289</v>
      </c>
      <c r="L38" s="68"/>
    </row>
    <row r="39" spans="1:12" ht="16.5" thickBot="1" x14ac:dyDescent="0.3">
      <c r="A39" s="143" t="s">
        <v>274</v>
      </c>
      <c r="B39" s="138" t="s">
        <v>145</v>
      </c>
      <c r="C39" s="4">
        <v>35000000</v>
      </c>
      <c r="D39" s="4">
        <f>IFERROR(+VLOOKUP(B39,COMISIONES!A:E,5,FALSE),"0")*1</f>
        <v>9045207.269516224</v>
      </c>
      <c r="E39" s="4">
        <v>7353004.0640544305</v>
      </c>
      <c r="F39" s="59">
        <f t="shared" si="7"/>
        <v>1692203.2054617936</v>
      </c>
      <c r="G39" s="5">
        <f t="shared" si="1"/>
        <v>0.25843449341474928</v>
      </c>
      <c r="H39" s="4">
        <f t="shared" ref="H39:H46" si="8">+D39/$N$3*$N$4</f>
        <v>58793847.251855455</v>
      </c>
      <c r="I39" s="5">
        <f t="shared" ref="I39:I46" si="9">+H39/C39</f>
        <v>1.6798242071958702</v>
      </c>
      <c r="J39" s="4">
        <f t="shared" ref="J39:J46" si="10">+D39/$N$3</f>
        <v>2261301.817379056</v>
      </c>
      <c r="K39" s="4">
        <f t="shared" ref="K39:K46" si="11">+(C39-D39)/$N$2</f>
        <v>1179763.3059310808</v>
      </c>
      <c r="L39" s="63" cm="1">
        <f t="array" ref="L39">+_xlfn.IFS(I39&gt;114%,H39*0.02,I39&gt;109%,H39*0.015,I39&gt;104%,H39*0.0125,I39&gt;99%,H39*0.01,I39&lt;99%,H39*0)</f>
        <v>1175876.9450371091</v>
      </c>
    </row>
    <row r="40" spans="1:12" ht="16.5" thickBot="1" x14ac:dyDescent="0.3">
      <c r="A40" s="144"/>
      <c r="B40" s="138" t="s">
        <v>146</v>
      </c>
      <c r="C40" s="4">
        <v>30000000</v>
      </c>
      <c r="D40" s="4">
        <f>IFERROR(+VLOOKUP(B40,COMISIONES!A:E,5,FALSE),"0")*1</f>
        <v>3169217.5275494526</v>
      </c>
      <c r="E40" s="4">
        <v>2171001.3089709845</v>
      </c>
      <c r="F40" s="59">
        <f t="shared" si="7"/>
        <v>998216.21857846808</v>
      </c>
      <c r="G40" s="5">
        <f t="shared" si="1"/>
        <v>0.10564058425164842</v>
      </c>
      <c r="H40" s="4">
        <f t="shared" si="8"/>
        <v>20599913.929071441</v>
      </c>
      <c r="I40" s="5">
        <f t="shared" si="9"/>
        <v>0.68666379763571472</v>
      </c>
      <c r="J40" s="4">
        <f t="shared" si="10"/>
        <v>792304.38188736315</v>
      </c>
      <c r="K40" s="4">
        <f t="shared" si="11"/>
        <v>1219581.0214750248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4"/>
      <c r="B41" s="138" t="s">
        <v>107</v>
      </c>
      <c r="C41" s="4">
        <v>32421674.968781177</v>
      </c>
      <c r="D41" s="4">
        <f>IFERROR(+VLOOKUP(B41,COMISIONES!A:E,5,FALSE),"0")*1</f>
        <v>-140371.8553</v>
      </c>
      <c r="E41" s="4">
        <v>-140371.8553</v>
      </c>
      <c r="F41" s="59">
        <f t="shared" si="7"/>
        <v>0</v>
      </c>
      <c r="G41" s="5">
        <f t="shared" si="1"/>
        <v>-4.3295682729274174E-3</v>
      </c>
      <c r="H41" s="4">
        <f t="shared" si="8"/>
        <v>-912417.05944999994</v>
      </c>
      <c r="I41" s="5">
        <f t="shared" si="9"/>
        <v>-2.8142193774028212E-2</v>
      </c>
      <c r="J41" s="4">
        <f t="shared" si="10"/>
        <v>-35092.963824999999</v>
      </c>
      <c r="K41" s="4">
        <f t="shared" si="11"/>
        <v>1480093.0374582354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4"/>
      <c r="B42" s="139" t="s">
        <v>140</v>
      </c>
      <c r="C42" s="4">
        <v>55416576.686625004</v>
      </c>
      <c r="D42" s="4">
        <f>IFERROR(+VLOOKUP(B42,COMISIONES!A:E,5,FALSE),"0")*1</f>
        <v>10047912.842928981</v>
      </c>
      <c r="E42" s="4">
        <v>8973346.7586207036</v>
      </c>
      <c r="F42" s="59">
        <f t="shared" si="7"/>
        <v>1074566.0843082778</v>
      </c>
      <c r="G42" s="5">
        <f t="shared" si="1"/>
        <v>0.18131601487671978</v>
      </c>
      <c r="H42" s="4">
        <f t="shared" si="8"/>
        <v>65311433.47903838</v>
      </c>
      <c r="I42" s="5">
        <f t="shared" si="9"/>
        <v>1.1785540966986785</v>
      </c>
      <c r="J42" s="4">
        <f t="shared" si="10"/>
        <v>2511978.2107322454</v>
      </c>
      <c r="K42" s="4">
        <f t="shared" si="11"/>
        <v>2062211.9928952737</v>
      </c>
      <c r="L42" s="63" cm="1">
        <f t="array" ref="L42">+_xlfn.IFS(I42&gt;114%,H42*0.02,I42&gt;109%,H42*0.015,I42&gt;104%,H42*0.0125,I42&gt;99%,H42*0.01,I42&lt;99%,H42*0)</f>
        <v>1306228.6695807676</v>
      </c>
    </row>
    <row r="43" spans="1:12" ht="16.5" thickBot="1" x14ac:dyDescent="0.3">
      <c r="A43" s="144"/>
      <c r="B43" s="140" t="s">
        <v>275</v>
      </c>
      <c r="C43" s="4">
        <v>100000000</v>
      </c>
      <c r="D43" s="4">
        <f>IFERROR(+VLOOKUP(B43,COMISIONES!A:E,5,FALSE),"0")*1</f>
        <v>-170283.8252251072</v>
      </c>
      <c r="E43" s="4">
        <v>-170283.8252251072</v>
      </c>
      <c r="F43" s="59">
        <f t="shared" si="7"/>
        <v>0</v>
      </c>
      <c r="G43" s="5">
        <f t="shared" si="1"/>
        <v>-1.7028382522510719E-3</v>
      </c>
      <c r="H43" s="4">
        <f t="shared" si="8"/>
        <v>-1106844.8639631968</v>
      </c>
      <c r="I43" s="5">
        <f t="shared" si="9"/>
        <v>-1.1068448639631967E-2</v>
      </c>
      <c r="J43" s="4">
        <f t="shared" si="10"/>
        <v>-42570.956306276799</v>
      </c>
      <c r="K43" s="4">
        <f t="shared" si="11"/>
        <v>4553194.7193284137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4"/>
      <c r="B44" s="140" t="s">
        <v>276</v>
      </c>
      <c r="C44" s="4">
        <v>100000000</v>
      </c>
      <c r="D44" s="4">
        <f>IFERROR(+VLOOKUP(B44,COMISIONES!A:E,5,FALSE),"0")*1</f>
        <v>26898917.224855043</v>
      </c>
      <c r="E44" s="4">
        <v>26950195.736855041</v>
      </c>
      <c r="F44" s="59">
        <f t="shared" si="7"/>
        <v>-51278.511999998242</v>
      </c>
      <c r="G44" s="5">
        <f t="shared" si="1"/>
        <v>0.26898917224855046</v>
      </c>
      <c r="H44" s="4">
        <f t="shared" si="8"/>
        <v>174842961.96155778</v>
      </c>
      <c r="I44" s="5">
        <f t="shared" si="9"/>
        <v>1.7484296196155777</v>
      </c>
      <c r="J44" s="4">
        <f t="shared" si="10"/>
        <v>6724729.3062137607</v>
      </c>
      <c r="K44" s="4">
        <f t="shared" si="11"/>
        <v>3322776.4897793164</v>
      </c>
      <c r="L44" s="63" cm="1">
        <f t="array" ref="L44">+_xlfn.IFS(I44&gt;114%,H44*0.02,I44&gt;109%,H44*0.015,I44&gt;104%,H44*0.0125,I44&gt;99%,H44*0.01,I44&lt;99%,H44*0)</f>
        <v>3496859.2392311557</v>
      </c>
    </row>
    <row r="45" spans="1:12" ht="15.75" x14ac:dyDescent="0.25">
      <c r="A45" s="144"/>
      <c r="B45" s="140" t="s">
        <v>277</v>
      </c>
      <c r="C45" s="4">
        <v>100000000</v>
      </c>
      <c r="D45" s="4">
        <f>IFERROR(+VLOOKUP(B45,COMISIONES!A:E,5,FALSE),"0")*1</f>
        <v>10465826.931419414</v>
      </c>
      <c r="E45" s="4">
        <v>0</v>
      </c>
      <c r="F45" s="59">
        <f t="shared" si="7"/>
        <v>10465826.931419414</v>
      </c>
      <c r="G45" s="5">
        <f t="shared" si="1"/>
        <v>0.10465826931419414</v>
      </c>
      <c r="H45" s="4">
        <f t="shared" si="8"/>
        <v>68027875.05422619</v>
      </c>
      <c r="I45" s="5">
        <f t="shared" si="9"/>
        <v>0.68027875054226195</v>
      </c>
      <c r="J45" s="4">
        <f t="shared" si="10"/>
        <v>2616456.7328548534</v>
      </c>
      <c r="K45" s="4">
        <f t="shared" si="11"/>
        <v>4069735.1394809354</v>
      </c>
      <c r="L45" s="63" cm="1">
        <f t="array" ref="L45">+_xlfn.IFS(I45&gt;114%,H45*0.02,I45&gt;109%,H45*0.015,I45&gt;104%,H45*0.0125,I45&gt;99%,H45*0.01,I45&lt;99%,H45*0)</f>
        <v>0</v>
      </c>
    </row>
    <row r="46" spans="1:12" ht="16.5" thickBot="1" x14ac:dyDescent="0.3">
      <c r="A46" s="145"/>
      <c r="B46" s="137"/>
      <c r="C46" s="67">
        <v>455695855.27356702</v>
      </c>
      <c r="D46" s="67">
        <f>SUM(D39:D45)</f>
        <v>59316426.11574401</v>
      </c>
      <c r="E46" s="67">
        <v>45136892.187976047</v>
      </c>
      <c r="F46" s="67">
        <f>+SUM(F39:F45)</f>
        <v>14179533.927767955</v>
      </c>
      <c r="G46" s="66">
        <f t="shared" si="1"/>
        <v>0.1301667009460393</v>
      </c>
      <c r="H46" s="64">
        <f t="shared" si="8"/>
        <v>385556769.75233608</v>
      </c>
      <c r="I46" s="66">
        <f t="shared" si="9"/>
        <v>0.84608355614925557</v>
      </c>
      <c r="J46" s="64">
        <f t="shared" si="10"/>
        <v>14829106.528936002</v>
      </c>
      <c r="K46" s="67">
        <f t="shared" si="11"/>
        <v>18017246.779901046</v>
      </c>
      <c r="L46" s="68"/>
    </row>
    <row r="47" spans="1:12" ht="16.5" thickBot="1" x14ac:dyDescent="0.3">
      <c r="A47" s="76" t="s">
        <v>42</v>
      </c>
      <c r="B47" s="77"/>
      <c r="C47" s="78">
        <v>1379767147.0931361</v>
      </c>
      <c r="D47" s="78">
        <f>+D38+D24+D10+D15+D46</f>
        <v>236602617.38851017</v>
      </c>
      <c r="E47" s="79">
        <v>177129835.37231949</v>
      </c>
      <c r="F47" s="78">
        <f>+D47-E47</f>
        <v>59472782.016190678</v>
      </c>
      <c r="G47" s="80">
        <f>+D47/C47</f>
        <v>0.17148010654332471</v>
      </c>
      <c r="H47" s="78">
        <f>+D47/$N$3*$N$4</f>
        <v>1537917013.025316</v>
      </c>
      <c r="I47" s="142">
        <f t="shared" si="2"/>
        <v>1.1146206925316107</v>
      </c>
      <c r="J47" s="78">
        <f>+D47/$N$3</f>
        <v>59150654.347127542</v>
      </c>
      <c r="K47" s="78">
        <f>+(C47-D47)/$N$2</f>
        <v>51962024.077482991</v>
      </c>
      <c r="L47" s="81"/>
    </row>
  </sheetData>
  <mergeCells count="5">
    <mergeCell ref="A2:A10"/>
    <mergeCell ref="A11:A15"/>
    <mergeCell ref="A16:A24"/>
    <mergeCell ref="A25:A38"/>
    <mergeCell ref="A39:A46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8"/>
  <sheetViews>
    <sheetView topLeftCell="A18" workbookViewId="0">
      <selection activeCell="C46" sqref="C46"/>
    </sheetView>
  </sheetViews>
  <sheetFormatPr baseColWidth="10" defaultRowHeight="15" x14ac:dyDescent="0.25"/>
  <cols>
    <col min="1" max="1" width="23.5703125" bestFit="1" customWidth="1"/>
    <col min="2" max="2" width="3" hidden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206</v>
      </c>
      <c r="C1" s="83" t="s">
        <v>76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115</v>
      </c>
      <c r="R1" s="40" t="s">
        <v>114</v>
      </c>
    </row>
    <row r="2" spans="1:21" ht="15.75" thickBot="1" x14ac:dyDescent="0.3">
      <c r="A2" s="149" t="s">
        <v>37</v>
      </c>
      <c r="B2">
        <v>22</v>
      </c>
      <c r="C2" s="12" t="str">
        <f>+AVANCE!B11</f>
        <v>22 - ALMIRON NICOLAS</v>
      </c>
      <c r="D2" s="22">
        <f>H2/G2</f>
        <v>0.36</v>
      </c>
      <c r="E2" s="13">
        <v>33</v>
      </c>
      <c r="F2" s="12">
        <f>+H2-E2</f>
        <v>-6</v>
      </c>
      <c r="G2" s="13">
        <f>VLOOKUP(B2,'Base Cobertura'!$A:$C,3,FALSE)</f>
        <v>75</v>
      </c>
      <c r="H2" s="13">
        <f>VLOOKUP(B2,'Base Cobertura'!$A:$C,2,FALSE)</f>
        <v>27</v>
      </c>
      <c r="I2" s="17">
        <f>(+G2*$M$2)-H2</f>
        <v>36.75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116</v>
      </c>
    </row>
    <row r="3" spans="1:21" x14ac:dyDescent="0.25">
      <c r="A3" s="149"/>
      <c r="B3">
        <v>49</v>
      </c>
      <c r="C3" s="13" t="e">
        <f>+AVANCE!#REF!</f>
        <v>#REF!</v>
      </c>
      <c r="D3" s="22">
        <f t="shared" ref="D3:D38" si="0">H3/G3</f>
        <v>0</v>
      </c>
      <c r="E3" s="13">
        <v>1</v>
      </c>
      <c r="F3" s="12">
        <f t="shared" ref="F3:F38" si="1">+H3-E3</f>
        <v>-1</v>
      </c>
      <c r="G3" s="13">
        <f>VLOOKUP(B3,'Base Cobertura'!$A:$C,3,FALSE)</f>
        <v>244</v>
      </c>
      <c r="H3" s="13">
        <f>VLOOKUP(B3,'Base Cobertura'!$A:$C,2,FALSE)</f>
        <v>0</v>
      </c>
      <c r="I3" s="17">
        <f t="shared" ref="I3:I38" si="2">(+G3*$M$2)-H3</f>
        <v>207.4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23</v>
      </c>
      <c r="T3" s="12">
        <v>172</v>
      </c>
      <c r="U3" s="41">
        <f>+S3/T3</f>
        <v>0.13372093023255813</v>
      </c>
    </row>
    <row r="4" spans="1:21" x14ac:dyDescent="0.25">
      <c r="A4" s="149"/>
      <c r="B4">
        <v>20</v>
      </c>
      <c r="C4" s="13" t="str">
        <f>+AVANCE!B2</f>
        <v>20 - FLORES JAVIER</v>
      </c>
      <c r="D4" s="22">
        <f t="shared" si="0"/>
        <v>0.42290748898678415</v>
      </c>
      <c r="E4" s="13">
        <v>126</v>
      </c>
      <c r="F4" s="12">
        <f t="shared" si="1"/>
        <v>-30</v>
      </c>
      <c r="G4" s="13">
        <f>VLOOKUP(B4,'Base Cobertura'!$A:$C,3,FALSE)</f>
        <v>227</v>
      </c>
      <c r="H4" s="13">
        <f>VLOOKUP(B4,'Base Cobertura'!$A:$C,2,FALSE)</f>
        <v>96</v>
      </c>
      <c r="I4" s="17">
        <f t="shared" si="2"/>
        <v>96.949999999999989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18</v>
      </c>
      <c r="T4" s="13">
        <v>172</v>
      </c>
      <c r="U4" s="5">
        <f t="shared" ref="U4:U11" si="3">+S4/T4</f>
        <v>0.10465116279069768</v>
      </c>
    </row>
    <row r="5" spans="1:21" x14ac:dyDescent="0.25">
      <c r="A5" s="149"/>
      <c r="B5">
        <v>15</v>
      </c>
      <c r="C5" s="13" t="str">
        <f>+AVANCE!B12</f>
        <v>15 - GALARZA GERARDO</v>
      </c>
      <c r="D5" s="22">
        <f t="shared" si="0"/>
        <v>0.2</v>
      </c>
      <c r="E5" s="13">
        <v>21</v>
      </c>
      <c r="F5" s="12">
        <f t="shared" si="1"/>
        <v>-8</v>
      </c>
      <c r="G5" s="13">
        <f>VLOOKUP(B5,'Base Cobertura'!$A:$C,3,FALSE)</f>
        <v>65</v>
      </c>
      <c r="H5" s="13">
        <f>VLOOKUP(B5,'Base Cobertura'!$A:$C,2,FALSE)</f>
        <v>13</v>
      </c>
      <c r="I5" s="17">
        <f t="shared" si="2"/>
        <v>42.25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18</v>
      </c>
      <c r="T5" s="13">
        <v>172</v>
      </c>
      <c r="U5" s="5">
        <f t="shared" si="3"/>
        <v>0.10465116279069768</v>
      </c>
    </row>
    <row r="6" spans="1:21" x14ac:dyDescent="0.25">
      <c r="A6" s="149"/>
      <c r="B6">
        <v>19</v>
      </c>
      <c r="C6" s="13" t="str">
        <f>+AVANCE!B3</f>
        <v>19 - GONZALEZ MARCELO</v>
      </c>
      <c r="D6" s="22">
        <f t="shared" si="0"/>
        <v>0.40384615384615385</v>
      </c>
      <c r="E6" s="13">
        <v>100</v>
      </c>
      <c r="F6" s="12">
        <f t="shared" si="1"/>
        <v>-16</v>
      </c>
      <c r="G6" s="13">
        <f>VLOOKUP(B6,'Base Cobertura'!$A:$C,3,FALSE)</f>
        <v>208</v>
      </c>
      <c r="H6" s="13">
        <f>VLOOKUP(B6,'Base Cobertura'!$A:$C,2,FALSE)</f>
        <v>84</v>
      </c>
      <c r="I6" s="17">
        <f t="shared" si="2"/>
        <v>92.799999999999983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18</v>
      </c>
      <c r="T6" s="13">
        <v>172</v>
      </c>
      <c r="U6" s="5">
        <f t="shared" si="3"/>
        <v>0.10465116279069768</v>
      </c>
    </row>
    <row r="7" spans="1:21" x14ac:dyDescent="0.25">
      <c r="A7" s="149"/>
      <c r="B7">
        <v>16</v>
      </c>
      <c r="C7" s="13" t="str">
        <f>+AVANCE!B4</f>
        <v>16 - GOMEZ MATÍAS</v>
      </c>
      <c r="D7" s="22">
        <f t="shared" si="0"/>
        <v>0.38190954773869346</v>
      </c>
      <c r="E7" s="13">
        <v>81</v>
      </c>
      <c r="F7" s="12">
        <f t="shared" si="1"/>
        <v>-5</v>
      </c>
      <c r="G7" s="13">
        <f>VLOOKUP(B7,'Base Cobertura'!$A:$C,3,FALSE)</f>
        <v>199</v>
      </c>
      <c r="H7" s="13">
        <f>VLOOKUP(B7,'Base Cobertura'!$A:$C,2,FALSE)</f>
        <v>76</v>
      </c>
      <c r="I7" s="17">
        <f t="shared" si="2"/>
        <v>93.15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25</v>
      </c>
      <c r="T7" s="13">
        <v>172</v>
      </c>
      <c r="U7" s="5">
        <f t="shared" si="3"/>
        <v>0.14534883720930233</v>
      </c>
    </row>
    <row r="8" spans="1:21" x14ac:dyDescent="0.25">
      <c r="A8" s="149"/>
      <c r="B8">
        <v>12</v>
      </c>
      <c r="C8" s="13" t="str">
        <f>+AVANCE!B5</f>
        <v>12 - GUTIERREZ MARCOS DAVID</v>
      </c>
      <c r="D8" s="22">
        <f t="shared" si="0"/>
        <v>0.3925233644859813</v>
      </c>
      <c r="E8" s="13">
        <v>89</v>
      </c>
      <c r="F8" s="12">
        <f t="shared" si="1"/>
        <v>-5</v>
      </c>
      <c r="G8" s="13">
        <f>VLOOKUP(B8,'Base Cobertura'!$A:$C,3,FALSE)</f>
        <v>214</v>
      </c>
      <c r="H8" s="13">
        <f>VLOOKUP(B8,'Base Cobertura'!$A:$C,2,FALSE)</f>
        <v>84</v>
      </c>
      <c r="I8" s="17">
        <f t="shared" si="2"/>
        <v>97.9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21</v>
      </c>
      <c r="T8" s="13">
        <v>172</v>
      </c>
      <c r="U8" s="5">
        <f t="shared" si="3"/>
        <v>0.12209302325581395</v>
      </c>
    </row>
    <row r="9" spans="1:21" x14ac:dyDescent="0.25">
      <c r="A9" s="149"/>
      <c r="B9">
        <v>11</v>
      </c>
      <c r="C9" s="30" t="str">
        <f>+AVANCE!B6</f>
        <v>11 - SANCHEZ RICARDO</v>
      </c>
      <c r="D9" s="22">
        <f>H9/G9</f>
        <v>0.378698224852071</v>
      </c>
      <c r="E9" s="13">
        <v>92</v>
      </c>
      <c r="F9" s="12">
        <f t="shared" si="1"/>
        <v>-28</v>
      </c>
      <c r="G9" s="13">
        <f>VLOOKUP(B9,'Base Cobertura'!$A:$C,3,FALSE)</f>
        <v>169</v>
      </c>
      <c r="H9" s="13">
        <f>VLOOKUP(B9,'Base Cobertura'!$A:$C,2,FALSE)</f>
        <v>64</v>
      </c>
      <c r="I9" s="17">
        <f t="shared" si="2"/>
        <v>79.650000000000006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29</v>
      </c>
      <c r="T9" s="13">
        <v>172</v>
      </c>
      <c r="U9" s="5">
        <f t="shared" si="3"/>
        <v>0.16860465116279069</v>
      </c>
    </row>
    <row r="10" spans="1:21" x14ac:dyDescent="0.25">
      <c r="A10" s="149"/>
      <c r="B10">
        <v>8</v>
      </c>
      <c r="C10" s="13" t="str">
        <f>+AVANCE!B7</f>
        <v>8 - RAVAROTTO EMANUEL</v>
      </c>
      <c r="D10" s="22">
        <f t="shared" si="0"/>
        <v>0.12820512820512819</v>
      </c>
      <c r="E10" s="13">
        <v>64</v>
      </c>
      <c r="F10" s="12">
        <f t="shared" si="1"/>
        <v>-39</v>
      </c>
      <c r="G10" s="13">
        <f>VLOOKUP(B10,'Base Cobertura'!$A:$C,3,FALSE)</f>
        <v>195</v>
      </c>
      <c r="H10" s="13">
        <f>VLOOKUP(B10,'Base Cobertura'!$A:$C,2,FALSE)</f>
        <v>25</v>
      </c>
      <c r="I10" s="17">
        <f t="shared" si="2"/>
        <v>140.75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15</v>
      </c>
      <c r="T10" s="13">
        <v>172</v>
      </c>
      <c r="U10" s="5">
        <f t="shared" si="3"/>
        <v>8.7209302325581398E-2</v>
      </c>
    </row>
    <row r="11" spans="1:21" x14ac:dyDescent="0.25">
      <c r="A11" s="149"/>
      <c r="B11">
        <v>52</v>
      </c>
      <c r="C11" s="31" t="str">
        <f>+AVANCE!B13</f>
        <v>52 - MARSALL NICOLAS</v>
      </c>
      <c r="D11" s="32">
        <f t="shared" si="0"/>
        <v>7.8431372549019607E-2</v>
      </c>
      <c r="E11" s="31">
        <v>19</v>
      </c>
      <c r="F11" s="33">
        <f t="shared" si="1"/>
        <v>-11</v>
      </c>
      <c r="G11" s="13">
        <f>VLOOKUP(B11,'Base Cobertura'!$A:$C,3,FALSE)</f>
        <v>102</v>
      </c>
      <c r="H11" s="13">
        <f>VLOOKUP(B11,'Base Cobertura'!$A:$C,2,FALSE)</f>
        <v>8</v>
      </c>
      <c r="I11" s="34">
        <f t="shared" si="2"/>
        <v>78.7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11</v>
      </c>
      <c r="T11" s="13">
        <v>172</v>
      </c>
      <c r="U11" s="5">
        <f t="shared" si="3"/>
        <v>6.3953488372093026E-2</v>
      </c>
    </row>
    <row r="12" spans="1:21" x14ac:dyDescent="0.25">
      <c r="A12" s="149"/>
      <c r="B12">
        <v>53</v>
      </c>
      <c r="C12" s="31" t="str">
        <f>+AVANCE!B14</f>
        <v>53 - SANDOVAL RODRIGO</v>
      </c>
      <c r="D12" s="32">
        <f t="shared" si="0"/>
        <v>0.12380952380952381</v>
      </c>
      <c r="E12" s="31">
        <v>24</v>
      </c>
      <c r="F12" s="33">
        <f t="shared" si="1"/>
        <v>-11</v>
      </c>
      <c r="G12" s="13">
        <f>VLOOKUP(B12,'Base Cobertura'!$A:$C,3,FALSE)</f>
        <v>105</v>
      </c>
      <c r="H12" s="13">
        <f>VLOOKUP(B12,'Base Cobertura'!$A:$C,2,FALSE)</f>
        <v>13</v>
      </c>
      <c r="I12" s="34">
        <f t="shared" si="2"/>
        <v>76.25</v>
      </c>
      <c r="J12" t="s">
        <v>59</v>
      </c>
    </row>
    <row r="13" spans="1:21" x14ac:dyDescent="0.25">
      <c r="A13" s="149"/>
      <c r="B13">
        <v>5</v>
      </c>
      <c r="C13" s="13" t="str">
        <f>+AVANCE!B8</f>
        <v>5 - SCHELOVER RAUL</v>
      </c>
      <c r="D13" s="22">
        <f t="shared" si="0"/>
        <v>0.42911877394636017</v>
      </c>
      <c r="E13" s="13">
        <v>144</v>
      </c>
      <c r="F13" s="12">
        <f t="shared" si="1"/>
        <v>-32</v>
      </c>
      <c r="G13" s="13">
        <f>VLOOKUP(B13,'Base Cobertura'!$A:$C,3,FALSE)</f>
        <v>261</v>
      </c>
      <c r="H13" s="13">
        <f>VLOOKUP(B13,'Base Cobertura'!$A:$C,2,FALSE)</f>
        <v>112</v>
      </c>
      <c r="I13" s="17">
        <f t="shared" si="2"/>
        <v>109.85</v>
      </c>
      <c r="J13" t="s">
        <v>57</v>
      </c>
      <c r="K13" t="s">
        <v>64</v>
      </c>
    </row>
    <row r="14" spans="1:21" ht="15.75" thickBot="1" x14ac:dyDescent="0.3">
      <c r="A14" s="149"/>
      <c r="B14">
        <v>4</v>
      </c>
      <c r="C14" s="10" t="str">
        <f>+AVANCE!B9</f>
        <v>4 - TUR SPRINGER FERNANDO</v>
      </c>
      <c r="D14" s="22">
        <f t="shared" si="0"/>
        <v>0.39010989010989011</v>
      </c>
      <c r="E14" s="13">
        <v>85</v>
      </c>
      <c r="F14" s="12">
        <f t="shared" si="1"/>
        <v>-14</v>
      </c>
      <c r="G14" s="13">
        <f>VLOOKUP(B14,'Base Cobertura'!$A:$C,3,FALSE)</f>
        <v>182</v>
      </c>
      <c r="H14" s="13">
        <f>VLOOKUP(B14,'Base Cobertura'!$A:$C,2,FALSE)</f>
        <v>71</v>
      </c>
      <c r="I14" s="17">
        <f t="shared" si="2"/>
        <v>83.699999999999989</v>
      </c>
      <c r="J14" t="s">
        <v>55</v>
      </c>
      <c r="K14" t="s">
        <v>64</v>
      </c>
    </row>
    <row r="15" spans="1:21" ht="15.75" thickBot="1" x14ac:dyDescent="0.3">
      <c r="A15" s="150"/>
      <c r="C15" s="9"/>
      <c r="D15" s="23"/>
      <c r="E15" s="14"/>
      <c r="F15" s="16">
        <f>+SUM(F2:F14)</f>
        <v>-206</v>
      </c>
      <c r="G15" s="8">
        <f>+SUM(G2:G14)</f>
        <v>2246</v>
      </c>
      <c r="H15" s="8">
        <f>+SUM(H2:H14)</f>
        <v>673</v>
      </c>
      <c r="I15" s="8"/>
    </row>
    <row r="16" spans="1:21" x14ac:dyDescent="0.25">
      <c r="A16" s="151" t="s">
        <v>38</v>
      </c>
      <c r="B16">
        <v>31</v>
      </c>
      <c r="C16" s="12" t="str">
        <f>+AVANCE!B21</f>
        <v>31 - RENZO RAMOS</v>
      </c>
      <c r="D16" s="22">
        <f t="shared" si="0"/>
        <v>0.32919254658385094</v>
      </c>
      <c r="E16" s="13">
        <v>90</v>
      </c>
      <c r="F16" s="12">
        <f t="shared" si="1"/>
        <v>-37</v>
      </c>
      <c r="G16" s="13">
        <f>VLOOKUP(B16,'Base Cobertura'!$A:$C,3,FALSE)</f>
        <v>161</v>
      </c>
      <c r="H16" s="13">
        <f>VLOOKUP(B16,'Base Cobertura'!$A:$C,2,FALSE)</f>
        <v>53</v>
      </c>
      <c r="I16" s="17">
        <f t="shared" si="2"/>
        <v>83.85</v>
      </c>
      <c r="J16" t="s">
        <v>55</v>
      </c>
      <c r="K16" t="s">
        <v>55</v>
      </c>
    </row>
    <row r="17" spans="1:11" x14ac:dyDescent="0.25">
      <c r="A17" s="149"/>
      <c r="B17">
        <v>54</v>
      </c>
      <c r="C17" s="13" t="str">
        <f>+AVANCE!B23</f>
        <v>54 - BARTSCHAT EMILIANO NAHUEL</v>
      </c>
      <c r="D17" s="22">
        <f t="shared" si="0"/>
        <v>0.29949238578680204</v>
      </c>
      <c r="E17" s="13">
        <v>92</v>
      </c>
      <c r="F17" s="12">
        <f t="shared" si="1"/>
        <v>-33</v>
      </c>
      <c r="G17" s="13">
        <f>VLOOKUP(B17,'Base Cobertura'!$A:$C,3,FALSE)</f>
        <v>197</v>
      </c>
      <c r="H17" s="13">
        <f>VLOOKUP(B17,'Base Cobertura'!$A:$C,2,FALSE)</f>
        <v>59</v>
      </c>
      <c r="I17" s="17">
        <f t="shared" si="2"/>
        <v>108.44999999999999</v>
      </c>
      <c r="J17" t="s">
        <v>55</v>
      </c>
      <c r="K17" t="s">
        <v>63</v>
      </c>
    </row>
    <row r="18" spans="1:11" x14ac:dyDescent="0.25">
      <c r="A18" s="149"/>
      <c r="B18">
        <v>21</v>
      </c>
      <c r="C18" s="13" t="str">
        <f>+AVANCE!B19</f>
        <v>21 - CATAN MATIAS</v>
      </c>
      <c r="D18" s="22">
        <f t="shared" si="0"/>
        <v>0.42690058479532161</v>
      </c>
      <c r="E18" s="13">
        <v>88</v>
      </c>
      <c r="F18" s="12">
        <f t="shared" si="1"/>
        <v>-15</v>
      </c>
      <c r="G18" s="13">
        <f>VLOOKUP(B18,'Base Cobertura'!$A:$C,3,FALSE)</f>
        <v>171</v>
      </c>
      <c r="H18" s="13">
        <f>VLOOKUP(B18,'Base Cobertura'!$A:$C,2,FALSE)</f>
        <v>73</v>
      </c>
      <c r="I18" s="17">
        <f t="shared" si="2"/>
        <v>72.349999999999994</v>
      </c>
      <c r="J18" t="s">
        <v>58</v>
      </c>
      <c r="K18" t="s">
        <v>55</v>
      </c>
    </row>
    <row r="19" spans="1:11" x14ac:dyDescent="0.25">
      <c r="A19" s="149"/>
      <c r="B19">
        <v>23</v>
      </c>
      <c r="C19" s="13" t="str">
        <f>+AVANCE!B20</f>
        <v>23 - DELGADO JOSÉ</v>
      </c>
      <c r="D19" s="22">
        <f t="shared" si="0"/>
        <v>0.5161290322580645</v>
      </c>
      <c r="E19" s="13">
        <v>95</v>
      </c>
      <c r="F19" s="12">
        <f t="shared" si="1"/>
        <v>-15</v>
      </c>
      <c r="G19" s="13">
        <f>VLOOKUP(B19,'Base Cobertura'!$A:$C,3,FALSE)</f>
        <v>155</v>
      </c>
      <c r="H19" s="13">
        <f>VLOOKUP(B19,'Base Cobertura'!$A:$C,2,FALSE)</f>
        <v>80</v>
      </c>
      <c r="I19" s="17">
        <f t="shared" si="2"/>
        <v>51.75</v>
      </c>
      <c r="J19" t="s">
        <v>58</v>
      </c>
      <c r="K19" t="s">
        <v>64</v>
      </c>
    </row>
    <row r="20" spans="1:11" x14ac:dyDescent="0.25">
      <c r="A20" s="149"/>
      <c r="B20">
        <v>18</v>
      </c>
      <c r="C20" s="13" t="str">
        <f>+AVANCE!B18</f>
        <v>18 - HERRERA PABLO</v>
      </c>
      <c r="D20" s="22">
        <f t="shared" si="0"/>
        <v>0.44198895027624308</v>
      </c>
      <c r="E20" s="13">
        <v>83</v>
      </c>
      <c r="F20" s="12">
        <f t="shared" si="1"/>
        <v>-3</v>
      </c>
      <c r="G20" s="13">
        <f>VLOOKUP(B20,'Base Cobertura'!$A:$C,3,FALSE)</f>
        <v>181</v>
      </c>
      <c r="H20" s="13">
        <f>VLOOKUP(B20,'Base Cobertura'!$A:$C,2,FALSE)</f>
        <v>80</v>
      </c>
      <c r="I20" s="17">
        <f t="shared" si="2"/>
        <v>73.849999999999994</v>
      </c>
      <c r="J20" t="s">
        <v>55</v>
      </c>
      <c r="K20" t="s">
        <v>55</v>
      </c>
    </row>
    <row r="21" spans="1:11" x14ac:dyDescent="0.25">
      <c r="A21" s="149"/>
      <c r="B21">
        <v>44</v>
      </c>
      <c r="C21" s="13" t="str">
        <f>+AVANCE!B22</f>
        <v>44 - MONGES CESAR LUIS</v>
      </c>
      <c r="D21" s="22">
        <f t="shared" si="0"/>
        <v>0.38728323699421963</v>
      </c>
      <c r="E21" s="13">
        <v>64</v>
      </c>
      <c r="F21" s="12">
        <f t="shared" si="1"/>
        <v>3</v>
      </c>
      <c r="G21" s="13">
        <f>VLOOKUP(B21,'Base Cobertura'!$A:$C,3,FALSE)</f>
        <v>173</v>
      </c>
      <c r="H21" s="13">
        <f>VLOOKUP(B21,'Base Cobertura'!$A:$C,2,FALSE)</f>
        <v>67</v>
      </c>
      <c r="I21" s="17">
        <f t="shared" si="2"/>
        <v>80.049999999999983</v>
      </c>
      <c r="J21" t="s">
        <v>58</v>
      </c>
      <c r="K21" t="s">
        <v>64</v>
      </c>
    </row>
    <row r="22" spans="1:11" x14ac:dyDescent="0.25">
      <c r="A22" s="149"/>
      <c r="B22">
        <v>56</v>
      </c>
      <c r="C22" s="13" t="str">
        <f>+AVANCE!B42</f>
        <v>56 - JUAN ANDRES SANCHEZ</v>
      </c>
      <c r="D22" s="22">
        <f t="shared" si="0"/>
        <v>0.2233502538071066</v>
      </c>
      <c r="E22" s="13">
        <v>66</v>
      </c>
      <c r="F22" s="12">
        <f t="shared" si="1"/>
        <v>-22</v>
      </c>
      <c r="G22" s="13">
        <f>VLOOKUP(B22,'Base Cobertura'!$A:$C,3,FALSE)</f>
        <v>197</v>
      </c>
      <c r="H22" s="13">
        <f>VLOOKUP(B22,'Base Cobertura'!$A:$C,2,FALSE)</f>
        <v>44</v>
      </c>
      <c r="I22" s="17">
        <f t="shared" si="2"/>
        <v>123.44999999999999</v>
      </c>
      <c r="J22" t="s">
        <v>58</v>
      </c>
      <c r="K22" t="s">
        <v>66</v>
      </c>
    </row>
    <row r="23" spans="1:11" x14ac:dyDescent="0.25">
      <c r="A23" s="149"/>
      <c r="B23">
        <v>2</v>
      </c>
      <c r="C23" s="13" t="str">
        <f>+AVANCE!B16</f>
        <v>2 - OJEDA NORBERTO</v>
      </c>
      <c r="D23" s="22">
        <f t="shared" si="0"/>
        <v>0.40677966101694918</v>
      </c>
      <c r="E23" s="13">
        <v>70</v>
      </c>
      <c r="F23" s="12">
        <f t="shared" si="1"/>
        <v>-22</v>
      </c>
      <c r="G23" s="13">
        <f>VLOOKUP(B23,'Base Cobertura'!$A:$C,3,FALSE)</f>
        <v>118</v>
      </c>
      <c r="H23" s="13">
        <f>VLOOKUP(B23,'Base Cobertura'!$A:$C,2,FALSE)</f>
        <v>48</v>
      </c>
      <c r="I23" s="17">
        <f t="shared" si="2"/>
        <v>52.3</v>
      </c>
      <c r="J23" t="s">
        <v>58</v>
      </c>
      <c r="K23" t="s">
        <v>67</v>
      </c>
    </row>
    <row r="24" spans="1:11" ht="15.75" thickBot="1" x14ac:dyDescent="0.3">
      <c r="A24" s="149"/>
      <c r="B24">
        <v>3</v>
      </c>
      <c r="C24" s="10" t="str">
        <f>+AVANCE!B17</f>
        <v>3 - VIDAL NAHUEL</v>
      </c>
      <c r="D24" s="22">
        <f t="shared" si="0"/>
        <v>0.44705882352941179</v>
      </c>
      <c r="E24" s="13">
        <v>79</v>
      </c>
      <c r="F24" s="12">
        <f t="shared" si="1"/>
        <v>-3</v>
      </c>
      <c r="G24" s="13">
        <f>VLOOKUP(B24,'Base Cobertura'!$A:$C,3,FALSE)</f>
        <v>170</v>
      </c>
      <c r="H24" s="13">
        <f>VLOOKUP(B24,'Base Cobertura'!$A:$C,2,FALSE)</f>
        <v>76</v>
      </c>
      <c r="I24" s="17">
        <f t="shared" si="2"/>
        <v>68.5</v>
      </c>
      <c r="J24" t="s">
        <v>60</v>
      </c>
      <c r="K24" t="s">
        <v>64</v>
      </c>
    </row>
    <row r="25" spans="1:11" ht="15.75" thickBot="1" x14ac:dyDescent="0.3">
      <c r="A25" s="150"/>
      <c r="C25" s="9"/>
      <c r="D25" s="23"/>
      <c r="E25" s="14"/>
      <c r="F25" s="16">
        <f>+SUM(F16:F24)</f>
        <v>-147</v>
      </c>
      <c r="G25" s="8">
        <f>+SUM(G16:G24)</f>
        <v>1523</v>
      </c>
      <c r="H25" s="8">
        <f>+SUM(H16:H24)</f>
        <v>580</v>
      </c>
      <c r="I25" s="8"/>
    </row>
    <row r="26" spans="1:11" x14ac:dyDescent="0.25">
      <c r="A26" s="151" t="s">
        <v>216</v>
      </c>
      <c r="B26">
        <v>32</v>
      </c>
      <c r="C26" s="12" t="str">
        <f>+AVANCE!B25</f>
        <v>32 - CABRAL GONZALO</v>
      </c>
      <c r="D26" s="22">
        <f t="shared" si="0"/>
        <v>0.18965517241379309</v>
      </c>
      <c r="E26" s="13">
        <v>20</v>
      </c>
      <c r="F26" s="12">
        <f>+H26-E26</f>
        <v>-9</v>
      </c>
      <c r="G26" s="13">
        <f>VLOOKUP(B26,'Base Cobertura'!$A:$C,3,FALSE)</f>
        <v>58</v>
      </c>
      <c r="H26" s="13">
        <f>VLOOKUP(B26,'Base Cobertura'!$A:$C,2,FALSE)</f>
        <v>11</v>
      </c>
      <c r="I26" s="17">
        <f t="shared" si="2"/>
        <v>38.299999999999997</v>
      </c>
      <c r="J26" t="s">
        <v>55</v>
      </c>
      <c r="K26" t="s">
        <v>67</v>
      </c>
    </row>
    <row r="27" spans="1:11" x14ac:dyDescent="0.25">
      <c r="A27" s="149"/>
      <c r="B27">
        <v>36</v>
      </c>
      <c r="C27" s="12" t="str">
        <f>+AVANCE!B26</f>
        <v>36 - COSARINSKI DIEGO</v>
      </c>
      <c r="D27" s="22">
        <f t="shared" si="0"/>
        <v>0.29375000000000001</v>
      </c>
      <c r="E27" s="13">
        <v>68</v>
      </c>
      <c r="F27" s="12">
        <f t="shared" si="1"/>
        <v>-21</v>
      </c>
      <c r="G27" s="13">
        <f>VLOOKUP(B27,'Base Cobertura'!$A:$C,3,FALSE)</f>
        <v>160</v>
      </c>
      <c r="H27" s="13">
        <f>VLOOKUP(B27,'Base Cobertura'!$A:$C,2,FALSE)</f>
        <v>47</v>
      </c>
      <c r="I27" s="17">
        <f t="shared" si="2"/>
        <v>89</v>
      </c>
      <c r="J27" t="s">
        <v>58</v>
      </c>
      <c r="K27" t="s">
        <v>67</v>
      </c>
    </row>
    <row r="28" spans="1:11" x14ac:dyDescent="0.25">
      <c r="A28" s="149"/>
      <c r="B28">
        <v>9</v>
      </c>
      <c r="C28" s="12" t="str">
        <f>+AVANCE!B27</f>
        <v>9 - ESTIGARRIBIA DAVID</v>
      </c>
      <c r="D28" s="22">
        <f t="shared" si="0"/>
        <v>0.37179487179487181</v>
      </c>
      <c r="E28" s="13">
        <v>80</v>
      </c>
      <c r="F28" s="12">
        <f t="shared" si="1"/>
        <v>-22</v>
      </c>
      <c r="G28" s="13">
        <f>VLOOKUP(B28,'Base Cobertura'!$A:$C,3,FALSE)</f>
        <v>156</v>
      </c>
      <c r="H28" s="13">
        <f>VLOOKUP(B28,'Base Cobertura'!$A:$C,2,FALSE)</f>
        <v>58</v>
      </c>
      <c r="I28" s="17">
        <f t="shared" si="2"/>
        <v>74.599999999999994</v>
      </c>
      <c r="J28" t="s">
        <v>58</v>
      </c>
      <c r="K28" t="s">
        <v>55</v>
      </c>
    </row>
    <row r="29" spans="1:11" x14ac:dyDescent="0.25">
      <c r="A29" s="149"/>
      <c r="B29">
        <v>40</v>
      </c>
      <c r="C29" s="12" t="str">
        <f>+AVANCE!B28</f>
        <v>40 - IBARROLA JORGE</v>
      </c>
      <c r="D29" s="22">
        <f t="shared" si="0"/>
        <v>0.18</v>
      </c>
      <c r="E29" s="13">
        <v>68</v>
      </c>
      <c r="F29" s="12">
        <f t="shared" si="1"/>
        <v>-23</v>
      </c>
      <c r="G29" s="13">
        <f>VLOOKUP(B29,'Base Cobertura'!$A:$C,3,FALSE)</f>
        <v>250</v>
      </c>
      <c r="H29" s="13">
        <f>VLOOKUP(B29,'Base Cobertura'!$A:$C,2,FALSE)</f>
        <v>45</v>
      </c>
      <c r="I29" s="17">
        <f t="shared" si="2"/>
        <v>167.5</v>
      </c>
      <c r="J29" t="s">
        <v>58</v>
      </c>
      <c r="K29" t="s">
        <v>67</v>
      </c>
    </row>
    <row r="30" spans="1:11" x14ac:dyDescent="0.25">
      <c r="A30" s="149"/>
      <c r="B30">
        <v>27</v>
      </c>
      <c r="C30" s="12" t="str">
        <f>+AVANCE!B29</f>
        <v>27 - GOMEZ ADRIÁN</v>
      </c>
      <c r="D30" s="22">
        <f t="shared" si="0"/>
        <v>0.46616541353383456</v>
      </c>
      <c r="E30" s="13">
        <v>73</v>
      </c>
      <c r="F30" s="12">
        <f t="shared" si="1"/>
        <v>-11</v>
      </c>
      <c r="G30" s="13">
        <f>VLOOKUP(B30,'Base Cobertura'!$A:$C,3,FALSE)</f>
        <v>133</v>
      </c>
      <c r="H30" s="13">
        <f>VLOOKUP(B30,'Base Cobertura'!$A:$C,2,FALSE)</f>
        <v>62</v>
      </c>
      <c r="I30" s="17">
        <f t="shared" si="2"/>
        <v>51.05</v>
      </c>
      <c r="J30" t="s">
        <v>55</v>
      </c>
      <c r="K30" t="s">
        <v>67</v>
      </c>
    </row>
    <row r="31" spans="1:11" x14ac:dyDescent="0.25">
      <c r="A31" s="149"/>
      <c r="B31">
        <v>10</v>
      </c>
      <c r="C31" s="12" t="str">
        <f>+AVANCE!B30</f>
        <v>10 - BRITEZ EMMANUEL</v>
      </c>
      <c r="D31" s="22">
        <f t="shared" si="0"/>
        <v>0.30601092896174864</v>
      </c>
      <c r="E31" s="13">
        <v>40</v>
      </c>
      <c r="F31" s="12">
        <f t="shared" si="1"/>
        <v>16</v>
      </c>
      <c r="G31" s="13">
        <f>VLOOKUP(B31,'Base Cobertura'!$A:$C,3,FALSE)</f>
        <v>183</v>
      </c>
      <c r="H31" s="13">
        <f>VLOOKUP(B31,'Base Cobertura'!$A:$C,2,FALSE)</f>
        <v>56</v>
      </c>
      <c r="I31" s="17">
        <f t="shared" si="2"/>
        <v>99.549999999999983</v>
      </c>
      <c r="J31" t="s">
        <v>58</v>
      </c>
      <c r="K31" t="s">
        <v>67</v>
      </c>
    </row>
    <row r="32" spans="1:11" x14ac:dyDescent="0.25">
      <c r="A32" s="149"/>
      <c r="B32">
        <v>28</v>
      </c>
      <c r="C32" s="12" t="str">
        <f>+AVANCE!B31</f>
        <v>28 - GOMEZ PABLO</v>
      </c>
      <c r="D32" s="22">
        <f t="shared" si="0"/>
        <v>0.38095238095238093</v>
      </c>
      <c r="E32" s="13">
        <v>67</v>
      </c>
      <c r="F32" s="12">
        <f t="shared" si="1"/>
        <v>-3</v>
      </c>
      <c r="G32" s="13">
        <f>VLOOKUP(B32,'Base Cobertura'!$A:$C,3,FALSE)</f>
        <v>168</v>
      </c>
      <c r="H32" s="13">
        <f>VLOOKUP(B32,'Base Cobertura'!$A:$C,2,FALSE)</f>
        <v>64</v>
      </c>
      <c r="I32" s="17">
        <f t="shared" si="2"/>
        <v>78.799999999999983</v>
      </c>
      <c r="J32" t="s">
        <v>58</v>
      </c>
      <c r="K32" t="s">
        <v>67</v>
      </c>
    </row>
    <row r="33" spans="1:12" x14ac:dyDescent="0.25">
      <c r="A33" s="149"/>
      <c r="B33">
        <v>33</v>
      </c>
      <c r="C33" s="12" t="str">
        <f>+AVANCE!B32</f>
        <v>33 - NICOLAS AZULA</v>
      </c>
      <c r="D33" s="22">
        <f t="shared" si="0"/>
        <v>0.3413173652694611</v>
      </c>
      <c r="E33" s="13">
        <v>66</v>
      </c>
      <c r="F33" s="12">
        <f t="shared" si="1"/>
        <v>-9</v>
      </c>
      <c r="G33" s="13">
        <f>VLOOKUP(B33,'Base Cobertura'!$A:$C,3,FALSE)</f>
        <v>167</v>
      </c>
      <c r="H33" s="13">
        <f>VLOOKUP(B33,'Base Cobertura'!$A:$C,2,FALSE)</f>
        <v>57</v>
      </c>
      <c r="I33" s="17">
        <f t="shared" si="2"/>
        <v>84.949999999999989</v>
      </c>
      <c r="J33" t="s">
        <v>58</v>
      </c>
      <c r="K33" t="s">
        <v>67</v>
      </c>
    </row>
    <row r="34" spans="1:12" x14ac:dyDescent="0.25">
      <c r="A34" s="149"/>
      <c r="B34">
        <v>37</v>
      </c>
      <c r="C34" s="12" t="str">
        <f>+AVANCE!B33</f>
        <v>37 - PEREZ ESQUIVEL BRUNO NICOLAS</v>
      </c>
      <c r="D34" s="22">
        <f t="shared" si="0"/>
        <v>0.12676056338028169</v>
      </c>
      <c r="E34" s="13">
        <v>82</v>
      </c>
      <c r="F34" s="12">
        <f t="shared" si="1"/>
        <v>-64</v>
      </c>
      <c r="G34" s="13">
        <f>VLOOKUP(B34,'Base Cobertura'!$A:$C,3,FALSE)</f>
        <v>142</v>
      </c>
      <c r="H34" s="13">
        <f>VLOOKUP(B34,'Base Cobertura'!$A:$C,2,FALSE)</f>
        <v>18</v>
      </c>
      <c r="I34" s="17">
        <f t="shared" si="2"/>
        <v>102.7</v>
      </c>
      <c r="J34" t="s">
        <v>55</v>
      </c>
      <c r="K34" t="s">
        <v>67</v>
      </c>
    </row>
    <row r="35" spans="1:12" x14ac:dyDescent="0.25">
      <c r="A35" s="149"/>
      <c r="B35">
        <v>24</v>
      </c>
      <c r="C35" s="12" t="str">
        <f>+AVANCE!B34</f>
        <v>24 - MARTINEZ JORGE NICOLAS</v>
      </c>
      <c r="D35" s="22">
        <f t="shared" si="0"/>
        <v>0.24157303370786518</v>
      </c>
      <c r="E35" s="13">
        <v>81</v>
      </c>
      <c r="F35" s="12">
        <f t="shared" si="1"/>
        <v>-38</v>
      </c>
      <c r="G35" s="13">
        <f>VLOOKUP(B35,'Base Cobertura'!$A:$C,3,FALSE)</f>
        <v>178</v>
      </c>
      <c r="H35" s="13">
        <f>VLOOKUP(B35,'Base Cobertura'!$A:$C,2,FALSE)</f>
        <v>43</v>
      </c>
      <c r="I35" s="17">
        <f t="shared" si="2"/>
        <v>108.29999999999998</v>
      </c>
      <c r="J35" t="s">
        <v>58</v>
      </c>
      <c r="K35" t="s">
        <v>67</v>
      </c>
    </row>
    <row r="36" spans="1:12" x14ac:dyDescent="0.25">
      <c r="A36" s="149"/>
      <c r="B36">
        <v>7</v>
      </c>
      <c r="C36" s="12" t="str">
        <f>+AVANCE!B35</f>
        <v>7 - VALLEJOS EDUARDO</v>
      </c>
      <c r="D36" s="22">
        <f t="shared" si="0"/>
        <v>3.4782608695652174E-2</v>
      </c>
      <c r="E36" s="13">
        <v>0</v>
      </c>
      <c r="F36" s="12">
        <f t="shared" si="1"/>
        <v>4</v>
      </c>
      <c r="G36" s="13">
        <f>VLOOKUP(B36,'Base Cobertura'!$A:$C,3,FALSE)</f>
        <v>115</v>
      </c>
      <c r="H36" s="13">
        <f>VLOOKUP(B36,'Base Cobertura'!$A:$C,2,FALSE)</f>
        <v>4</v>
      </c>
      <c r="I36" s="17">
        <f t="shared" si="2"/>
        <v>93.75</v>
      </c>
      <c r="J36" t="s">
        <v>58</v>
      </c>
    </row>
    <row r="37" spans="1:12" x14ac:dyDescent="0.25">
      <c r="A37" s="149"/>
      <c r="B37">
        <v>57</v>
      </c>
      <c r="C37" s="12" t="str">
        <f>+AVANCE!B36</f>
        <v>57 - ROUBINEAU SEBASTIAN</v>
      </c>
      <c r="D37" s="22">
        <f t="shared" si="0"/>
        <v>0.10476190476190476</v>
      </c>
      <c r="E37" s="13">
        <v>17</v>
      </c>
      <c r="F37" s="12">
        <f t="shared" si="1"/>
        <v>-6</v>
      </c>
      <c r="G37" s="13">
        <f>VLOOKUP(B37,'Base Cobertura'!$A:$C,3,FALSE)</f>
        <v>105</v>
      </c>
      <c r="H37" s="13">
        <f>VLOOKUP(B37,'Base Cobertura'!$A:$C,2,FALSE)</f>
        <v>11</v>
      </c>
      <c r="I37" s="17">
        <f t="shared" si="2"/>
        <v>78.25</v>
      </c>
      <c r="J37" t="s">
        <v>59</v>
      </c>
    </row>
    <row r="38" spans="1:12" ht="15.75" thickBot="1" x14ac:dyDescent="0.3">
      <c r="A38" s="149"/>
      <c r="B38">
        <v>1</v>
      </c>
      <c r="C38" s="12" t="str">
        <f>+AVANCE!B37</f>
        <v>1 - VERA ERNESTO</v>
      </c>
      <c r="D38" s="22">
        <f t="shared" si="0"/>
        <v>0.39370078740157483</v>
      </c>
      <c r="E38" s="13">
        <v>60</v>
      </c>
      <c r="F38" s="12">
        <f t="shared" si="1"/>
        <v>-10</v>
      </c>
      <c r="G38" s="13">
        <f>VLOOKUP(B38,'Base Cobertura'!$A:$C,3,FALSE)</f>
        <v>127</v>
      </c>
      <c r="H38" s="13">
        <f>VLOOKUP(B38,'Base Cobertura'!$A:$C,2,FALSE)</f>
        <v>50</v>
      </c>
      <c r="I38" s="17">
        <f t="shared" si="2"/>
        <v>57.95</v>
      </c>
      <c r="J38" t="s">
        <v>55</v>
      </c>
      <c r="K38" t="s">
        <v>55</v>
      </c>
    </row>
    <row r="39" spans="1:12" ht="15.75" thickBot="1" x14ac:dyDescent="0.3">
      <c r="A39" s="150"/>
      <c r="C39" s="9"/>
      <c r="D39" s="23"/>
      <c r="E39" s="14"/>
      <c r="F39" s="8">
        <f>+SUM(F26:F38)</f>
        <v>-196</v>
      </c>
      <c r="G39" s="8">
        <f>+SUM(G26:G38)</f>
        <v>1942</v>
      </c>
      <c r="H39" s="8">
        <f>+SUM(H26:H38)</f>
        <v>526</v>
      </c>
      <c r="I39" s="8"/>
    </row>
    <row r="40" spans="1:12" x14ac:dyDescent="0.25">
      <c r="A40" s="151" t="s">
        <v>278</v>
      </c>
      <c r="B40">
        <v>58</v>
      </c>
      <c r="C40" t="s">
        <v>145</v>
      </c>
      <c r="D40" s="22">
        <f t="shared" ref="D40:D46" si="4">H40/G40</f>
        <v>9.0163934426229511E-2</v>
      </c>
      <c r="E40" s="13">
        <v>60</v>
      </c>
      <c r="F40" s="12">
        <f t="shared" ref="F40:F46" si="5">+H40-E40</f>
        <v>-49</v>
      </c>
      <c r="G40" s="13">
        <f>VLOOKUP(B40,'Base Cobertura'!$A:$C,3,FALSE)</f>
        <v>122</v>
      </c>
      <c r="H40" s="13">
        <f>VLOOKUP(B40,'Base Cobertura'!$A:$C,2,FALSE)</f>
        <v>11</v>
      </c>
      <c r="I40" s="17">
        <f t="shared" ref="I40:I46" si="6">(+G40*$M$2)-H40</f>
        <v>92.7</v>
      </c>
    </row>
    <row r="41" spans="1:12" x14ac:dyDescent="0.25">
      <c r="A41" s="149"/>
      <c r="B41">
        <v>59</v>
      </c>
      <c r="C41" t="s">
        <v>146</v>
      </c>
      <c r="D41" s="22">
        <f t="shared" si="4"/>
        <v>0.23200000000000001</v>
      </c>
      <c r="E41" s="13">
        <v>60</v>
      </c>
      <c r="F41" s="12">
        <f t="shared" si="5"/>
        <v>-31</v>
      </c>
      <c r="G41" s="13">
        <f>VLOOKUP(B41,'Base Cobertura'!$A:$C,3,FALSE)</f>
        <v>125</v>
      </c>
      <c r="H41" s="13">
        <f>VLOOKUP(B41,'Base Cobertura'!$A:$C,2,FALSE)</f>
        <v>29</v>
      </c>
      <c r="I41" s="17">
        <f t="shared" si="6"/>
        <v>77.25</v>
      </c>
    </row>
    <row r="42" spans="1:12" x14ac:dyDescent="0.25">
      <c r="A42" s="149"/>
      <c r="B42">
        <v>49</v>
      </c>
      <c r="C42" t="s">
        <v>107</v>
      </c>
      <c r="D42" s="22">
        <f t="shared" si="4"/>
        <v>0</v>
      </c>
      <c r="E42" s="13">
        <v>60</v>
      </c>
      <c r="F42" s="12">
        <f t="shared" si="5"/>
        <v>-60</v>
      </c>
      <c r="G42" s="13">
        <f>VLOOKUP(B42,'Base Cobertura'!$A:$C,3,FALSE)</f>
        <v>244</v>
      </c>
      <c r="H42" s="13">
        <f>VLOOKUP(B42,'Base Cobertura'!$A:$C,2,FALSE)</f>
        <v>0</v>
      </c>
      <c r="I42" s="17">
        <f t="shared" si="6"/>
        <v>207.4</v>
      </c>
    </row>
    <row r="43" spans="1:12" x14ac:dyDescent="0.25">
      <c r="A43" s="149"/>
      <c r="B43">
        <v>56</v>
      </c>
      <c r="C43" t="s">
        <v>140</v>
      </c>
      <c r="D43" s="22">
        <f t="shared" si="4"/>
        <v>0.2233502538071066</v>
      </c>
      <c r="E43" s="13">
        <v>60</v>
      </c>
      <c r="F43" s="12">
        <f t="shared" si="5"/>
        <v>-16</v>
      </c>
      <c r="G43" s="13">
        <f>VLOOKUP(B43,'Base Cobertura'!$A:$C,3,FALSE)</f>
        <v>197</v>
      </c>
      <c r="H43" s="13">
        <f>VLOOKUP(B43,'Base Cobertura'!$A:$C,2,FALSE)</f>
        <v>44</v>
      </c>
      <c r="I43" s="17">
        <f t="shared" si="6"/>
        <v>123.44999999999999</v>
      </c>
    </row>
    <row r="44" spans="1:12" x14ac:dyDescent="0.25">
      <c r="A44" s="149"/>
      <c r="B44">
        <v>26</v>
      </c>
      <c r="C44" t="s">
        <v>275</v>
      </c>
      <c r="D44" s="22">
        <f t="shared" si="4"/>
        <v>0</v>
      </c>
      <c r="E44" s="13">
        <v>60</v>
      </c>
      <c r="F44" s="12">
        <f t="shared" si="5"/>
        <v>-60</v>
      </c>
      <c r="G44" s="13">
        <f>VLOOKUP(B44,'Base Cobertura'!$A:$C,3,FALSE)</f>
        <v>167</v>
      </c>
      <c r="H44" s="13">
        <f>VLOOKUP(B44,'Base Cobertura'!$A:$C,2,FALSE)</f>
        <v>0</v>
      </c>
      <c r="I44" s="17">
        <f t="shared" si="6"/>
        <v>141.94999999999999</v>
      </c>
    </row>
    <row r="45" spans="1:12" x14ac:dyDescent="0.25">
      <c r="A45" s="149"/>
      <c r="B45">
        <v>25</v>
      </c>
      <c r="C45" t="s">
        <v>276</v>
      </c>
      <c r="D45" s="22">
        <f t="shared" si="4"/>
        <v>0.23837209302325582</v>
      </c>
      <c r="E45" s="13">
        <v>60</v>
      </c>
      <c r="F45" s="12">
        <f t="shared" si="5"/>
        <v>-19</v>
      </c>
      <c r="G45" s="13">
        <f>VLOOKUP(B45,'Base Cobertura'!$A:$C,3,FALSE)</f>
        <v>172</v>
      </c>
      <c r="H45" s="13">
        <f>VLOOKUP(B45,'Base Cobertura'!$A:$C,2,FALSE)</f>
        <v>41</v>
      </c>
      <c r="I45" s="17">
        <f t="shared" si="6"/>
        <v>105.19999999999999</v>
      </c>
    </row>
    <row r="46" spans="1:12" ht="15.75" thickBot="1" x14ac:dyDescent="0.3">
      <c r="A46" s="149"/>
      <c r="B46">
        <v>43</v>
      </c>
      <c r="C46" t="s">
        <v>277</v>
      </c>
      <c r="D46" s="22">
        <f t="shared" si="4"/>
        <v>0</v>
      </c>
      <c r="E46" s="13">
        <v>60</v>
      </c>
      <c r="F46" s="12">
        <f t="shared" si="5"/>
        <v>-60</v>
      </c>
      <c r="G46" s="13">
        <f>VLOOKUP(B46,'Base Cobertura'!$A:$C,3,FALSE)</f>
        <v>93</v>
      </c>
      <c r="H46" s="13">
        <f>VLOOKUP(B46,'Base Cobertura'!$A:$C,2,FALSE)</f>
        <v>0</v>
      </c>
      <c r="I46" s="17">
        <f t="shared" si="6"/>
        <v>79.05</v>
      </c>
    </row>
    <row r="47" spans="1:12" ht="15.75" thickBot="1" x14ac:dyDescent="0.3">
      <c r="A47" s="136"/>
      <c r="C47" s="9"/>
      <c r="D47" s="23"/>
      <c r="E47" s="13"/>
      <c r="F47" s="12"/>
      <c r="G47" s="8">
        <f>+SUM(G34:G46)</f>
        <v>3729</v>
      </c>
      <c r="H47" s="8">
        <f>+SUM(H34:H46)</f>
        <v>777</v>
      </c>
      <c r="I47" s="8"/>
      <c r="L47" t="s">
        <v>68</v>
      </c>
    </row>
    <row r="48" spans="1:12" x14ac:dyDescent="0.25">
      <c r="A48" s="11" t="s">
        <v>42</v>
      </c>
      <c r="C48" s="11"/>
      <c r="D48" s="24"/>
      <c r="E48" s="6"/>
      <c r="F48" s="8">
        <f>+SUM(F39+F25+F15)</f>
        <v>-549</v>
      </c>
      <c r="G48" s="8">
        <f>+G15+G25+G39</f>
        <v>5711</v>
      </c>
      <c r="H48" s="8">
        <f>+H15+H25+H39</f>
        <v>1779</v>
      </c>
      <c r="I48" s="8"/>
      <c r="L48" s="1">
        <f>+H48/G48</f>
        <v>0.31150411486604795</v>
      </c>
    </row>
  </sheetData>
  <autoFilter ref="C1:N48" xr:uid="{00000000-0001-0000-0500-000000000000}"/>
  <mergeCells count="4">
    <mergeCell ref="A2:A15"/>
    <mergeCell ref="A16:A25"/>
    <mergeCell ref="A26:A39"/>
    <mergeCell ref="A40:A46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6:D2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26:D38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40:D46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15 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138</v>
      </c>
    </row>
    <row r="2" spans="1:3" ht="16.5" thickBot="1" x14ac:dyDescent="0.3">
      <c r="A2">
        <v>20</v>
      </c>
      <c r="B2" s="36" t="s">
        <v>95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94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92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90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89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86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85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84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97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107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91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112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108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82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83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93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96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98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101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106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109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140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102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103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87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105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99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88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100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139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104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113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111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110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81</v>
      </c>
      <c r="C39" s="46">
        <f>IFERROR(VLOOKUP(A39,'Base venta C'!$E:$P,12,FALSE),"0")*1</f>
        <v>1671221.44</v>
      </c>
    </row>
    <row r="40" spans="1:3" ht="16.5" thickBot="1" x14ac:dyDescent="0.3">
      <c r="B40" s="3" t="s">
        <v>216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07"/>
  <sheetViews>
    <sheetView workbookViewId="0">
      <selection activeCell="F2" sqref="F2:I407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141</v>
      </c>
      <c r="F1" t="s">
        <v>142</v>
      </c>
    </row>
    <row r="2" spans="1:9" x14ac:dyDescent="0.25">
      <c r="A2" t="s">
        <v>77</v>
      </c>
      <c r="B2" t="s">
        <v>78</v>
      </c>
      <c r="C2" t="s">
        <v>79</v>
      </c>
      <c r="F2" t="s">
        <v>77</v>
      </c>
      <c r="G2" t="s">
        <v>74</v>
      </c>
      <c r="H2" t="s">
        <v>78</v>
      </c>
      <c r="I2" t="s">
        <v>79</v>
      </c>
    </row>
    <row r="3" spans="1:9" x14ac:dyDescent="0.25">
      <c r="B3" s="51">
        <v>2</v>
      </c>
      <c r="C3" s="51">
        <v>3478</v>
      </c>
      <c r="G3" t="s">
        <v>280</v>
      </c>
      <c r="H3" s="51">
        <v>1</v>
      </c>
      <c r="I3" s="51">
        <v>3478</v>
      </c>
    </row>
    <row r="4" spans="1:9" x14ac:dyDescent="0.25">
      <c r="A4">
        <v>1</v>
      </c>
      <c r="B4" s="51">
        <v>50</v>
      </c>
      <c r="C4" s="51">
        <v>127</v>
      </c>
      <c r="G4" t="s">
        <v>281</v>
      </c>
      <c r="H4">
        <v>1</v>
      </c>
      <c r="I4" s="51">
        <v>3478</v>
      </c>
    </row>
    <row r="5" spans="1:9" x14ac:dyDescent="0.25">
      <c r="A5">
        <v>10</v>
      </c>
      <c r="B5" s="51">
        <v>56</v>
      </c>
      <c r="C5" s="51">
        <v>183</v>
      </c>
      <c r="G5" t="s">
        <v>282</v>
      </c>
      <c r="H5" s="51">
        <v>1</v>
      </c>
      <c r="I5" s="51">
        <v>3478</v>
      </c>
    </row>
    <row r="6" spans="1:9" x14ac:dyDescent="0.25">
      <c r="A6">
        <v>100</v>
      </c>
      <c r="B6" s="51">
        <v>25</v>
      </c>
      <c r="C6" s="51">
        <v>2031</v>
      </c>
      <c r="G6" t="s">
        <v>283</v>
      </c>
      <c r="H6" s="51"/>
      <c r="I6" s="51">
        <v>3478</v>
      </c>
    </row>
    <row r="7" spans="1:9" x14ac:dyDescent="0.25">
      <c r="A7">
        <v>11</v>
      </c>
      <c r="B7" s="51">
        <v>64</v>
      </c>
      <c r="C7" s="51">
        <v>169</v>
      </c>
      <c r="G7" t="s">
        <v>284</v>
      </c>
      <c r="H7" s="51">
        <v>1</v>
      </c>
      <c r="I7" s="51">
        <v>3478</v>
      </c>
    </row>
    <row r="8" spans="1:9" x14ac:dyDescent="0.25">
      <c r="A8">
        <v>12</v>
      </c>
      <c r="B8" s="51">
        <v>84</v>
      </c>
      <c r="C8" s="51">
        <v>214</v>
      </c>
      <c r="G8" t="s">
        <v>285</v>
      </c>
      <c r="H8" s="51">
        <v>2</v>
      </c>
      <c r="I8" s="51">
        <v>3478</v>
      </c>
    </row>
    <row r="9" spans="1:9" x14ac:dyDescent="0.25">
      <c r="A9">
        <v>123</v>
      </c>
      <c r="B9" s="51">
        <v>27</v>
      </c>
      <c r="C9" s="51">
        <v>491</v>
      </c>
      <c r="G9" t="s">
        <v>286</v>
      </c>
      <c r="H9" s="51">
        <v>1</v>
      </c>
      <c r="I9" s="51">
        <v>3478</v>
      </c>
    </row>
    <row r="10" spans="1:9" x14ac:dyDescent="0.25">
      <c r="A10">
        <v>15</v>
      </c>
      <c r="B10" s="51">
        <v>13</v>
      </c>
      <c r="C10" s="51">
        <v>65</v>
      </c>
      <c r="G10" t="s">
        <v>287</v>
      </c>
      <c r="I10" s="51">
        <v>3478</v>
      </c>
    </row>
    <row r="11" spans="1:9" x14ac:dyDescent="0.25">
      <c r="A11">
        <v>16</v>
      </c>
      <c r="B11" s="51">
        <v>76</v>
      </c>
      <c r="C11" s="51">
        <v>199</v>
      </c>
      <c r="G11" t="s">
        <v>288</v>
      </c>
      <c r="H11" s="51"/>
      <c r="I11" s="51">
        <v>3478</v>
      </c>
    </row>
    <row r="12" spans="1:9" x14ac:dyDescent="0.25">
      <c r="A12">
        <v>18</v>
      </c>
      <c r="B12" s="51">
        <v>80</v>
      </c>
      <c r="C12" s="51">
        <v>181</v>
      </c>
      <c r="E12">
        <f>+F12</f>
        <v>1</v>
      </c>
      <c r="F12">
        <v>1</v>
      </c>
      <c r="G12" t="s">
        <v>280</v>
      </c>
      <c r="H12">
        <v>16</v>
      </c>
      <c r="I12" s="51">
        <v>127</v>
      </c>
    </row>
    <row r="13" spans="1:9" x14ac:dyDescent="0.25">
      <c r="A13">
        <v>19</v>
      </c>
      <c r="B13" s="51">
        <v>84</v>
      </c>
      <c r="C13" s="51">
        <v>208</v>
      </c>
      <c r="E13">
        <f>+$E$12</f>
        <v>1</v>
      </c>
      <c r="G13" t="s">
        <v>281</v>
      </c>
      <c r="H13" s="51">
        <v>12</v>
      </c>
      <c r="I13" s="51">
        <v>127</v>
      </c>
    </row>
    <row r="14" spans="1:9" x14ac:dyDescent="0.25">
      <c r="A14">
        <v>2</v>
      </c>
      <c r="B14" s="51">
        <v>48</v>
      </c>
      <c r="C14" s="51">
        <v>118</v>
      </c>
      <c r="E14">
        <f t="shared" ref="E14:E20" si="0">+$E$12</f>
        <v>1</v>
      </c>
      <c r="G14" t="s">
        <v>282</v>
      </c>
      <c r="H14" s="51">
        <v>21</v>
      </c>
      <c r="I14" s="51">
        <v>127</v>
      </c>
    </row>
    <row r="15" spans="1:9" x14ac:dyDescent="0.25">
      <c r="A15">
        <v>20</v>
      </c>
      <c r="B15" s="51">
        <v>96</v>
      </c>
      <c r="C15" s="51">
        <v>227</v>
      </c>
      <c r="E15">
        <f t="shared" si="0"/>
        <v>1</v>
      </c>
      <c r="G15" t="s">
        <v>283</v>
      </c>
      <c r="H15" s="51">
        <v>17</v>
      </c>
      <c r="I15" s="51">
        <v>127</v>
      </c>
    </row>
    <row r="16" spans="1:9" x14ac:dyDescent="0.25">
      <c r="A16">
        <v>21</v>
      </c>
      <c r="B16" s="51">
        <v>73</v>
      </c>
      <c r="C16" s="51">
        <v>171</v>
      </c>
      <c r="E16">
        <f t="shared" si="0"/>
        <v>1</v>
      </c>
      <c r="G16" t="s">
        <v>284</v>
      </c>
      <c r="H16" s="51">
        <v>26</v>
      </c>
      <c r="I16" s="51">
        <v>127</v>
      </c>
    </row>
    <row r="17" spans="1:9" x14ac:dyDescent="0.25">
      <c r="A17">
        <v>22</v>
      </c>
      <c r="B17" s="51">
        <v>27</v>
      </c>
      <c r="C17" s="51">
        <v>75</v>
      </c>
      <c r="E17">
        <f t="shared" si="0"/>
        <v>1</v>
      </c>
      <c r="G17" t="s">
        <v>285</v>
      </c>
      <c r="H17" s="51">
        <v>26</v>
      </c>
      <c r="I17" s="51">
        <v>127</v>
      </c>
    </row>
    <row r="18" spans="1:9" x14ac:dyDescent="0.25">
      <c r="A18">
        <v>23</v>
      </c>
      <c r="B18" s="51">
        <v>80</v>
      </c>
      <c r="C18" s="51">
        <v>155</v>
      </c>
      <c r="E18">
        <f t="shared" si="0"/>
        <v>1</v>
      </c>
      <c r="G18" t="s">
        <v>286</v>
      </c>
      <c r="H18" s="51">
        <v>8</v>
      </c>
      <c r="I18" s="51">
        <v>127</v>
      </c>
    </row>
    <row r="19" spans="1:9" x14ac:dyDescent="0.25">
      <c r="A19">
        <v>24</v>
      </c>
      <c r="B19" s="51">
        <v>43</v>
      </c>
      <c r="C19" s="51">
        <v>178</v>
      </c>
      <c r="E19">
        <f t="shared" si="0"/>
        <v>1</v>
      </c>
      <c r="G19" t="s">
        <v>287</v>
      </c>
      <c r="H19" s="51">
        <v>8</v>
      </c>
      <c r="I19" s="51">
        <v>127</v>
      </c>
    </row>
    <row r="20" spans="1:9" x14ac:dyDescent="0.25">
      <c r="A20">
        <v>25</v>
      </c>
      <c r="B20" s="51">
        <v>41</v>
      </c>
      <c r="C20" s="51">
        <v>172</v>
      </c>
      <c r="E20">
        <f t="shared" si="0"/>
        <v>1</v>
      </c>
      <c r="G20" t="s">
        <v>288</v>
      </c>
      <c r="H20">
        <v>10</v>
      </c>
      <c r="I20" s="51">
        <v>127</v>
      </c>
    </row>
    <row r="21" spans="1:9" x14ac:dyDescent="0.25">
      <c r="A21">
        <v>26</v>
      </c>
      <c r="B21" s="51"/>
      <c r="C21" s="51">
        <v>167</v>
      </c>
      <c r="E21">
        <f>+$F$21</f>
        <v>10</v>
      </c>
      <c r="F21">
        <v>10</v>
      </c>
      <c r="G21" t="s">
        <v>280</v>
      </c>
      <c r="H21" s="51">
        <v>9</v>
      </c>
      <c r="I21" s="51">
        <v>183</v>
      </c>
    </row>
    <row r="22" spans="1:9" x14ac:dyDescent="0.25">
      <c r="A22">
        <v>27</v>
      </c>
      <c r="B22" s="51">
        <v>62</v>
      </c>
      <c r="C22" s="51">
        <v>133</v>
      </c>
      <c r="E22">
        <f t="shared" ref="E22:E29" si="1">+$F$21</f>
        <v>10</v>
      </c>
      <c r="G22" t="s">
        <v>281</v>
      </c>
      <c r="H22" s="51">
        <v>4</v>
      </c>
      <c r="I22" s="51">
        <v>183</v>
      </c>
    </row>
    <row r="23" spans="1:9" x14ac:dyDescent="0.25">
      <c r="A23">
        <v>28</v>
      </c>
      <c r="B23" s="51">
        <v>64</v>
      </c>
      <c r="C23" s="51">
        <v>168</v>
      </c>
      <c r="E23">
        <f t="shared" si="1"/>
        <v>10</v>
      </c>
      <c r="G23" t="s">
        <v>282</v>
      </c>
      <c r="H23" s="51">
        <v>18</v>
      </c>
      <c r="I23" s="51">
        <v>183</v>
      </c>
    </row>
    <row r="24" spans="1:9" x14ac:dyDescent="0.25">
      <c r="A24">
        <v>3</v>
      </c>
      <c r="B24" s="51">
        <v>76</v>
      </c>
      <c r="C24" s="51">
        <v>170</v>
      </c>
      <c r="E24">
        <f t="shared" si="1"/>
        <v>10</v>
      </c>
      <c r="G24" t="s">
        <v>283</v>
      </c>
      <c r="H24" s="51">
        <v>24</v>
      </c>
      <c r="I24" s="51">
        <v>183</v>
      </c>
    </row>
    <row r="25" spans="1:9" x14ac:dyDescent="0.25">
      <c r="A25">
        <v>30</v>
      </c>
      <c r="B25" s="51">
        <v>7</v>
      </c>
      <c r="C25" s="51">
        <v>139</v>
      </c>
      <c r="E25">
        <f t="shared" si="1"/>
        <v>10</v>
      </c>
      <c r="G25" t="s">
        <v>284</v>
      </c>
      <c r="H25" s="51">
        <v>21</v>
      </c>
      <c r="I25" s="51">
        <v>183</v>
      </c>
    </row>
    <row r="26" spans="1:9" x14ac:dyDescent="0.25">
      <c r="A26">
        <v>31</v>
      </c>
      <c r="B26" s="51">
        <v>53</v>
      </c>
      <c r="C26" s="51">
        <v>161</v>
      </c>
      <c r="E26">
        <f t="shared" si="1"/>
        <v>10</v>
      </c>
      <c r="G26" t="s">
        <v>285</v>
      </c>
      <c r="H26" s="51">
        <v>14</v>
      </c>
      <c r="I26" s="51">
        <v>183</v>
      </c>
    </row>
    <row r="27" spans="1:9" x14ac:dyDescent="0.25">
      <c r="A27">
        <v>32</v>
      </c>
      <c r="B27" s="51">
        <v>11</v>
      </c>
      <c r="C27" s="51">
        <v>58</v>
      </c>
      <c r="E27">
        <f t="shared" si="1"/>
        <v>10</v>
      </c>
      <c r="G27" t="s">
        <v>286</v>
      </c>
      <c r="H27" s="51">
        <v>4</v>
      </c>
      <c r="I27" s="51">
        <v>183</v>
      </c>
    </row>
    <row r="28" spans="1:9" x14ac:dyDescent="0.25">
      <c r="A28">
        <v>33</v>
      </c>
      <c r="B28" s="51">
        <v>57</v>
      </c>
      <c r="C28" s="51">
        <v>167</v>
      </c>
      <c r="E28">
        <f t="shared" si="1"/>
        <v>10</v>
      </c>
      <c r="G28" t="s">
        <v>287</v>
      </c>
      <c r="H28" s="51">
        <v>2</v>
      </c>
      <c r="I28" s="51">
        <v>183</v>
      </c>
    </row>
    <row r="29" spans="1:9" x14ac:dyDescent="0.25">
      <c r="A29">
        <v>36</v>
      </c>
      <c r="B29" s="51">
        <v>47</v>
      </c>
      <c r="C29" s="51">
        <v>160</v>
      </c>
      <c r="E29">
        <f t="shared" si="1"/>
        <v>10</v>
      </c>
      <c r="G29" t="s">
        <v>288</v>
      </c>
      <c r="H29" s="51">
        <v>5</v>
      </c>
      <c r="I29" s="51">
        <v>183</v>
      </c>
    </row>
    <row r="30" spans="1:9" x14ac:dyDescent="0.25">
      <c r="A30">
        <v>37</v>
      </c>
      <c r="B30" s="51">
        <v>18</v>
      </c>
      <c r="C30" s="51">
        <v>142</v>
      </c>
      <c r="E30">
        <f>+$F$30</f>
        <v>100</v>
      </c>
      <c r="F30">
        <v>100</v>
      </c>
      <c r="G30" t="s">
        <v>280</v>
      </c>
      <c r="H30" s="51">
        <v>11</v>
      </c>
      <c r="I30" s="51">
        <v>2031</v>
      </c>
    </row>
    <row r="31" spans="1:9" x14ac:dyDescent="0.25">
      <c r="A31">
        <v>4</v>
      </c>
      <c r="B31" s="51">
        <v>71</v>
      </c>
      <c r="C31" s="51">
        <v>182</v>
      </c>
      <c r="E31">
        <f t="shared" ref="E31:E38" si="2">+$F$30</f>
        <v>100</v>
      </c>
      <c r="G31" t="s">
        <v>281</v>
      </c>
      <c r="H31" s="51">
        <v>11</v>
      </c>
      <c r="I31" s="51">
        <v>2031</v>
      </c>
    </row>
    <row r="32" spans="1:9" x14ac:dyDescent="0.25">
      <c r="A32">
        <v>40</v>
      </c>
      <c r="B32" s="51">
        <v>45</v>
      </c>
      <c r="C32" s="51">
        <v>250</v>
      </c>
      <c r="E32">
        <f t="shared" si="2"/>
        <v>100</v>
      </c>
      <c r="G32" t="s">
        <v>282</v>
      </c>
      <c r="H32" s="51">
        <v>8</v>
      </c>
      <c r="I32" s="51">
        <v>2031</v>
      </c>
    </row>
    <row r="33" spans="1:9" x14ac:dyDescent="0.25">
      <c r="A33">
        <v>42</v>
      </c>
      <c r="B33" s="51">
        <v>11</v>
      </c>
      <c r="C33" s="51">
        <v>52</v>
      </c>
      <c r="E33">
        <f t="shared" si="2"/>
        <v>100</v>
      </c>
      <c r="G33" t="s">
        <v>283</v>
      </c>
      <c r="H33" s="51">
        <v>11</v>
      </c>
      <c r="I33" s="51">
        <v>2031</v>
      </c>
    </row>
    <row r="34" spans="1:9" x14ac:dyDescent="0.25">
      <c r="A34">
        <v>43</v>
      </c>
      <c r="B34" s="51"/>
      <c r="C34" s="51">
        <v>93</v>
      </c>
      <c r="E34">
        <f t="shared" si="2"/>
        <v>100</v>
      </c>
      <c r="G34" t="s">
        <v>284</v>
      </c>
      <c r="H34" s="51">
        <v>12</v>
      </c>
      <c r="I34" s="51">
        <v>2031</v>
      </c>
    </row>
    <row r="35" spans="1:9" x14ac:dyDescent="0.25">
      <c r="A35">
        <v>44</v>
      </c>
      <c r="B35" s="51">
        <v>67</v>
      </c>
      <c r="C35" s="51">
        <v>173</v>
      </c>
      <c r="E35">
        <f t="shared" si="2"/>
        <v>100</v>
      </c>
      <c r="G35" t="s">
        <v>285</v>
      </c>
      <c r="H35" s="51">
        <v>9</v>
      </c>
      <c r="I35" s="51">
        <v>2031</v>
      </c>
    </row>
    <row r="36" spans="1:9" x14ac:dyDescent="0.25">
      <c r="A36">
        <v>49</v>
      </c>
      <c r="B36" s="51"/>
      <c r="C36" s="51">
        <v>244</v>
      </c>
      <c r="E36">
        <f t="shared" si="2"/>
        <v>100</v>
      </c>
      <c r="G36" t="s">
        <v>286</v>
      </c>
      <c r="H36" s="51">
        <v>3</v>
      </c>
      <c r="I36" s="51">
        <v>2031</v>
      </c>
    </row>
    <row r="37" spans="1:9" x14ac:dyDescent="0.25">
      <c r="A37">
        <v>5</v>
      </c>
      <c r="B37" s="51">
        <v>112</v>
      </c>
      <c r="C37" s="51">
        <v>261</v>
      </c>
      <c r="E37">
        <f t="shared" si="2"/>
        <v>100</v>
      </c>
      <c r="G37" t="s">
        <v>287</v>
      </c>
      <c r="H37" s="51">
        <v>4</v>
      </c>
      <c r="I37" s="51">
        <v>2031</v>
      </c>
    </row>
    <row r="38" spans="1:9" x14ac:dyDescent="0.25">
      <c r="A38">
        <v>52</v>
      </c>
      <c r="B38" s="51">
        <v>8</v>
      </c>
      <c r="C38" s="51">
        <v>102</v>
      </c>
      <c r="E38">
        <f t="shared" si="2"/>
        <v>100</v>
      </c>
      <c r="G38" t="s">
        <v>288</v>
      </c>
      <c r="H38" s="51">
        <v>1</v>
      </c>
      <c r="I38" s="51">
        <v>2031</v>
      </c>
    </row>
    <row r="39" spans="1:9" x14ac:dyDescent="0.25">
      <c r="A39">
        <v>53</v>
      </c>
      <c r="B39" s="51">
        <v>13</v>
      </c>
      <c r="C39" s="51">
        <v>105</v>
      </c>
      <c r="E39">
        <f>+$F$39</f>
        <v>11</v>
      </c>
      <c r="F39">
        <v>11</v>
      </c>
      <c r="G39" t="s">
        <v>280</v>
      </c>
      <c r="H39" s="51">
        <v>16</v>
      </c>
      <c r="I39" s="51">
        <v>169</v>
      </c>
    </row>
    <row r="40" spans="1:9" x14ac:dyDescent="0.25">
      <c r="A40">
        <v>54</v>
      </c>
      <c r="B40" s="51">
        <v>59</v>
      </c>
      <c r="C40" s="51">
        <v>197</v>
      </c>
      <c r="E40">
        <f t="shared" ref="E40:E47" si="3">+$F$39</f>
        <v>11</v>
      </c>
      <c r="G40" t="s">
        <v>281</v>
      </c>
      <c r="H40" s="51">
        <v>7</v>
      </c>
      <c r="I40" s="51">
        <v>169</v>
      </c>
    </row>
    <row r="41" spans="1:9" x14ac:dyDescent="0.25">
      <c r="A41">
        <v>56</v>
      </c>
      <c r="B41">
        <v>44</v>
      </c>
      <c r="C41" s="51">
        <v>197</v>
      </c>
      <c r="E41">
        <f t="shared" si="3"/>
        <v>11</v>
      </c>
      <c r="G41" t="s">
        <v>282</v>
      </c>
      <c r="H41" s="51">
        <v>28</v>
      </c>
      <c r="I41" s="51">
        <v>169</v>
      </c>
    </row>
    <row r="42" spans="1:9" x14ac:dyDescent="0.25">
      <c r="A42">
        <v>57</v>
      </c>
      <c r="B42" s="51">
        <v>11</v>
      </c>
      <c r="C42" s="51">
        <v>105</v>
      </c>
      <c r="E42">
        <f t="shared" si="3"/>
        <v>11</v>
      </c>
      <c r="G42" t="s">
        <v>283</v>
      </c>
      <c r="H42" s="51">
        <v>17</v>
      </c>
      <c r="I42" s="51">
        <v>169</v>
      </c>
    </row>
    <row r="43" spans="1:9" x14ac:dyDescent="0.25">
      <c r="A43">
        <v>58</v>
      </c>
      <c r="B43" s="51">
        <v>11</v>
      </c>
      <c r="C43" s="51">
        <v>122</v>
      </c>
      <c r="E43">
        <f t="shared" si="3"/>
        <v>11</v>
      </c>
      <c r="G43" t="s">
        <v>284</v>
      </c>
      <c r="H43" s="51">
        <v>21</v>
      </c>
      <c r="I43" s="51">
        <v>169</v>
      </c>
    </row>
    <row r="44" spans="1:9" x14ac:dyDescent="0.25">
      <c r="A44">
        <v>59</v>
      </c>
      <c r="B44" s="51">
        <v>29</v>
      </c>
      <c r="C44" s="51">
        <v>125</v>
      </c>
      <c r="E44">
        <f t="shared" si="3"/>
        <v>11</v>
      </c>
      <c r="G44" t="s">
        <v>285</v>
      </c>
      <c r="H44" s="51">
        <v>26</v>
      </c>
      <c r="I44" s="51">
        <v>169</v>
      </c>
    </row>
    <row r="45" spans="1:9" x14ac:dyDescent="0.25">
      <c r="A45">
        <v>7</v>
      </c>
      <c r="B45" s="51">
        <v>4</v>
      </c>
      <c r="C45" s="51">
        <v>115</v>
      </c>
      <c r="E45">
        <f t="shared" si="3"/>
        <v>11</v>
      </c>
      <c r="G45" t="s">
        <v>286</v>
      </c>
      <c r="H45" s="51">
        <v>6</v>
      </c>
      <c r="I45" s="51">
        <v>169</v>
      </c>
    </row>
    <row r="46" spans="1:9" x14ac:dyDescent="0.25">
      <c r="A46">
        <v>8</v>
      </c>
      <c r="B46" s="51">
        <v>25</v>
      </c>
      <c r="C46" s="51">
        <v>195</v>
      </c>
      <c r="E46">
        <f t="shared" si="3"/>
        <v>11</v>
      </c>
      <c r="G46" t="s">
        <v>287</v>
      </c>
      <c r="H46" s="51">
        <v>4</v>
      </c>
      <c r="I46" s="51">
        <v>169</v>
      </c>
    </row>
    <row r="47" spans="1:9" x14ac:dyDescent="0.25">
      <c r="A47">
        <v>9</v>
      </c>
      <c r="B47" s="51">
        <v>58</v>
      </c>
      <c r="C47" s="51">
        <v>156</v>
      </c>
      <c r="E47">
        <f t="shared" si="3"/>
        <v>11</v>
      </c>
      <c r="G47" t="s">
        <v>288</v>
      </c>
      <c r="H47" s="51">
        <v>5</v>
      </c>
      <c r="I47" s="51">
        <v>169</v>
      </c>
    </row>
    <row r="48" spans="1:9" x14ac:dyDescent="0.25">
      <c r="B48" s="51"/>
      <c r="C48" s="51"/>
      <c r="E48">
        <f>+$F$48</f>
        <v>12</v>
      </c>
      <c r="F48">
        <v>12</v>
      </c>
      <c r="G48" t="s">
        <v>280</v>
      </c>
      <c r="H48" s="51">
        <v>22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281</v>
      </c>
      <c r="H49" s="51">
        <v>14</v>
      </c>
      <c r="I49" s="51">
        <v>214</v>
      </c>
    </row>
    <row r="50" spans="2:9" x14ac:dyDescent="0.25">
      <c r="E50">
        <f t="shared" si="4"/>
        <v>12</v>
      </c>
      <c r="G50" t="s">
        <v>282</v>
      </c>
      <c r="H50" s="51">
        <v>15</v>
      </c>
      <c r="I50" s="51">
        <v>214</v>
      </c>
    </row>
    <row r="51" spans="2:9" x14ac:dyDescent="0.25">
      <c r="E51">
        <f t="shared" si="4"/>
        <v>12</v>
      </c>
      <c r="G51" t="s">
        <v>283</v>
      </c>
      <c r="H51" s="51">
        <v>23</v>
      </c>
      <c r="I51" s="51">
        <v>214</v>
      </c>
    </row>
    <row r="52" spans="2:9" x14ac:dyDescent="0.25">
      <c r="E52">
        <f t="shared" si="4"/>
        <v>12</v>
      </c>
      <c r="G52" t="s">
        <v>284</v>
      </c>
      <c r="H52" s="51">
        <v>34</v>
      </c>
      <c r="I52" s="51">
        <v>214</v>
      </c>
    </row>
    <row r="53" spans="2:9" x14ac:dyDescent="0.25">
      <c r="E53">
        <f t="shared" si="4"/>
        <v>12</v>
      </c>
      <c r="G53" t="s">
        <v>285</v>
      </c>
      <c r="H53" s="51">
        <v>19</v>
      </c>
      <c r="I53" s="51">
        <v>214</v>
      </c>
    </row>
    <row r="54" spans="2:9" x14ac:dyDescent="0.25">
      <c r="E54">
        <f t="shared" si="4"/>
        <v>12</v>
      </c>
      <c r="G54" t="s">
        <v>286</v>
      </c>
      <c r="H54" s="51">
        <v>6</v>
      </c>
      <c r="I54" s="51">
        <v>214</v>
      </c>
    </row>
    <row r="55" spans="2:9" x14ac:dyDescent="0.25">
      <c r="E55">
        <f t="shared" si="4"/>
        <v>12</v>
      </c>
      <c r="G55" t="s">
        <v>287</v>
      </c>
      <c r="H55" s="51">
        <v>1</v>
      </c>
      <c r="I55" s="51">
        <v>214</v>
      </c>
    </row>
    <row r="56" spans="2:9" x14ac:dyDescent="0.25">
      <c r="E56">
        <f t="shared" si="4"/>
        <v>12</v>
      </c>
      <c r="G56" t="s">
        <v>288</v>
      </c>
      <c r="H56" s="51">
        <v>6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280</v>
      </c>
      <c r="H57" s="51">
        <v>11</v>
      </c>
      <c r="I57" s="51">
        <v>491</v>
      </c>
    </row>
    <row r="58" spans="2:9" x14ac:dyDescent="0.25">
      <c r="E58">
        <f t="shared" ref="E58:E65" si="5">+$F$57</f>
        <v>123</v>
      </c>
      <c r="G58" t="s">
        <v>281</v>
      </c>
      <c r="H58" s="51">
        <v>14</v>
      </c>
      <c r="I58" s="51">
        <v>491</v>
      </c>
    </row>
    <row r="59" spans="2:9" x14ac:dyDescent="0.25">
      <c r="E59">
        <f t="shared" si="5"/>
        <v>123</v>
      </c>
      <c r="G59" t="s">
        <v>282</v>
      </c>
      <c r="H59" s="51">
        <v>9</v>
      </c>
      <c r="I59" s="51">
        <v>491</v>
      </c>
    </row>
    <row r="60" spans="2:9" x14ac:dyDescent="0.25">
      <c r="E60">
        <f t="shared" si="5"/>
        <v>123</v>
      </c>
      <c r="G60" t="s">
        <v>283</v>
      </c>
      <c r="H60" s="51">
        <v>8</v>
      </c>
      <c r="I60" s="51">
        <v>491</v>
      </c>
    </row>
    <row r="61" spans="2:9" x14ac:dyDescent="0.25">
      <c r="E61">
        <f t="shared" si="5"/>
        <v>123</v>
      </c>
      <c r="G61" t="s">
        <v>284</v>
      </c>
      <c r="H61" s="51">
        <v>11</v>
      </c>
      <c r="I61" s="51">
        <v>491</v>
      </c>
    </row>
    <row r="62" spans="2:9" x14ac:dyDescent="0.25">
      <c r="E62">
        <f t="shared" si="5"/>
        <v>123</v>
      </c>
      <c r="G62" t="s">
        <v>285</v>
      </c>
      <c r="H62" s="51">
        <v>7</v>
      </c>
      <c r="I62" s="51">
        <v>491</v>
      </c>
    </row>
    <row r="63" spans="2:9" x14ac:dyDescent="0.25">
      <c r="E63">
        <f t="shared" si="5"/>
        <v>123</v>
      </c>
      <c r="G63" t="s">
        <v>286</v>
      </c>
      <c r="H63" s="51">
        <v>5</v>
      </c>
      <c r="I63" s="51">
        <v>491</v>
      </c>
    </row>
    <row r="64" spans="2:9" x14ac:dyDescent="0.25">
      <c r="E64">
        <f t="shared" si="5"/>
        <v>123</v>
      </c>
      <c r="G64" t="s">
        <v>287</v>
      </c>
      <c r="H64" s="51">
        <v>2</v>
      </c>
      <c r="I64" s="51">
        <v>491</v>
      </c>
    </row>
    <row r="65" spans="5:9" x14ac:dyDescent="0.25">
      <c r="E65">
        <f t="shared" si="5"/>
        <v>123</v>
      </c>
      <c r="G65" t="s">
        <v>288</v>
      </c>
      <c r="H65" s="51">
        <v>2</v>
      </c>
      <c r="I65" s="51">
        <v>491</v>
      </c>
    </row>
    <row r="66" spans="5:9" x14ac:dyDescent="0.25">
      <c r="E66">
        <f>+$F$66</f>
        <v>15</v>
      </c>
      <c r="F66">
        <v>15</v>
      </c>
      <c r="G66" t="s">
        <v>280</v>
      </c>
      <c r="H66" s="51">
        <v>7</v>
      </c>
      <c r="I66" s="51">
        <v>65</v>
      </c>
    </row>
    <row r="67" spans="5:9" x14ac:dyDescent="0.25">
      <c r="E67">
        <f t="shared" ref="E67:E74" si="6">+$F$66</f>
        <v>15</v>
      </c>
      <c r="G67" t="s">
        <v>281</v>
      </c>
      <c r="H67" s="51">
        <v>1</v>
      </c>
      <c r="I67" s="51">
        <v>65</v>
      </c>
    </row>
    <row r="68" spans="5:9" x14ac:dyDescent="0.25">
      <c r="E68">
        <f t="shared" si="6"/>
        <v>15</v>
      </c>
      <c r="G68" t="s">
        <v>282</v>
      </c>
      <c r="H68" s="51">
        <v>4</v>
      </c>
      <c r="I68" s="51">
        <v>65</v>
      </c>
    </row>
    <row r="69" spans="5:9" x14ac:dyDescent="0.25">
      <c r="E69">
        <f t="shared" si="6"/>
        <v>15</v>
      </c>
      <c r="G69" t="s">
        <v>283</v>
      </c>
      <c r="H69" s="51">
        <v>5</v>
      </c>
      <c r="I69" s="51">
        <v>65</v>
      </c>
    </row>
    <row r="70" spans="5:9" x14ac:dyDescent="0.25">
      <c r="E70">
        <f t="shared" si="6"/>
        <v>15</v>
      </c>
      <c r="G70" t="s">
        <v>284</v>
      </c>
      <c r="H70" s="51">
        <v>8</v>
      </c>
      <c r="I70" s="51">
        <v>65</v>
      </c>
    </row>
    <row r="71" spans="5:9" x14ac:dyDescent="0.25">
      <c r="E71">
        <f t="shared" si="6"/>
        <v>15</v>
      </c>
      <c r="G71" t="s">
        <v>285</v>
      </c>
      <c r="H71" s="51">
        <v>4</v>
      </c>
      <c r="I71" s="51">
        <v>65</v>
      </c>
    </row>
    <row r="72" spans="5:9" x14ac:dyDescent="0.25">
      <c r="E72">
        <f t="shared" si="6"/>
        <v>15</v>
      </c>
      <c r="G72" t="s">
        <v>286</v>
      </c>
      <c r="H72" s="51">
        <v>2</v>
      </c>
      <c r="I72" s="51">
        <v>65</v>
      </c>
    </row>
    <row r="73" spans="5:9" x14ac:dyDescent="0.25">
      <c r="E73">
        <f t="shared" si="6"/>
        <v>15</v>
      </c>
      <c r="G73" t="s">
        <v>287</v>
      </c>
      <c r="H73" s="51">
        <v>1</v>
      </c>
      <c r="I73" s="51">
        <v>65</v>
      </c>
    </row>
    <row r="74" spans="5:9" x14ac:dyDescent="0.25">
      <c r="E74">
        <f t="shared" si="6"/>
        <v>15</v>
      </c>
      <c r="G74" t="s">
        <v>288</v>
      </c>
      <c r="H74" s="51">
        <v>2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280</v>
      </c>
      <c r="H75" s="51">
        <v>14</v>
      </c>
      <c r="I75" s="51">
        <v>199</v>
      </c>
    </row>
    <row r="76" spans="5:9" x14ac:dyDescent="0.25">
      <c r="E76">
        <f t="shared" ref="E76:E83" si="7">+$F$75</f>
        <v>16</v>
      </c>
      <c r="G76" t="s">
        <v>281</v>
      </c>
      <c r="H76">
        <v>9</v>
      </c>
      <c r="I76" s="51">
        <v>199</v>
      </c>
    </row>
    <row r="77" spans="5:9" x14ac:dyDescent="0.25">
      <c r="E77">
        <f t="shared" si="7"/>
        <v>16</v>
      </c>
      <c r="G77" t="s">
        <v>282</v>
      </c>
      <c r="H77" s="51">
        <v>21</v>
      </c>
      <c r="I77" s="51">
        <v>199</v>
      </c>
    </row>
    <row r="78" spans="5:9" x14ac:dyDescent="0.25">
      <c r="E78">
        <f t="shared" si="7"/>
        <v>16</v>
      </c>
      <c r="G78" t="s">
        <v>283</v>
      </c>
      <c r="H78" s="51">
        <v>26</v>
      </c>
      <c r="I78" s="51">
        <v>199</v>
      </c>
    </row>
    <row r="79" spans="5:9" x14ac:dyDescent="0.25">
      <c r="E79">
        <f t="shared" si="7"/>
        <v>16</v>
      </c>
      <c r="G79" t="s">
        <v>284</v>
      </c>
      <c r="H79" s="51">
        <v>32</v>
      </c>
      <c r="I79" s="51">
        <v>199</v>
      </c>
    </row>
    <row r="80" spans="5:9" x14ac:dyDescent="0.25">
      <c r="E80">
        <f t="shared" si="7"/>
        <v>16</v>
      </c>
      <c r="G80" t="s">
        <v>285</v>
      </c>
      <c r="H80" s="51">
        <v>24</v>
      </c>
      <c r="I80" s="51">
        <v>199</v>
      </c>
    </row>
    <row r="81" spans="5:9" x14ac:dyDescent="0.25">
      <c r="E81">
        <f t="shared" si="7"/>
        <v>16</v>
      </c>
      <c r="G81" t="s">
        <v>286</v>
      </c>
      <c r="H81" s="51">
        <v>4</v>
      </c>
      <c r="I81" s="51">
        <v>199</v>
      </c>
    </row>
    <row r="82" spans="5:9" x14ac:dyDescent="0.25">
      <c r="E82">
        <f t="shared" si="7"/>
        <v>16</v>
      </c>
      <c r="G82" t="s">
        <v>287</v>
      </c>
      <c r="H82" s="51">
        <v>9</v>
      </c>
      <c r="I82" s="51">
        <v>199</v>
      </c>
    </row>
    <row r="83" spans="5:9" x14ac:dyDescent="0.25">
      <c r="E83">
        <f t="shared" si="7"/>
        <v>16</v>
      </c>
      <c r="G83" t="s">
        <v>288</v>
      </c>
      <c r="H83" s="51">
        <v>5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280</v>
      </c>
      <c r="H84" s="51">
        <v>18</v>
      </c>
      <c r="I84" s="51">
        <v>181</v>
      </c>
    </row>
    <row r="85" spans="5:9" x14ac:dyDescent="0.25">
      <c r="E85">
        <f t="shared" ref="E85:E92" si="8">+$F$84</f>
        <v>18</v>
      </c>
      <c r="G85" t="s">
        <v>281</v>
      </c>
      <c r="H85" s="51">
        <v>9</v>
      </c>
      <c r="I85" s="51">
        <v>181</v>
      </c>
    </row>
    <row r="86" spans="5:9" x14ac:dyDescent="0.25">
      <c r="E86">
        <f t="shared" si="8"/>
        <v>18</v>
      </c>
      <c r="G86" t="s">
        <v>282</v>
      </c>
      <c r="H86" s="51">
        <v>18</v>
      </c>
      <c r="I86" s="51">
        <v>181</v>
      </c>
    </row>
    <row r="87" spans="5:9" x14ac:dyDescent="0.25">
      <c r="E87">
        <f t="shared" si="8"/>
        <v>18</v>
      </c>
      <c r="G87" t="s">
        <v>283</v>
      </c>
      <c r="H87" s="51">
        <v>19</v>
      </c>
      <c r="I87" s="51">
        <v>181</v>
      </c>
    </row>
    <row r="88" spans="5:9" x14ac:dyDescent="0.25">
      <c r="E88">
        <f t="shared" si="8"/>
        <v>18</v>
      </c>
      <c r="G88" t="s">
        <v>284</v>
      </c>
      <c r="H88" s="51">
        <v>43</v>
      </c>
      <c r="I88" s="51">
        <v>181</v>
      </c>
    </row>
    <row r="89" spans="5:9" x14ac:dyDescent="0.25">
      <c r="E89">
        <f t="shared" si="8"/>
        <v>18</v>
      </c>
      <c r="G89" t="s">
        <v>285</v>
      </c>
      <c r="H89" s="51">
        <v>27</v>
      </c>
      <c r="I89" s="51">
        <v>181</v>
      </c>
    </row>
    <row r="90" spans="5:9" x14ac:dyDescent="0.25">
      <c r="E90">
        <f t="shared" si="8"/>
        <v>18</v>
      </c>
      <c r="G90" t="s">
        <v>286</v>
      </c>
      <c r="H90" s="51">
        <v>8</v>
      </c>
      <c r="I90" s="51">
        <v>181</v>
      </c>
    </row>
    <row r="91" spans="5:9" x14ac:dyDescent="0.25">
      <c r="E91">
        <f t="shared" si="8"/>
        <v>18</v>
      </c>
      <c r="G91" t="s">
        <v>287</v>
      </c>
      <c r="H91" s="51">
        <v>7</v>
      </c>
      <c r="I91" s="51">
        <v>181</v>
      </c>
    </row>
    <row r="92" spans="5:9" x14ac:dyDescent="0.25">
      <c r="E92">
        <f t="shared" si="8"/>
        <v>18</v>
      </c>
      <c r="G92" t="s">
        <v>288</v>
      </c>
      <c r="H92" s="51">
        <v>12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280</v>
      </c>
      <c r="H93" s="51">
        <v>18</v>
      </c>
      <c r="I93" s="51">
        <v>208</v>
      </c>
    </row>
    <row r="94" spans="5:9" x14ac:dyDescent="0.25">
      <c r="E94">
        <f t="shared" ref="E94:E101" si="9">+$F$93</f>
        <v>19</v>
      </c>
      <c r="G94" t="s">
        <v>281</v>
      </c>
      <c r="H94" s="51">
        <v>10</v>
      </c>
      <c r="I94" s="51">
        <v>208</v>
      </c>
    </row>
    <row r="95" spans="5:9" x14ac:dyDescent="0.25">
      <c r="E95">
        <f t="shared" si="9"/>
        <v>19</v>
      </c>
      <c r="G95" t="s">
        <v>282</v>
      </c>
      <c r="H95" s="51">
        <v>37</v>
      </c>
      <c r="I95" s="51">
        <v>208</v>
      </c>
    </row>
    <row r="96" spans="5:9" x14ac:dyDescent="0.25">
      <c r="E96">
        <f t="shared" si="9"/>
        <v>19</v>
      </c>
      <c r="G96" t="s">
        <v>283</v>
      </c>
      <c r="H96" s="51">
        <v>24</v>
      </c>
      <c r="I96" s="51">
        <v>208</v>
      </c>
    </row>
    <row r="97" spans="5:9" x14ac:dyDescent="0.25">
      <c r="E97">
        <f t="shared" si="9"/>
        <v>19</v>
      </c>
      <c r="G97" t="s">
        <v>284</v>
      </c>
      <c r="H97" s="51">
        <v>41</v>
      </c>
      <c r="I97" s="51">
        <v>208</v>
      </c>
    </row>
    <row r="98" spans="5:9" x14ac:dyDescent="0.25">
      <c r="E98">
        <f t="shared" si="9"/>
        <v>19</v>
      </c>
      <c r="G98" t="s">
        <v>285</v>
      </c>
      <c r="H98" s="51">
        <v>30</v>
      </c>
      <c r="I98" s="51">
        <v>208</v>
      </c>
    </row>
    <row r="99" spans="5:9" x14ac:dyDescent="0.25">
      <c r="E99">
        <f t="shared" si="9"/>
        <v>19</v>
      </c>
      <c r="G99" t="s">
        <v>286</v>
      </c>
      <c r="H99" s="51">
        <v>4</v>
      </c>
      <c r="I99" s="51">
        <v>208</v>
      </c>
    </row>
    <row r="100" spans="5:9" x14ac:dyDescent="0.25">
      <c r="E100">
        <f t="shared" si="9"/>
        <v>19</v>
      </c>
      <c r="G100" t="s">
        <v>287</v>
      </c>
      <c r="H100" s="51">
        <v>16</v>
      </c>
      <c r="I100" s="51">
        <v>208</v>
      </c>
    </row>
    <row r="101" spans="5:9" x14ac:dyDescent="0.25">
      <c r="E101">
        <f t="shared" si="9"/>
        <v>19</v>
      </c>
      <c r="G101" t="s">
        <v>288</v>
      </c>
      <c r="H101" s="51">
        <v>11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280</v>
      </c>
      <c r="H102" s="51">
        <v>8</v>
      </c>
      <c r="I102" s="51">
        <v>118</v>
      </c>
    </row>
    <row r="103" spans="5:9" x14ac:dyDescent="0.25">
      <c r="E103">
        <f t="shared" ref="E103:E110" si="10">+$F$102</f>
        <v>2</v>
      </c>
      <c r="G103" t="s">
        <v>281</v>
      </c>
      <c r="H103" s="51">
        <v>6</v>
      </c>
      <c r="I103" s="51">
        <v>118</v>
      </c>
    </row>
    <row r="104" spans="5:9" x14ac:dyDescent="0.25">
      <c r="E104">
        <f t="shared" si="10"/>
        <v>2</v>
      </c>
      <c r="G104" t="s">
        <v>282</v>
      </c>
      <c r="H104" s="51">
        <v>15</v>
      </c>
      <c r="I104" s="51">
        <v>118</v>
      </c>
    </row>
    <row r="105" spans="5:9" x14ac:dyDescent="0.25">
      <c r="E105">
        <f t="shared" si="10"/>
        <v>2</v>
      </c>
      <c r="G105" t="s">
        <v>283</v>
      </c>
      <c r="H105" s="51">
        <v>17</v>
      </c>
      <c r="I105" s="51">
        <v>118</v>
      </c>
    </row>
    <row r="106" spans="5:9" x14ac:dyDescent="0.25">
      <c r="E106">
        <f t="shared" si="10"/>
        <v>2</v>
      </c>
      <c r="G106" t="s">
        <v>284</v>
      </c>
      <c r="H106" s="51">
        <v>29</v>
      </c>
      <c r="I106" s="51">
        <v>118</v>
      </c>
    </row>
    <row r="107" spans="5:9" x14ac:dyDescent="0.25">
      <c r="E107">
        <f t="shared" si="10"/>
        <v>2</v>
      </c>
      <c r="G107" t="s">
        <v>285</v>
      </c>
      <c r="H107" s="51">
        <v>12</v>
      </c>
      <c r="I107" s="51">
        <v>118</v>
      </c>
    </row>
    <row r="108" spans="5:9" x14ac:dyDescent="0.25">
      <c r="E108">
        <f t="shared" si="10"/>
        <v>2</v>
      </c>
      <c r="G108" t="s">
        <v>286</v>
      </c>
      <c r="H108" s="51">
        <v>5</v>
      </c>
      <c r="I108" s="51">
        <v>118</v>
      </c>
    </row>
    <row r="109" spans="5:9" x14ac:dyDescent="0.25">
      <c r="E109">
        <f t="shared" si="10"/>
        <v>2</v>
      </c>
      <c r="G109" t="s">
        <v>287</v>
      </c>
      <c r="H109" s="51">
        <v>4</v>
      </c>
      <c r="I109" s="51">
        <v>118</v>
      </c>
    </row>
    <row r="110" spans="5:9" x14ac:dyDescent="0.25">
      <c r="E110">
        <f t="shared" si="10"/>
        <v>2</v>
      </c>
      <c r="G110" t="s">
        <v>288</v>
      </c>
      <c r="H110" s="51">
        <v>10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280</v>
      </c>
      <c r="H111" s="51">
        <v>14</v>
      </c>
      <c r="I111" s="51">
        <v>227</v>
      </c>
    </row>
    <row r="112" spans="5:9" x14ac:dyDescent="0.25">
      <c r="E112">
        <f t="shared" ref="E112:E119" si="11">+$F$111</f>
        <v>20</v>
      </c>
      <c r="G112" t="s">
        <v>281</v>
      </c>
      <c r="H112" s="51">
        <v>15</v>
      </c>
      <c r="I112" s="51">
        <v>227</v>
      </c>
    </row>
    <row r="113" spans="5:9" x14ac:dyDescent="0.25">
      <c r="E113">
        <f t="shared" si="11"/>
        <v>20</v>
      </c>
      <c r="G113" t="s">
        <v>282</v>
      </c>
      <c r="H113" s="51">
        <v>33</v>
      </c>
      <c r="I113" s="51">
        <v>227</v>
      </c>
    </row>
    <row r="114" spans="5:9" x14ac:dyDescent="0.25">
      <c r="E114">
        <f t="shared" si="11"/>
        <v>20</v>
      </c>
      <c r="G114" t="s">
        <v>283</v>
      </c>
      <c r="H114" s="51">
        <v>34</v>
      </c>
      <c r="I114" s="51">
        <v>227</v>
      </c>
    </row>
    <row r="115" spans="5:9" x14ac:dyDescent="0.25">
      <c r="E115">
        <f t="shared" si="11"/>
        <v>20</v>
      </c>
      <c r="G115" t="s">
        <v>284</v>
      </c>
      <c r="H115" s="51">
        <v>53</v>
      </c>
      <c r="I115" s="51">
        <v>227</v>
      </c>
    </row>
    <row r="116" spans="5:9" x14ac:dyDescent="0.25">
      <c r="E116">
        <f t="shared" si="11"/>
        <v>20</v>
      </c>
      <c r="G116" t="s">
        <v>285</v>
      </c>
      <c r="H116">
        <v>38</v>
      </c>
      <c r="I116" s="51">
        <v>227</v>
      </c>
    </row>
    <row r="117" spans="5:9" x14ac:dyDescent="0.25">
      <c r="E117">
        <f t="shared" si="11"/>
        <v>20</v>
      </c>
      <c r="G117" t="s">
        <v>286</v>
      </c>
      <c r="H117" s="51">
        <v>8</v>
      </c>
      <c r="I117" s="51">
        <v>227</v>
      </c>
    </row>
    <row r="118" spans="5:9" x14ac:dyDescent="0.25">
      <c r="E118">
        <f t="shared" si="11"/>
        <v>20</v>
      </c>
      <c r="G118" t="s">
        <v>287</v>
      </c>
      <c r="H118" s="51">
        <v>13</v>
      </c>
      <c r="I118" s="51">
        <v>227</v>
      </c>
    </row>
    <row r="119" spans="5:9" x14ac:dyDescent="0.25">
      <c r="E119">
        <f t="shared" si="11"/>
        <v>20</v>
      </c>
      <c r="G119" t="s">
        <v>288</v>
      </c>
      <c r="H119" s="51">
        <v>3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280</v>
      </c>
      <c r="H120" s="51">
        <v>19</v>
      </c>
      <c r="I120" s="51">
        <v>171</v>
      </c>
    </row>
    <row r="121" spans="5:9" x14ac:dyDescent="0.25">
      <c r="E121">
        <f t="shared" ref="E121:E128" si="12">+$F$120</f>
        <v>21</v>
      </c>
      <c r="G121" t="s">
        <v>281</v>
      </c>
      <c r="H121" s="51">
        <v>13</v>
      </c>
      <c r="I121" s="51">
        <v>171</v>
      </c>
    </row>
    <row r="122" spans="5:9" x14ac:dyDescent="0.25">
      <c r="E122">
        <f t="shared" si="12"/>
        <v>21</v>
      </c>
      <c r="G122" t="s">
        <v>282</v>
      </c>
      <c r="H122" s="51">
        <v>32</v>
      </c>
      <c r="I122" s="51">
        <v>171</v>
      </c>
    </row>
    <row r="123" spans="5:9" x14ac:dyDescent="0.25">
      <c r="E123">
        <f t="shared" si="12"/>
        <v>21</v>
      </c>
      <c r="G123" t="s">
        <v>283</v>
      </c>
      <c r="H123" s="51">
        <v>28</v>
      </c>
      <c r="I123" s="51">
        <v>171</v>
      </c>
    </row>
    <row r="124" spans="5:9" x14ac:dyDescent="0.25">
      <c r="E124">
        <f t="shared" si="12"/>
        <v>21</v>
      </c>
      <c r="G124" t="s">
        <v>284</v>
      </c>
      <c r="H124">
        <v>54</v>
      </c>
      <c r="I124" s="51">
        <v>171</v>
      </c>
    </row>
    <row r="125" spans="5:9" x14ac:dyDescent="0.25">
      <c r="E125">
        <f t="shared" si="12"/>
        <v>21</v>
      </c>
      <c r="G125" t="s">
        <v>285</v>
      </c>
      <c r="H125" s="51">
        <v>27</v>
      </c>
      <c r="I125" s="51">
        <v>171</v>
      </c>
    </row>
    <row r="126" spans="5:9" x14ac:dyDescent="0.25">
      <c r="E126">
        <f t="shared" si="12"/>
        <v>21</v>
      </c>
      <c r="G126" t="s">
        <v>286</v>
      </c>
      <c r="H126" s="51">
        <v>7</v>
      </c>
      <c r="I126" s="51">
        <v>171</v>
      </c>
    </row>
    <row r="127" spans="5:9" x14ac:dyDescent="0.25">
      <c r="E127">
        <f t="shared" si="12"/>
        <v>21</v>
      </c>
      <c r="G127" t="s">
        <v>287</v>
      </c>
      <c r="H127" s="51">
        <v>7</v>
      </c>
      <c r="I127" s="51">
        <v>171</v>
      </c>
    </row>
    <row r="128" spans="5:9" x14ac:dyDescent="0.25">
      <c r="E128">
        <f t="shared" si="12"/>
        <v>21</v>
      </c>
      <c r="G128" t="s">
        <v>288</v>
      </c>
      <c r="H128" s="51">
        <v>8</v>
      </c>
      <c r="I128" s="51">
        <v>171</v>
      </c>
    </row>
    <row r="129" spans="5:9" x14ac:dyDescent="0.25">
      <c r="E129">
        <f>+$F$129</f>
        <v>22</v>
      </c>
      <c r="F129">
        <v>22</v>
      </c>
      <c r="G129" t="s">
        <v>280</v>
      </c>
      <c r="H129" s="51">
        <v>18</v>
      </c>
      <c r="I129" s="51">
        <v>75</v>
      </c>
    </row>
    <row r="130" spans="5:9" x14ac:dyDescent="0.25">
      <c r="E130">
        <f t="shared" ref="E130:E137" si="13">+$F$129</f>
        <v>22</v>
      </c>
      <c r="G130" t="s">
        <v>281</v>
      </c>
      <c r="H130" s="51">
        <v>10</v>
      </c>
      <c r="I130" s="51">
        <v>75</v>
      </c>
    </row>
    <row r="131" spans="5:9" x14ac:dyDescent="0.25">
      <c r="E131">
        <f t="shared" si="13"/>
        <v>22</v>
      </c>
      <c r="G131" t="s">
        <v>282</v>
      </c>
      <c r="H131" s="51">
        <v>9</v>
      </c>
      <c r="I131" s="51">
        <v>75</v>
      </c>
    </row>
    <row r="132" spans="5:9" x14ac:dyDescent="0.25">
      <c r="E132">
        <f t="shared" si="13"/>
        <v>22</v>
      </c>
      <c r="G132" t="s">
        <v>283</v>
      </c>
      <c r="H132" s="51">
        <v>16</v>
      </c>
      <c r="I132" s="51">
        <v>75</v>
      </c>
    </row>
    <row r="133" spans="5:9" x14ac:dyDescent="0.25">
      <c r="E133">
        <f t="shared" si="13"/>
        <v>22</v>
      </c>
      <c r="G133" t="s">
        <v>284</v>
      </c>
      <c r="H133" s="51">
        <v>22</v>
      </c>
      <c r="I133" s="51">
        <v>75</v>
      </c>
    </row>
    <row r="134" spans="5:9" x14ac:dyDescent="0.25">
      <c r="E134">
        <f t="shared" si="13"/>
        <v>22</v>
      </c>
      <c r="G134" t="s">
        <v>285</v>
      </c>
      <c r="H134" s="51">
        <v>12</v>
      </c>
      <c r="I134" s="51">
        <v>75</v>
      </c>
    </row>
    <row r="135" spans="5:9" x14ac:dyDescent="0.25">
      <c r="E135">
        <f t="shared" si="13"/>
        <v>22</v>
      </c>
      <c r="G135" t="s">
        <v>286</v>
      </c>
      <c r="H135" s="51">
        <v>20</v>
      </c>
      <c r="I135" s="51">
        <v>75</v>
      </c>
    </row>
    <row r="136" spans="5:9" x14ac:dyDescent="0.25">
      <c r="E136">
        <f t="shared" si="13"/>
        <v>22</v>
      </c>
      <c r="G136" t="s">
        <v>287</v>
      </c>
      <c r="H136" s="51">
        <v>4</v>
      </c>
      <c r="I136" s="51">
        <v>75</v>
      </c>
    </row>
    <row r="137" spans="5:9" x14ac:dyDescent="0.25">
      <c r="E137">
        <f t="shared" si="13"/>
        <v>22</v>
      </c>
      <c r="G137" t="s">
        <v>288</v>
      </c>
      <c r="H137" s="51">
        <v>8</v>
      </c>
      <c r="I137" s="51">
        <v>75</v>
      </c>
    </row>
    <row r="138" spans="5:9" x14ac:dyDescent="0.25">
      <c r="E138">
        <f>+$F$138</f>
        <v>23</v>
      </c>
      <c r="F138">
        <v>23</v>
      </c>
      <c r="G138" t="s">
        <v>280</v>
      </c>
      <c r="H138" s="51">
        <v>22</v>
      </c>
      <c r="I138" s="51">
        <v>155</v>
      </c>
    </row>
    <row r="139" spans="5:9" x14ac:dyDescent="0.25">
      <c r="E139">
        <f t="shared" ref="E139:E146" si="14">+$F$138</f>
        <v>23</v>
      </c>
      <c r="G139" t="s">
        <v>281</v>
      </c>
      <c r="H139" s="51">
        <v>13</v>
      </c>
      <c r="I139" s="51">
        <v>155</v>
      </c>
    </row>
    <row r="140" spans="5:9" x14ac:dyDescent="0.25">
      <c r="E140">
        <f t="shared" si="14"/>
        <v>23</v>
      </c>
      <c r="G140" t="s">
        <v>282</v>
      </c>
      <c r="H140">
        <v>33</v>
      </c>
      <c r="I140" s="51">
        <v>155</v>
      </c>
    </row>
    <row r="141" spans="5:9" x14ac:dyDescent="0.25">
      <c r="E141">
        <f t="shared" si="14"/>
        <v>23</v>
      </c>
      <c r="G141" t="s">
        <v>283</v>
      </c>
      <c r="H141" s="51">
        <v>16</v>
      </c>
      <c r="I141" s="51">
        <v>155</v>
      </c>
    </row>
    <row r="142" spans="5:9" x14ac:dyDescent="0.25">
      <c r="E142">
        <f t="shared" si="14"/>
        <v>23</v>
      </c>
      <c r="G142" t="s">
        <v>284</v>
      </c>
      <c r="H142" s="51">
        <v>54</v>
      </c>
      <c r="I142" s="51">
        <v>155</v>
      </c>
    </row>
    <row r="143" spans="5:9" x14ac:dyDescent="0.25">
      <c r="E143">
        <f t="shared" si="14"/>
        <v>23</v>
      </c>
      <c r="G143" t="s">
        <v>285</v>
      </c>
      <c r="H143" s="51">
        <v>33</v>
      </c>
      <c r="I143" s="51">
        <v>155</v>
      </c>
    </row>
    <row r="144" spans="5:9" x14ac:dyDescent="0.25">
      <c r="E144">
        <f t="shared" si="14"/>
        <v>23</v>
      </c>
      <c r="G144" t="s">
        <v>286</v>
      </c>
      <c r="H144" s="51">
        <v>3</v>
      </c>
      <c r="I144" s="51">
        <v>155</v>
      </c>
    </row>
    <row r="145" spans="5:9" x14ac:dyDescent="0.25">
      <c r="E145">
        <f t="shared" si="14"/>
        <v>23</v>
      </c>
      <c r="G145" t="s">
        <v>287</v>
      </c>
      <c r="H145" s="51">
        <v>9</v>
      </c>
      <c r="I145" s="51">
        <v>155</v>
      </c>
    </row>
    <row r="146" spans="5:9" x14ac:dyDescent="0.25">
      <c r="E146">
        <f t="shared" si="14"/>
        <v>23</v>
      </c>
      <c r="G146" t="s">
        <v>288</v>
      </c>
      <c r="H146" s="51">
        <v>5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280</v>
      </c>
      <c r="H147" s="51">
        <v>8</v>
      </c>
      <c r="I147" s="51">
        <v>178</v>
      </c>
    </row>
    <row r="148" spans="5:9" x14ac:dyDescent="0.25">
      <c r="E148">
        <f t="shared" ref="E148:E155" si="15">+$F$147</f>
        <v>24</v>
      </c>
      <c r="G148" t="s">
        <v>281</v>
      </c>
      <c r="H148">
        <v>4</v>
      </c>
      <c r="I148" s="51">
        <v>178</v>
      </c>
    </row>
    <row r="149" spans="5:9" x14ac:dyDescent="0.25">
      <c r="E149">
        <f t="shared" si="15"/>
        <v>24</v>
      </c>
      <c r="G149" t="s">
        <v>282</v>
      </c>
      <c r="H149" s="51">
        <v>18</v>
      </c>
      <c r="I149" s="51">
        <v>178</v>
      </c>
    </row>
    <row r="150" spans="5:9" x14ac:dyDescent="0.25">
      <c r="E150">
        <f t="shared" si="15"/>
        <v>24</v>
      </c>
      <c r="G150" t="s">
        <v>283</v>
      </c>
      <c r="H150" s="51">
        <v>16</v>
      </c>
      <c r="I150" s="51">
        <v>178</v>
      </c>
    </row>
    <row r="151" spans="5:9" x14ac:dyDescent="0.25">
      <c r="E151">
        <f t="shared" si="15"/>
        <v>24</v>
      </c>
      <c r="G151" t="s">
        <v>284</v>
      </c>
      <c r="H151" s="51">
        <v>15</v>
      </c>
      <c r="I151" s="51">
        <v>178</v>
      </c>
    </row>
    <row r="152" spans="5:9" x14ac:dyDescent="0.25">
      <c r="E152">
        <f t="shared" si="15"/>
        <v>24</v>
      </c>
      <c r="G152" t="s">
        <v>285</v>
      </c>
      <c r="H152" s="51">
        <v>13</v>
      </c>
      <c r="I152" s="51">
        <v>178</v>
      </c>
    </row>
    <row r="153" spans="5:9" x14ac:dyDescent="0.25">
      <c r="E153">
        <f t="shared" si="15"/>
        <v>24</v>
      </c>
      <c r="G153" t="s">
        <v>286</v>
      </c>
      <c r="H153" s="51">
        <v>6</v>
      </c>
      <c r="I153" s="51">
        <v>178</v>
      </c>
    </row>
    <row r="154" spans="5:9" x14ac:dyDescent="0.25">
      <c r="E154">
        <f t="shared" si="15"/>
        <v>24</v>
      </c>
      <c r="G154" t="s">
        <v>287</v>
      </c>
      <c r="H154" s="51">
        <v>5</v>
      </c>
      <c r="I154" s="51">
        <v>178</v>
      </c>
    </row>
    <row r="155" spans="5:9" x14ac:dyDescent="0.25">
      <c r="E155">
        <f t="shared" si="15"/>
        <v>24</v>
      </c>
      <c r="G155" t="s">
        <v>288</v>
      </c>
      <c r="H155" s="51"/>
      <c r="I155" s="51">
        <v>178</v>
      </c>
    </row>
    <row r="156" spans="5:9" x14ac:dyDescent="0.25">
      <c r="E156">
        <f>+$F$156</f>
        <v>25</v>
      </c>
      <c r="F156">
        <v>25</v>
      </c>
      <c r="G156" t="s">
        <v>280</v>
      </c>
      <c r="H156" s="51">
        <v>23</v>
      </c>
      <c r="I156" s="51">
        <v>172</v>
      </c>
    </row>
    <row r="157" spans="5:9" x14ac:dyDescent="0.25">
      <c r="E157">
        <f t="shared" ref="E157:E164" si="16">+$F$156</f>
        <v>25</v>
      </c>
      <c r="G157" t="s">
        <v>281</v>
      </c>
      <c r="H157" s="51">
        <v>18</v>
      </c>
      <c r="I157" s="51">
        <v>172</v>
      </c>
    </row>
    <row r="158" spans="5:9" x14ac:dyDescent="0.25">
      <c r="E158">
        <f t="shared" si="16"/>
        <v>25</v>
      </c>
      <c r="G158" t="s">
        <v>282</v>
      </c>
      <c r="H158" s="51">
        <v>18</v>
      </c>
      <c r="I158" s="51">
        <v>172</v>
      </c>
    </row>
    <row r="159" spans="5:9" x14ac:dyDescent="0.25">
      <c r="E159">
        <f t="shared" si="16"/>
        <v>25</v>
      </c>
      <c r="G159" t="s">
        <v>283</v>
      </c>
      <c r="H159" s="51">
        <v>18</v>
      </c>
      <c r="I159" s="51">
        <v>172</v>
      </c>
    </row>
    <row r="160" spans="5:9" x14ac:dyDescent="0.25">
      <c r="E160">
        <f t="shared" si="16"/>
        <v>25</v>
      </c>
      <c r="G160" t="s">
        <v>284</v>
      </c>
      <c r="H160" s="51">
        <v>25</v>
      </c>
      <c r="I160" s="51">
        <v>172</v>
      </c>
    </row>
    <row r="161" spans="5:9" x14ac:dyDescent="0.25">
      <c r="E161">
        <f t="shared" si="16"/>
        <v>25</v>
      </c>
      <c r="G161" t="s">
        <v>285</v>
      </c>
      <c r="H161" s="51">
        <v>21</v>
      </c>
      <c r="I161" s="51">
        <v>172</v>
      </c>
    </row>
    <row r="162" spans="5:9" x14ac:dyDescent="0.25">
      <c r="E162">
        <f t="shared" si="16"/>
        <v>25</v>
      </c>
      <c r="G162" t="s">
        <v>286</v>
      </c>
      <c r="H162" s="51">
        <v>29</v>
      </c>
      <c r="I162" s="51">
        <v>172</v>
      </c>
    </row>
    <row r="163" spans="5:9" x14ac:dyDescent="0.25">
      <c r="E163">
        <f t="shared" si="16"/>
        <v>25</v>
      </c>
      <c r="G163" t="s">
        <v>287</v>
      </c>
      <c r="H163" s="51">
        <v>15</v>
      </c>
      <c r="I163" s="51">
        <v>172</v>
      </c>
    </row>
    <row r="164" spans="5:9" x14ac:dyDescent="0.25">
      <c r="E164">
        <f t="shared" si="16"/>
        <v>25</v>
      </c>
      <c r="G164" t="s">
        <v>288</v>
      </c>
      <c r="H164">
        <v>11</v>
      </c>
      <c r="I164" s="51">
        <v>172</v>
      </c>
    </row>
    <row r="165" spans="5:9" x14ac:dyDescent="0.25">
      <c r="E165">
        <f>+$F$165</f>
        <v>26</v>
      </c>
      <c r="F165">
        <v>26</v>
      </c>
      <c r="G165" t="s">
        <v>280</v>
      </c>
      <c r="H165" s="51"/>
      <c r="I165" s="51">
        <v>167</v>
      </c>
    </row>
    <row r="166" spans="5:9" x14ac:dyDescent="0.25">
      <c r="E166">
        <f t="shared" ref="E166:E173" si="17">+$F$165</f>
        <v>26</v>
      </c>
      <c r="G166" t="s">
        <v>281</v>
      </c>
      <c r="H166" s="51"/>
      <c r="I166" s="51">
        <v>167</v>
      </c>
    </row>
    <row r="167" spans="5:9" x14ac:dyDescent="0.25">
      <c r="E167">
        <f t="shared" si="17"/>
        <v>26</v>
      </c>
      <c r="G167" t="s">
        <v>282</v>
      </c>
      <c r="H167" s="51"/>
      <c r="I167" s="51">
        <v>167</v>
      </c>
    </row>
    <row r="168" spans="5:9" x14ac:dyDescent="0.25">
      <c r="E168">
        <f t="shared" si="17"/>
        <v>26</v>
      </c>
      <c r="G168" t="s">
        <v>283</v>
      </c>
      <c r="H168" s="51"/>
      <c r="I168" s="51">
        <v>167</v>
      </c>
    </row>
    <row r="169" spans="5:9" x14ac:dyDescent="0.25">
      <c r="E169">
        <f t="shared" si="17"/>
        <v>26</v>
      </c>
      <c r="G169" t="s">
        <v>284</v>
      </c>
      <c r="H169" s="51"/>
      <c r="I169" s="51">
        <v>167</v>
      </c>
    </row>
    <row r="170" spans="5:9" x14ac:dyDescent="0.25">
      <c r="E170">
        <f t="shared" si="17"/>
        <v>26</v>
      </c>
      <c r="G170" t="s">
        <v>285</v>
      </c>
      <c r="H170" s="51"/>
      <c r="I170" s="51">
        <v>167</v>
      </c>
    </row>
    <row r="171" spans="5:9" x14ac:dyDescent="0.25">
      <c r="E171">
        <f t="shared" si="17"/>
        <v>26</v>
      </c>
      <c r="G171" t="s">
        <v>286</v>
      </c>
      <c r="H171" s="51"/>
      <c r="I171" s="51">
        <v>167</v>
      </c>
    </row>
    <row r="172" spans="5:9" x14ac:dyDescent="0.25">
      <c r="E172">
        <f t="shared" si="17"/>
        <v>26</v>
      </c>
      <c r="G172" t="s">
        <v>287</v>
      </c>
      <c r="H172" s="51"/>
      <c r="I172" s="51">
        <v>167</v>
      </c>
    </row>
    <row r="173" spans="5:9" x14ac:dyDescent="0.25">
      <c r="E173">
        <f t="shared" si="17"/>
        <v>26</v>
      </c>
      <c r="G173" t="s">
        <v>288</v>
      </c>
      <c r="H173" s="51"/>
      <c r="I173" s="51">
        <v>167</v>
      </c>
    </row>
    <row r="174" spans="5:9" x14ac:dyDescent="0.25">
      <c r="E174">
        <f>+$F$174</f>
        <v>27</v>
      </c>
      <c r="F174">
        <v>27</v>
      </c>
      <c r="G174" t="s">
        <v>280</v>
      </c>
      <c r="H174" s="51">
        <v>12</v>
      </c>
      <c r="I174" s="51">
        <v>133</v>
      </c>
    </row>
    <row r="175" spans="5:9" x14ac:dyDescent="0.25">
      <c r="E175">
        <f t="shared" ref="E175:E182" si="18">+$F$174</f>
        <v>27</v>
      </c>
      <c r="G175" t="s">
        <v>281</v>
      </c>
      <c r="H175" s="51">
        <v>9</v>
      </c>
      <c r="I175" s="51">
        <v>133</v>
      </c>
    </row>
    <row r="176" spans="5:9" x14ac:dyDescent="0.25">
      <c r="E176">
        <f t="shared" si="18"/>
        <v>27</v>
      </c>
      <c r="G176" t="s">
        <v>282</v>
      </c>
      <c r="H176" s="51">
        <v>11</v>
      </c>
      <c r="I176" s="51">
        <v>133</v>
      </c>
    </row>
    <row r="177" spans="5:9" x14ac:dyDescent="0.25">
      <c r="E177">
        <f t="shared" si="18"/>
        <v>27</v>
      </c>
      <c r="G177" t="s">
        <v>283</v>
      </c>
      <c r="H177" s="51">
        <v>22</v>
      </c>
      <c r="I177" s="51">
        <v>133</v>
      </c>
    </row>
    <row r="178" spans="5:9" x14ac:dyDescent="0.25">
      <c r="E178">
        <f t="shared" si="18"/>
        <v>27</v>
      </c>
      <c r="G178" t="s">
        <v>284</v>
      </c>
      <c r="H178" s="51">
        <v>42</v>
      </c>
      <c r="I178" s="51">
        <v>133</v>
      </c>
    </row>
    <row r="179" spans="5:9" x14ac:dyDescent="0.25">
      <c r="E179">
        <f t="shared" si="18"/>
        <v>27</v>
      </c>
      <c r="G179" t="s">
        <v>285</v>
      </c>
      <c r="H179" s="51">
        <v>26</v>
      </c>
      <c r="I179" s="51">
        <v>133</v>
      </c>
    </row>
    <row r="180" spans="5:9" x14ac:dyDescent="0.25">
      <c r="E180">
        <f t="shared" si="18"/>
        <v>27</v>
      </c>
      <c r="G180" t="s">
        <v>286</v>
      </c>
      <c r="H180">
        <v>9</v>
      </c>
      <c r="I180" s="51">
        <v>133</v>
      </c>
    </row>
    <row r="181" spans="5:9" x14ac:dyDescent="0.25">
      <c r="E181">
        <f t="shared" si="18"/>
        <v>27</v>
      </c>
      <c r="G181" t="s">
        <v>287</v>
      </c>
      <c r="H181" s="51">
        <v>9</v>
      </c>
      <c r="I181" s="51">
        <v>133</v>
      </c>
    </row>
    <row r="182" spans="5:9" x14ac:dyDescent="0.25">
      <c r="E182">
        <f t="shared" si="18"/>
        <v>27</v>
      </c>
      <c r="G182" t="s">
        <v>288</v>
      </c>
      <c r="H182" s="51">
        <v>2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280</v>
      </c>
      <c r="H183" s="51">
        <v>12</v>
      </c>
      <c r="I183" s="51">
        <v>168</v>
      </c>
    </row>
    <row r="184" spans="5:9" x14ac:dyDescent="0.25">
      <c r="E184">
        <f t="shared" ref="E184:E191" si="19">+$F$183</f>
        <v>28</v>
      </c>
      <c r="G184" t="s">
        <v>281</v>
      </c>
      <c r="H184" s="51">
        <v>4</v>
      </c>
      <c r="I184" s="51">
        <v>168</v>
      </c>
    </row>
    <row r="185" spans="5:9" x14ac:dyDescent="0.25">
      <c r="E185">
        <f t="shared" si="19"/>
        <v>28</v>
      </c>
      <c r="G185" t="s">
        <v>282</v>
      </c>
      <c r="H185" s="51">
        <v>15</v>
      </c>
      <c r="I185" s="51">
        <v>168</v>
      </c>
    </row>
    <row r="186" spans="5:9" x14ac:dyDescent="0.25">
      <c r="E186">
        <f t="shared" si="19"/>
        <v>28</v>
      </c>
      <c r="G186" t="s">
        <v>283</v>
      </c>
      <c r="H186">
        <v>16</v>
      </c>
      <c r="I186" s="51">
        <v>168</v>
      </c>
    </row>
    <row r="187" spans="5:9" x14ac:dyDescent="0.25">
      <c r="E187">
        <f t="shared" si="19"/>
        <v>28</v>
      </c>
      <c r="G187" t="s">
        <v>284</v>
      </c>
      <c r="H187" s="51">
        <v>30</v>
      </c>
      <c r="I187" s="51">
        <v>168</v>
      </c>
    </row>
    <row r="188" spans="5:9" x14ac:dyDescent="0.25">
      <c r="E188">
        <f t="shared" si="19"/>
        <v>28</v>
      </c>
      <c r="G188" t="s">
        <v>285</v>
      </c>
      <c r="H188" s="51">
        <v>20</v>
      </c>
      <c r="I188" s="51">
        <v>168</v>
      </c>
    </row>
    <row r="189" spans="5:9" x14ac:dyDescent="0.25">
      <c r="E189">
        <f t="shared" si="19"/>
        <v>28</v>
      </c>
      <c r="G189" t="s">
        <v>286</v>
      </c>
      <c r="H189" s="51">
        <v>5</v>
      </c>
      <c r="I189" s="51">
        <v>168</v>
      </c>
    </row>
    <row r="190" spans="5:9" x14ac:dyDescent="0.25">
      <c r="E190">
        <f t="shared" si="19"/>
        <v>28</v>
      </c>
      <c r="G190" t="s">
        <v>287</v>
      </c>
      <c r="H190" s="51">
        <v>6</v>
      </c>
      <c r="I190" s="51">
        <v>168</v>
      </c>
    </row>
    <row r="191" spans="5:9" x14ac:dyDescent="0.25">
      <c r="E191">
        <f t="shared" si="19"/>
        <v>28</v>
      </c>
      <c r="G191" t="s">
        <v>288</v>
      </c>
      <c r="H191" s="51">
        <v>2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280</v>
      </c>
      <c r="H192" s="51">
        <v>14</v>
      </c>
      <c r="I192" s="51">
        <v>170</v>
      </c>
    </row>
    <row r="193" spans="5:9" x14ac:dyDescent="0.25">
      <c r="E193">
        <f t="shared" ref="E193:E200" si="20">+$F$192</f>
        <v>3</v>
      </c>
      <c r="G193" t="s">
        <v>281</v>
      </c>
      <c r="H193" s="51">
        <v>14</v>
      </c>
      <c r="I193" s="51">
        <v>170</v>
      </c>
    </row>
    <row r="194" spans="5:9" x14ac:dyDescent="0.25">
      <c r="E194">
        <f t="shared" si="20"/>
        <v>3</v>
      </c>
      <c r="G194" t="s">
        <v>282</v>
      </c>
      <c r="H194" s="51">
        <v>26</v>
      </c>
      <c r="I194" s="51">
        <v>170</v>
      </c>
    </row>
    <row r="195" spans="5:9" x14ac:dyDescent="0.25">
      <c r="E195">
        <f t="shared" si="20"/>
        <v>3</v>
      </c>
      <c r="G195" t="s">
        <v>283</v>
      </c>
      <c r="H195" s="51">
        <v>22</v>
      </c>
      <c r="I195" s="51">
        <v>170</v>
      </c>
    </row>
    <row r="196" spans="5:9" x14ac:dyDescent="0.25">
      <c r="E196">
        <f t="shared" si="20"/>
        <v>3</v>
      </c>
      <c r="G196" t="s">
        <v>284</v>
      </c>
      <c r="H196">
        <v>42</v>
      </c>
      <c r="I196" s="51">
        <v>170</v>
      </c>
    </row>
    <row r="197" spans="5:9" x14ac:dyDescent="0.25">
      <c r="E197">
        <f t="shared" si="20"/>
        <v>3</v>
      </c>
      <c r="G197" t="s">
        <v>285</v>
      </c>
      <c r="H197" s="51">
        <v>26</v>
      </c>
      <c r="I197" s="51">
        <v>170</v>
      </c>
    </row>
    <row r="198" spans="5:9" x14ac:dyDescent="0.25">
      <c r="E198">
        <f t="shared" si="20"/>
        <v>3</v>
      </c>
      <c r="G198" t="s">
        <v>286</v>
      </c>
      <c r="H198" s="51">
        <v>3</v>
      </c>
      <c r="I198" s="51">
        <v>170</v>
      </c>
    </row>
    <row r="199" spans="5:9" x14ac:dyDescent="0.25">
      <c r="E199">
        <f t="shared" si="20"/>
        <v>3</v>
      </c>
      <c r="G199" t="s">
        <v>287</v>
      </c>
      <c r="H199" s="51">
        <v>2</v>
      </c>
      <c r="I199" s="51">
        <v>170</v>
      </c>
    </row>
    <row r="200" spans="5:9" x14ac:dyDescent="0.25">
      <c r="E200">
        <f t="shared" si="20"/>
        <v>3</v>
      </c>
      <c r="G200" t="s">
        <v>288</v>
      </c>
      <c r="H200" s="51">
        <v>10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280</v>
      </c>
      <c r="H201" s="51">
        <v>3</v>
      </c>
      <c r="I201" s="51">
        <v>139</v>
      </c>
    </row>
    <row r="202" spans="5:9" x14ac:dyDescent="0.25">
      <c r="E202">
        <f t="shared" ref="E202:E209" si="21">+$F$201</f>
        <v>30</v>
      </c>
      <c r="G202" t="s">
        <v>281</v>
      </c>
      <c r="H202" s="51"/>
      <c r="I202" s="51">
        <v>139</v>
      </c>
    </row>
    <row r="203" spans="5:9" x14ac:dyDescent="0.25">
      <c r="E203">
        <f t="shared" si="21"/>
        <v>30</v>
      </c>
      <c r="G203" t="s">
        <v>282</v>
      </c>
      <c r="H203" s="51">
        <v>3</v>
      </c>
      <c r="I203" s="51">
        <v>139</v>
      </c>
    </row>
    <row r="204" spans="5:9" x14ac:dyDescent="0.25">
      <c r="E204">
        <f t="shared" si="21"/>
        <v>30</v>
      </c>
      <c r="G204" t="s">
        <v>283</v>
      </c>
      <c r="H204" s="51"/>
      <c r="I204" s="51">
        <v>139</v>
      </c>
    </row>
    <row r="205" spans="5:9" x14ac:dyDescent="0.25">
      <c r="E205">
        <f t="shared" si="21"/>
        <v>30</v>
      </c>
      <c r="G205" t="s">
        <v>284</v>
      </c>
      <c r="H205" s="51">
        <v>2</v>
      </c>
      <c r="I205" s="51">
        <v>139</v>
      </c>
    </row>
    <row r="206" spans="5:9" x14ac:dyDescent="0.25">
      <c r="E206">
        <f t="shared" si="21"/>
        <v>30</v>
      </c>
      <c r="G206" t="s">
        <v>285</v>
      </c>
      <c r="H206" s="51"/>
      <c r="I206" s="51">
        <v>139</v>
      </c>
    </row>
    <row r="207" spans="5:9" x14ac:dyDescent="0.25">
      <c r="E207">
        <f t="shared" si="21"/>
        <v>30</v>
      </c>
      <c r="G207" t="s">
        <v>286</v>
      </c>
      <c r="H207" s="51">
        <v>3</v>
      </c>
      <c r="I207" s="51">
        <v>139</v>
      </c>
    </row>
    <row r="208" spans="5:9" x14ac:dyDescent="0.25">
      <c r="E208">
        <f t="shared" si="21"/>
        <v>30</v>
      </c>
      <c r="G208" t="s">
        <v>287</v>
      </c>
      <c r="H208" s="51"/>
      <c r="I208" s="51">
        <v>139</v>
      </c>
    </row>
    <row r="209" spans="5:9" x14ac:dyDescent="0.25">
      <c r="E209">
        <f t="shared" si="21"/>
        <v>30</v>
      </c>
      <c r="G209" t="s">
        <v>288</v>
      </c>
      <c r="H209" s="51">
        <v>2</v>
      </c>
      <c r="I209" s="51">
        <v>139</v>
      </c>
    </row>
    <row r="210" spans="5:9" x14ac:dyDescent="0.25">
      <c r="E210">
        <f>+$F$210</f>
        <v>31</v>
      </c>
      <c r="F210">
        <v>31</v>
      </c>
      <c r="G210" t="s">
        <v>280</v>
      </c>
      <c r="H210" s="51">
        <v>6</v>
      </c>
      <c r="I210" s="51">
        <v>161</v>
      </c>
    </row>
    <row r="211" spans="5:9" x14ac:dyDescent="0.25">
      <c r="E211">
        <f t="shared" ref="E211:E218" si="22">+$F$210</f>
        <v>31</v>
      </c>
      <c r="G211" t="s">
        <v>281</v>
      </c>
      <c r="H211" s="51">
        <v>9</v>
      </c>
      <c r="I211" s="51">
        <v>161</v>
      </c>
    </row>
    <row r="212" spans="5:9" x14ac:dyDescent="0.25">
      <c r="E212">
        <f t="shared" si="22"/>
        <v>31</v>
      </c>
      <c r="G212" t="s">
        <v>282</v>
      </c>
      <c r="H212">
        <v>20</v>
      </c>
      <c r="I212" s="51">
        <v>161</v>
      </c>
    </row>
    <row r="213" spans="5:9" x14ac:dyDescent="0.25">
      <c r="E213">
        <f t="shared" si="22"/>
        <v>31</v>
      </c>
      <c r="G213" t="s">
        <v>283</v>
      </c>
      <c r="H213" s="51">
        <v>21</v>
      </c>
      <c r="I213" s="51">
        <v>161</v>
      </c>
    </row>
    <row r="214" spans="5:9" x14ac:dyDescent="0.25">
      <c r="E214">
        <f t="shared" si="22"/>
        <v>31</v>
      </c>
      <c r="G214" t="s">
        <v>284</v>
      </c>
      <c r="H214" s="51">
        <v>29</v>
      </c>
      <c r="I214" s="51">
        <v>161</v>
      </c>
    </row>
    <row r="215" spans="5:9" x14ac:dyDescent="0.25">
      <c r="E215">
        <f t="shared" si="22"/>
        <v>31</v>
      </c>
      <c r="G215" t="s">
        <v>285</v>
      </c>
      <c r="H215" s="51">
        <v>24</v>
      </c>
      <c r="I215" s="51">
        <v>161</v>
      </c>
    </row>
    <row r="216" spans="5:9" x14ac:dyDescent="0.25">
      <c r="E216">
        <f t="shared" si="22"/>
        <v>31</v>
      </c>
      <c r="G216" t="s">
        <v>286</v>
      </c>
      <c r="H216" s="51">
        <v>14</v>
      </c>
      <c r="I216" s="51">
        <v>161</v>
      </c>
    </row>
    <row r="217" spans="5:9" x14ac:dyDescent="0.25">
      <c r="E217">
        <f t="shared" si="22"/>
        <v>31</v>
      </c>
      <c r="G217" t="s">
        <v>287</v>
      </c>
      <c r="H217" s="51">
        <v>10</v>
      </c>
      <c r="I217" s="51">
        <v>161</v>
      </c>
    </row>
    <row r="218" spans="5:9" x14ac:dyDescent="0.25">
      <c r="E218">
        <f t="shared" si="22"/>
        <v>31</v>
      </c>
      <c r="G218" t="s">
        <v>288</v>
      </c>
      <c r="H218" s="51">
        <v>5</v>
      </c>
      <c r="I218" s="51">
        <v>161</v>
      </c>
    </row>
    <row r="219" spans="5:9" x14ac:dyDescent="0.25">
      <c r="E219">
        <f>+$F$219</f>
        <v>32</v>
      </c>
      <c r="F219">
        <v>32</v>
      </c>
      <c r="G219" t="s">
        <v>280</v>
      </c>
      <c r="H219" s="51">
        <v>8</v>
      </c>
      <c r="I219" s="51">
        <v>58</v>
      </c>
    </row>
    <row r="220" spans="5:9" x14ac:dyDescent="0.25">
      <c r="E220">
        <f t="shared" ref="E220:E227" si="23">+$F$219</f>
        <v>32</v>
      </c>
      <c r="G220" t="s">
        <v>281</v>
      </c>
      <c r="H220" s="51">
        <v>2</v>
      </c>
      <c r="I220" s="51">
        <v>58</v>
      </c>
    </row>
    <row r="221" spans="5:9" x14ac:dyDescent="0.25">
      <c r="E221">
        <f t="shared" si="23"/>
        <v>32</v>
      </c>
      <c r="G221" t="s">
        <v>282</v>
      </c>
      <c r="H221" s="51">
        <v>1</v>
      </c>
      <c r="I221" s="51">
        <v>58</v>
      </c>
    </row>
    <row r="222" spans="5:9" x14ac:dyDescent="0.25">
      <c r="E222">
        <f t="shared" si="23"/>
        <v>32</v>
      </c>
      <c r="G222" t="s">
        <v>283</v>
      </c>
      <c r="H222" s="51">
        <v>5</v>
      </c>
      <c r="I222" s="51">
        <v>58</v>
      </c>
    </row>
    <row r="223" spans="5:9" x14ac:dyDescent="0.25">
      <c r="E223">
        <f t="shared" si="23"/>
        <v>32</v>
      </c>
      <c r="G223" t="s">
        <v>284</v>
      </c>
      <c r="H223" s="51">
        <v>9</v>
      </c>
      <c r="I223" s="51">
        <v>58</v>
      </c>
    </row>
    <row r="224" spans="5:9" x14ac:dyDescent="0.25">
      <c r="E224">
        <f t="shared" si="23"/>
        <v>32</v>
      </c>
      <c r="G224" t="s">
        <v>285</v>
      </c>
      <c r="H224" s="51">
        <v>4</v>
      </c>
      <c r="I224" s="51">
        <v>58</v>
      </c>
    </row>
    <row r="225" spans="5:9" x14ac:dyDescent="0.25">
      <c r="E225">
        <f t="shared" si="23"/>
        <v>32</v>
      </c>
      <c r="G225" t="s">
        <v>286</v>
      </c>
      <c r="H225" s="51">
        <v>7</v>
      </c>
      <c r="I225" s="51">
        <v>58</v>
      </c>
    </row>
    <row r="226" spans="5:9" x14ac:dyDescent="0.25">
      <c r="E226">
        <f t="shared" si="23"/>
        <v>32</v>
      </c>
      <c r="G226" t="s">
        <v>287</v>
      </c>
      <c r="H226" s="51">
        <v>2</v>
      </c>
      <c r="I226" s="51">
        <v>58</v>
      </c>
    </row>
    <row r="227" spans="5:9" x14ac:dyDescent="0.25">
      <c r="E227">
        <f t="shared" si="23"/>
        <v>32</v>
      </c>
      <c r="G227" t="s">
        <v>288</v>
      </c>
      <c r="H227" s="51">
        <v>4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280</v>
      </c>
      <c r="H228" s="51">
        <v>10</v>
      </c>
      <c r="I228" s="51">
        <v>167</v>
      </c>
    </row>
    <row r="229" spans="5:9" x14ac:dyDescent="0.25">
      <c r="E229">
        <f t="shared" ref="E229:E236" si="24">+$F$228</f>
        <v>33</v>
      </c>
      <c r="G229" t="s">
        <v>281</v>
      </c>
      <c r="H229" s="51">
        <v>2</v>
      </c>
      <c r="I229" s="51">
        <v>167</v>
      </c>
    </row>
    <row r="230" spans="5:9" x14ac:dyDescent="0.25">
      <c r="E230">
        <f t="shared" si="24"/>
        <v>33</v>
      </c>
      <c r="G230" t="s">
        <v>282</v>
      </c>
      <c r="H230" s="51">
        <v>14</v>
      </c>
      <c r="I230" s="51">
        <v>167</v>
      </c>
    </row>
    <row r="231" spans="5:9" x14ac:dyDescent="0.25">
      <c r="E231">
        <f t="shared" si="24"/>
        <v>33</v>
      </c>
      <c r="G231" t="s">
        <v>283</v>
      </c>
      <c r="H231" s="51">
        <v>15</v>
      </c>
      <c r="I231" s="51">
        <v>167</v>
      </c>
    </row>
    <row r="232" spans="5:9" x14ac:dyDescent="0.25">
      <c r="E232">
        <f t="shared" si="24"/>
        <v>33</v>
      </c>
      <c r="G232" t="s">
        <v>284</v>
      </c>
      <c r="H232" s="51">
        <v>27</v>
      </c>
      <c r="I232" s="51">
        <v>167</v>
      </c>
    </row>
    <row r="233" spans="5:9" x14ac:dyDescent="0.25">
      <c r="E233">
        <f t="shared" si="24"/>
        <v>33</v>
      </c>
      <c r="G233" t="s">
        <v>285</v>
      </c>
      <c r="H233" s="51">
        <v>17</v>
      </c>
      <c r="I233" s="51">
        <v>167</v>
      </c>
    </row>
    <row r="234" spans="5:9" x14ac:dyDescent="0.25">
      <c r="E234">
        <f t="shared" si="24"/>
        <v>33</v>
      </c>
      <c r="G234" t="s">
        <v>286</v>
      </c>
      <c r="H234" s="51">
        <v>4</v>
      </c>
      <c r="I234" s="51">
        <v>167</v>
      </c>
    </row>
    <row r="235" spans="5:9" x14ac:dyDescent="0.25">
      <c r="E235">
        <f t="shared" si="24"/>
        <v>33</v>
      </c>
      <c r="G235" t="s">
        <v>287</v>
      </c>
      <c r="H235" s="51">
        <v>8</v>
      </c>
      <c r="I235" s="51">
        <v>167</v>
      </c>
    </row>
    <row r="236" spans="5:9" x14ac:dyDescent="0.25">
      <c r="E236">
        <f t="shared" si="24"/>
        <v>33</v>
      </c>
      <c r="G236" t="s">
        <v>288</v>
      </c>
      <c r="H236">
        <v>2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280</v>
      </c>
      <c r="H237" s="51">
        <v>5</v>
      </c>
      <c r="I237" s="51">
        <v>160</v>
      </c>
    </row>
    <row r="238" spans="5:9" x14ac:dyDescent="0.25">
      <c r="E238">
        <f t="shared" ref="E238:E245" si="25">+$F$237</f>
        <v>36</v>
      </c>
      <c r="G238" t="s">
        <v>281</v>
      </c>
      <c r="H238" s="51">
        <v>3</v>
      </c>
      <c r="I238" s="51">
        <v>160</v>
      </c>
    </row>
    <row r="239" spans="5:9" x14ac:dyDescent="0.25">
      <c r="E239">
        <f t="shared" si="25"/>
        <v>36</v>
      </c>
      <c r="G239" t="s">
        <v>282</v>
      </c>
      <c r="H239" s="51">
        <v>14</v>
      </c>
      <c r="I239" s="51">
        <v>160</v>
      </c>
    </row>
    <row r="240" spans="5:9" x14ac:dyDescent="0.25">
      <c r="E240">
        <f t="shared" si="25"/>
        <v>36</v>
      </c>
      <c r="G240" t="s">
        <v>283</v>
      </c>
      <c r="H240" s="51">
        <v>16</v>
      </c>
      <c r="I240" s="51">
        <v>160</v>
      </c>
    </row>
    <row r="241" spans="5:9" x14ac:dyDescent="0.25">
      <c r="E241">
        <f t="shared" si="25"/>
        <v>36</v>
      </c>
      <c r="G241" t="s">
        <v>284</v>
      </c>
      <c r="H241" s="51">
        <v>24</v>
      </c>
      <c r="I241" s="51">
        <v>160</v>
      </c>
    </row>
    <row r="242" spans="5:9" x14ac:dyDescent="0.25">
      <c r="E242">
        <f t="shared" si="25"/>
        <v>36</v>
      </c>
      <c r="G242" t="s">
        <v>285</v>
      </c>
      <c r="H242" s="51">
        <v>10</v>
      </c>
      <c r="I242" s="51">
        <v>160</v>
      </c>
    </row>
    <row r="243" spans="5:9" x14ac:dyDescent="0.25">
      <c r="E243">
        <f t="shared" si="25"/>
        <v>36</v>
      </c>
      <c r="G243" t="s">
        <v>286</v>
      </c>
      <c r="H243" s="51">
        <v>4</v>
      </c>
      <c r="I243" s="51">
        <v>160</v>
      </c>
    </row>
    <row r="244" spans="5:9" x14ac:dyDescent="0.25">
      <c r="E244">
        <f t="shared" si="25"/>
        <v>36</v>
      </c>
      <c r="G244" t="s">
        <v>287</v>
      </c>
      <c r="H244">
        <v>4</v>
      </c>
      <c r="I244" s="51">
        <v>160</v>
      </c>
    </row>
    <row r="245" spans="5:9" x14ac:dyDescent="0.25">
      <c r="E245">
        <f t="shared" si="25"/>
        <v>36</v>
      </c>
      <c r="G245" t="s">
        <v>288</v>
      </c>
      <c r="H245" s="51">
        <v>2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280</v>
      </c>
      <c r="H246" s="51">
        <v>1</v>
      </c>
      <c r="I246" s="51">
        <v>142</v>
      </c>
    </row>
    <row r="247" spans="5:9" x14ac:dyDescent="0.25">
      <c r="E247">
        <f t="shared" ref="E247:E254" si="26">+$F$246</f>
        <v>37</v>
      </c>
      <c r="G247" t="s">
        <v>281</v>
      </c>
      <c r="H247" s="51">
        <v>2</v>
      </c>
      <c r="I247" s="51">
        <v>142</v>
      </c>
    </row>
    <row r="248" spans="5:9" x14ac:dyDescent="0.25">
      <c r="E248">
        <f t="shared" si="26"/>
        <v>37</v>
      </c>
      <c r="G248" t="s">
        <v>282</v>
      </c>
      <c r="H248" s="51">
        <v>3</v>
      </c>
      <c r="I248" s="51">
        <v>142</v>
      </c>
    </row>
    <row r="249" spans="5:9" x14ac:dyDescent="0.25">
      <c r="E249">
        <f t="shared" si="26"/>
        <v>37</v>
      </c>
      <c r="G249" t="s">
        <v>283</v>
      </c>
      <c r="H249" s="51">
        <v>7</v>
      </c>
      <c r="I249" s="51">
        <v>142</v>
      </c>
    </row>
    <row r="250" spans="5:9" x14ac:dyDescent="0.25">
      <c r="E250">
        <f t="shared" si="26"/>
        <v>37</v>
      </c>
      <c r="G250" t="s">
        <v>284</v>
      </c>
      <c r="H250" s="51">
        <v>12</v>
      </c>
      <c r="I250" s="51">
        <v>142</v>
      </c>
    </row>
    <row r="251" spans="5:9" x14ac:dyDescent="0.25">
      <c r="E251">
        <f t="shared" si="26"/>
        <v>37</v>
      </c>
      <c r="G251" t="s">
        <v>285</v>
      </c>
      <c r="H251" s="51">
        <v>6</v>
      </c>
      <c r="I251" s="51">
        <v>142</v>
      </c>
    </row>
    <row r="252" spans="5:9" x14ac:dyDescent="0.25">
      <c r="E252">
        <f t="shared" si="26"/>
        <v>37</v>
      </c>
      <c r="G252" t="s">
        <v>286</v>
      </c>
      <c r="H252">
        <v>2</v>
      </c>
      <c r="I252" s="51">
        <v>142</v>
      </c>
    </row>
    <row r="253" spans="5:9" x14ac:dyDescent="0.25">
      <c r="E253">
        <f t="shared" si="26"/>
        <v>37</v>
      </c>
      <c r="G253" t="s">
        <v>287</v>
      </c>
      <c r="H253" s="51">
        <v>1</v>
      </c>
      <c r="I253" s="51">
        <v>142</v>
      </c>
    </row>
    <row r="254" spans="5:9" x14ac:dyDescent="0.25">
      <c r="E254">
        <f t="shared" si="26"/>
        <v>37</v>
      </c>
      <c r="G254" t="s">
        <v>288</v>
      </c>
      <c r="H254" s="51">
        <v>1</v>
      </c>
      <c r="I254" s="51">
        <v>142</v>
      </c>
    </row>
    <row r="255" spans="5:9" x14ac:dyDescent="0.25">
      <c r="E255">
        <f>+$F$255</f>
        <v>4</v>
      </c>
      <c r="F255">
        <v>4</v>
      </c>
      <c r="G255" t="s">
        <v>280</v>
      </c>
      <c r="H255" s="51">
        <v>9</v>
      </c>
      <c r="I255" s="51">
        <v>182</v>
      </c>
    </row>
    <row r="256" spans="5:9" x14ac:dyDescent="0.25">
      <c r="E256">
        <f t="shared" ref="E256:E263" si="27">+$F$255</f>
        <v>4</v>
      </c>
      <c r="G256" t="s">
        <v>281</v>
      </c>
      <c r="H256" s="51">
        <v>11</v>
      </c>
      <c r="I256" s="51">
        <v>182</v>
      </c>
    </row>
    <row r="257" spans="5:9" x14ac:dyDescent="0.25">
      <c r="E257">
        <f t="shared" si="27"/>
        <v>4</v>
      </c>
      <c r="G257" t="s">
        <v>282</v>
      </c>
      <c r="H257" s="51">
        <v>21</v>
      </c>
      <c r="I257" s="51">
        <v>182</v>
      </c>
    </row>
    <row r="258" spans="5:9" x14ac:dyDescent="0.25">
      <c r="E258">
        <f t="shared" si="27"/>
        <v>4</v>
      </c>
      <c r="G258" t="s">
        <v>283</v>
      </c>
      <c r="H258">
        <v>22</v>
      </c>
      <c r="I258" s="51">
        <v>182</v>
      </c>
    </row>
    <row r="259" spans="5:9" x14ac:dyDescent="0.25">
      <c r="E259">
        <f t="shared" si="27"/>
        <v>4</v>
      </c>
      <c r="G259" t="s">
        <v>284</v>
      </c>
      <c r="H259" s="51">
        <v>34</v>
      </c>
      <c r="I259" s="51">
        <v>182</v>
      </c>
    </row>
    <row r="260" spans="5:9" x14ac:dyDescent="0.25">
      <c r="E260">
        <f t="shared" si="27"/>
        <v>4</v>
      </c>
      <c r="G260" t="s">
        <v>285</v>
      </c>
      <c r="H260">
        <v>25</v>
      </c>
      <c r="I260" s="51">
        <v>182</v>
      </c>
    </row>
    <row r="261" spans="5:9" x14ac:dyDescent="0.25">
      <c r="E261">
        <f t="shared" si="27"/>
        <v>4</v>
      </c>
      <c r="G261" t="s">
        <v>286</v>
      </c>
      <c r="H261" s="51">
        <v>10</v>
      </c>
      <c r="I261" s="51">
        <v>182</v>
      </c>
    </row>
    <row r="262" spans="5:9" x14ac:dyDescent="0.25">
      <c r="E262">
        <f t="shared" si="27"/>
        <v>4</v>
      </c>
      <c r="G262" t="s">
        <v>287</v>
      </c>
      <c r="H262" s="51">
        <v>9</v>
      </c>
      <c r="I262" s="51">
        <v>182</v>
      </c>
    </row>
    <row r="263" spans="5:9" x14ac:dyDescent="0.25">
      <c r="E263">
        <f t="shared" si="27"/>
        <v>4</v>
      </c>
      <c r="G263" t="s">
        <v>288</v>
      </c>
      <c r="H263" s="51">
        <v>11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280</v>
      </c>
      <c r="H264" s="51">
        <v>10</v>
      </c>
      <c r="I264" s="51">
        <v>250</v>
      </c>
    </row>
    <row r="265" spans="5:9" x14ac:dyDescent="0.25">
      <c r="E265">
        <f t="shared" ref="E265:E272" si="28">+$F$264</f>
        <v>40</v>
      </c>
      <c r="G265" t="s">
        <v>281</v>
      </c>
      <c r="H265">
        <v>5</v>
      </c>
      <c r="I265" s="51">
        <v>250</v>
      </c>
    </row>
    <row r="266" spans="5:9" x14ac:dyDescent="0.25">
      <c r="E266">
        <f t="shared" si="28"/>
        <v>40</v>
      </c>
      <c r="G266" t="s">
        <v>282</v>
      </c>
      <c r="H266" s="51">
        <v>11</v>
      </c>
      <c r="I266" s="51">
        <v>250</v>
      </c>
    </row>
    <row r="267" spans="5:9" x14ac:dyDescent="0.25">
      <c r="E267">
        <f t="shared" si="28"/>
        <v>40</v>
      </c>
      <c r="G267" t="s">
        <v>283</v>
      </c>
      <c r="H267" s="51">
        <v>11</v>
      </c>
      <c r="I267" s="51">
        <v>250</v>
      </c>
    </row>
    <row r="268" spans="5:9" x14ac:dyDescent="0.25">
      <c r="E268">
        <f t="shared" si="28"/>
        <v>40</v>
      </c>
      <c r="G268" t="s">
        <v>284</v>
      </c>
      <c r="H268">
        <v>19</v>
      </c>
      <c r="I268" s="51">
        <v>250</v>
      </c>
    </row>
    <row r="269" spans="5:9" x14ac:dyDescent="0.25">
      <c r="E269">
        <f t="shared" si="28"/>
        <v>40</v>
      </c>
      <c r="G269" t="s">
        <v>285</v>
      </c>
      <c r="H269" s="51">
        <v>16</v>
      </c>
      <c r="I269" s="51">
        <v>250</v>
      </c>
    </row>
    <row r="270" spans="5:9" x14ac:dyDescent="0.25">
      <c r="E270">
        <f t="shared" si="28"/>
        <v>40</v>
      </c>
      <c r="G270" t="s">
        <v>286</v>
      </c>
      <c r="H270" s="51">
        <v>11</v>
      </c>
      <c r="I270" s="51">
        <v>250</v>
      </c>
    </row>
    <row r="271" spans="5:9" x14ac:dyDescent="0.25">
      <c r="E271">
        <f t="shared" si="28"/>
        <v>40</v>
      </c>
      <c r="G271" t="s">
        <v>287</v>
      </c>
      <c r="H271" s="51">
        <v>6</v>
      </c>
      <c r="I271" s="51">
        <v>250</v>
      </c>
    </row>
    <row r="272" spans="5:9" x14ac:dyDescent="0.25">
      <c r="E272">
        <f t="shared" si="28"/>
        <v>40</v>
      </c>
      <c r="G272" t="s">
        <v>288</v>
      </c>
      <c r="H272" s="51">
        <v>1</v>
      </c>
      <c r="I272" s="51">
        <v>250</v>
      </c>
    </row>
    <row r="273" spans="5:9" x14ac:dyDescent="0.25">
      <c r="E273">
        <f>+$F$273</f>
        <v>42</v>
      </c>
      <c r="F273">
        <v>42</v>
      </c>
      <c r="G273" t="s">
        <v>280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281</v>
      </c>
      <c r="H274" s="51"/>
      <c r="I274" s="51">
        <v>52</v>
      </c>
    </row>
    <row r="275" spans="5:9" x14ac:dyDescent="0.25">
      <c r="E275">
        <f t="shared" si="29"/>
        <v>42</v>
      </c>
      <c r="G275" t="s">
        <v>282</v>
      </c>
      <c r="H275" s="51">
        <v>3</v>
      </c>
      <c r="I275" s="51">
        <v>52</v>
      </c>
    </row>
    <row r="276" spans="5:9" x14ac:dyDescent="0.25">
      <c r="E276">
        <f t="shared" si="29"/>
        <v>42</v>
      </c>
      <c r="G276" t="s">
        <v>283</v>
      </c>
      <c r="H276">
        <v>4</v>
      </c>
      <c r="I276" s="51">
        <v>52</v>
      </c>
    </row>
    <row r="277" spans="5:9" x14ac:dyDescent="0.25">
      <c r="E277">
        <f t="shared" si="29"/>
        <v>42</v>
      </c>
      <c r="G277" t="s">
        <v>284</v>
      </c>
      <c r="H277" s="51">
        <v>4</v>
      </c>
      <c r="I277" s="51">
        <v>52</v>
      </c>
    </row>
    <row r="278" spans="5:9" x14ac:dyDescent="0.25">
      <c r="E278">
        <f t="shared" si="29"/>
        <v>42</v>
      </c>
      <c r="G278" t="s">
        <v>285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286</v>
      </c>
      <c r="H279" s="51">
        <v>7</v>
      </c>
      <c r="I279" s="51">
        <v>52</v>
      </c>
    </row>
    <row r="280" spans="5:9" x14ac:dyDescent="0.25">
      <c r="E280">
        <f t="shared" si="29"/>
        <v>42</v>
      </c>
      <c r="G280" t="s">
        <v>287</v>
      </c>
      <c r="H280" s="51">
        <v>4</v>
      </c>
      <c r="I280" s="51">
        <v>52</v>
      </c>
    </row>
    <row r="281" spans="5:9" x14ac:dyDescent="0.25">
      <c r="E281">
        <f t="shared" si="29"/>
        <v>42</v>
      </c>
      <c r="G281" t="s">
        <v>288</v>
      </c>
      <c r="H281" s="51">
        <v>4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280</v>
      </c>
      <c r="H282" s="51"/>
      <c r="I282" s="51">
        <v>93</v>
      </c>
    </row>
    <row r="283" spans="5:9" x14ac:dyDescent="0.25">
      <c r="E283">
        <f t="shared" ref="E283:E290" si="30">+$F$282</f>
        <v>43</v>
      </c>
      <c r="G283" t="s">
        <v>281</v>
      </c>
      <c r="H283" s="51"/>
      <c r="I283" s="51">
        <v>93</v>
      </c>
    </row>
    <row r="284" spans="5:9" x14ac:dyDescent="0.25">
      <c r="E284">
        <f t="shared" si="30"/>
        <v>43</v>
      </c>
      <c r="G284" t="s">
        <v>282</v>
      </c>
      <c r="I284" s="51">
        <v>93</v>
      </c>
    </row>
    <row r="285" spans="5:9" x14ac:dyDescent="0.25">
      <c r="E285">
        <f t="shared" si="30"/>
        <v>43</v>
      </c>
      <c r="G285" t="s">
        <v>283</v>
      </c>
      <c r="I285" s="51">
        <v>93</v>
      </c>
    </row>
    <row r="286" spans="5:9" x14ac:dyDescent="0.25">
      <c r="E286">
        <f t="shared" si="30"/>
        <v>43</v>
      </c>
      <c r="G286" t="s">
        <v>284</v>
      </c>
      <c r="I286" s="51">
        <v>93</v>
      </c>
    </row>
    <row r="287" spans="5:9" x14ac:dyDescent="0.25">
      <c r="E287">
        <f t="shared" si="30"/>
        <v>43</v>
      </c>
      <c r="G287" t="s">
        <v>285</v>
      </c>
      <c r="I287" s="51">
        <v>93</v>
      </c>
    </row>
    <row r="288" spans="5:9" x14ac:dyDescent="0.25">
      <c r="E288">
        <f t="shared" si="30"/>
        <v>43</v>
      </c>
      <c r="G288" t="s">
        <v>286</v>
      </c>
      <c r="I288" s="51">
        <v>93</v>
      </c>
    </row>
    <row r="289" spans="5:9" x14ac:dyDescent="0.25">
      <c r="E289">
        <f t="shared" si="30"/>
        <v>43</v>
      </c>
      <c r="G289" t="s">
        <v>287</v>
      </c>
      <c r="H289" s="51"/>
      <c r="I289" s="51">
        <v>93</v>
      </c>
    </row>
    <row r="290" spans="5:9" x14ac:dyDescent="0.25">
      <c r="E290">
        <f t="shared" si="30"/>
        <v>43</v>
      </c>
      <c r="G290" t="s">
        <v>288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280</v>
      </c>
      <c r="H291">
        <v>11</v>
      </c>
      <c r="I291" s="51">
        <v>173</v>
      </c>
    </row>
    <row r="292" spans="5:9" x14ac:dyDescent="0.25">
      <c r="E292">
        <f t="shared" ref="E292:E299" si="31">+$F$291</f>
        <v>44</v>
      </c>
      <c r="G292" t="s">
        <v>281</v>
      </c>
      <c r="H292">
        <v>11</v>
      </c>
      <c r="I292" s="51">
        <v>173</v>
      </c>
    </row>
    <row r="293" spans="5:9" x14ac:dyDescent="0.25">
      <c r="E293">
        <f t="shared" si="31"/>
        <v>44</v>
      </c>
      <c r="G293" t="s">
        <v>282</v>
      </c>
      <c r="H293">
        <v>29</v>
      </c>
      <c r="I293" s="51">
        <v>173</v>
      </c>
    </row>
    <row r="294" spans="5:9" x14ac:dyDescent="0.25">
      <c r="E294">
        <f t="shared" si="31"/>
        <v>44</v>
      </c>
      <c r="G294" t="s">
        <v>283</v>
      </c>
      <c r="H294">
        <v>19</v>
      </c>
      <c r="I294" s="51">
        <v>173</v>
      </c>
    </row>
    <row r="295" spans="5:9" x14ac:dyDescent="0.25">
      <c r="E295">
        <f t="shared" si="31"/>
        <v>44</v>
      </c>
      <c r="G295" t="s">
        <v>284</v>
      </c>
      <c r="H295">
        <v>47</v>
      </c>
      <c r="I295" s="51">
        <v>173</v>
      </c>
    </row>
    <row r="296" spans="5:9" x14ac:dyDescent="0.25">
      <c r="E296">
        <f t="shared" si="31"/>
        <v>44</v>
      </c>
      <c r="G296" t="s">
        <v>285</v>
      </c>
      <c r="H296">
        <v>33</v>
      </c>
      <c r="I296" s="51">
        <v>173</v>
      </c>
    </row>
    <row r="297" spans="5:9" x14ac:dyDescent="0.25">
      <c r="E297">
        <f t="shared" si="31"/>
        <v>44</v>
      </c>
      <c r="G297" t="s">
        <v>286</v>
      </c>
      <c r="H297" s="51">
        <v>1</v>
      </c>
      <c r="I297" s="51">
        <v>173</v>
      </c>
    </row>
    <row r="298" spans="5:9" x14ac:dyDescent="0.25">
      <c r="E298">
        <f t="shared" si="31"/>
        <v>44</v>
      </c>
      <c r="G298" t="s">
        <v>287</v>
      </c>
      <c r="H298">
        <v>7</v>
      </c>
      <c r="I298" s="51">
        <v>173</v>
      </c>
    </row>
    <row r="299" spans="5:9" x14ac:dyDescent="0.25">
      <c r="E299">
        <f t="shared" si="31"/>
        <v>44</v>
      </c>
      <c r="G299" t="s">
        <v>288</v>
      </c>
      <c r="H299" s="51">
        <v>9</v>
      </c>
      <c r="I299" s="51">
        <v>173</v>
      </c>
    </row>
    <row r="300" spans="5:9" x14ac:dyDescent="0.25">
      <c r="E300">
        <f>+$F$300</f>
        <v>49</v>
      </c>
      <c r="F300">
        <v>49</v>
      </c>
      <c r="G300" t="s">
        <v>280</v>
      </c>
      <c r="H300" s="51"/>
      <c r="I300" s="51">
        <v>244</v>
      </c>
    </row>
    <row r="301" spans="5:9" x14ac:dyDescent="0.25">
      <c r="E301">
        <f t="shared" ref="E301:E308" si="32">+$F$300</f>
        <v>49</v>
      </c>
      <c r="G301" t="s">
        <v>281</v>
      </c>
      <c r="H301" s="51"/>
      <c r="I301" s="51">
        <v>244</v>
      </c>
    </row>
    <row r="302" spans="5:9" x14ac:dyDescent="0.25">
      <c r="E302">
        <f t="shared" si="32"/>
        <v>49</v>
      </c>
      <c r="G302" t="s">
        <v>282</v>
      </c>
      <c r="H302" s="51"/>
      <c r="I302" s="51">
        <v>244</v>
      </c>
    </row>
    <row r="303" spans="5:9" x14ac:dyDescent="0.25">
      <c r="E303">
        <f t="shared" si="32"/>
        <v>49</v>
      </c>
      <c r="G303" t="s">
        <v>283</v>
      </c>
      <c r="H303" s="51"/>
      <c r="I303" s="51">
        <v>244</v>
      </c>
    </row>
    <row r="304" spans="5:9" x14ac:dyDescent="0.25">
      <c r="E304">
        <f t="shared" si="32"/>
        <v>49</v>
      </c>
      <c r="G304" t="s">
        <v>284</v>
      </c>
      <c r="H304" s="51"/>
      <c r="I304" s="51">
        <v>244</v>
      </c>
    </row>
    <row r="305" spans="5:9" x14ac:dyDescent="0.25">
      <c r="E305">
        <f t="shared" si="32"/>
        <v>49</v>
      </c>
      <c r="G305" t="s">
        <v>285</v>
      </c>
      <c r="H305" s="51"/>
      <c r="I305" s="51">
        <v>244</v>
      </c>
    </row>
    <row r="306" spans="5:9" x14ac:dyDescent="0.25">
      <c r="E306">
        <f t="shared" si="32"/>
        <v>49</v>
      </c>
      <c r="G306" t="s">
        <v>286</v>
      </c>
      <c r="H306" s="51"/>
      <c r="I306" s="51">
        <v>244</v>
      </c>
    </row>
    <row r="307" spans="5:9" x14ac:dyDescent="0.25">
      <c r="E307">
        <f t="shared" si="32"/>
        <v>49</v>
      </c>
      <c r="G307" t="s">
        <v>287</v>
      </c>
      <c r="I307" s="51">
        <v>244</v>
      </c>
    </row>
    <row r="308" spans="5:9" x14ac:dyDescent="0.25">
      <c r="E308">
        <f t="shared" si="32"/>
        <v>49</v>
      </c>
      <c r="G308" t="s">
        <v>288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280</v>
      </c>
      <c r="H309">
        <v>28</v>
      </c>
      <c r="I309" s="51">
        <v>261</v>
      </c>
    </row>
    <row r="310" spans="5:9" x14ac:dyDescent="0.25">
      <c r="E310">
        <f t="shared" ref="E310:E317" si="33">+$F$309</f>
        <v>5</v>
      </c>
      <c r="G310" t="s">
        <v>281</v>
      </c>
      <c r="H310">
        <v>17</v>
      </c>
      <c r="I310" s="51">
        <v>261</v>
      </c>
    </row>
    <row r="311" spans="5:9" x14ac:dyDescent="0.25">
      <c r="E311">
        <f t="shared" si="33"/>
        <v>5</v>
      </c>
      <c r="G311" t="s">
        <v>282</v>
      </c>
      <c r="H311">
        <v>45</v>
      </c>
      <c r="I311" s="51">
        <v>261</v>
      </c>
    </row>
    <row r="312" spans="5:9" x14ac:dyDescent="0.25">
      <c r="E312">
        <f t="shared" si="33"/>
        <v>5</v>
      </c>
      <c r="G312" t="s">
        <v>283</v>
      </c>
      <c r="H312">
        <v>34</v>
      </c>
      <c r="I312" s="51">
        <v>261</v>
      </c>
    </row>
    <row r="313" spans="5:9" x14ac:dyDescent="0.25">
      <c r="E313">
        <f t="shared" si="33"/>
        <v>5</v>
      </c>
      <c r="G313" t="s">
        <v>284</v>
      </c>
      <c r="H313">
        <v>62</v>
      </c>
      <c r="I313" s="51">
        <v>261</v>
      </c>
    </row>
    <row r="314" spans="5:9" x14ac:dyDescent="0.25">
      <c r="E314">
        <f t="shared" si="33"/>
        <v>5</v>
      </c>
      <c r="G314" t="s">
        <v>285</v>
      </c>
      <c r="H314">
        <v>36</v>
      </c>
      <c r="I314" s="51">
        <v>261</v>
      </c>
    </row>
    <row r="315" spans="5:9" x14ac:dyDescent="0.25">
      <c r="E315">
        <f t="shared" si="33"/>
        <v>5</v>
      </c>
      <c r="G315" t="s">
        <v>286</v>
      </c>
      <c r="H315" s="51">
        <v>7</v>
      </c>
      <c r="I315" s="51">
        <v>261</v>
      </c>
    </row>
    <row r="316" spans="5:9" x14ac:dyDescent="0.25">
      <c r="E316">
        <f t="shared" si="33"/>
        <v>5</v>
      </c>
      <c r="G316" t="s">
        <v>287</v>
      </c>
      <c r="H316">
        <v>12</v>
      </c>
      <c r="I316" s="51">
        <v>261</v>
      </c>
    </row>
    <row r="317" spans="5:9" x14ac:dyDescent="0.25">
      <c r="E317">
        <f t="shared" si="33"/>
        <v>5</v>
      </c>
      <c r="G317" t="s">
        <v>288</v>
      </c>
      <c r="H317" s="51">
        <v>14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280</v>
      </c>
      <c r="H318" s="51"/>
      <c r="I318" s="51">
        <v>102</v>
      </c>
    </row>
    <row r="319" spans="5:9" x14ac:dyDescent="0.25">
      <c r="E319">
        <f t="shared" ref="E319:E326" si="34">+$F$318</f>
        <v>52</v>
      </c>
      <c r="G319" t="s">
        <v>281</v>
      </c>
      <c r="H319" s="51"/>
      <c r="I319" s="51">
        <v>102</v>
      </c>
    </row>
    <row r="320" spans="5:9" x14ac:dyDescent="0.25">
      <c r="E320">
        <f t="shared" si="34"/>
        <v>52</v>
      </c>
      <c r="G320" t="s">
        <v>282</v>
      </c>
      <c r="H320" s="51"/>
      <c r="I320" s="51">
        <v>102</v>
      </c>
    </row>
    <row r="321" spans="5:9" x14ac:dyDescent="0.25">
      <c r="E321">
        <f t="shared" si="34"/>
        <v>52</v>
      </c>
      <c r="G321" t="s">
        <v>283</v>
      </c>
      <c r="H321" s="51"/>
      <c r="I321" s="51">
        <v>102</v>
      </c>
    </row>
    <row r="322" spans="5:9" x14ac:dyDescent="0.25">
      <c r="E322">
        <f t="shared" si="34"/>
        <v>52</v>
      </c>
      <c r="G322" t="s">
        <v>284</v>
      </c>
      <c r="H322" s="51"/>
      <c r="I322" s="51">
        <v>102</v>
      </c>
    </row>
    <row r="323" spans="5:9" x14ac:dyDescent="0.25">
      <c r="E323">
        <f t="shared" si="34"/>
        <v>52</v>
      </c>
      <c r="G323" t="s">
        <v>285</v>
      </c>
      <c r="I323" s="51">
        <v>102</v>
      </c>
    </row>
    <row r="324" spans="5:9" x14ac:dyDescent="0.25">
      <c r="E324">
        <f t="shared" si="34"/>
        <v>52</v>
      </c>
      <c r="G324" t="s">
        <v>286</v>
      </c>
      <c r="H324" s="51">
        <v>8</v>
      </c>
      <c r="I324" s="51">
        <v>102</v>
      </c>
    </row>
    <row r="325" spans="5:9" x14ac:dyDescent="0.25">
      <c r="E325">
        <f t="shared" si="34"/>
        <v>52</v>
      </c>
      <c r="G325" t="s">
        <v>287</v>
      </c>
      <c r="H325" s="51"/>
      <c r="I325" s="51">
        <v>102</v>
      </c>
    </row>
    <row r="326" spans="5:9" x14ac:dyDescent="0.25">
      <c r="E326">
        <f t="shared" si="34"/>
        <v>52</v>
      </c>
      <c r="G326" t="s">
        <v>288</v>
      </c>
      <c r="H326" s="51"/>
      <c r="I326" s="51">
        <v>102</v>
      </c>
    </row>
    <row r="327" spans="5:9" x14ac:dyDescent="0.25">
      <c r="E327">
        <f>+$F$327</f>
        <v>53</v>
      </c>
      <c r="F327">
        <v>53</v>
      </c>
      <c r="G327" t="s">
        <v>280</v>
      </c>
      <c r="I327" s="51">
        <v>105</v>
      </c>
    </row>
    <row r="328" spans="5:9" x14ac:dyDescent="0.25">
      <c r="E328">
        <f t="shared" ref="E328:E335" si="35">+$F$327</f>
        <v>53</v>
      </c>
      <c r="G328" t="s">
        <v>281</v>
      </c>
      <c r="H328">
        <v>1</v>
      </c>
      <c r="I328" s="51">
        <v>105</v>
      </c>
    </row>
    <row r="329" spans="5:9" x14ac:dyDescent="0.25">
      <c r="E329">
        <f t="shared" si="35"/>
        <v>53</v>
      </c>
      <c r="G329" t="s">
        <v>282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283</v>
      </c>
      <c r="I330" s="51">
        <v>105</v>
      </c>
    </row>
    <row r="331" spans="5:9" x14ac:dyDescent="0.25">
      <c r="E331">
        <f t="shared" si="35"/>
        <v>53</v>
      </c>
      <c r="G331" t="s">
        <v>284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285</v>
      </c>
      <c r="H332">
        <v>1</v>
      </c>
      <c r="I332" s="51">
        <v>105</v>
      </c>
    </row>
    <row r="333" spans="5:9" x14ac:dyDescent="0.25">
      <c r="E333">
        <f t="shared" si="35"/>
        <v>53</v>
      </c>
      <c r="G333" t="s">
        <v>286</v>
      </c>
      <c r="H333" s="51">
        <v>12</v>
      </c>
      <c r="I333" s="51">
        <v>105</v>
      </c>
    </row>
    <row r="334" spans="5:9" x14ac:dyDescent="0.25">
      <c r="E334">
        <f t="shared" si="35"/>
        <v>53</v>
      </c>
      <c r="G334" t="s">
        <v>287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288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280</v>
      </c>
      <c r="H336" s="51">
        <v>13</v>
      </c>
      <c r="I336" s="51">
        <v>197</v>
      </c>
    </row>
    <row r="337" spans="5:9" x14ac:dyDescent="0.25">
      <c r="E337">
        <f t="shared" ref="E337:E344" si="36">+$F$336</f>
        <v>54</v>
      </c>
      <c r="G337" t="s">
        <v>281</v>
      </c>
      <c r="H337" s="51">
        <v>12</v>
      </c>
      <c r="I337" s="51">
        <v>197</v>
      </c>
    </row>
    <row r="338" spans="5:9" x14ac:dyDescent="0.25">
      <c r="E338">
        <f t="shared" si="36"/>
        <v>54</v>
      </c>
      <c r="G338" t="s">
        <v>282</v>
      </c>
      <c r="H338" s="51">
        <v>32</v>
      </c>
      <c r="I338" s="51">
        <v>197</v>
      </c>
    </row>
    <row r="339" spans="5:9" x14ac:dyDescent="0.25">
      <c r="E339">
        <f t="shared" si="36"/>
        <v>54</v>
      </c>
      <c r="G339" t="s">
        <v>283</v>
      </c>
      <c r="H339" s="51">
        <v>24</v>
      </c>
      <c r="I339" s="51">
        <v>197</v>
      </c>
    </row>
    <row r="340" spans="5:9" x14ac:dyDescent="0.25">
      <c r="E340">
        <f t="shared" si="36"/>
        <v>54</v>
      </c>
      <c r="G340" t="s">
        <v>284</v>
      </c>
      <c r="H340">
        <v>25</v>
      </c>
      <c r="I340" s="51">
        <v>197</v>
      </c>
    </row>
    <row r="341" spans="5:9" x14ac:dyDescent="0.25">
      <c r="E341">
        <f t="shared" si="36"/>
        <v>54</v>
      </c>
      <c r="G341" t="s">
        <v>285</v>
      </c>
      <c r="H341" s="51">
        <v>20</v>
      </c>
      <c r="I341" s="51">
        <v>197</v>
      </c>
    </row>
    <row r="342" spans="5:9" x14ac:dyDescent="0.25">
      <c r="E342">
        <f t="shared" si="36"/>
        <v>54</v>
      </c>
      <c r="G342" t="s">
        <v>286</v>
      </c>
      <c r="H342" s="51">
        <v>10</v>
      </c>
      <c r="I342" s="51">
        <v>197</v>
      </c>
    </row>
    <row r="343" spans="5:9" x14ac:dyDescent="0.25">
      <c r="E343">
        <f t="shared" si="36"/>
        <v>54</v>
      </c>
      <c r="G343" t="s">
        <v>287</v>
      </c>
      <c r="H343" s="51">
        <v>11</v>
      </c>
      <c r="I343" s="51">
        <v>197</v>
      </c>
    </row>
    <row r="344" spans="5:9" x14ac:dyDescent="0.25">
      <c r="E344">
        <f t="shared" si="36"/>
        <v>54</v>
      </c>
      <c r="G344" t="s">
        <v>288</v>
      </c>
      <c r="H344" s="51">
        <v>7</v>
      </c>
      <c r="I344" s="51">
        <v>197</v>
      </c>
    </row>
    <row r="345" spans="5:9" x14ac:dyDescent="0.25">
      <c r="E345">
        <f>+$F$345</f>
        <v>56</v>
      </c>
      <c r="F345">
        <v>56</v>
      </c>
      <c r="G345" t="s">
        <v>280</v>
      </c>
      <c r="H345">
        <v>2</v>
      </c>
      <c r="I345" s="51">
        <v>197</v>
      </c>
    </row>
    <row r="346" spans="5:9" x14ac:dyDescent="0.25">
      <c r="E346">
        <f t="shared" ref="E346:E353" si="37">+$F$345</f>
        <v>56</v>
      </c>
      <c r="G346" t="s">
        <v>281</v>
      </c>
      <c r="H346" s="51">
        <v>2</v>
      </c>
      <c r="I346" s="51">
        <v>197</v>
      </c>
    </row>
    <row r="347" spans="5:9" x14ac:dyDescent="0.25">
      <c r="E347">
        <f t="shared" si="37"/>
        <v>56</v>
      </c>
      <c r="G347" t="s">
        <v>282</v>
      </c>
      <c r="H347" s="51">
        <v>22</v>
      </c>
      <c r="I347" s="51">
        <v>197</v>
      </c>
    </row>
    <row r="348" spans="5:9" x14ac:dyDescent="0.25">
      <c r="E348">
        <f t="shared" si="37"/>
        <v>56</v>
      </c>
      <c r="G348" t="s">
        <v>283</v>
      </c>
      <c r="H348">
        <v>9</v>
      </c>
      <c r="I348" s="51">
        <v>197</v>
      </c>
    </row>
    <row r="349" spans="5:9" x14ac:dyDescent="0.25">
      <c r="E349">
        <f t="shared" si="37"/>
        <v>56</v>
      </c>
      <c r="G349" t="s">
        <v>284</v>
      </c>
      <c r="H349" s="51">
        <v>15</v>
      </c>
      <c r="I349" s="51">
        <v>197</v>
      </c>
    </row>
    <row r="350" spans="5:9" x14ac:dyDescent="0.25">
      <c r="E350">
        <f t="shared" si="37"/>
        <v>56</v>
      </c>
      <c r="G350" t="s">
        <v>285</v>
      </c>
      <c r="H350" s="51">
        <v>10</v>
      </c>
      <c r="I350" s="51">
        <v>197</v>
      </c>
    </row>
    <row r="351" spans="5:9" x14ac:dyDescent="0.25">
      <c r="E351">
        <f t="shared" si="37"/>
        <v>56</v>
      </c>
      <c r="G351" t="s">
        <v>286</v>
      </c>
      <c r="H351" s="51">
        <v>17</v>
      </c>
      <c r="I351" s="51">
        <v>197</v>
      </c>
    </row>
    <row r="352" spans="5:9" x14ac:dyDescent="0.25">
      <c r="E352">
        <f t="shared" si="37"/>
        <v>56</v>
      </c>
      <c r="G352" t="s">
        <v>287</v>
      </c>
      <c r="H352">
        <v>4</v>
      </c>
      <c r="I352" s="51">
        <v>197</v>
      </c>
    </row>
    <row r="353" spans="5:9" x14ac:dyDescent="0.25">
      <c r="E353">
        <f t="shared" si="37"/>
        <v>56</v>
      </c>
      <c r="G353" t="s">
        <v>288</v>
      </c>
      <c r="H353" s="51">
        <v>6</v>
      </c>
      <c r="I353" s="51">
        <v>197</v>
      </c>
    </row>
    <row r="354" spans="5:9" x14ac:dyDescent="0.25">
      <c r="E354">
        <f>+$F$354</f>
        <v>57</v>
      </c>
      <c r="F354">
        <v>57</v>
      </c>
      <c r="G354" t="s">
        <v>280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281</v>
      </c>
      <c r="H355" s="51"/>
      <c r="I355" s="51">
        <v>105</v>
      </c>
    </row>
    <row r="356" spans="5:9" x14ac:dyDescent="0.25">
      <c r="E356">
        <f t="shared" si="38"/>
        <v>57</v>
      </c>
      <c r="G356" t="s">
        <v>282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283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284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285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286</v>
      </c>
      <c r="H360" s="51">
        <v>11</v>
      </c>
      <c r="I360" s="51">
        <v>105</v>
      </c>
    </row>
    <row r="361" spans="5:9" x14ac:dyDescent="0.25">
      <c r="E361">
        <f t="shared" si="38"/>
        <v>57</v>
      </c>
      <c r="G361" t="s">
        <v>287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288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280</v>
      </c>
      <c r="H363" s="51">
        <v>1</v>
      </c>
      <c r="I363" s="51">
        <v>122</v>
      </c>
    </row>
    <row r="364" spans="5:9" x14ac:dyDescent="0.25">
      <c r="E364">
        <f t="shared" ref="E364:E371" si="39">+$F$363</f>
        <v>58</v>
      </c>
      <c r="G364" t="s">
        <v>281</v>
      </c>
      <c r="H364" s="51">
        <v>6</v>
      </c>
      <c r="I364" s="51">
        <v>122</v>
      </c>
    </row>
    <row r="365" spans="5:9" x14ac:dyDescent="0.25">
      <c r="E365">
        <f t="shared" si="39"/>
        <v>58</v>
      </c>
      <c r="G365" t="s">
        <v>282</v>
      </c>
      <c r="H365" s="51">
        <v>2</v>
      </c>
      <c r="I365" s="51">
        <v>122</v>
      </c>
    </row>
    <row r="366" spans="5:9" x14ac:dyDescent="0.25">
      <c r="E366">
        <f t="shared" si="39"/>
        <v>58</v>
      </c>
      <c r="G366" t="s">
        <v>283</v>
      </c>
      <c r="H366" s="51">
        <v>10</v>
      </c>
      <c r="I366" s="51">
        <v>122</v>
      </c>
    </row>
    <row r="367" spans="5:9" x14ac:dyDescent="0.25">
      <c r="E367">
        <f t="shared" si="39"/>
        <v>58</v>
      </c>
      <c r="G367" t="s">
        <v>284</v>
      </c>
      <c r="H367" s="51">
        <v>6</v>
      </c>
      <c r="I367" s="51">
        <v>122</v>
      </c>
    </row>
    <row r="368" spans="5:9" x14ac:dyDescent="0.25">
      <c r="E368">
        <f t="shared" si="39"/>
        <v>58</v>
      </c>
      <c r="G368" t="s">
        <v>285</v>
      </c>
      <c r="H368" s="51">
        <v>10</v>
      </c>
      <c r="I368" s="51">
        <v>122</v>
      </c>
    </row>
    <row r="369" spans="5:9" x14ac:dyDescent="0.25">
      <c r="E369">
        <f t="shared" si="39"/>
        <v>58</v>
      </c>
      <c r="G369" t="s">
        <v>286</v>
      </c>
      <c r="H369" s="51"/>
      <c r="I369" s="51">
        <v>122</v>
      </c>
    </row>
    <row r="370" spans="5:9" x14ac:dyDescent="0.25">
      <c r="E370">
        <f t="shared" si="39"/>
        <v>58</v>
      </c>
      <c r="G370" t="s">
        <v>287</v>
      </c>
      <c r="H370" s="51">
        <v>3</v>
      </c>
      <c r="I370" s="51">
        <v>122</v>
      </c>
    </row>
    <row r="371" spans="5:9" x14ac:dyDescent="0.25">
      <c r="E371">
        <f t="shared" si="39"/>
        <v>58</v>
      </c>
      <c r="G371" t="s">
        <v>288</v>
      </c>
      <c r="H371" s="35">
        <v>2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280</v>
      </c>
      <c r="H372">
        <v>11</v>
      </c>
      <c r="I372">
        <v>125</v>
      </c>
    </row>
    <row r="373" spans="5:9" x14ac:dyDescent="0.25">
      <c r="E373">
        <f t="shared" ref="E373:E380" si="40">+$F$372</f>
        <v>59</v>
      </c>
      <c r="G373" t="s">
        <v>281</v>
      </c>
      <c r="H373">
        <v>11</v>
      </c>
      <c r="I373">
        <v>125</v>
      </c>
    </row>
    <row r="374" spans="5:9" x14ac:dyDescent="0.25">
      <c r="E374">
        <f t="shared" si="40"/>
        <v>59</v>
      </c>
      <c r="G374" t="s">
        <v>282</v>
      </c>
      <c r="H374">
        <v>5</v>
      </c>
      <c r="I374">
        <v>125</v>
      </c>
    </row>
    <row r="375" spans="5:9" x14ac:dyDescent="0.25">
      <c r="E375">
        <f t="shared" si="40"/>
        <v>59</v>
      </c>
      <c r="G375" t="s">
        <v>283</v>
      </c>
      <c r="H375">
        <v>17</v>
      </c>
      <c r="I375">
        <v>125</v>
      </c>
    </row>
    <row r="376" spans="5:9" x14ac:dyDescent="0.25">
      <c r="E376">
        <f t="shared" si="40"/>
        <v>59</v>
      </c>
      <c r="G376" t="s">
        <v>284</v>
      </c>
      <c r="H376">
        <v>13</v>
      </c>
      <c r="I376">
        <v>125</v>
      </c>
    </row>
    <row r="377" spans="5:9" x14ac:dyDescent="0.25">
      <c r="E377">
        <f t="shared" si="40"/>
        <v>59</v>
      </c>
      <c r="G377" t="s">
        <v>285</v>
      </c>
      <c r="H377">
        <v>14</v>
      </c>
      <c r="I377">
        <v>125</v>
      </c>
    </row>
    <row r="378" spans="5:9" x14ac:dyDescent="0.25">
      <c r="E378">
        <f t="shared" si="40"/>
        <v>59</v>
      </c>
      <c r="G378" t="s">
        <v>286</v>
      </c>
      <c r="H378">
        <v>4</v>
      </c>
      <c r="I378">
        <v>125</v>
      </c>
    </row>
    <row r="379" spans="5:9" x14ac:dyDescent="0.25">
      <c r="E379">
        <f t="shared" si="40"/>
        <v>59</v>
      </c>
      <c r="G379" t="s">
        <v>287</v>
      </c>
      <c r="H379">
        <v>1</v>
      </c>
      <c r="I379">
        <v>125</v>
      </c>
    </row>
    <row r="380" spans="5:9" x14ac:dyDescent="0.25">
      <c r="E380">
        <f t="shared" si="40"/>
        <v>59</v>
      </c>
      <c r="G380" t="s">
        <v>288</v>
      </c>
      <c r="H380">
        <v>1</v>
      </c>
      <c r="I380">
        <v>125</v>
      </c>
    </row>
    <row r="381" spans="5:9" x14ac:dyDescent="0.25">
      <c r="E381">
        <f>+$F$381</f>
        <v>7</v>
      </c>
      <c r="F381">
        <v>7</v>
      </c>
      <c r="G381" t="s">
        <v>280</v>
      </c>
      <c r="I381">
        <v>115</v>
      </c>
    </row>
    <row r="382" spans="5:9" x14ac:dyDescent="0.25">
      <c r="E382">
        <f t="shared" ref="E382:E389" si="41">+$F$381</f>
        <v>7</v>
      </c>
      <c r="G382" t="s">
        <v>281</v>
      </c>
      <c r="I382">
        <v>115</v>
      </c>
    </row>
    <row r="383" spans="5:9" x14ac:dyDescent="0.25">
      <c r="E383">
        <f t="shared" si="41"/>
        <v>7</v>
      </c>
      <c r="G383" t="s">
        <v>282</v>
      </c>
      <c r="H383">
        <v>2</v>
      </c>
      <c r="I383">
        <v>115</v>
      </c>
    </row>
    <row r="384" spans="5:9" x14ac:dyDescent="0.25">
      <c r="E384">
        <f t="shared" si="41"/>
        <v>7</v>
      </c>
      <c r="G384" t="s">
        <v>283</v>
      </c>
      <c r="I384">
        <v>115</v>
      </c>
    </row>
    <row r="385" spans="5:9" x14ac:dyDescent="0.25">
      <c r="E385">
        <f t="shared" si="41"/>
        <v>7</v>
      </c>
      <c r="G385" t="s">
        <v>284</v>
      </c>
      <c r="H385">
        <v>1</v>
      </c>
      <c r="I385">
        <v>115</v>
      </c>
    </row>
    <row r="386" spans="5:9" x14ac:dyDescent="0.25">
      <c r="E386">
        <f t="shared" si="41"/>
        <v>7</v>
      </c>
      <c r="G386" t="s">
        <v>285</v>
      </c>
      <c r="I386">
        <v>115</v>
      </c>
    </row>
    <row r="387" spans="5:9" x14ac:dyDescent="0.25">
      <c r="E387">
        <f t="shared" si="41"/>
        <v>7</v>
      </c>
      <c r="G387" t="s">
        <v>286</v>
      </c>
      <c r="H387">
        <v>4</v>
      </c>
      <c r="I387">
        <v>115</v>
      </c>
    </row>
    <row r="388" spans="5:9" x14ac:dyDescent="0.25">
      <c r="E388">
        <f t="shared" si="41"/>
        <v>7</v>
      </c>
      <c r="G388" t="s">
        <v>287</v>
      </c>
      <c r="H388">
        <v>1</v>
      </c>
      <c r="I388">
        <v>115</v>
      </c>
    </row>
    <row r="389" spans="5:9" x14ac:dyDescent="0.25">
      <c r="E389">
        <f t="shared" si="41"/>
        <v>7</v>
      </c>
      <c r="G389" t="s">
        <v>288</v>
      </c>
      <c r="H389">
        <v>1</v>
      </c>
      <c r="I389">
        <v>115</v>
      </c>
    </row>
    <row r="390" spans="5:9" x14ac:dyDescent="0.25">
      <c r="E390">
        <f>+$F$390</f>
        <v>8</v>
      </c>
      <c r="F390">
        <v>8</v>
      </c>
      <c r="G390" t="s">
        <v>280</v>
      </c>
      <c r="H390">
        <v>4</v>
      </c>
      <c r="I390">
        <v>195</v>
      </c>
    </row>
    <row r="391" spans="5:9" x14ac:dyDescent="0.25">
      <c r="E391">
        <f t="shared" ref="E391:E398" si="42">+$F$390</f>
        <v>8</v>
      </c>
      <c r="G391" t="s">
        <v>281</v>
      </c>
      <c r="H391">
        <v>1</v>
      </c>
      <c r="I391">
        <v>195</v>
      </c>
    </row>
    <row r="392" spans="5:9" x14ac:dyDescent="0.25">
      <c r="E392">
        <f t="shared" si="42"/>
        <v>8</v>
      </c>
      <c r="G392" t="s">
        <v>282</v>
      </c>
      <c r="H392">
        <v>7</v>
      </c>
      <c r="I392">
        <v>195</v>
      </c>
    </row>
    <row r="393" spans="5:9" x14ac:dyDescent="0.25">
      <c r="E393">
        <f t="shared" si="42"/>
        <v>8</v>
      </c>
      <c r="G393" t="s">
        <v>283</v>
      </c>
      <c r="H393">
        <v>9</v>
      </c>
      <c r="I393">
        <v>195</v>
      </c>
    </row>
    <row r="394" spans="5:9" x14ac:dyDescent="0.25">
      <c r="E394">
        <f t="shared" si="42"/>
        <v>8</v>
      </c>
      <c r="G394" t="s">
        <v>284</v>
      </c>
      <c r="H394">
        <v>10</v>
      </c>
      <c r="I394">
        <v>195</v>
      </c>
    </row>
    <row r="395" spans="5:9" x14ac:dyDescent="0.25">
      <c r="E395">
        <f t="shared" si="42"/>
        <v>8</v>
      </c>
      <c r="G395" t="s">
        <v>285</v>
      </c>
      <c r="H395">
        <v>7</v>
      </c>
      <c r="I395">
        <v>195</v>
      </c>
    </row>
    <row r="396" spans="5:9" x14ac:dyDescent="0.25">
      <c r="E396">
        <f t="shared" si="42"/>
        <v>8</v>
      </c>
      <c r="G396" t="s">
        <v>286</v>
      </c>
      <c r="H396">
        <v>4</v>
      </c>
      <c r="I396">
        <v>195</v>
      </c>
    </row>
    <row r="397" spans="5:9" x14ac:dyDescent="0.25">
      <c r="E397">
        <f t="shared" si="42"/>
        <v>8</v>
      </c>
      <c r="G397" t="s">
        <v>287</v>
      </c>
      <c r="H397">
        <v>3</v>
      </c>
      <c r="I397">
        <v>195</v>
      </c>
    </row>
    <row r="398" spans="5:9" x14ac:dyDescent="0.25">
      <c r="E398">
        <f t="shared" si="42"/>
        <v>8</v>
      </c>
      <c r="G398" t="s">
        <v>288</v>
      </c>
      <c r="H398">
        <v>6</v>
      </c>
      <c r="I398">
        <v>195</v>
      </c>
    </row>
    <row r="399" spans="5:9" x14ac:dyDescent="0.25">
      <c r="E399">
        <f>+$F$399</f>
        <v>9</v>
      </c>
      <c r="F399">
        <v>9</v>
      </c>
      <c r="G399" t="s">
        <v>280</v>
      </c>
      <c r="H399">
        <v>8</v>
      </c>
      <c r="I399">
        <v>156</v>
      </c>
    </row>
    <row r="400" spans="5:9" x14ac:dyDescent="0.25">
      <c r="E400">
        <f t="shared" ref="E400:E407" si="43">+$F$399</f>
        <v>9</v>
      </c>
      <c r="G400" t="s">
        <v>281</v>
      </c>
      <c r="H400">
        <v>10</v>
      </c>
      <c r="I400">
        <v>156</v>
      </c>
    </row>
    <row r="401" spans="5:9" x14ac:dyDescent="0.25">
      <c r="E401">
        <f t="shared" si="43"/>
        <v>9</v>
      </c>
      <c r="G401" t="s">
        <v>282</v>
      </c>
      <c r="H401">
        <v>16</v>
      </c>
      <c r="I401">
        <v>156</v>
      </c>
    </row>
    <row r="402" spans="5:9" x14ac:dyDescent="0.25">
      <c r="E402">
        <f t="shared" si="43"/>
        <v>9</v>
      </c>
      <c r="G402" t="s">
        <v>283</v>
      </c>
      <c r="H402">
        <v>20</v>
      </c>
      <c r="I402">
        <v>156</v>
      </c>
    </row>
    <row r="403" spans="5:9" x14ac:dyDescent="0.25">
      <c r="E403">
        <f t="shared" si="43"/>
        <v>9</v>
      </c>
      <c r="G403" t="s">
        <v>284</v>
      </c>
      <c r="H403">
        <v>24</v>
      </c>
      <c r="I403">
        <v>156</v>
      </c>
    </row>
    <row r="404" spans="5:9" x14ac:dyDescent="0.25">
      <c r="E404">
        <f t="shared" si="43"/>
        <v>9</v>
      </c>
      <c r="G404" t="s">
        <v>285</v>
      </c>
      <c r="H404">
        <v>26</v>
      </c>
      <c r="I404">
        <v>156</v>
      </c>
    </row>
    <row r="405" spans="5:9" x14ac:dyDescent="0.25">
      <c r="E405">
        <f t="shared" si="43"/>
        <v>9</v>
      </c>
      <c r="G405" t="s">
        <v>286</v>
      </c>
      <c r="H405">
        <v>5</v>
      </c>
      <c r="I405">
        <v>156</v>
      </c>
    </row>
    <row r="406" spans="5:9" x14ac:dyDescent="0.25">
      <c r="E406">
        <f t="shared" si="43"/>
        <v>9</v>
      </c>
      <c r="G406" t="s">
        <v>287</v>
      </c>
      <c r="H406">
        <v>6</v>
      </c>
      <c r="I406">
        <v>156</v>
      </c>
    </row>
    <row r="407" spans="5:9" x14ac:dyDescent="0.25">
      <c r="E407">
        <f t="shared" si="43"/>
        <v>9</v>
      </c>
      <c r="G407" t="s">
        <v>288</v>
      </c>
      <c r="H407">
        <v>4</v>
      </c>
      <c r="I407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121</v>
      </c>
      <c r="I1" t="s">
        <v>122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204</v>
      </c>
      <c r="B2">
        <v>1</v>
      </c>
      <c r="C2" s="52">
        <v>46082</v>
      </c>
      <c r="D2" t="s">
        <v>156</v>
      </c>
      <c r="E2">
        <v>1</v>
      </c>
      <c r="F2" t="s">
        <v>14</v>
      </c>
      <c r="G2" t="s">
        <v>143</v>
      </c>
      <c r="H2">
        <v>1382</v>
      </c>
      <c r="I2" t="s">
        <v>144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204</v>
      </c>
      <c r="B3">
        <v>1</v>
      </c>
      <c r="C3" s="52">
        <v>46082</v>
      </c>
      <c r="D3" t="s">
        <v>180</v>
      </c>
      <c r="E3">
        <v>2</v>
      </c>
      <c r="F3" t="s">
        <v>7</v>
      </c>
      <c r="G3" t="s">
        <v>143</v>
      </c>
      <c r="H3">
        <v>1382</v>
      </c>
      <c r="I3" t="s">
        <v>144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204</v>
      </c>
      <c r="B4">
        <v>1</v>
      </c>
      <c r="C4" s="52">
        <v>46082</v>
      </c>
      <c r="D4" t="s">
        <v>157</v>
      </c>
      <c r="E4">
        <v>3</v>
      </c>
      <c r="F4" t="s">
        <v>4</v>
      </c>
      <c r="G4" t="s">
        <v>143</v>
      </c>
      <c r="H4">
        <v>1382</v>
      </c>
      <c r="I4" t="s">
        <v>144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204</v>
      </c>
      <c r="B5">
        <v>1</v>
      </c>
      <c r="C5" s="52">
        <v>46082</v>
      </c>
      <c r="D5" t="s">
        <v>162</v>
      </c>
      <c r="E5">
        <v>4</v>
      </c>
      <c r="F5" t="s">
        <v>19</v>
      </c>
      <c r="G5" t="s">
        <v>143</v>
      </c>
      <c r="H5">
        <v>1382</v>
      </c>
      <c r="I5" t="s">
        <v>144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204</v>
      </c>
      <c r="B6">
        <v>1</v>
      </c>
      <c r="C6" s="52">
        <v>46082</v>
      </c>
      <c r="D6" t="s">
        <v>163</v>
      </c>
      <c r="E6">
        <v>5</v>
      </c>
      <c r="F6" t="s">
        <v>71</v>
      </c>
      <c r="G6" t="s">
        <v>143</v>
      </c>
      <c r="H6">
        <v>1382</v>
      </c>
      <c r="I6" t="s">
        <v>144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204</v>
      </c>
      <c r="B7">
        <v>1</v>
      </c>
      <c r="C7" s="52">
        <v>46082</v>
      </c>
      <c r="D7" t="s">
        <v>197</v>
      </c>
      <c r="E7">
        <v>7</v>
      </c>
      <c r="F7" t="s">
        <v>10</v>
      </c>
      <c r="G7" t="s">
        <v>143</v>
      </c>
      <c r="H7">
        <v>1382</v>
      </c>
      <c r="I7" t="s">
        <v>144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204</v>
      </c>
      <c r="B8">
        <v>1</v>
      </c>
      <c r="C8" s="52">
        <v>46082</v>
      </c>
      <c r="D8" t="s">
        <v>158</v>
      </c>
      <c r="E8">
        <v>8</v>
      </c>
      <c r="F8" t="s">
        <v>6</v>
      </c>
      <c r="G8" t="s">
        <v>143</v>
      </c>
      <c r="H8">
        <v>1382</v>
      </c>
      <c r="I8" t="s">
        <v>144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204</v>
      </c>
      <c r="B9">
        <v>1</v>
      </c>
      <c r="C9" s="52">
        <v>46082</v>
      </c>
      <c r="D9" t="s">
        <v>135</v>
      </c>
      <c r="E9">
        <v>9</v>
      </c>
      <c r="F9" t="s">
        <v>8</v>
      </c>
      <c r="G9" t="s">
        <v>143</v>
      </c>
      <c r="H9">
        <v>1382</v>
      </c>
      <c r="I9" t="s">
        <v>144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204</v>
      </c>
      <c r="B10">
        <v>1</v>
      </c>
      <c r="C10" s="52">
        <v>46082</v>
      </c>
      <c r="D10" t="s">
        <v>164</v>
      </c>
      <c r="E10">
        <v>10</v>
      </c>
      <c r="F10" t="s">
        <v>62</v>
      </c>
      <c r="G10" t="s">
        <v>143</v>
      </c>
      <c r="H10">
        <v>1382</v>
      </c>
      <c r="I10" t="s">
        <v>144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204</v>
      </c>
      <c r="B11">
        <v>1</v>
      </c>
      <c r="C11" s="52">
        <v>46082</v>
      </c>
      <c r="D11" t="s">
        <v>165</v>
      </c>
      <c r="E11">
        <v>11</v>
      </c>
      <c r="F11" t="s">
        <v>80</v>
      </c>
      <c r="G11" t="s">
        <v>143</v>
      </c>
      <c r="H11">
        <v>1382</v>
      </c>
      <c r="I11" t="s">
        <v>144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204</v>
      </c>
      <c r="B12">
        <v>1</v>
      </c>
      <c r="C12" s="52">
        <v>46082</v>
      </c>
      <c r="D12" t="s">
        <v>181</v>
      </c>
      <c r="E12">
        <v>12</v>
      </c>
      <c r="F12" t="s">
        <v>12</v>
      </c>
      <c r="G12" t="s">
        <v>143</v>
      </c>
      <c r="H12">
        <v>1382</v>
      </c>
      <c r="I12" t="s">
        <v>144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204</v>
      </c>
      <c r="B13">
        <v>1</v>
      </c>
      <c r="C13" s="52">
        <v>46082</v>
      </c>
      <c r="D13" t="s">
        <v>202</v>
      </c>
      <c r="E13">
        <v>15</v>
      </c>
      <c r="F13" t="s">
        <v>13</v>
      </c>
      <c r="G13" t="s">
        <v>143</v>
      </c>
      <c r="H13">
        <v>1382</v>
      </c>
      <c r="I13" t="s">
        <v>144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204</v>
      </c>
      <c r="B14">
        <v>1</v>
      </c>
      <c r="C14" s="52">
        <v>46082</v>
      </c>
      <c r="D14" t="s">
        <v>166</v>
      </c>
      <c r="E14">
        <v>16</v>
      </c>
      <c r="F14" t="s">
        <v>21</v>
      </c>
      <c r="G14" t="s">
        <v>143</v>
      </c>
      <c r="H14">
        <v>1382</v>
      </c>
      <c r="I14" t="s">
        <v>144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204</v>
      </c>
      <c r="B15">
        <v>1</v>
      </c>
      <c r="C15" s="52">
        <v>46082</v>
      </c>
      <c r="D15" t="s">
        <v>167</v>
      </c>
      <c r="E15">
        <v>18</v>
      </c>
      <c r="F15" t="s">
        <v>11</v>
      </c>
      <c r="G15" t="s">
        <v>143</v>
      </c>
      <c r="H15">
        <v>1382</v>
      </c>
      <c r="I15" t="s">
        <v>144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204</v>
      </c>
      <c r="B16">
        <v>1</v>
      </c>
      <c r="C16" s="52">
        <v>46082</v>
      </c>
      <c r="D16" t="s">
        <v>182</v>
      </c>
      <c r="E16">
        <v>19</v>
      </c>
      <c r="F16" t="s">
        <v>73</v>
      </c>
      <c r="G16" t="s">
        <v>143</v>
      </c>
      <c r="H16">
        <v>1382</v>
      </c>
      <c r="I16" t="s">
        <v>144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204</v>
      </c>
      <c r="B17">
        <v>1</v>
      </c>
      <c r="C17" s="52">
        <v>46082</v>
      </c>
      <c r="D17" t="s">
        <v>168</v>
      </c>
      <c r="E17">
        <v>20</v>
      </c>
      <c r="F17" t="s">
        <v>20</v>
      </c>
      <c r="G17" t="s">
        <v>143</v>
      </c>
      <c r="H17">
        <v>1382</v>
      </c>
      <c r="I17" t="s">
        <v>144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204</v>
      </c>
      <c r="B18">
        <v>1</v>
      </c>
      <c r="C18" s="52">
        <v>46082</v>
      </c>
      <c r="D18" t="s">
        <v>136</v>
      </c>
      <c r="E18">
        <v>21</v>
      </c>
      <c r="F18" t="s">
        <v>17</v>
      </c>
      <c r="G18" t="s">
        <v>143</v>
      </c>
      <c r="H18">
        <v>1382</v>
      </c>
      <c r="I18" t="s">
        <v>144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204</v>
      </c>
      <c r="B19">
        <v>1</v>
      </c>
      <c r="C19" s="52">
        <v>46082</v>
      </c>
      <c r="D19" t="s">
        <v>198</v>
      </c>
      <c r="E19">
        <v>22</v>
      </c>
      <c r="F19" t="s">
        <v>23</v>
      </c>
      <c r="G19" t="s">
        <v>143</v>
      </c>
      <c r="H19">
        <v>1382</v>
      </c>
      <c r="I19" t="s">
        <v>144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204</v>
      </c>
      <c r="B20">
        <v>1</v>
      </c>
      <c r="C20" s="52">
        <v>46082</v>
      </c>
      <c r="D20" t="s">
        <v>159</v>
      </c>
      <c r="E20">
        <v>23</v>
      </c>
      <c r="F20" t="s">
        <v>22</v>
      </c>
      <c r="G20" t="s">
        <v>143</v>
      </c>
      <c r="H20">
        <v>1382</v>
      </c>
      <c r="I20" t="s">
        <v>144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204</v>
      </c>
      <c r="B21">
        <v>1</v>
      </c>
      <c r="C21" s="52">
        <v>46082</v>
      </c>
      <c r="D21" t="s">
        <v>137</v>
      </c>
      <c r="E21">
        <v>24</v>
      </c>
      <c r="F21" t="s">
        <v>75</v>
      </c>
      <c r="G21" t="s">
        <v>143</v>
      </c>
      <c r="H21">
        <v>1382</v>
      </c>
      <c r="I21" t="s">
        <v>144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204</v>
      </c>
      <c r="B22">
        <v>1</v>
      </c>
      <c r="C22" s="52">
        <v>46082</v>
      </c>
      <c r="D22" t="s">
        <v>169</v>
      </c>
      <c r="E22">
        <v>25</v>
      </c>
      <c r="F22" t="s">
        <v>18</v>
      </c>
      <c r="G22" t="s">
        <v>143</v>
      </c>
      <c r="H22">
        <v>1382</v>
      </c>
      <c r="I22" t="s">
        <v>144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204</v>
      </c>
      <c r="B23">
        <v>1</v>
      </c>
      <c r="C23" s="52">
        <v>46082</v>
      </c>
      <c r="D23" t="s">
        <v>170</v>
      </c>
      <c r="E23">
        <v>26</v>
      </c>
      <c r="F23" t="s">
        <v>16</v>
      </c>
      <c r="G23" t="s">
        <v>143</v>
      </c>
      <c r="H23">
        <v>1382</v>
      </c>
      <c r="I23" t="s">
        <v>144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204</v>
      </c>
      <c r="B24">
        <v>1</v>
      </c>
      <c r="C24" s="52">
        <v>46082</v>
      </c>
      <c r="D24" t="s">
        <v>171</v>
      </c>
      <c r="E24">
        <v>27</v>
      </c>
      <c r="F24" t="s">
        <v>26</v>
      </c>
      <c r="G24" t="s">
        <v>143</v>
      </c>
      <c r="H24">
        <v>1382</v>
      </c>
      <c r="I24" t="s">
        <v>144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204</v>
      </c>
      <c r="B25">
        <v>1</v>
      </c>
      <c r="C25" s="52">
        <v>46082</v>
      </c>
      <c r="D25" t="s">
        <v>172</v>
      </c>
      <c r="E25">
        <v>28</v>
      </c>
      <c r="F25" t="s">
        <v>1</v>
      </c>
      <c r="G25" t="s">
        <v>143</v>
      </c>
      <c r="H25">
        <v>1382</v>
      </c>
      <c r="I25" t="s">
        <v>144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204</v>
      </c>
      <c r="B26">
        <v>1</v>
      </c>
      <c r="C26" s="52">
        <v>46082</v>
      </c>
      <c r="D26" t="s">
        <v>188</v>
      </c>
      <c r="E26">
        <v>30</v>
      </c>
      <c r="F26" t="s">
        <v>0</v>
      </c>
      <c r="G26" t="s">
        <v>143</v>
      </c>
      <c r="H26">
        <v>1382</v>
      </c>
      <c r="I26" t="s">
        <v>144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204</v>
      </c>
      <c r="B27">
        <v>1</v>
      </c>
      <c r="C27" s="52">
        <v>46082</v>
      </c>
      <c r="D27" t="s">
        <v>173</v>
      </c>
      <c r="E27">
        <v>31</v>
      </c>
      <c r="F27" t="s">
        <v>3</v>
      </c>
      <c r="G27" t="s">
        <v>143</v>
      </c>
      <c r="H27">
        <v>1382</v>
      </c>
      <c r="I27" t="s">
        <v>144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204</v>
      </c>
      <c r="B28">
        <v>1</v>
      </c>
      <c r="C28" s="52">
        <v>46082</v>
      </c>
      <c r="D28" t="s">
        <v>189</v>
      </c>
      <c r="E28">
        <v>32</v>
      </c>
      <c r="F28" t="s">
        <v>28</v>
      </c>
      <c r="G28" t="s">
        <v>143</v>
      </c>
      <c r="H28">
        <v>1382</v>
      </c>
      <c r="I28" t="s">
        <v>144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204</v>
      </c>
      <c r="B29">
        <v>1</v>
      </c>
      <c r="C29" s="52">
        <v>46082</v>
      </c>
      <c r="D29" t="s">
        <v>174</v>
      </c>
      <c r="E29">
        <v>33</v>
      </c>
      <c r="F29" t="s">
        <v>175</v>
      </c>
      <c r="G29" t="s">
        <v>143</v>
      </c>
      <c r="H29">
        <v>1382</v>
      </c>
      <c r="I29" t="s">
        <v>144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204</v>
      </c>
      <c r="B30">
        <v>1</v>
      </c>
      <c r="C30" s="52">
        <v>46082</v>
      </c>
      <c r="D30" t="s">
        <v>183</v>
      </c>
      <c r="E30">
        <v>36</v>
      </c>
      <c r="F30" t="s">
        <v>184</v>
      </c>
      <c r="G30" t="s">
        <v>143</v>
      </c>
      <c r="H30">
        <v>1382</v>
      </c>
      <c r="I30" t="s">
        <v>144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204</v>
      </c>
      <c r="B31">
        <v>1</v>
      </c>
      <c r="C31" s="52">
        <v>46082</v>
      </c>
      <c r="D31" t="s">
        <v>176</v>
      </c>
      <c r="E31">
        <v>37</v>
      </c>
      <c r="F31" t="s">
        <v>25</v>
      </c>
      <c r="G31" t="s">
        <v>143</v>
      </c>
      <c r="H31">
        <v>1382</v>
      </c>
      <c r="I31" t="s">
        <v>144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204</v>
      </c>
      <c r="B32">
        <v>1</v>
      </c>
      <c r="C32" s="52">
        <v>46082</v>
      </c>
      <c r="D32" t="s">
        <v>160</v>
      </c>
      <c r="E32">
        <v>40</v>
      </c>
      <c r="F32" t="s">
        <v>69</v>
      </c>
      <c r="G32" t="s">
        <v>143</v>
      </c>
      <c r="H32">
        <v>1382</v>
      </c>
      <c r="I32" t="s">
        <v>144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204</v>
      </c>
      <c r="B33">
        <v>1</v>
      </c>
      <c r="C33" s="52">
        <v>46082</v>
      </c>
      <c r="D33" t="s">
        <v>200</v>
      </c>
      <c r="E33">
        <v>42</v>
      </c>
      <c r="F33" t="s">
        <v>29</v>
      </c>
      <c r="G33" t="s">
        <v>143</v>
      </c>
      <c r="H33">
        <v>1382</v>
      </c>
      <c r="I33" t="s">
        <v>144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204</v>
      </c>
      <c r="B34">
        <v>1</v>
      </c>
      <c r="C34" s="52">
        <v>46082</v>
      </c>
      <c r="D34" t="s">
        <v>203</v>
      </c>
      <c r="E34">
        <v>43</v>
      </c>
      <c r="F34" t="s">
        <v>5</v>
      </c>
      <c r="G34" t="s">
        <v>143</v>
      </c>
      <c r="H34">
        <v>1382</v>
      </c>
      <c r="I34" t="s">
        <v>144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204</v>
      </c>
      <c r="B35">
        <v>1</v>
      </c>
      <c r="C35" s="52">
        <v>46082</v>
      </c>
      <c r="D35" t="s">
        <v>177</v>
      </c>
      <c r="E35">
        <v>44</v>
      </c>
      <c r="F35" t="s">
        <v>72</v>
      </c>
      <c r="G35" t="s">
        <v>143</v>
      </c>
      <c r="H35">
        <v>1382</v>
      </c>
      <c r="I35" t="s">
        <v>144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204</v>
      </c>
      <c r="B36">
        <v>1</v>
      </c>
      <c r="C36" s="52">
        <v>46082</v>
      </c>
      <c r="D36" t="s">
        <v>199</v>
      </c>
      <c r="E36">
        <v>49</v>
      </c>
      <c r="F36" t="s">
        <v>15</v>
      </c>
      <c r="G36" t="s">
        <v>143</v>
      </c>
      <c r="H36">
        <v>1382</v>
      </c>
      <c r="I36" t="s">
        <v>144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204</v>
      </c>
      <c r="B37">
        <v>1</v>
      </c>
      <c r="C37" s="52">
        <v>46082</v>
      </c>
      <c r="D37" t="s">
        <v>190</v>
      </c>
      <c r="E37">
        <v>52</v>
      </c>
      <c r="F37" t="s">
        <v>191</v>
      </c>
      <c r="G37" t="s">
        <v>143</v>
      </c>
      <c r="H37">
        <v>1382</v>
      </c>
      <c r="I37" t="s">
        <v>144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204</v>
      </c>
      <c r="B38">
        <v>1</v>
      </c>
      <c r="C38" s="52">
        <v>46082</v>
      </c>
      <c r="D38" t="s">
        <v>192</v>
      </c>
      <c r="E38">
        <v>53</v>
      </c>
      <c r="F38" t="s">
        <v>9</v>
      </c>
      <c r="G38" t="s">
        <v>143</v>
      </c>
      <c r="H38">
        <v>1382</v>
      </c>
      <c r="I38" t="s">
        <v>144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204</v>
      </c>
      <c r="B39">
        <v>1</v>
      </c>
      <c r="C39" s="52">
        <v>46082</v>
      </c>
      <c r="D39" t="s">
        <v>178</v>
      </c>
      <c r="E39">
        <v>54</v>
      </c>
      <c r="F39" t="s">
        <v>24</v>
      </c>
      <c r="G39" t="s">
        <v>143</v>
      </c>
      <c r="H39">
        <v>1382</v>
      </c>
      <c r="I39" t="s">
        <v>144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204</v>
      </c>
      <c r="B40">
        <v>1</v>
      </c>
      <c r="C40" s="52">
        <v>46082</v>
      </c>
      <c r="D40" t="s">
        <v>185</v>
      </c>
      <c r="E40">
        <v>56</v>
      </c>
      <c r="F40" t="s">
        <v>186</v>
      </c>
      <c r="G40" t="s">
        <v>143</v>
      </c>
      <c r="H40">
        <v>1382</v>
      </c>
      <c r="I40" t="s">
        <v>144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204</v>
      </c>
      <c r="B41">
        <v>1</v>
      </c>
      <c r="C41" s="52">
        <v>46082</v>
      </c>
      <c r="D41" t="s">
        <v>201</v>
      </c>
      <c r="E41">
        <v>57</v>
      </c>
      <c r="F41" t="s">
        <v>27</v>
      </c>
      <c r="G41" t="s">
        <v>143</v>
      </c>
      <c r="H41">
        <v>1382</v>
      </c>
      <c r="I41" t="s">
        <v>144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204</v>
      </c>
      <c r="B42">
        <v>1</v>
      </c>
      <c r="C42" s="52">
        <v>46082</v>
      </c>
      <c r="D42" t="s">
        <v>193</v>
      </c>
      <c r="E42">
        <v>58</v>
      </c>
      <c r="F42" t="s">
        <v>194</v>
      </c>
      <c r="G42" t="s">
        <v>143</v>
      </c>
      <c r="H42">
        <v>1382</v>
      </c>
      <c r="I42" t="s">
        <v>144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204</v>
      </c>
      <c r="B43">
        <v>1</v>
      </c>
      <c r="C43" s="52">
        <v>46082</v>
      </c>
      <c r="D43" t="s">
        <v>195</v>
      </c>
      <c r="E43">
        <v>59</v>
      </c>
      <c r="F43" t="s">
        <v>196</v>
      </c>
      <c r="G43" t="s">
        <v>143</v>
      </c>
      <c r="H43">
        <v>1382</v>
      </c>
      <c r="I43" t="s">
        <v>144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204</v>
      </c>
      <c r="B44">
        <v>1</v>
      </c>
      <c r="C44" s="52">
        <v>46082</v>
      </c>
      <c r="D44" t="s">
        <v>179</v>
      </c>
      <c r="E44">
        <v>100</v>
      </c>
      <c r="F44" t="s">
        <v>70</v>
      </c>
      <c r="G44" t="s">
        <v>143</v>
      </c>
      <c r="H44">
        <v>1382</v>
      </c>
      <c r="I44" t="s">
        <v>144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204</v>
      </c>
      <c r="B45">
        <v>1</v>
      </c>
      <c r="C45" s="52">
        <v>46082</v>
      </c>
      <c r="D45" t="s">
        <v>187</v>
      </c>
      <c r="E45">
        <v>123</v>
      </c>
      <c r="F45" t="s">
        <v>2</v>
      </c>
      <c r="G45" t="s">
        <v>143</v>
      </c>
      <c r="H45">
        <v>1382</v>
      </c>
      <c r="I45" t="s">
        <v>144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228</v>
      </c>
      <c r="B1" s="132" t="s">
        <v>229</v>
      </c>
      <c r="C1" s="133"/>
      <c r="D1" s="134" t="s">
        <v>230</v>
      </c>
    </row>
    <row r="2" spans="1:4" x14ac:dyDescent="0.25">
      <c r="A2" s="135" t="s">
        <v>231</v>
      </c>
      <c r="B2" s="135" t="s">
        <v>7</v>
      </c>
      <c r="C2" s="133"/>
      <c r="D2" s="133">
        <v>0.18081018518518518</v>
      </c>
    </row>
    <row r="3" spans="1:4" x14ac:dyDescent="0.25">
      <c r="A3" s="135" t="s">
        <v>232</v>
      </c>
      <c r="B3" s="135" t="s">
        <v>4</v>
      </c>
      <c r="C3" s="133"/>
      <c r="D3" s="133">
        <v>0.2487538580246913</v>
      </c>
    </row>
    <row r="4" spans="1:4" x14ac:dyDescent="0.25">
      <c r="A4" s="135" t="s">
        <v>233</v>
      </c>
      <c r="B4" s="135" t="s">
        <v>11</v>
      </c>
      <c r="C4" s="133"/>
      <c r="D4" s="133">
        <v>0.22983796296296291</v>
      </c>
    </row>
    <row r="5" spans="1:4" x14ac:dyDescent="0.25">
      <c r="A5" s="135" t="s">
        <v>234</v>
      </c>
      <c r="B5" s="135" t="s">
        <v>17</v>
      </c>
      <c r="C5" s="133"/>
      <c r="D5" s="133">
        <v>0.23795524691358025</v>
      </c>
    </row>
    <row r="6" spans="1:4" x14ac:dyDescent="0.25">
      <c r="A6" s="135" t="s">
        <v>235</v>
      </c>
      <c r="B6" s="135" t="s">
        <v>22</v>
      </c>
      <c r="C6" s="133"/>
      <c r="D6" s="133">
        <v>0.2056905864197531</v>
      </c>
    </row>
    <row r="7" spans="1:4" x14ac:dyDescent="0.25">
      <c r="A7" s="135" t="s">
        <v>236</v>
      </c>
      <c r="B7" s="135" t="s">
        <v>266</v>
      </c>
      <c r="C7" s="133"/>
      <c r="D7" s="133">
        <v>0.25648148148148153</v>
      </c>
    </row>
    <row r="8" spans="1:4" x14ac:dyDescent="0.25">
      <c r="A8" s="135" t="s">
        <v>237</v>
      </c>
      <c r="B8" s="135" t="s">
        <v>72</v>
      </c>
      <c r="C8" s="133"/>
      <c r="D8" s="133">
        <v>0.22056712962962963</v>
      </c>
    </row>
    <row r="9" spans="1:4" x14ac:dyDescent="0.25">
      <c r="A9" s="135" t="s">
        <v>238</v>
      </c>
      <c r="B9" s="135" t="s">
        <v>3</v>
      </c>
      <c r="C9" s="133"/>
      <c r="D9" s="133">
        <v>0.24519675925925929</v>
      </c>
    </row>
    <row r="10" spans="1:4" x14ac:dyDescent="0.25">
      <c r="A10" s="135" t="s">
        <v>239</v>
      </c>
      <c r="B10" s="135" t="s">
        <v>186</v>
      </c>
      <c r="C10" s="133"/>
      <c r="D10" s="133">
        <v>5.8067129629629621E-2</v>
      </c>
    </row>
    <row r="11" spans="1:4" x14ac:dyDescent="0.25">
      <c r="A11" s="135" t="s">
        <v>240</v>
      </c>
      <c r="B11" s="135" t="s">
        <v>19</v>
      </c>
      <c r="C11" s="133"/>
      <c r="D11" s="133">
        <v>0.23559027777777777</v>
      </c>
    </row>
    <row r="12" spans="1:4" x14ac:dyDescent="0.25">
      <c r="A12" s="135" t="s">
        <v>241</v>
      </c>
      <c r="B12" s="135" t="s">
        <v>71</v>
      </c>
      <c r="C12" s="133"/>
      <c r="D12" s="133">
        <v>0.25729552469135808</v>
      </c>
    </row>
    <row r="13" spans="1:4" x14ac:dyDescent="0.25">
      <c r="A13" s="135" t="s">
        <v>242</v>
      </c>
      <c r="B13" s="135" t="s">
        <v>6</v>
      </c>
      <c r="C13" s="133"/>
      <c r="D13" s="133">
        <v>0.17037808641975313</v>
      </c>
    </row>
    <row r="14" spans="1:4" x14ac:dyDescent="0.25">
      <c r="A14" s="135" t="s">
        <v>243</v>
      </c>
      <c r="B14" s="135" t="s">
        <v>267</v>
      </c>
      <c r="C14" s="133"/>
      <c r="D14" s="133">
        <v>0.25842978395061728</v>
      </c>
    </row>
    <row r="15" spans="1:4" x14ac:dyDescent="0.25">
      <c r="A15" s="135" t="s">
        <v>244</v>
      </c>
      <c r="B15" s="135" t="s">
        <v>12</v>
      </c>
      <c r="C15" s="133"/>
      <c r="D15" s="133">
        <v>0.22162422839506171</v>
      </c>
    </row>
    <row r="16" spans="1:4" x14ac:dyDescent="0.25">
      <c r="A16" s="135" t="s">
        <v>245</v>
      </c>
      <c r="B16" s="135" t="s">
        <v>21</v>
      </c>
      <c r="C16" s="133"/>
      <c r="D16" s="133">
        <v>0.24042824074074079</v>
      </c>
    </row>
    <row r="17" spans="1:4" x14ac:dyDescent="0.25">
      <c r="A17" s="135" t="s">
        <v>246</v>
      </c>
      <c r="B17" s="135" t="s">
        <v>73</v>
      </c>
      <c r="C17" s="133"/>
      <c r="D17" s="133">
        <v>0.2391550925925926</v>
      </c>
    </row>
    <row r="18" spans="1:4" x14ac:dyDescent="0.25">
      <c r="A18" s="135" t="s">
        <v>247</v>
      </c>
      <c r="B18" s="135" t="s">
        <v>20</v>
      </c>
      <c r="C18" s="133"/>
      <c r="D18" s="133">
        <v>0.24932098765432106</v>
      </c>
    </row>
    <row r="19" spans="1:4" x14ac:dyDescent="0.25">
      <c r="A19" s="135" t="s">
        <v>248</v>
      </c>
      <c r="B19" s="135" t="s">
        <v>15</v>
      </c>
      <c r="C19" s="133"/>
      <c r="D19" s="133">
        <v>0.22244212962962964</v>
      </c>
    </row>
    <row r="20" spans="1:4" x14ac:dyDescent="0.25">
      <c r="A20" s="135" t="s">
        <v>249</v>
      </c>
      <c r="B20" s="135" t="s">
        <v>14</v>
      </c>
      <c r="C20" s="133"/>
      <c r="D20" s="133">
        <v>0.28427083333333331</v>
      </c>
    </row>
    <row r="21" spans="1:4" x14ac:dyDescent="0.25">
      <c r="A21" s="135" t="s">
        <v>250</v>
      </c>
      <c r="B21" s="135" t="s">
        <v>8</v>
      </c>
      <c r="C21" s="133"/>
      <c r="D21" s="133">
        <v>0.22618441358024696</v>
      </c>
    </row>
    <row r="22" spans="1:4" x14ac:dyDescent="0.25">
      <c r="A22" s="135" t="s">
        <v>251</v>
      </c>
      <c r="B22" s="135" t="s">
        <v>1</v>
      </c>
      <c r="C22" s="133"/>
      <c r="D22" s="133">
        <v>0.2268634259259259</v>
      </c>
    </row>
    <row r="23" spans="1:4" x14ac:dyDescent="0.25">
      <c r="A23" s="135" t="s">
        <v>252</v>
      </c>
      <c r="B23" s="135" t="s">
        <v>268</v>
      </c>
      <c r="C23" s="133"/>
      <c r="D23" s="133">
        <v>0.20405478395061735</v>
      </c>
    </row>
    <row r="24" spans="1:4" x14ac:dyDescent="0.25">
      <c r="A24" s="135" t="s">
        <v>253</v>
      </c>
      <c r="B24" s="135" t="s">
        <v>26</v>
      </c>
      <c r="C24" s="133"/>
      <c r="D24" s="133">
        <v>0.26149691358024696</v>
      </c>
    </row>
    <row r="25" spans="1:4" x14ac:dyDescent="0.25">
      <c r="A25" s="135" t="s">
        <v>254</v>
      </c>
      <c r="B25" s="135" t="s">
        <v>269</v>
      </c>
      <c r="C25" s="133"/>
      <c r="D25" s="133">
        <v>0.19172453703703715</v>
      </c>
    </row>
    <row r="26" spans="1:4" x14ac:dyDescent="0.25">
      <c r="A26" s="135" t="s">
        <v>255</v>
      </c>
      <c r="B26" s="135" t="s">
        <v>175</v>
      </c>
      <c r="C26" s="133"/>
      <c r="D26" s="133">
        <v>0.2330246913580247</v>
      </c>
    </row>
    <row r="27" spans="1:4" x14ac:dyDescent="0.25">
      <c r="A27" s="135" t="s">
        <v>256</v>
      </c>
      <c r="B27" s="135" t="s">
        <v>270</v>
      </c>
      <c r="C27" s="133"/>
      <c r="D27" s="133">
        <v>0.2512152777777778</v>
      </c>
    </row>
    <row r="28" spans="1:4" x14ac:dyDescent="0.25">
      <c r="A28" s="135" t="s">
        <v>257</v>
      </c>
      <c r="B28" s="135" t="s">
        <v>25</v>
      </c>
      <c r="C28" s="133"/>
      <c r="D28" s="133">
        <v>0.17479552469135803</v>
      </c>
    </row>
    <row r="29" spans="1:4" x14ac:dyDescent="0.25">
      <c r="A29" s="135" t="s">
        <v>258</v>
      </c>
      <c r="B29" s="135" t="s">
        <v>271</v>
      </c>
      <c r="C29" s="133"/>
      <c r="D29" s="133">
        <v>0.19096064814814814</v>
      </c>
    </row>
    <row r="30" spans="1:4" x14ac:dyDescent="0.25">
      <c r="A30" s="135" t="s">
        <v>259</v>
      </c>
      <c r="B30" s="135" t="s">
        <v>191</v>
      </c>
      <c r="C30" s="133"/>
      <c r="D30" s="133">
        <v>0.13555169753086418</v>
      </c>
    </row>
    <row r="31" spans="1:4" x14ac:dyDescent="0.25">
      <c r="A31" s="135" t="s">
        <v>260</v>
      </c>
      <c r="B31" s="135" t="s">
        <v>9</v>
      </c>
      <c r="C31" s="133"/>
      <c r="D31" s="133">
        <v>0.16794367283950615</v>
      </c>
    </row>
    <row r="32" spans="1:4" x14ac:dyDescent="0.25">
      <c r="A32" s="135" t="s">
        <v>261</v>
      </c>
      <c r="B32" s="135" t="s">
        <v>13</v>
      </c>
      <c r="C32" s="133"/>
      <c r="D32" s="133">
        <v>0.18731095679012344</v>
      </c>
    </row>
    <row r="33" spans="1:4" x14ac:dyDescent="0.25">
      <c r="A33" s="135" t="s">
        <v>262</v>
      </c>
      <c r="B33" s="135" t="s">
        <v>23</v>
      </c>
      <c r="C33" s="133"/>
      <c r="D33" s="133">
        <v>0.17720679012345678</v>
      </c>
    </row>
    <row r="34" spans="1:4" x14ac:dyDescent="0.25">
      <c r="A34" s="135" t="s">
        <v>263</v>
      </c>
      <c r="B34" s="135" t="s">
        <v>10</v>
      </c>
      <c r="C34" s="133"/>
      <c r="D34" s="133">
        <v>0.15400077160493827</v>
      </c>
    </row>
    <row r="35" spans="1:4" x14ac:dyDescent="0.25">
      <c r="A35" s="135" t="s">
        <v>264</v>
      </c>
      <c r="B35" s="135" t="s">
        <v>272</v>
      </c>
      <c r="C35" s="133"/>
      <c r="D35" s="133">
        <v>0.10020833333333336</v>
      </c>
    </row>
    <row r="36" spans="1:4" x14ac:dyDescent="0.25">
      <c r="A36" s="135" t="s">
        <v>265</v>
      </c>
      <c r="B36" s="135" t="s">
        <v>273</v>
      </c>
      <c r="C36" s="133"/>
      <c r="D36" s="133">
        <v>0.16411265432098762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97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94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107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92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95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90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92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85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90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84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89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86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97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107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91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85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112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108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101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82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83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93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98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96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93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98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106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101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106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82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109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83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140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102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102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103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103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87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87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105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99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88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100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100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139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139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104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113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111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110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81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81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223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97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94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107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92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95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90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91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89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94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86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92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85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90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84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89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86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97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107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91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85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112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84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108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101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82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83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93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96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93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98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101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140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161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82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109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83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140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102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102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222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222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87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105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99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88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100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139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104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113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111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110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81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81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223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145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97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94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107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92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95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90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92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85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90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84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89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86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97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112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107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108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91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112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108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101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82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109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83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96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93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98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96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93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98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101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140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161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82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109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83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140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102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102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222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222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87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105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99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99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88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100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100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139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104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113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111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111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110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110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81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81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223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223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145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145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97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94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107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92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95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90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91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89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94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86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92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85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90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84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89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86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97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107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91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112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84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108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101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82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83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93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96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93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98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101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161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82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109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83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140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102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102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224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224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87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105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99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225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225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100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139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104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205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205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111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226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226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81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81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223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145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145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206</v>
      </c>
      <c r="P1" s="83" t="s">
        <v>76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207</v>
      </c>
      <c r="B2" s="69" t="s">
        <v>95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49" t="s">
        <v>37</v>
      </c>
      <c r="O2">
        <v>22</v>
      </c>
      <c r="P2" s="12" t="s">
        <v>97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94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49"/>
      <c r="O3">
        <v>49</v>
      </c>
      <c r="P3" s="13" t="s">
        <v>107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92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49"/>
      <c r="O4">
        <v>20</v>
      </c>
      <c r="P4" s="13" t="s">
        <v>95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90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49"/>
      <c r="O5">
        <v>15</v>
      </c>
      <c r="P5" s="13" t="s">
        <v>91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210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49"/>
      <c r="O6">
        <v>19</v>
      </c>
      <c r="P6" s="13" t="s">
        <v>94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86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49"/>
      <c r="O7">
        <v>16</v>
      </c>
      <c r="P7" s="13" t="s">
        <v>92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85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49"/>
      <c r="O8">
        <v>12</v>
      </c>
      <c r="P8" s="13" t="s">
        <v>90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84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49"/>
      <c r="O9">
        <v>11</v>
      </c>
      <c r="P9" s="30" t="s">
        <v>210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49"/>
      <c r="O10">
        <v>8</v>
      </c>
      <c r="P10" s="13" t="s">
        <v>86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208</v>
      </c>
      <c r="B11" s="69" t="s">
        <v>97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49"/>
      <c r="O11">
        <v>52</v>
      </c>
      <c r="P11" s="31" t="s">
        <v>112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107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49"/>
      <c r="O12">
        <v>53</v>
      </c>
      <c r="P12" s="31" t="s">
        <v>108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91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49"/>
      <c r="O13">
        <v>5</v>
      </c>
      <c r="P13" s="13" t="s">
        <v>85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112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49"/>
      <c r="O14">
        <v>4</v>
      </c>
      <c r="P14" s="10" t="s">
        <v>84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108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1" t="s">
        <v>38</v>
      </c>
      <c r="O16">
        <v>31</v>
      </c>
      <c r="P16" s="12" t="s">
        <v>101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209</v>
      </c>
      <c r="B17" s="69" t="s">
        <v>82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49"/>
      <c r="O17">
        <v>54</v>
      </c>
      <c r="P17" s="13" t="s">
        <v>109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83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49"/>
      <c r="O18">
        <v>21</v>
      </c>
      <c r="P18" s="13" t="s">
        <v>96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93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49"/>
      <c r="O19">
        <v>23</v>
      </c>
      <c r="P19" s="13" t="s">
        <v>98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96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49"/>
      <c r="O20">
        <v>18</v>
      </c>
      <c r="P20" s="13" t="s">
        <v>93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98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49"/>
      <c r="O21">
        <v>44</v>
      </c>
      <c r="P21" s="13" t="s">
        <v>161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101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49"/>
      <c r="O22">
        <v>56</v>
      </c>
      <c r="P22" s="13" t="s">
        <v>140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161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49"/>
      <c r="O23">
        <v>2</v>
      </c>
      <c r="P23" s="13" t="s">
        <v>82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109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49"/>
      <c r="O24">
        <v>3</v>
      </c>
      <c r="P24" s="10" t="s">
        <v>83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140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1" t="s">
        <v>223</v>
      </c>
      <c r="O26">
        <v>32</v>
      </c>
      <c r="P26" s="12" t="s">
        <v>212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227</v>
      </c>
      <c r="B27" s="69" t="s">
        <v>212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49"/>
      <c r="O27">
        <v>36</v>
      </c>
      <c r="P27" s="12" t="s">
        <v>214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214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49"/>
      <c r="O28">
        <v>9</v>
      </c>
      <c r="P28" s="12" t="s">
        <v>87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87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49"/>
      <c r="O29">
        <v>40</v>
      </c>
      <c r="P29" s="12" t="s">
        <v>213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213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49"/>
      <c r="O30">
        <v>27</v>
      </c>
      <c r="P30" s="12" t="s">
        <v>99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99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49"/>
      <c r="O31">
        <v>10</v>
      </c>
      <c r="P31" s="12" t="s">
        <v>211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211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49"/>
      <c r="O32">
        <v>28</v>
      </c>
      <c r="P32" s="12" t="s">
        <v>100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100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49"/>
      <c r="O33">
        <v>33</v>
      </c>
      <c r="P33" s="12" t="s">
        <v>139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139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49"/>
      <c r="O34">
        <v>37</v>
      </c>
      <c r="P34" s="12" t="s">
        <v>104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104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49"/>
      <c r="O35">
        <v>24</v>
      </c>
      <c r="P35" s="12" t="s">
        <v>205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205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49"/>
      <c r="O36">
        <v>7</v>
      </c>
      <c r="P36" s="12" t="s">
        <v>111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111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49"/>
      <c r="O37">
        <v>57</v>
      </c>
      <c r="P37" s="12" t="s">
        <v>215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215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49"/>
      <c r="O38">
        <v>1</v>
      </c>
      <c r="P38" s="12" t="s">
        <v>81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81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145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146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145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146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207</v>
      </c>
      <c r="B2" s="69" t="s">
        <v>95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94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92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90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210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86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85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84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208</v>
      </c>
      <c r="B11" s="69" t="s">
        <v>97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107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91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112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108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209</v>
      </c>
      <c r="B17" s="69" t="s">
        <v>82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83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93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96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98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220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161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221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140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217</v>
      </c>
      <c r="B27" s="69" t="s">
        <v>212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214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87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213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99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211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100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139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104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205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111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215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81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145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146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2026-07-04T14:33:08Z</dcterms:modified>
</cp:coreProperties>
</file>