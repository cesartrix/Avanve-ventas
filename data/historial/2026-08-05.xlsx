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C0EF7F84-E923-4BFF-939C-BF51A4308D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  <sheet name="Historico Julio" sheetId="20" r:id="rId14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3" l="1"/>
  <c r="P45" i="3"/>
  <c r="P44" i="3"/>
  <c r="P43" i="3"/>
  <c r="P41" i="3"/>
  <c r="P40" i="3"/>
  <c r="P39" i="3"/>
  <c r="P47" i="3" s="1"/>
  <c r="P42" i="3"/>
  <c r="P23" i="3"/>
  <c r="P22" i="3"/>
  <c r="P21" i="3"/>
  <c r="P20" i="3"/>
  <c r="P19" i="3"/>
  <c r="P18" i="3"/>
  <c r="P17" i="3"/>
  <c r="P16" i="3"/>
  <c r="P38" i="3"/>
  <c r="P24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2" i="3"/>
  <c r="E416" i="9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P48" i="3" l="1"/>
  <c r="I3" i="6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<sst xmlns="http://schemas.openxmlformats.org/spreadsheetml/2006/main" count="1615" uniqueCount="286">
  <si>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</si>
  <si>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</si>
  <si>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</si>
  <si>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</si>
  <si>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</si>
  <si>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</si>
  <si>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</si>
  <si>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</si>
  <si>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</si>
  <si>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</si>
  <si>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</si>
  <si>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</si>
  <si>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</si>
  <si>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</si>
  <si>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</si>
  <si>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</si>
  <si>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</si>
  <si>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</si>
  <si>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</si>
  <si>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</si>
  <si>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</si>
  <si>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</si>
  <si>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</si>
  <si>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</si>
  <si>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</si>
  <si>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</si>
  <si>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</si>
  <si>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</si>
  <si>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</si>
  <si>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</si>
  <si>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</si>
  <si>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</si>
  <si>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</si>
  <si>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</si>
  <si>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</si>
  <si>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</si>
  <si>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</si>
  <si>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</si>
  <si>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</si>
  <si>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</si>
  <si>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</si>
  <si>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</si>
  <si>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</si>
  <si>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</si>
  <si>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</si>
  <si>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</si>
  <si>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</si>
  <si>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</si>
  <si>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</si>
  <si>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</si>
  <si>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</si>
  <si>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</si>
  <si>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</si>
  <si>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</si>
  <si>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</si>
  <si>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</si>
  <si>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</si>
  <si>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</si>
  <si>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</si>
  <si>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</si>
  <si>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</si>
  <si>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</si>
  <si>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</si>
  <si>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</si>
  <si>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</si>
  <si>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</si>
  <si>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</si>
  <si>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</si>
  <si>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</si>
  <si>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</si>
  <si>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</si>
  <si>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</si>
  <si>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</si>
  <si>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</si>
  <si>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</si>
  <si>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</si>
  <si>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</si>
  <si>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</si>
  <si>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</si>
  <si>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</si>
  <si>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</si>
  <si>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</si>
  <si>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</si>
  <si>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</si>
  <si>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</si>
  <si>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</si>
  <si>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</si>
  <si>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</si>
  <si>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</si>
  <si>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</si>
  <si>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</si>
  <si>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</si>
  <si>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</si>
  <si>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</si>
  <si>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</si>
  <si>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</si>
  <si>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</si>
  <si>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</si>
  <si>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</si>
  <si>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</si>
  <si>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</si>
  <si>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</si>
  <si>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</si>
  <si>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</si>
  <si>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</si>
  <si>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</si>
  <si>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</si>
  <si>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</si>
  <si>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</si>
  <si>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</si>
  <si>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</si>
  <si>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</si>
  <si>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</si>
  <si>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</si>
  <si>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</si>
  <si>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</si>
  <si>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</si>
  <si>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</si>
  <si>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</si>
  <si>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</si>
  <si>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</si>
  <si>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</si>
  <si>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</si>
  <si>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</si>
  <si>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</si>
  <si>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</si>
  <si>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</si>
  <si>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</si>
  <si>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</si>
  <si>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</si>
  <si>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</si>
  <si>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</si>
  <si>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</si>
  <si>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</si>
  <si>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</si>
  <si>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</si>
  <si>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</si>
  <si>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</si>
  <si>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</si>
  <si>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</si>
  <si>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</si>
  <si>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</si>
  <si>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</si>
  <si>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</si>
  <si>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</si>
  <si>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</si>
  <si>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</si>
  <si>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</si>
  <si>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</si>
  <si>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</si>
  <si>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</si>
  <si>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</si>
  <si>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</si>
  <si>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</si>
  <si>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</si>
  <si>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</si>
  <si>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</si>
  <si>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</si>
  <si>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</si>
  <si>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</si>
  <si>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</si>
  <si>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</si>
  <si>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</si>
  <si>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</si>
  <si>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</si>
  <si>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</si>
  <si>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</si>
  <si>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</si>
  <si>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</si>
  <si>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</si>
  <si>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</si>
  <si>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</si>
  <si>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</si>
  <si>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</si>
  <si>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</si>
  <si>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</si>
  <si>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</si>
  <si>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</si>
  <si>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</si>
  <si>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</si>
  <si>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</si>
  <si>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</si>
  <si>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</si>
  <si>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</si>
  <si>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</si>
  <si>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</si>
  <si>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</si>
  <si>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</si>
  <si>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</si>
  <si>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</si>
  <si>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</si>
  <si>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</si>
  <si>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</si>
  <si>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</si>
  <si>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</si>
  <si>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</si>
  <si>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</si>
  <si>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</si>
  <si>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</si>
  <si>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</si>
  <si>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</si>
  <si>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</si>
  <si>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</si>
  <si>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</si>
  <si>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</si>
  <si>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</si>
  <si>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</si>
  <si>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</si>
  <si>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</si>
  <si>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</si>
  <si>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</si>
  <si>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</si>
  <si>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</si>
  <si>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</si>
  <si>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</si>
  <si>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</si>
  <si>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</si>
  <si>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</si>
  <si>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</si>
  <si>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</si>
  <si>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</si>
  <si>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</si>
  <si>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</si>
  <si>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</si>
  <si>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</si>
  <si>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</si>
  <si>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</si>
  <si>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</si>
  <si>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</si>
  <si>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</si>
  <si>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</si>
  <si>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</si>
  <si>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</si>
  <si>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</si>
  <si>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</si>
  <si>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</si>
  <si>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</si>
  <si>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</si>
  <si>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</si>
  <si>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</si>
  <si>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</si>
  <si>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</si>
  <si>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</si>
  <si>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</si>
  <si>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</si>
  <si>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</si>
  <si>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</si>
  <si>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</si>
  <si>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</si>
  <si>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</si>
  <si>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</si>
  <si>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</si>
  <si>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</si>
  <si>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</si>
  <si>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</si>
  <si>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</si>
  <si>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</si>
  <si>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</si>
  <si>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</si>
  <si>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</si>
  <si>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</si>
  <si>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</si>
  <si>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</si>
  <si>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</si>
  <si>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</si>
  <si>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</si>
  <si>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</si>
  <si>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</si>
  <si>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</si>
  <si>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</si>
  <si>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</si>
  <si>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</si>
  <si>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</si>
  <si>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</si>
  <si>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</si>
  <si>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142 - ALMACEN</t>
  </si>
  <si>
    <t>142 - Articulos Sin Asociar Agrupacion</t>
  </si>
  <si>
    <t>142 - BEBIDAS</t>
  </si>
  <si>
    <t>142 - CHOCOLATE</t>
  </si>
  <si>
    <t>142 - GALLETITAS</t>
  </si>
  <si>
    <t>142 - GOLOSINAS</t>
  </si>
  <si>
    <t>142 - MASCOTAS</t>
  </si>
  <si>
    <t>142 - NO PERECEDEROS</t>
  </si>
  <si>
    <t>142 - PILAS</t>
  </si>
  <si>
    <t>57 - FEDERRATH MARTIN</t>
  </si>
  <si>
    <t>30 - GOMEZ MARTÍN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</si>
</sst>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  <numFmt numFmtId="170" formatCode="&quot;$&quot;#,##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4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70" fontId="0" fillId="0" borderId="0" xfId="0" applyNumberFormat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selection sqref="A1:H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3" t="s">
        <v>75</v>
      </c>
      <c r="B1" s="153" t="s">
        <v>146</v>
      </c>
      <c r="C1" s="153" t="s">
        <v>147</v>
      </c>
      <c r="D1" s="153" t="s">
        <v>148</v>
      </c>
      <c r="E1" s="153" t="s">
        <v>149</v>
      </c>
      <c r="F1" s="153" t="s">
        <v>150</v>
      </c>
      <c r="G1" s="153" t="s">
        <v>151</v>
      </c>
      <c r="H1" s="153" t="s">
        <v>152</v>
      </c>
    </row>
    <row r="2" spans="1:8" x14ac:dyDescent="0.25">
      <c r="A2" s="152" t="s">
        <v>153</v>
      </c>
      <c r="B2" s="152">
        <v>0</v>
      </c>
      <c r="C2" s="152">
        <v>14088.7310059473</v>
      </c>
      <c r="D2" s="152">
        <v>61315.230254553797</v>
      </c>
      <c r="E2" s="152">
        <v>254996298.9447462</v>
      </c>
      <c r="F2" s="152">
        <v>0</v>
      </c>
      <c r="G2" s="152">
        <v>134107.436028378</v>
      </c>
      <c r="H2" s="152">
        <v>134107.51</v>
      </c>
    </row>
    <row r="3" spans="1:8" x14ac:dyDescent="0.25">
      <c r="A3" s="152" t="s">
        <v>80</v>
      </c>
      <c r="B3" s="152">
        <v>1</v>
      </c>
      <c r="C3" s="152">
        <v>182.58883928489999</v>
      </c>
      <c r="D3" s="152">
        <v>352.62731398950001</v>
      </c>
      <c r="E3" s="152">
        <v>4470247.8676125938</v>
      </c>
      <c r="F3" s="152">
        <v>0</v>
      </c>
      <c r="G3" s="152">
        <v>134107.436028378</v>
      </c>
      <c r="H3" s="152">
        <v>134107.51</v>
      </c>
    </row>
    <row r="4" spans="1:8" x14ac:dyDescent="0.25">
      <c r="A4" s="152" t="s">
        <v>81</v>
      </c>
      <c r="B4" s="152">
        <v>1</v>
      </c>
      <c r="C4" s="152">
        <v>151.7062500001</v>
      </c>
      <c r="D4" s="152">
        <v>163.02375000519999</v>
      </c>
      <c r="E4" s="152">
        <v>2927957.2046600222</v>
      </c>
      <c r="F4" s="152">
        <v>0</v>
      </c>
      <c r="G4" s="152">
        <v>0</v>
      </c>
      <c r="H4" s="152">
        <v>0</v>
      </c>
    </row>
    <row r="5" spans="1:8" x14ac:dyDescent="0.25">
      <c r="A5" s="152" t="s">
        <v>82</v>
      </c>
      <c r="B5" s="152">
        <v>1</v>
      </c>
      <c r="C5" s="152">
        <v>166.32093253849999</v>
      </c>
      <c r="D5" s="152">
        <v>474.07267856980002</v>
      </c>
      <c r="E5" s="152">
        <v>4631927.624667611</v>
      </c>
      <c r="F5" s="152">
        <v>0</v>
      </c>
      <c r="G5" s="152">
        <v>0</v>
      </c>
      <c r="H5" s="152">
        <v>0</v>
      </c>
    </row>
    <row r="6" spans="1:8" x14ac:dyDescent="0.25">
      <c r="A6" s="152" t="s">
        <v>83</v>
      </c>
      <c r="B6" s="152">
        <v>1</v>
      </c>
      <c r="C6" s="152">
        <v>266.26299603159998</v>
      </c>
      <c r="D6" s="152">
        <v>473.71785714549998</v>
      </c>
      <c r="E6" s="152">
        <v>6392972.1405321835</v>
      </c>
      <c r="F6" s="152">
        <v>0</v>
      </c>
      <c r="G6" s="152">
        <v>0</v>
      </c>
      <c r="H6" s="152">
        <v>0</v>
      </c>
    </row>
    <row r="7" spans="1:8" x14ac:dyDescent="0.25">
      <c r="A7" s="152" t="s">
        <v>84</v>
      </c>
      <c r="B7" s="152">
        <v>1</v>
      </c>
      <c r="C7" s="152">
        <v>217.8493452381</v>
      </c>
      <c r="D7" s="152">
        <v>544.90416668360001</v>
      </c>
      <c r="E7" s="152">
        <v>4272340.5982830664</v>
      </c>
      <c r="F7" s="152">
        <v>0</v>
      </c>
      <c r="G7" s="152">
        <v>0</v>
      </c>
      <c r="H7" s="152">
        <v>0</v>
      </c>
    </row>
    <row r="8" spans="1:8" x14ac:dyDescent="0.25">
      <c r="A8" s="152" t="s">
        <v>110</v>
      </c>
      <c r="B8" s="152">
        <v>1</v>
      </c>
      <c r="C8" s="152">
        <v>417.9166666667</v>
      </c>
      <c r="D8" s="152">
        <v>1344.2700000003999</v>
      </c>
      <c r="E8" s="152">
        <v>13846941.29303805</v>
      </c>
      <c r="F8" s="152">
        <v>0</v>
      </c>
      <c r="G8" s="152">
        <v>0</v>
      </c>
      <c r="H8" s="152">
        <v>0</v>
      </c>
    </row>
    <row r="9" spans="1:8" x14ac:dyDescent="0.25">
      <c r="A9" s="152" t="s">
        <v>269</v>
      </c>
      <c r="B9" s="152">
        <v>1</v>
      </c>
      <c r="C9" s="152">
        <v>139.34474206339999</v>
      </c>
      <c r="D9" s="152">
        <v>386.36375000430002</v>
      </c>
      <c r="E9" s="152">
        <v>2955434.4121029563</v>
      </c>
      <c r="F9" s="152">
        <v>0</v>
      </c>
      <c r="G9" s="152">
        <v>0</v>
      </c>
      <c r="H9" s="152">
        <v>0</v>
      </c>
    </row>
    <row r="10" spans="1:8" x14ac:dyDescent="0.25">
      <c r="A10" s="152" t="s">
        <v>86</v>
      </c>
      <c r="B10" s="152">
        <v>1</v>
      </c>
      <c r="C10" s="152">
        <v>124.1674007938</v>
      </c>
      <c r="D10" s="152">
        <v>212.79173810219999</v>
      </c>
      <c r="E10" s="152">
        <v>2922050.7653640723</v>
      </c>
      <c r="F10" s="152">
        <v>0</v>
      </c>
      <c r="G10" s="152">
        <v>0</v>
      </c>
      <c r="H10" s="152">
        <v>0</v>
      </c>
    </row>
    <row r="11" spans="1:8" x14ac:dyDescent="0.25">
      <c r="A11" s="152" t="s">
        <v>210</v>
      </c>
      <c r="B11" s="152">
        <v>1</v>
      </c>
      <c r="C11" s="152">
        <v>123.6425595237</v>
      </c>
      <c r="D11" s="152">
        <v>160.3147619101</v>
      </c>
      <c r="E11" s="152">
        <v>2458105.1791371955</v>
      </c>
      <c r="F11" s="152">
        <v>0</v>
      </c>
      <c r="G11" s="152">
        <v>0</v>
      </c>
      <c r="H11" s="152">
        <v>0</v>
      </c>
    </row>
    <row r="12" spans="1:8" x14ac:dyDescent="0.25">
      <c r="A12" s="152" t="s">
        <v>209</v>
      </c>
      <c r="B12" s="152">
        <v>1</v>
      </c>
      <c r="C12" s="152">
        <v>179.6415079363</v>
      </c>
      <c r="D12" s="152">
        <v>316.26250000319999</v>
      </c>
      <c r="E12" s="152">
        <v>3238435.7546853684</v>
      </c>
      <c r="F12" s="152">
        <v>0</v>
      </c>
      <c r="G12" s="152">
        <v>0</v>
      </c>
      <c r="H12" s="152">
        <v>0</v>
      </c>
    </row>
    <row r="13" spans="1:8" x14ac:dyDescent="0.25">
      <c r="A13" s="152" t="s">
        <v>89</v>
      </c>
      <c r="B13" s="152">
        <v>1</v>
      </c>
      <c r="C13" s="152">
        <v>151.54533730130001</v>
      </c>
      <c r="D13" s="152">
        <v>573.89410714320002</v>
      </c>
      <c r="E13" s="152">
        <v>3837107.6640388942</v>
      </c>
      <c r="F13" s="152">
        <v>0</v>
      </c>
      <c r="G13" s="152">
        <v>0</v>
      </c>
      <c r="H13" s="152">
        <v>0</v>
      </c>
    </row>
    <row r="14" spans="1:8" x14ac:dyDescent="0.25">
      <c r="A14" s="152" t="s">
        <v>90</v>
      </c>
      <c r="B14" s="152">
        <v>1</v>
      </c>
      <c r="C14" s="152">
        <v>769.51309523819998</v>
      </c>
      <c r="D14" s="152">
        <v>2602.7242857127999</v>
      </c>
      <c r="E14" s="152">
        <v>12112146.959749941</v>
      </c>
      <c r="F14" s="152">
        <v>0</v>
      </c>
      <c r="G14" s="152">
        <v>0</v>
      </c>
      <c r="H14" s="152">
        <v>0</v>
      </c>
    </row>
    <row r="15" spans="1:8" x14ac:dyDescent="0.25">
      <c r="A15" s="152" t="s">
        <v>91</v>
      </c>
      <c r="B15" s="152">
        <v>1</v>
      </c>
      <c r="C15" s="152">
        <v>160.89700793700001</v>
      </c>
      <c r="D15" s="152">
        <v>406.99541666729999</v>
      </c>
      <c r="E15" s="152">
        <v>3228302.1331991754</v>
      </c>
      <c r="F15" s="152">
        <v>0</v>
      </c>
      <c r="G15" s="152">
        <v>0</v>
      </c>
      <c r="H15" s="152">
        <v>0</v>
      </c>
    </row>
    <row r="16" spans="1:8" x14ac:dyDescent="0.25">
      <c r="A16" s="152" t="s">
        <v>92</v>
      </c>
      <c r="B16" s="152">
        <v>1</v>
      </c>
      <c r="C16" s="152">
        <v>123.5364682534</v>
      </c>
      <c r="D16" s="152">
        <v>454.79500000439998</v>
      </c>
      <c r="E16" s="152">
        <v>3640196.5802759319</v>
      </c>
      <c r="F16" s="152">
        <v>0</v>
      </c>
      <c r="G16" s="152">
        <v>0</v>
      </c>
      <c r="H16" s="152">
        <v>0</v>
      </c>
    </row>
    <row r="17" spans="1:8" x14ac:dyDescent="0.25">
      <c r="A17" s="152" t="s">
        <v>93</v>
      </c>
      <c r="B17" s="152">
        <v>1</v>
      </c>
      <c r="C17" s="152">
        <v>239.8317063488</v>
      </c>
      <c r="D17" s="152">
        <v>701.89651190990003</v>
      </c>
      <c r="E17" s="152">
        <v>5484537.3014732655</v>
      </c>
      <c r="F17" s="152">
        <v>0</v>
      </c>
      <c r="G17" s="152">
        <v>0</v>
      </c>
      <c r="H17" s="152">
        <v>0</v>
      </c>
    </row>
    <row r="18" spans="1:8" x14ac:dyDescent="0.25">
      <c r="A18" s="152" t="s">
        <v>94</v>
      </c>
      <c r="B18" s="152">
        <v>1</v>
      </c>
      <c r="C18" s="152">
        <v>437.43617063490001</v>
      </c>
      <c r="D18" s="152">
        <v>1055.2479166659</v>
      </c>
      <c r="E18" s="152">
        <v>8033782.2496290058</v>
      </c>
      <c r="F18" s="152">
        <v>0</v>
      </c>
      <c r="G18" s="152">
        <v>0</v>
      </c>
      <c r="H18" s="152">
        <v>0</v>
      </c>
    </row>
    <row r="19" spans="1:8" x14ac:dyDescent="0.25">
      <c r="A19" s="152" t="s">
        <v>95</v>
      </c>
      <c r="B19" s="152">
        <v>1</v>
      </c>
      <c r="C19" s="152">
        <v>295.50611772500002</v>
      </c>
      <c r="D19" s="152">
        <v>702.32749999819998</v>
      </c>
      <c r="E19" s="152">
        <v>6285739.3230815595</v>
      </c>
      <c r="F19" s="152">
        <v>0</v>
      </c>
      <c r="G19" s="152">
        <v>0</v>
      </c>
      <c r="H19" s="152">
        <v>0</v>
      </c>
    </row>
    <row r="20" spans="1:8" x14ac:dyDescent="0.25">
      <c r="A20" s="152" t="s">
        <v>96</v>
      </c>
      <c r="B20" s="152">
        <v>1</v>
      </c>
      <c r="C20" s="152">
        <v>1528.4662698411</v>
      </c>
      <c r="D20" s="152">
        <v>2792.7997619038001</v>
      </c>
      <c r="E20" s="152">
        <v>19809972.012772713</v>
      </c>
      <c r="F20" s="152">
        <v>0</v>
      </c>
      <c r="G20" s="152">
        <v>0</v>
      </c>
      <c r="H20" s="152">
        <v>0</v>
      </c>
    </row>
    <row r="21" spans="1:8" x14ac:dyDescent="0.25">
      <c r="A21" s="152" t="s">
        <v>97</v>
      </c>
      <c r="B21" s="152">
        <v>1</v>
      </c>
      <c r="C21" s="152">
        <v>151.99654761880001</v>
      </c>
      <c r="D21" s="152">
        <v>496.68850000729998</v>
      </c>
      <c r="E21" s="152">
        <v>3499843.0210882789</v>
      </c>
      <c r="F21" s="152">
        <v>0</v>
      </c>
      <c r="G21" s="152">
        <v>0</v>
      </c>
      <c r="H21" s="152">
        <v>0</v>
      </c>
    </row>
    <row r="22" spans="1:8" x14ac:dyDescent="0.25">
      <c r="A22" s="152" t="s">
        <v>274</v>
      </c>
      <c r="B22" s="152">
        <v>1</v>
      </c>
      <c r="C22" s="152">
        <v>128.14228174569999</v>
      </c>
      <c r="D22" s="152">
        <v>279.01125000270002</v>
      </c>
      <c r="E22" s="152">
        <v>3185102.5027717678</v>
      </c>
      <c r="F22" s="152">
        <v>0</v>
      </c>
      <c r="G22" s="152">
        <v>0</v>
      </c>
      <c r="H22" s="152">
        <v>0</v>
      </c>
    </row>
    <row r="23" spans="1:8" x14ac:dyDescent="0.25">
      <c r="A23" s="152" t="s">
        <v>266</v>
      </c>
      <c r="B23" s="152">
        <v>1</v>
      </c>
      <c r="C23" s="152">
        <v>114.88833333319999</v>
      </c>
      <c r="D23" s="152">
        <v>261.0049999986</v>
      </c>
      <c r="E23" s="152">
        <v>2923678.1117493762</v>
      </c>
      <c r="F23" s="152">
        <v>0</v>
      </c>
      <c r="G23" s="152">
        <v>0</v>
      </c>
      <c r="H23" s="152">
        <v>0</v>
      </c>
    </row>
    <row r="24" spans="1:8" x14ac:dyDescent="0.25">
      <c r="A24" s="152" t="s">
        <v>265</v>
      </c>
      <c r="B24" s="152">
        <v>1</v>
      </c>
      <c r="C24" s="152">
        <v>1186.2236111113</v>
      </c>
      <c r="D24" s="152">
        <v>9813.7326071470998</v>
      </c>
      <c r="E24" s="152">
        <v>24101898.667897765</v>
      </c>
      <c r="F24" s="152">
        <v>0</v>
      </c>
      <c r="G24" s="152">
        <v>0</v>
      </c>
      <c r="H24" s="152">
        <v>0</v>
      </c>
    </row>
    <row r="25" spans="1:8" x14ac:dyDescent="0.25">
      <c r="A25" s="152" t="s">
        <v>98</v>
      </c>
      <c r="B25" s="152">
        <v>1</v>
      </c>
      <c r="C25" s="152">
        <v>93.241170635000003</v>
      </c>
      <c r="D25" s="152">
        <v>385.96458333869998</v>
      </c>
      <c r="E25" s="152">
        <v>2335213.6486873631</v>
      </c>
      <c r="F25" s="152">
        <v>0</v>
      </c>
      <c r="G25" s="152">
        <v>0</v>
      </c>
      <c r="H25" s="152">
        <v>0</v>
      </c>
    </row>
    <row r="26" spans="1:8" x14ac:dyDescent="0.25">
      <c r="A26" s="152" t="s">
        <v>99</v>
      </c>
      <c r="B26" s="152">
        <v>1</v>
      </c>
      <c r="C26" s="152">
        <v>126.4617063491</v>
      </c>
      <c r="D26" s="152">
        <v>181.13066666360001</v>
      </c>
      <c r="E26" s="152">
        <v>2515670.4237700473</v>
      </c>
      <c r="F26" s="152">
        <v>0</v>
      </c>
      <c r="G26" s="152">
        <v>0</v>
      </c>
      <c r="H26" s="152">
        <v>0</v>
      </c>
    </row>
    <row r="27" spans="1:8" x14ac:dyDescent="0.25">
      <c r="A27" s="152" t="s">
        <v>285</v>
      </c>
      <c r="B27" s="152">
        <v>1</v>
      </c>
      <c r="C27" s="152">
        <v>329.2916666667</v>
      </c>
      <c r="D27" s="152">
        <v>2898.94</v>
      </c>
      <c r="E27" s="152">
        <v>5512726.2555622831</v>
      </c>
      <c r="F27" s="152">
        <v>0</v>
      </c>
      <c r="G27" s="152">
        <v>0</v>
      </c>
      <c r="H27" s="152">
        <v>0</v>
      </c>
    </row>
    <row r="28" spans="1:8" x14ac:dyDescent="0.25">
      <c r="A28" s="152" t="s">
        <v>218</v>
      </c>
      <c r="B28" s="152">
        <v>1</v>
      </c>
      <c r="C28" s="152">
        <v>184.35212301589999</v>
      </c>
      <c r="D28" s="152">
        <v>539.30392857490006</v>
      </c>
      <c r="E28" s="152">
        <v>3897878.0298985899</v>
      </c>
      <c r="F28" s="152">
        <v>0</v>
      </c>
      <c r="G28" s="152">
        <v>0</v>
      </c>
      <c r="H28" s="152">
        <v>0</v>
      </c>
    </row>
    <row r="29" spans="1:8" x14ac:dyDescent="0.25">
      <c r="A29" s="152" t="s">
        <v>211</v>
      </c>
      <c r="B29" s="152">
        <v>1</v>
      </c>
      <c r="C29" s="152">
        <v>252.46679894159999</v>
      </c>
      <c r="D29" s="152">
        <v>903.01285714309995</v>
      </c>
      <c r="E29" s="152">
        <v>4826567.6426148191</v>
      </c>
      <c r="F29" s="152">
        <v>0</v>
      </c>
      <c r="G29" s="152">
        <v>0</v>
      </c>
      <c r="H29" s="152">
        <v>0</v>
      </c>
    </row>
    <row r="30" spans="1:8" x14ac:dyDescent="0.25">
      <c r="A30" s="152" t="s">
        <v>138</v>
      </c>
      <c r="B30" s="152">
        <v>1</v>
      </c>
      <c r="C30" s="152">
        <v>87.584722221700005</v>
      </c>
      <c r="D30" s="152">
        <v>137.51500000120001</v>
      </c>
      <c r="E30" s="152">
        <v>1773841.7023678774</v>
      </c>
      <c r="F30" s="152">
        <v>0</v>
      </c>
      <c r="G30" s="152">
        <v>0</v>
      </c>
      <c r="H30" s="152">
        <v>0</v>
      </c>
    </row>
    <row r="31" spans="1:8" x14ac:dyDescent="0.25">
      <c r="A31" s="152" t="s">
        <v>213</v>
      </c>
      <c r="B31" s="152">
        <v>1</v>
      </c>
      <c r="C31" s="152">
        <v>175.828571428</v>
      </c>
      <c r="D31" s="152">
        <v>308.40708333510003</v>
      </c>
      <c r="E31" s="152">
        <v>2870562.2247181726</v>
      </c>
      <c r="F31" s="152">
        <v>0</v>
      </c>
      <c r="G31" s="152">
        <v>0</v>
      </c>
      <c r="H31" s="152">
        <v>0</v>
      </c>
    </row>
    <row r="32" spans="1:8" x14ac:dyDescent="0.25">
      <c r="A32" s="152" t="s">
        <v>272</v>
      </c>
      <c r="B32" s="152">
        <v>1</v>
      </c>
      <c r="C32" s="152">
        <v>171.75853174560001</v>
      </c>
      <c r="D32" s="152">
        <v>59.010000000799998</v>
      </c>
      <c r="E32" s="152">
        <v>2452499.2938377094</v>
      </c>
      <c r="F32" s="152">
        <v>0</v>
      </c>
      <c r="G32" s="152">
        <v>0</v>
      </c>
      <c r="H32" s="152">
        <v>0</v>
      </c>
    </row>
    <row r="33" spans="1:8" x14ac:dyDescent="0.25">
      <c r="A33" s="152" t="s">
        <v>212</v>
      </c>
      <c r="B33" s="152">
        <v>1</v>
      </c>
      <c r="C33" s="152">
        <v>204.1220634922</v>
      </c>
      <c r="D33" s="152">
        <v>805.78916666780003</v>
      </c>
      <c r="E33" s="152">
        <v>3887629.4191952711</v>
      </c>
      <c r="F33" s="152">
        <v>0</v>
      </c>
      <c r="G33" s="152">
        <v>0</v>
      </c>
      <c r="H33" s="152">
        <v>0</v>
      </c>
    </row>
    <row r="34" spans="1:8" x14ac:dyDescent="0.25">
      <c r="A34" s="152" t="s">
        <v>267</v>
      </c>
      <c r="B34" s="152">
        <v>1</v>
      </c>
      <c r="C34" s="152">
        <v>208.45833333339999</v>
      </c>
      <c r="D34" s="152">
        <v>1299.8599999999999</v>
      </c>
      <c r="E34" s="152">
        <v>3242995.6574940565</v>
      </c>
      <c r="F34" s="152">
        <v>0</v>
      </c>
      <c r="G34" s="152">
        <v>0</v>
      </c>
      <c r="H34" s="152">
        <v>0</v>
      </c>
    </row>
    <row r="35" spans="1:8" x14ac:dyDescent="0.25">
      <c r="A35" s="152" t="s">
        <v>160</v>
      </c>
      <c r="B35" s="152">
        <v>1</v>
      </c>
      <c r="C35" s="152">
        <v>103.5329365074</v>
      </c>
      <c r="D35" s="152">
        <v>335.10125000490001</v>
      </c>
      <c r="E35" s="152">
        <v>2545958.7967660916</v>
      </c>
      <c r="F35" s="152">
        <v>0</v>
      </c>
      <c r="G35" s="152">
        <v>0</v>
      </c>
      <c r="H35" s="152">
        <v>0</v>
      </c>
    </row>
    <row r="36" spans="1:8" x14ac:dyDescent="0.25">
      <c r="A36" s="152" t="s">
        <v>106</v>
      </c>
      <c r="B36" s="152">
        <v>1</v>
      </c>
      <c r="C36" s="152">
        <v>366.04799603200001</v>
      </c>
      <c r="D36" s="152">
        <v>1960.6685833337001</v>
      </c>
      <c r="E36" s="152">
        <v>10375630.87772402</v>
      </c>
      <c r="F36" s="152">
        <v>0</v>
      </c>
      <c r="G36" s="152">
        <v>0</v>
      </c>
      <c r="H36" s="152">
        <v>0</v>
      </c>
    </row>
    <row r="37" spans="1:8" x14ac:dyDescent="0.25">
      <c r="A37" s="152" t="s">
        <v>270</v>
      </c>
      <c r="B37" s="152">
        <v>1</v>
      </c>
      <c r="C37" s="152">
        <v>419.70833333320002</v>
      </c>
      <c r="D37" s="152">
        <v>4805.0399999990004</v>
      </c>
      <c r="E37" s="152">
        <v>10542806.037602939</v>
      </c>
      <c r="F37" s="152">
        <v>0</v>
      </c>
      <c r="G37" s="152">
        <v>0</v>
      </c>
      <c r="H37" s="152">
        <v>0</v>
      </c>
    </row>
    <row r="38" spans="1:8" x14ac:dyDescent="0.25">
      <c r="A38" s="152" t="s">
        <v>107</v>
      </c>
      <c r="B38" s="152">
        <v>1</v>
      </c>
      <c r="C38" s="152">
        <v>292.66666666660001</v>
      </c>
      <c r="D38" s="152">
        <v>3446.3999999988</v>
      </c>
      <c r="E38" s="152">
        <v>6793509.4167299801</v>
      </c>
      <c r="F38" s="152">
        <v>0</v>
      </c>
      <c r="G38" s="152">
        <v>0</v>
      </c>
      <c r="H38" s="152">
        <v>0</v>
      </c>
    </row>
    <row r="39" spans="1:8" x14ac:dyDescent="0.25">
      <c r="A39" s="152" t="s">
        <v>219</v>
      </c>
      <c r="B39" s="152">
        <v>1</v>
      </c>
      <c r="C39" s="152">
        <v>115.05357142840001</v>
      </c>
      <c r="D39" s="152">
        <v>336.30267857339999</v>
      </c>
      <c r="E39" s="152">
        <v>3261064.8254967621</v>
      </c>
      <c r="F39" s="152">
        <v>0</v>
      </c>
      <c r="G39" s="152">
        <v>0</v>
      </c>
      <c r="H39" s="152">
        <v>0</v>
      </c>
    </row>
    <row r="40" spans="1:8" x14ac:dyDescent="0.25">
      <c r="A40" s="152" t="s">
        <v>139</v>
      </c>
      <c r="B40" s="152">
        <v>1</v>
      </c>
      <c r="C40" s="152">
        <v>2631.9859126983001</v>
      </c>
      <c r="D40" s="152">
        <v>10359.0116666666</v>
      </c>
      <c r="E40" s="152">
        <v>21705529.123024561</v>
      </c>
      <c r="F40" s="152">
        <v>0</v>
      </c>
      <c r="G40" s="152">
        <v>0</v>
      </c>
      <c r="H40" s="152">
        <v>0</v>
      </c>
    </row>
    <row r="41" spans="1:8" x14ac:dyDescent="0.25">
      <c r="A41" s="152" t="s">
        <v>284</v>
      </c>
      <c r="B41" s="152">
        <v>1</v>
      </c>
      <c r="C41" s="152">
        <v>236</v>
      </c>
      <c r="D41" s="152">
        <v>2922.32</v>
      </c>
      <c r="E41" s="152">
        <v>6114784.5568000004</v>
      </c>
      <c r="F41" s="152">
        <v>0</v>
      </c>
      <c r="G41" s="152">
        <v>0</v>
      </c>
      <c r="H41" s="152">
        <v>0</v>
      </c>
    </row>
    <row r="42" spans="1:8" x14ac:dyDescent="0.25">
      <c r="A42" s="152" t="s">
        <v>144</v>
      </c>
      <c r="B42" s="152">
        <v>1</v>
      </c>
      <c r="C42" s="152">
        <v>127.9555555556</v>
      </c>
      <c r="D42" s="152">
        <v>615.17583333410005</v>
      </c>
      <c r="E42" s="152">
        <v>2847535.638590497</v>
      </c>
      <c r="F42" s="152">
        <v>0</v>
      </c>
      <c r="G42" s="152">
        <v>0</v>
      </c>
      <c r="H42" s="152">
        <v>0</v>
      </c>
    </row>
    <row r="43" spans="1:8" x14ac:dyDescent="0.25">
      <c r="A43" s="152" t="s">
        <v>145</v>
      </c>
      <c r="B43" s="152">
        <v>1</v>
      </c>
      <c r="C43" s="152">
        <v>-2.4583333333000001</v>
      </c>
      <c r="D43" s="152">
        <v>0</v>
      </c>
      <c r="E43" s="152">
        <v>-80990.517827873206</v>
      </c>
      <c r="F43" s="152">
        <v>0</v>
      </c>
      <c r="G43" s="152">
        <v>0</v>
      </c>
      <c r="H43" s="152">
        <v>0</v>
      </c>
    </row>
    <row r="44" spans="1:8" x14ac:dyDescent="0.25">
      <c r="A44" s="152" t="s">
        <v>273</v>
      </c>
      <c r="B44" s="152">
        <v>1</v>
      </c>
      <c r="C44" s="152">
        <v>367.08511904739998</v>
      </c>
      <c r="D44" s="152">
        <v>807.91058333449996</v>
      </c>
      <c r="E44" s="152">
        <v>7269845.9948500441</v>
      </c>
      <c r="F44" s="152">
        <v>0</v>
      </c>
      <c r="G44" s="152">
        <v>0</v>
      </c>
      <c r="H44" s="152">
        <v>0</v>
      </c>
    </row>
    <row r="45" spans="1:8" x14ac:dyDescent="0.25">
      <c r="A45" s="152" t="s">
        <v>154</v>
      </c>
      <c r="B45" s="152">
        <v>1</v>
      </c>
      <c r="C45" s="152">
        <v>96.849484127799997</v>
      </c>
      <c r="D45" s="152">
        <v>733.90000000860005</v>
      </c>
      <c r="E45" s="152">
        <v>2220501.5457263547</v>
      </c>
      <c r="F45" s="152">
        <v>0</v>
      </c>
      <c r="G45" s="152">
        <v>0</v>
      </c>
      <c r="H45" s="152">
        <v>0</v>
      </c>
    </row>
    <row r="46" spans="1:8" x14ac:dyDescent="0.25">
      <c r="A46" s="152" t="s">
        <v>217</v>
      </c>
      <c r="B46" s="152">
        <v>1</v>
      </c>
      <c r="C46" s="152">
        <v>243.31388888890001</v>
      </c>
      <c r="D46" s="152">
        <v>2905</v>
      </c>
      <c r="E46" s="152">
        <v>3825818.9833058524</v>
      </c>
      <c r="F46" s="152">
        <v>0</v>
      </c>
      <c r="G46" s="152">
        <v>0</v>
      </c>
      <c r="H46" s="1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Q48"/>
  <sheetViews>
    <sheetView tabSelected="1" zoomScale="80" zoomScaleNormal="80" workbookViewId="0">
      <selection activeCell="N2" sqref="N2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  <col min="16" max="16" width="17.42578125" style="142" bestFit="1" customWidth="1"/>
  </cols>
  <sheetData>
    <row r="1" spans="1:17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7" ht="16.5" thickBot="1" x14ac:dyDescent="0.3">
      <c r="A2" s="143" t="s">
        <v>206</v>
      </c>
      <c r="B2" s="57" t="s">
        <v>94</v>
      </c>
      <c r="C2" s="58">
        <v>32924658.171015769</v>
      </c>
      <c r="D2" s="59">
        <f>IFERROR(+VLOOKUP(B2,COMISIONES!A:E,5,FALSE),"0")*1</f>
        <v>8033782.2496290058</v>
      </c>
      <c r="E2" s="59">
        <v>5972410.1615108997</v>
      </c>
      <c r="F2" s="59">
        <f t="shared" ref="F2:F9" si="0">+D2-E2</f>
        <v>2061372.0881181061</v>
      </c>
      <c r="G2" s="60">
        <f t="shared" ref="G2:G47" si="1">+D2/C2</f>
        <v>0.24400503136282531</v>
      </c>
      <c r="H2" s="59">
        <f>+D2/$N$3*$N$4</f>
        <v>50211139.06018129</v>
      </c>
      <c r="I2" s="60">
        <f t="shared" ref="I2:I48" si="2">+H2/C2</f>
        <v>1.5250314460176584</v>
      </c>
      <c r="J2" s="59">
        <f>+D2/$N$3</f>
        <v>2008445.5624072514</v>
      </c>
      <c r="K2" s="59">
        <f t="shared" ref="K2:K38" si="3">+(C2-D2)/$N$2</f>
        <v>1185279.8057803221</v>
      </c>
      <c r="L2" s="61" cm="1">
        <f t="array" ref="L2">+_xlfn.IFS(I2&gt;114%,H2*0.02,I2&gt;109%,H2*0.015,I2&gt;104%,H2*0.0125,I2&gt;99%,H2*0.01,I2&lt;99%,H2*0)</f>
        <v>1004222.7812036258</v>
      </c>
      <c r="M2" s="53" t="s">
        <v>36</v>
      </c>
      <c r="N2">
        <v>21</v>
      </c>
      <c r="P2" s="142">
        <f>+C2*1.02</f>
        <v>33583151.334436089</v>
      </c>
    </row>
    <row r="3" spans="1:17" ht="16.5" thickBot="1" x14ac:dyDescent="0.3">
      <c r="A3" s="144"/>
      <c r="B3" s="36" t="s">
        <v>93</v>
      </c>
      <c r="C3" s="62">
        <v>31602382.742460921</v>
      </c>
      <c r="D3" s="4">
        <f>IFERROR(+VLOOKUP(B3,COMISIONES!A:E,5,FALSE),"0")*1</f>
        <v>5484537.3014732655</v>
      </c>
      <c r="E3" s="4">
        <v>3294868.3641239931</v>
      </c>
      <c r="F3" s="59">
        <f t="shared" si="0"/>
        <v>2189668.9373492724</v>
      </c>
      <c r="G3" s="5">
        <f t="shared" si="1"/>
        <v>0.17354822091007233</v>
      </c>
      <c r="H3" s="4">
        <f t="shared" ref="H3:H38" si="4">+D3/$N$3*$N$4</f>
        <v>34278358.134207912</v>
      </c>
      <c r="I3" s="5">
        <f t="shared" si="2"/>
        <v>1.0846763806879522</v>
      </c>
      <c r="J3" s="4">
        <f t="shared" ref="J3:J38" si="5">+D3/$N$3</f>
        <v>1371134.3253683164</v>
      </c>
      <c r="K3" s="4">
        <f t="shared" si="3"/>
        <v>1243706.9257613169</v>
      </c>
      <c r="L3" s="63" cm="1">
        <f t="array" ref="L3">+_xlfn.IFS(I3&gt;114%,H3*0.02,I3&gt;109%,H3*0.015,I3&gt;104%,H3*0.0125,I3&gt;99%,H3*0.01,I3&lt;99%,H3*0)</f>
        <v>428479.4766775989</v>
      </c>
      <c r="M3" s="53" t="s">
        <v>40</v>
      </c>
      <c r="N3">
        <f>N4-N2</f>
        <v>4</v>
      </c>
      <c r="P3" s="142">
        <f t="shared" ref="P3:P23" si="6">+C3*1.02</f>
        <v>32234430.397310141</v>
      </c>
    </row>
    <row r="4" spans="1:17" ht="16.5" thickBot="1" x14ac:dyDescent="0.3">
      <c r="A4" s="144"/>
      <c r="B4" s="36" t="s">
        <v>91</v>
      </c>
      <c r="C4" s="62">
        <v>28957831.885351218</v>
      </c>
      <c r="D4" s="4">
        <f>IFERROR(+VLOOKUP(B4,COMISIONES!A:E,5,FALSE),"0")*1</f>
        <v>3228302.1331991754</v>
      </c>
      <c r="E4" s="4">
        <v>2791922.5290083173</v>
      </c>
      <c r="F4" s="59">
        <f t="shared" si="0"/>
        <v>436379.60419085808</v>
      </c>
      <c r="G4" s="5">
        <f t="shared" si="1"/>
        <v>0.1114828674322218</v>
      </c>
      <c r="H4" s="4">
        <f t="shared" si="4"/>
        <v>20176888.332494847</v>
      </c>
      <c r="I4" s="5">
        <f t="shared" si="2"/>
        <v>0.69676792145138633</v>
      </c>
      <c r="J4" s="4">
        <f t="shared" si="5"/>
        <v>807075.53329979384</v>
      </c>
      <c r="K4" s="4">
        <f t="shared" si="3"/>
        <v>1225215.7024834307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  <c r="P4" s="142">
        <f t="shared" si="6"/>
        <v>29536988.523058243</v>
      </c>
    </row>
    <row r="5" spans="1:17" ht="16.5" thickBot="1" x14ac:dyDescent="0.3">
      <c r="A5" s="144"/>
      <c r="B5" s="36" t="s">
        <v>89</v>
      </c>
      <c r="C5" s="62">
        <v>28957831.885351218</v>
      </c>
      <c r="D5" s="4">
        <f>IFERROR(+VLOOKUP(B5,COMISIONES!A:E,5,FALSE),"0")*1</f>
        <v>3837107.6640388942</v>
      </c>
      <c r="E5" s="4">
        <v>2636534.0707976553</v>
      </c>
      <c r="F5" s="59">
        <f t="shared" si="0"/>
        <v>1200573.593241239</v>
      </c>
      <c r="G5" s="5">
        <f t="shared" si="1"/>
        <v>0.13250673183098202</v>
      </c>
      <c r="H5" s="4">
        <f t="shared" si="4"/>
        <v>23981922.900243089</v>
      </c>
      <c r="I5" s="5">
        <f t="shared" si="2"/>
        <v>0.82816707394363753</v>
      </c>
      <c r="J5" s="4">
        <f t="shared" si="5"/>
        <v>959276.91600972356</v>
      </c>
      <c r="K5" s="4">
        <f t="shared" si="3"/>
        <v>1196224.9629196345</v>
      </c>
      <c r="L5" s="63" cm="1">
        <f t="array" ref="L5">+_xlfn.IFS(I5&gt;114%,H5*0.02,I5&gt;109%,H5*0.015,I5&gt;104%,H5*0.0125,I5&gt;99%,H5*0.01,I5&lt;99%,H5*0)</f>
        <v>0</v>
      </c>
      <c r="P5" s="142">
        <f t="shared" si="6"/>
        <v>29536988.523058243</v>
      </c>
    </row>
    <row r="6" spans="1:17" ht="16.5" thickBot="1" x14ac:dyDescent="0.3">
      <c r="A6" s="144"/>
      <c r="B6" s="36" t="s">
        <v>209</v>
      </c>
      <c r="C6" s="62">
        <v>23999299.028270528</v>
      </c>
      <c r="D6" s="4">
        <f>IFERROR(+VLOOKUP(B6,COMISIONES!A:E,5,FALSE),"0")*1</f>
        <v>3238435.7546853684</v>
      </c>
      <c r="E6" s="4">
        <v>2286206.0618880419</v>
      </c>
      <c r="F6" s="59">
        <f t="shared" si="0"/>
        <v>952229.69279732648</v>
      </c>
      <c r="G6" s="5">
        <f t="shared" si="1"/>
        <v>0.1349387642893477</v>
      </c>
      <c r="H6" s="4">
        <f t="shared" si="4"/>
        <v>20240223.466783553</v>
      </c>
      <c r="I6" s="5">
        <f t="shared" si="2"/>
        <v>0.84336727680842327</v>
      </c>
      <c r="J6" s="4">
        <f t="shared" si="5"/>
        <v>809608.9386713421</v>
      </c>
      <c r="K6" s="4">
        <f t="shared" si="3"/>
        <v>988612.53683738853</v>
      </c>
      <c r="L6" s="63" cm="1">
        <f t="array" ref="L6">+_xlfn.IFS(I6&gt;114%,H6*0.02,I6&gt;109%,H6*0.015,I6&gt;104%,H6*0.0125,I6&gt;99%,H6*0.01,I6&lt;99%,H6*0)</f>
        <v>0</v>
      </c>
      <c r="P6" s="142">
        <f t="shared" si="6"/>
        <v>24479285.008835938</v>
      </c>
    </row>
    <row r="7" spans="1:17" ht="16.5" thickBot="1" x14ac:dyDescent="0.3">
      <c r="A7" s="144"/>
      <c r="B7" s="36" t="s">
        <v>269</v>
      </c>
      <c r="C7" s="62">
        <v>28296694.171073794</v>
      </c>
      <c r="D7" s="4">
        <f>IFERROR(+VLOOKUP(B7,COMISIONES!A:E,5,FALSE),"0")*1</f>
        <v>2955434.4121029563</v>
      </c>
      <c r="E7" s="4">
        <v>1423105.3891924161</v>
      </c>
      <c r="F7" s="59">
        <f t="shared" si="0"/>
        <v>1532329.0229105402</v>
      </c>
      <c r="G7" s="5">
        <f t="shared" si="1"/>
        <v>0.10444451193610241</v>
      </c>
      <c r="H7" s="4">
        <f t="shared" si="4"/>
        <v>18471465.075643476</v>
      </c>
      <c r="I7" s="5">
        <f t="shared" si="2"/>
        <v>0.65277819960063999</v>
      </c>
      <c r="J7" s="4">
        <f t="shared" si="5"/>
        <v>738858.60302573908</v>
      </c>
      <c r="K7" s="4">
        <f t="shared" si="3"/>
        <v>1206726.6551890876</v>
      </c>
      <c r="L7" s="63" cm="1">
        <f t="array" ref="L7">+_xlfn.IFS(I7&gt;114%,H7*0.02,I7&gt;109%,H7*0.015,I7&gt;104%,H7*0.0125,I7&gt;99%,H7*0.01,I7&lt;99%,H7*0)</f>
        <v>0</v>
      </c>
      <c r="P7" s="142">
        <f t="shared" si="6"/>
        <v>28862628.054495271</v>
      </c>
    </row>
    <row r="8" spans="1:17" ht="16.5" thickBot="1" x14ac:dyDescent="0.3">
      <c r="A8" s="144"/>
      <c r="B8" s="36" t="s">
        <v>84</v>
      </c>
      <c r="C8" s="62">
        <v>36547692.84525606</v>
      </c>
      <c r="D8" s="4">
        <f>IFERROR(+VLOOKUP(B8,COMISIONES!A:E,5,FALSE),"0")*1</f>
        <v>4272340.5982830664</v>
      </c>
      <c r="E8" s="4">
        <v>2481925.7966806726</v>
      </c>
      <c r="F8" s="59">
        <f t="shared" si="0"/>
        <v>1790414.8016023939</v>
      </c>
      <c r="G8" s="5">
        <f t="shared" si="1"/>
        <v>0.11689768260809989</v>
      </c>
      <c r="H8" s="4">
        <f t="shared" si="4"/>
        <v>26702128.739269163</v>
      </c>
      <c r="I8" s="5">
        <f t="shared" si="2"/>
        <v>0.73061051630062435</v>
      </c>
      <c r="J8" s="4">
        <f t="shared" si="5"/>
        <v>1068085.1495707666</v>
      </c>
      <c r="K8" s="4">
        <f t="shared" si="3"/>
        <v>1536921.5355701426</v>
      </c>
      <c r="L8" s="63" cm="1">
        <f t="array" ref="L8">+_xlfn.IFS(I8&gt;114%,H8*0.02,I8&gt;109%,H8*0.015,I8&gt;104%,H8*0.0125,I8&gt;99%,H8*0.01,I8&lt;99%,H8*0)</f>
        <v>0</v>
      </c>
      <c r="P8" s="142">
        <f t="shared" si="6"/>
        <v>37278646.702161185</v>
      </c>
    </row>
    <row r="9" spans="1:17" ht="15.75" x14ac:dyDescent="0.25">
      <c r="A9" s="144"/>
      <c r="B9" s="36" t="s">
        <v>83</v>
      </c>
      <c r="C9" s="62">
        <v>36547692.84525606</v>
      </c>
      <c r="D9" s="4">
        <f>IFERROR(+VLOOKUP(B9,COMISIONES!A:E,5,FALSE),"0")*1</f>
        <v>6392972.1405321835</v>
      </c>
      <c r="E9" s="4">
        <v>3800749.2921959595</v>
      </c>
      <c r="F9" s="59">
        <f t="shared" si="0"/>
        <v>2592222.848336224</v>
      </c>
      <c r="G9" s="5">
        <f t="shared" si="1"/>
        <v>0.17492136008694731</v>
      </c>
      <c r="H9" s="4">
        <f t="shared" si="4"/>
        <v>39956075.878326148</v>
      </c>
      <c r="I9" s="5">
        <f t="shared" si="2"/>
        <v>1.0932585005434208</v>
      </c>
      <c r="J9" s="4">
        <f t="shared" si="5"/>
        <v>1598243.0351330459</v>
      </c>
      <c r="K9" s="4">
        <f t="shared" si="3"/>
        <v>1435939.0811773273</v>
      </c>
      <c r="L9" s="63" cm="1">
        <f t="array" ref="L9">+_xlfn.IFS(I9&gt;114%,H9*0.02,I9&gt;109%,H9*0.015,I9&gt;104%,H9*0.0125,I9&gt;99%,H9*0.01,I9&lt;99%,H9*0)</f>
        <v>599341.13817489217</v>
      </c>
      <c r="P9" s="142">
        <f t="shared" si="6"/>
        <v>37278646.702161185</v>
      </c>
    </row>
    <row r="10" spans="1:17" ht="16.5" thickBot="1" x14ac:dyDescent="0.3">
      <c r="A10" s="145"/>
      <c r="B10" s="3"/>
      <c r="C10" s="64">
        <v>247834083.57403553</v>
      </c>
      <c r="D10" s="64">
        <f>+SUM(D2:D9)</f>
        <v>37442912.253943913</v>
      </c>
      <c r="E10" s="64">
        <v>24687721.665397961</v>
      </c>
      <c r="F10" s="66">
        <f>+D10-E10</f>
        <v>12755190.588545952</v>
      </c>
      <c r="G10" s="65">
        <f t="shared" si="1"/>
        <v>0.1510805604861794</v>
      </c>
      <c r="H10" s="64">
        <f t="shared" si="4"/>
        <v>234018201.58714944</v>
      </c>
      <c r="I10" s="65">
        <f t="shared" si="2"/>
        <v>0.9442535030386211</v>
      </c>
      <c r="J10" s="64">
        <f t="shared" si="5"/>
        <v>9360728.0634859782</v>
      </c>
      <c r="K10" s="66">
        <f t="shared" si="3"/>
        <v>10018627.205718648</v>
      </c>
      <c r="L10" s="67"/>
      <c r="P10" s="142">
        <f t="shared" si="6"/>
        <v>252790765.24551624</v>
      </c>
    </row>
    <row r="11" spans="1:17" ht="16.5" thickBot="1" x14ac:dyDescent="0.3">
      <c r="A11" s="143" t="s">
        <v>207</v>
      </c>
      <c r="B11" s="57" t="s">
        <v>96</v>
      </c>
      <c r="C11" s="58">
        <v>98911387.449740261</v>
      </c>
      <c r="D11" s="59">
        <f>IFERROR(+VLOOKUP(B11,COMISIONES!A:E,5,FALSE),"0")*1</f>
        <v>19809972.012772713</v>
      </c>
      <c r="E11" s="59">
        <v>15952320.537641706</v>
      </c>
      <c r="F11" s="59">
        <f t="shared" ref="F11:F14" si="7">+D11-E11</f>
        <v>3857651.4751310069</v>
      </c>
      <c r="G11" s="60">
        <f t="shared" si="1"/>
        <v>0.20027999327012508</v>
      </c>
      <c r="H11" s="59">
        <f t="shared" si="4"/>
        <v>123812325.07982945</v>
      </c>
      <c r="I11" s="60">
        <f t="shared" si="2"/>
        <v>1.2517499579382816</v>
      </c>
      <c r="J11" s="59">
        <f t="shared" si="5"/>
        <v>4952493.0031931782</v>
      </c>
      <c r="K11" s="59">
        <f t="shared" si="3"/>
        <v>3766734.0684270263</v>
      </c>
      <c r="L11" s="61" cm="1">
        <f t="array" ref="L11">+_xlfn.IFS(I11&gt;114%,H11*0.0125,I11&gt;109%,H11*0.01,I11&gt;104%,H11*0.0075,I11&gt;99%,H11*0.005,I11&lt;99%,H11*0)</f>
        <v>1547654.0634978684</v>
      </c>
      <c r="P11" s="142">
        <f t="shared" si="6"/>
        <v>100889615.19873507</v>
      </c>
    </row>
    <row r="12" spans="1:17" ht="16.5" thickBot="1" x14ac:dyDescent="0.3">
      <c r="A12" s="144"/>
      <c r="B12" s="36" t="s">
        <v>90</v>
      </c>
      <c r="C12" s="62">
        <v>130931194.39611749</v>
      </c>
      <c r="D12" s="4">
        <f>IFERROR(+VLOOKUP(B12,COMISIONES!A:E,5,FALSE),"0")*1</f>
        <v>12112146.959749941</v>
      </c>
      <c r="E12" s="4">
        <v>10658290.360380379</v>
      </c>
      <c r="F12" s="59">
        <f t="shared" si="7"/>
        <v>1453856.5993695613</v>
      </c>
      <c r="G12" s="5">
        <f t="shared" si="1"/>
        <v>9.2507725264508109E-2</v>
      </c>
      <c r="H12" s="4">
        <f t="shared" si="4"/>
        <v>75700918.498437136</v>
      </c>
      <c r="I12" s="5">
        <f t="shared" si="2"/>
        <v>0.57817328290317571</v>
      </c>
      <c r="J12" s="4">
        <f t="shared" si="5"/>
        <v>3028036.7399374852</v>
      </c>
      <c r="K12" s="4">
        <f t="shared" si="3"/>
        <v>5658049.8779222649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  <c r="P12" s="142">
        <f t="shared" si="6"/>
        <v>133549818.28403984</v>
      </c>
    </row>
    <row r="13" spans="1:17" ht="16.5" thickBot="1" x14ac:dyDescent="0.3">
      <c r="A13" s="144"/>
      <c r="B13" s="36" t="s">
        <v>270</v>
      </c>
      <c r="C13" s="62">
        <v>43298038.5428745</v>
      </c>
      <c r="D13" s="4">
        <f>IFERROR(+VLOOKUP(B13,COMISIONES!A:E,5,FALSE),"0")*1</f>
        <v>10542806.037602939</v>
      </c>
      <c r="E13" s="4">
        <v>9198857.9277629387</v>
      </c>
      <c r="F13" s="59">
        <f t="shared" si="7"/>
        <v>1343948.10984</v>
      </c>
      <c r="G13" s="5">
        <f t="shared" si="1"/>
        <v>0.24349384850686162</v>
      </c>
      <c r="H13" s="4">
        <f t="shared" si="4"/>
        <v>65892537.735018365</v>
      </c>
      <c r="I13" s="5">
        <f t="shared" si="2"/>
        <v>1.521836553167885</v>
      </c>
      <c r="J13" s="4">
        <f t="shared" si="5"/>
        <v>2635701.5094007347</v>
      </c>
      <c r="K13" s="4">
        <f t="shared" si="3"/>
        <v>1559772.976441503</v>
      </c>
      <c r="L13" s="63" cm="1">
        <f t="array" ref="L13">+_xlfn.IFS(I13&gt;109%,H13*0.015,I13&gt;104%,H13*0.0125,I13&gt;99%,H13*0.01,I13&lt;99%,H13*0)</f>
        <v>988388.06602527539</v>
      </c>
      <c r="N13" s="28"/>
      <c r="P13" s="142">
        <f t="shared" si="6"/>
        <v>44163999.313731991</v>
      </c>
    </row>
    <row r="14" spans="1:17" ht="15.75" x14ac:dyDescent="0.25">
      <c r="A14" s="144"/>
      <c r="B14" s="36" t="s">
        <v>107</v>
      </c>
      <c r="C14" s="62">
        <v>43298038.5428745</v>
      </c>
      <c r="D14" s="4">
        <f>IFERROR(+VLOOKUP(B14,COMISIONES!A:E,5,FALSE),"0")*1</f>
        <v>6793509.4167299801</v>
      </c>
      <c r="E14" s="4">
        <v>6609956.6165299807</v>
      </c>
      <c r="F14" s="59">
        <f t="shared" si="7"/>
        <v>183552.80019999947</v>
      </c>
      <c r="G14" s="5">
        <f t="shared" si="1"/>
        <v>0.15690108941084996</v>
      </c>
      <c r="H14" s="4">
        <f t="shared" si="4"/>
        <v>42459433.854562379</v>
      </c>
      <c r="I14" s="5">
        <f t="shared" si="2"/>
        <v>0.98063180881781242</v>
      </c>
      <c r="J14" s="4">
        <f t="shared" si="5"/>
        <v>1698377.354182495</v>
      </c>
      <c r="K14" s="4">
        <f t="shared" si="3"/>
        <v>1738310.9107687867</v>
      </c>
      <c r="L14" s="63" cm="1">
        <f t="array" ref="L14">+_xlfn.IFS(I14&gt;109%,H14*0.015,I14&gt;104%,H14*0.0125,I14&gt;99%,H14*0.01,I14&lt;99%,H14*0)</f>
        <v>0</v>
      </c>
      <c r="P14" s="142">
        <f t="shared" si="6"/>
        <v>44163999.313731991</v>
      </c>
    </row>
    <row r="15" spans="1:17" ht="16.5" thickBot="1" x14ac:dyDescent="0.3">
      <c r="A15" s="145"/>
      <c r="B15" s="3"/>
      <c r="C15" s="64">
        <v>348702179.38834512</v>
      </c>
      <c r="D15" s="64">
        <f>+SUM(D11:D14)</f>
        <v>49258434.426855572</v>
      </c>
      <c r="E15" s="64">
        <v>42419425.442315005</v>
      </c>
      <c r="F15" s="66">
        <f>+D15-E15</f>
        <v>6839008.9845405668</v>
      </c>
      <c r="G15" s="65">
        <f t="shared" si="1"/>
        <v>0.14126219260590595</v>
      </c>
      <c r="H15" s="64">
        <f t="shared" si="4"/>
        <v>307865215.16784734</v>
      </c>
      <c r="I15" s="65">
        <f t="shared" si="2"/>
        <v>0.88288870378691209</v>
      </c>
      <c r="J15" s="64">
        <f t="shared" si="5"/>
        <v>12314608.606713893</v>
      </c>
      <c r="K15" s="66">
        <f t="shared" si="3"/>
        <v>14259225.950547121</v>
      </c>
      <c r="L15" s="67"/>
      <c r="P15" s="142">
        <f t="shared" si="6"/>
        <v>355676222.97611201</v>
      </c>
      <c r="Q15" s="27"/>
    </row>
    <row r="16" spans="1:17" ht="16.5" thickBot="1" x14ac:dyDescent="0.3">
      <c r="A16" s="146" t="s">
        <v>208</v>
      </c>
      <c r="B16" s="68" t="s">
        <v>81</v>
      </c>
      <c r="C16" s="69">
        <v>28998600</v>
      </c>
      <c r="D16" s="59">
        <f>IFERROR(+VLOOKUP(B16,COMISIONES!A:E,5,FALSE),"0")*1</f>
        <v>2927957.2046600222</v>
      </c>
      <c r="E16" s="59">
        <v>2005760.5287147206</v>
      </c>
      <c r="F16" s="59">
        <f t="shared" ref="F16:F46" si="8">+D16-E16</f>
        <v>922196.67594530154</v>
      </c>
      <c r="G16" s="60">
        <f t="shared" si="1"/>
        <v>0.10096891590145808</v>
      </c>
      <c r="H16" s="59">
        <f t="shared" si="4"/>
        <v>18299732.529125139</v>
      </c>
      <c r="I16" s="60">
        <f t="shared" si="2"/>
        <v>0.63105572438411295</v>
      </c>
      <c r="J16" s="59">
        <f t="shared" si="5"/>
        <v>731989.30116500554</v>
      </c>
      <c r="K16" s="59">
        <f t="shared" si="3"/>
        <v>1241459.1807304751</v>
      </c>
      <c r="L16" s="61" cm="1">
        <f t="array" ref="L16">+_xlfn.IFS(I16&gt;114%,H16*0.02,I16&gt;109%,H16*0.015,I16&gt;104%,H16*0.0125,I16&gt;99%,H16*0.01,I16&lt;99%,H16*0)</f>
        <v>0</v>
      </c>
      <c r="P16" s="142">
        <f t="shared" si="6"/>
        <v>29578572</v>
      </c>
    </row>
    <row r="17" spans="1:16" ht="16.5" thickBot="1" x14ac:dyDescent="0.3">
      <c r="A17" s="147"/>
      <c r="B17" s="19" t="s">
        <v>82</v>
      </c>
      <c r="C17" s="70">
        <v>25500000</v>
      </c>
      <c r="D17" s="4">
        <f>IFERROR(+VLOOKUP(B17,COMISIONES!A:E,5,FALSE),"0")*1</f>
        <v>4631927.624667611</v>
      </c>
      <c r="E17" s="4">
        <v>2539763.9949347642</v>
      </c>
      <c r="F17" s="59">
        <f t="shared" si="8"/>
        <v>2092163.6297328467</v>
      </c>
      <c r="G17" s="5">
        <f t="shared" si="1"/>
        <v>0.18164422057520044</v>
      </c>
      <c r="H17" s="4">
        <f t="shared" si="4"/>
        <v>28949547.65417257</v>
      </c>
      <c r="I17" s="5">
        <f t="shared" si="2"/>
        <v>1.1352763785950026</v>
      </c>
      <c r="J17" s="4">
        <f t="shared" si="5"/>
        <v>1157981.9061669027</v>
      </c>
      <c r="K17" s="4">
        <f t="shared" si="3"/>
        <v>993717.73215868522</v>
      </c>
      <c r="L17" s="63" cm="1">
        <f t="array" ref="L17">+_xlfn.IFS(I17&gt;114%,H17*0.02,I17&gt;109%,H17*0.015,I17&gt;104%,H17*0.0125,I17&gt;99%,H17*0.01,I17&lt;99%,H17*0)</f>
        <v>434243.21481258853</v>
      </c>
      <c r="P17" s="142">
        <f t="shared" si="6"/>
        <v>26010000</v>
      </c>
    </row>
    <row r="18" spans="1:16" ht="16.5" thickBot="1" x14ac:dyDescent="0.3">
      <c r="A18" s="147"/>
      <c r="B18" s="19" t="s">
        <v>92</v>
      </c>
      <c r="C18" s="70">
        <v>26010000</v>
      </c>
      <c r="D18" s="4">
        <f>IFERROR(+VLOOKUP(B18,COMISIONES!A:E,5,FALSE),"0")*1</f>
        <v>3640196.5802759319</v>
      </c>
      <c r="E18" s="4">
        <v>2809522.8802084369</v>
      </c>
      <c r="F18" s="59">
        <f t="shared" si="8"/>
        <v>830673.700067495</v>
      </c>
      <c r="G18" s="5">
        <f t="shared" si="1"/>
        <v>0.13995373242122</v>
      </c>
      <c r="H18" s="4">
        <f t="shared" si="4"/>
        <v>22751228.626724575</v>
      </c>
      <c r="I18" s="5">
        <f t="shared" si="2"/>
        <v>0.87471082763262498</v>
      </c>
      <c r="J18" s="4">
        <f t="shared" si="5"/>
        <v>910049.14506898297</v>
      </c>
      <c r="K18" s="4">
        <f t="shared" si="3"/>
        <v>1065228.7342725748</v>
      </c>
      <c r="L18" s="63" cm="1">
        <f t="array" ref="L18">+_xlfn.IFS(I18&gt;114%,H18*0.02,I18&gt;109%,H18*0.015,I18&gt;104%,H18*0.0125,I18&gt;99%,H18*0.01,I18&lt;99%,H18*0)</f>
        <v>0</v>
      </c>
      <c r="P18" s="142">
        <f t="shared" si="6"/>
        <v>26530200</v>
      </c>
    </row>
    <row r="19" spans="1:16" ht="16.5" thickBot="1" x14ac:dyDescent="0.3">
      <c r="A19" s="147"/>
      <c r="B19" s="19" t="s">
        <v>95</v>
      </c>
      <c r="C19" s="70">
        <v>35904000</v>
      </c>
      <c r="D19" s="4">
        <f>IFERROR(+VLOOKUP(B19,COMISIONES!A:E,5,FALSE),"0")*1</f>
        <v>6285739.3230815595</v>
      </c>
      <c r="E19" s="4">
        <v>4496479.3262617178</v>
      </c>
      <c r="F19" s="59">
        <f t="shared" si="8"/>
        <v>1789259.9968198417</v>
      </c>
      <c r="G19" s="5">
        <f t="shared" si="1"/>
        <v>0.17507072535320742</v>
      </c>
      <c r="H19" s="4">
        <f t="shared" si="4"/>
        <v>39285870.769259743</v>
      </c>
      <c r="I19" s="5">
        <f t="shared" si="2"/>
        <v>1.0941920334575463</v>
      </c>
      <c r="J19" s="4">
        <f t="shared" si="5"/>
        <v>1571434.8307703899</v>
      </c>
      <c r="K19" s="4">
        <f t="shared" si="3"/>
        <v>1410393.3655675447</v>
      </c>
      <c r="L19" s="63" cm="1">
        <f t="array" ref="L19">+_xlfn.IFS(I19&gt;114%,H19*0.02,I19&gt;109%,H19*0.015,I19&gt;104%,H19*0.0125,I19&gt;99%,H19*0.01,I19&lt;99%,H19*0)</f>
        <v>589288.06153889617</v>
      </c>
      <c r="P19" s="142">
        <f t="shared" si="6"/>
        <v>36622080</v>
      </c>
    </row>
    <row r="20" spans="1:16" ht="16.5" thickBot="1" x14ac:dyDescent="0.3">
      <c r="A20" s="147"/>
      <c r="B20" s="19" t="s">
        <v>97</v>
      </c>
      <c r="C20" s="70">
        <v>26622000</v>
      </c>
      <c r="D20" s="4">
        <f>IFERROR(+VLOOKUP(B20,COMISIONES!A:E,5,FALSE),"0")*1</f>
        <v>3499843.0210882789</v>
      </c>
      <c r="E20" s="4">
        <v>2639381.27863609</v>
      </c>
      <c r="F20" s="59">
        <f t="shared" si="8"/>
        <v>860461.74245218886</v>
      </c>
      <c r="G20" s="5">
        <f t="shared" si="1"/>
        <v>0.13146431602014419</v>
      </c>
      <c r="H20" s="4">
        <f t="shared" si="4"/>
        <v>21874018.881801743</v>
      </c>
      <c r="I20" s="5">
        <f t="shared" si="2"/>
        <v>0.82165197512590127</v>
      </c>
      <c r="J20" s="4">
        <f t="shared" si="5"/>
        <v>874960.75527206971</v>
      </c>
      <c r="K20" s="4">
        <f t="shared" si="3"/>
        <v>1101055.0942338915</v>
      </c>
      <c r="L20" s="63" cm="1">
        <f t="array" ref="L20">+_xlfn.IFS(I20&gt;114%,H20*0.02,I20&gt;109%,H20*0.015,I20&gt;104%,H20*0.0125,I20&gt;99%,H20*0.01,I20&lt;99%,H20*0)</f>
        <v>0</v>
      </c>
      <c r="P20" s="142">
        <f t="shared" si="6"/>
        <v>27154440</v>
      </c>
    </row>
    <row r="21" spans="1:16" ht="16.5" thickBot="1" x14ac:dyDescent="0.3">
      <c r="A21" s="147"/>
      <c r="B21" s="19" t="s">
        <v>218</v>
      </c>
      <c r="C21" s="70">
        <v>33252000</v>
      </c>
      <c r="D21" s="4">
        <f>IFERROR(+VLOOKUP(B21,COMISIONES!A:E,5,FALSE),"0")*1</f>
        <v>3897878.0298985899</v>
      </c>
      <c r="E21" s="4">
        <v>3344638.0010631969</v>
      </c>
      <c r="F21" s="59">
        <f t="shared" si="8"/>
        <v>553240.02883539302</v>
      </c>
      <c r="G21" s="5">
        <f t="shared" si="1"/>
        <v>0.11722236346380939</v>
      </c>
      <c r="H21" s="4">
        <f t="shared" si="4"/>
        <v>24361737.686866187</v>
      </c>
      <c r="I21" s="5">
        <f t="shared" si="2"/>
        <v>0.73263977164880867</v>
      </c>
      <c r="J21" s="4">
        <f t="shared" si="5"/>
        <v>974469.50747464749</v>
      </c>
      <c r="K21" s="4">
        <f t="shared" si="3"/>
        <v>1397815.3319095909</v>
      </c>
      <c r="L21" s="63" cm="1">
        <f t="array" ref="L21">+_xlfn.IFS(I21&gt;114%,H21*0.02,I21&gt;109%,H21*0.015,I21&gt;104%,H21*0.0125,I21&gt;99%,H21*0.01,I21&lt;99%,H21*0)</f>
        <v>0</v>
      </c>
      <c r="P21" s="142">
        <f t="shared" si="6"/>
        <v>33917040</v>
      </c>
    </row>
    <row r="22" spans="1:16" ht="16.5" thickBot="1" x14ac:dyDescent="0.3">
      <c r="A22" s="147"/>
      <c r="B22" s="19" t="s">
        <v>160</v>
      </c>
      <c r="C22" s="70">
        <v>28764000</v>
      </c>
      <c r="D22" s="4">
        <f>IFERROR(+VLOOKUP(B22,COMISIONES!A:E,5,FALSE),"0")*1</f>
        <v>2545958.7967660916</v>
      </c>
      <c r="E22" s="4">
        <v>1765164.2460201115</v>
      </c>
      <c r="F22" s="59">
        <f t="shared" si="8"/>
        <v>780794.55074598012</v>
      </c>
      <c r="G22" s="5">
        <f t="shared" si="1"/>
        <v>8.8511987093800981E-2</v>
      </c>
      <c r="H22" s="4">
        <f t="shared" si="4"/>
        <v>15912242.479788072</v>
      </c>
      <c r="I22" s="5">
        <f t="shared" si="2"/>
        <v>0.55319991933625612</v>
      </c>
      <c r="J22" s="4">
        <f t="shared" si="5"/>
        <v>636489.6991915229</v>
      </c>
      <c r="K22" s="4">
        <f t="shared" si="3"/>
        <v>1248478.152534948</v>
      </c>
      <c r="L22" s="63" cm="1">
        <f t="array" ref="L22">+_xlfn.IFS(I22&gt;114%,H22*0.02,I22&gt;109%,H22*0.015,I22&gt;104%,H22*0.0125,I22&gt;99%,H22*0.01,I22&lt;99%,H22*0)</f>
        <v>0</v>
      </c>
      <c r="P22" s="142">
        <f t="shared" si="6"/>
        <v>29339280</v>
      </c>
    </row>
    <row r="23" spans="1:16" ht="15.75" x14ac:dyDescent="0.25">
      <c r="A23" s="147"/>
      <c r="B23" s="19" t="s">
        <v>219</v>
      </c>
      <c r="C23" s="70">
        <v>37332000</v>
      </c>
      <c r="D23" s="4">
        <f>IFERROR(+VLOOKUP(B23,COMISIONES!A:E,5,FALSE),"0")*1</f>
        <v>3261064.8254967621</v>
      </c>
      <c r="E23" s="4">
        <v>2716546.2402552781</v>
      </c>
      <c r="F23" s="59">
        <f t="shared" si="8"/>
        <v>544518.58524148399</v>
      </c>
      <c r="G23" s="5">
        <f t="shared" si="1"/>
        <v>8.735307043546453E-2</v>
      </c>
      <c r="H23" s="4">
        <f t="shared" si="4"/>
        <v>20381655.159354761</v>
      </c>
      <c r="I23" s="5">
        <f t="shared" si="2"/>
        <v>0.54595669022165327</v>
      </c>
      <c r="J23" s="4">
        <f t="shared" si="5"/>
        <v>815266.20637419051</v>
      </c>
      <c r="K23" s="4">
        <f t="shared" si="3"/>
        <v>1622425.4845001542</v>
      </c>
      <c r="L23" s="63" cm="1">
        <f t="array" ref="L23">+_xlfn.IFS(I23&gt;114%,H23*0.02,I23&gt;109%,H23*0.015,I23&gt;104%,H23*0.0125,I23&gt;99%,H23*0.01,I23&lt;99%,H23*0)</f>
        <v>0</v>
      </c>
      <c r="P23" s="142">
        <f t="shared" si="6"/>
        <v>38078640</v>
      </c>
    </row>
    <row r="24" spans="1:16" ht="16.5" thickBot="1" x14ac:dyDescent="0.3">
      <c r="A24" s="148"/>
      <c r="B24" s="71"/>
      <c r="C24" s="66">
        <v>242382600</v>
      </c>
      <c r="D24" s="66">
        <f>+SUM(D16:D23)</f>
        <v>30690565.405934852</v>
      </c>
      <c r="E24" s="66">
        <v>22317256.496094316</v>
      </c>
      <c r="F24" s="66">
        <f>+D24-E24</f>
        <v>8373308.9098405354</v>
      </c>
      <c r="G24" s="65">
        <f t="shared" si="1"/>
        <v>0.12662033250709767</v>
      </c>
      <c r="H24" s="64">
        <f t="shared" si="4"/>
        <v>191816033.78709283</v>
      </c>
      <c r="I24" s="65">
        <f t="shared" si="2"/>
        <v>0.79137707816936054</v>
      </c>
      <c r="J24" s="64">
        <f t="shared" si="5"/>
        <v>7672641.3514837129</v>
      </c>
      <c r="K24" s="66">
        <f t="shared" si="3"/>
        <v>10080573.075907866</v>
      </c>
      <c r="L24" s="67"/>
      <c r="P24" s="142">
        <f t="shared" ref="P24" si="9">+C24*1.02</f>
        <v>247230252</v>
      </c>
    </row>
    <row r="25" spans="1:16" ht="16.5" thickBot="1" x14ac:dyDescent="0.3">
      <c r="A25" s="143" t="s">
        <v>216</v>
      </c>
      <c r="B25" s="57" t="s">
        <v>211</v>
      </c>
      <c r="C25" s="72">
        <v>86547956.260000005</v>
      </c>
      <c r="D25" s="59">
        <f>IFERROR(+VLOOKUP(B25,COMISIONES!A:E,5,FALSE),"0")*1</f>
        <v>4826567.6426148191</v>
      </c>
      <c r="E25" s="59">
        <v>3813088.6969673904</v>
      </c>
      <c r="F25" s="59">
        <f t="shared" si="8"/>
        <v>1013478.9456474287</v>
      </c>
      <c r="G25" s="60">
        <f t="shared" si="1"/>
        <v>5.5767551900535416E-2</v>
      </c>
      <c r="H25" s="59">
        <f t="shared" si="4"/>
        <v>30166047.766342618</v>
      </c>
      <c r="I25" s="60">
        <f t="shared" si="2"/>
        <v>0.34854719937834633</v>
      </c>
      <c r="J25" s="59">
        <f t="shared" si="5"/>
        <v>1206641.9106537048</v>
      </c>
      <c r="K25" s="59">
        <f t="shared" si="3"/>
        <v>3891494.6960659609</v>
      </c>
      <c r="L25" s="61" cm="1">
        <f t="array" ref="L25">+_xlfn.IFS(I25&gt;114%,H25*0.0125,I25&gt;109%,H25*0.01,I25&gt;104%,H25*0.0075,I25&gt;99%,H25*0.005,I25&lt;99%,H25*0)</f>
        <v>0</v>
      </c>
      <c r="P25" s="142">
        <v>86547956.260000005</v>
      </c>
    </row>
    <row r="26" spans="1:16" ht="16.5" thickBot="1" x14ac:dyDescent="0.3">
      <c r="A26" s="144"/>
      <c r="B26" s="36" t="s">
        <v>213</v>
      </c>
      <c r="C26" s="73">
        <v>24010803.390000001</v>
      </c>
      <c r="D26" s="4">
        <f>IFERROR(+VLOOKUP(B26,COMISIONES!A:E,5,FALSE),"0")*1</f>
        <v>2870562.2247181726</v>
      </c>
      <c r="E26" s="4">
        <v>1882261.6002979665</v>
      </c>
      <c r="F26" s="59">
        <f t="shared" si="8"/>
        <v>988300.62442020606</v>
      </c>
      <c r="G26" s="5">
        <f t="shared" si="1"/>
        <v>0.1195529436517606</v>
      </c>
      <c r="H26" s="4">
        <f t="shared" si="4"/>
        <v>17941013.904488578</v>
      </c>
      <c r="I26" s="5">
        <f t="shared" si="2"/>
        <v>0.74720589782350377</v>
      </c>
      <c r="J26" s="4">
        <f t="shared" si="5"/>
        <v>717640.55617954314</v>
      </c>
      <c r="K26" s="4">
        <f t="shared" si="3"/>
        <v>1006678.1507277061</v>
      </c>
      <c r="L26" s="63" cm="1">
        <f t="array" ref="L26">+_xlfn.IFS(I26&gt;114%,H26*0.02,I26&gt;109%,H26*0.015,I26&gt;104%,H26*0.0125,I26&gt;99%,H26*0.01,I26&lt;99%,H26*0)</f>
        <v>0</v>
      </c>
      <c r="P26" s="142">
        <v>24010803.390000001</v>
      </c>
    </row>
    <row r="27" spans="1:16" ht="16.5" thickBot="1" x14ac:dyDescent="0.3">
      <c r="A27" s="144"/>
      <c r="B27" s="36" t="s">
        <v>86</v>
      </c>
      <c r="C27" s="73">
        <v>26910856.350000001</v>
      </c>
      <c r="D27" s="4">
        <f>IFERROR(+VLOOKUP(B27,COMISIONES!A:E,5,FALSE),"0")*1</f>
        <v>2922050.7653640723</v>
      </c>
      <c r="E27" s="4">
        <v>2138310.9760203827</v>
      </c>
      <c r="F27" s="59">
        <f t="shared" si="8"/>
        <v>783739.78934368957</v>
      </c>
      <c r="G27" s="5">
        <f t="shared" si="1"/>
        <v>0.10858260054455948</v>
      </c>
      <c r="H27" s="4">
        <f t="shared" si="4"/>
        <v>18262817.283525452</v>
      </c>
      <c r="I27" s="5">
        <f t="shared" si="2"/>
        <v>0.67864125340349679</v>
      </c>
      <c r="J27" s="4">
        <f t="shared" si="5"/>
        <v>730512.69134101807</v>
      </c>
      <c r="K27" s="4">
        <f t="shared" si="3"/>
        <v>1142324.0754588537</v>
      </c>
      <c r="L27" s="63" cm="1">
        <f t="array" ref="L27">+_xlfn.IFS(I27&gt;114%,H27*0.02,I27&gt;109%,H27*0.015,I27&gt;104%,H27*0.0125,I27&gt;99%,H27*0.01,I27&lt;99%,H27*0)</f>
        <v>0</v>
      </c>
      <c r="M27" s="27"/>
      <c r="P27" s="142">
        <v>26910856.350000001</v>
      </c>
    </row>
    <row r="28" spans="1:16" ht="16.5" thickBot="1" x14ac:dyDescent="0.3">
      <c r="A28" s="144"/>
      <c r="B28" s="36" t="s">
        <v>212</v>
      </c>
      <c r="C28" s="73">
        <v>39189035</v>
      </c>
      <c r="D28" s="4">
        <f>IFERROR(+VLOOKUP(B28,COMISIONES!A:E,5,FALSE),"0")*1</f>
        <v>3887629.4191952711</v>
      </c>
      <c r="E28" s="4">
        <v>2561364.7764617526</v>
      </c>
      <c r="F28" s="59">
        <f t="shared" si="8"/>
        <v>1326264.6427335185</v>
      </c>
      <c r="G28" s="5">
        <f t="shared" si="1"/>
        <v>9.920196859134886E-2</v>
      </c>
      <c r="H28" s="4">
        <f t="shared" si="4"/>
        <v>24297683.869970445</v>
      </c>
      <c r="I28" s="5">
        <f t="shared" si="2"/>
        <v>0.62001230369593041</v>
      </c>
      <c r="J28" s="4">
        <f t="shared" si="5"/>
        <v>971907.35479881777</v>
      </c>
      <c r="K28" s="4">
        <f t="shared" si="3"/>
        <v>1681019.3133716537</v>
      </c>
      <c r="L28" s="63" cm="1">
        <f t="array" ref="L28">+_xlfn.IFS(I28&gt;114%,H28*0.02,I28&gt;109%,H28*0.015,I28&gt;104%,H28*0.0125,I28&gt;99%,H28*0.01,I28&lt;99%,H28*0)</f>
        <v>0</v>
      </c>
      <c r="M28" s="26"/>
      <c r="P28" s="142">
        <v>39189035</v>
      </c>
    </row>
    <row r="29" spans="1:16" ht="16.5" thickBot="1" x14ac:dyDescent="0.3">
      <c r="A29" s="144"/>
      <c r="B29" s="36" t="s">
        <v>98</v>
      </c>
      <c r="C29" s="73">
        <v>26900000</v>
      </c>
      <c r="D29" s="4">
        <f>IFERROR(+VLOOKUP(B29,COMISIONES!A:E,5,FALSE),"0")*1</f>
        <v>2335213.6486873631</v>
      </c>
      <c r="E29" s="4">
        <v>1166677.533230609</v>
      </c>
      <c r="F29" s="59">
        <f t="shared" si="8"/>
        <v>1168536.1154567541</v>
      </c>
      <c r="G29" s="5">
        <f t="shared" si="1"/>
        <v>8.681091630808041E-2</v>
      </c>
      <c r="H29" s="4">
        <f t="shared" si="4"/>
        <v>14595085.30429602</v>
      </c>
      <c r="I29" s="5">
        <f t="shared" si="2"/>
        <v>0.54256822692550266</v>
      </c>
      <c r="J29" s="4">
        <f t="shared" si="5"/>
        <v>583803.41217184078</v>
      </c>
      <c r="K29" s="4">
        <f t="shared" si="3"/>
        <v>1169751.7310148876</v>
      </c>
      <c r="L29" s="63" cm="1">
        <f t="array" ref="L29">+_xlfn.IFS(I29&gt;114%,H29*0.02,I29&gt;109%,H29*0.015,I29&gt;104%,H29*0.0125,I29&gt;99%,H29*0.01,I29&lt;99%,H29*0)</f>
        <v>0</v>
      </c>
      <c r="M29" s="27"/>
      <c r="P29" s="142">
        <v>26900000</v>
      </c>
    </row>
    <row r="30" spans="1:16" ht="16.5" thickBot="1" x14ac:dyDescent="0.3">
      <c r="A30" s="144"/>
      <c r="B30" s="36" t="s">
        <v>210</v>
      </c>
      <c r="C30" s="73">
        <v>25830000</v>
      </c>
      <c r="D30" s="4">
        <f>IFERROR(+VLOOKUP(B30,COMISIONES!A:E,5,FALSE),"0")*1</f>
        <v>2458105.1791371955</v>
      </c>
      <c r="E30" s="4">
        <v>1515047.2062076211</v>
      </c>
      <c r="F30" s="59">
        <f t="shared" si="8"/>
        <v>943057.97292957432</v>
      </c>
      <c r="G30" s="5">
        <f t="shared" si="1"/>
        <v>9.5164737868261531E-2</v>
      </c>
      <c r="H30" s="4">
        <f t="shared" si="4"/>
        <v>15363157.369607471</v>
      </c>
      <c r="I30" s="5">
        <f t="shared" si="2"/>
        <v>0.59477961167663462</v>
      </c>
      <c r="J30" s="4">
        <f t="shared" si="5"/>
        <v>614526.29478429887</v>
      </c>
      <c r="K30" s="4">
        <f t="shared" si="3"/>
        <v>1112947.3724220383</v>
      </c>
      <c r="L30" s="63" cm="1">
        <f t="array" ref="L30">+_xlfn.IFS(I30&gt;114%,H30*0.02,I30&gt;109%,H30*0.015,I30&gt;104%,H30*0.0125,I30&gt;99%,H30*0.01,I30&lt;99%,H30*0)</f>
        <v>0</v>
      </c>
      <c r="M30" s="26"/>
      <c r="P30" s="142">
        <v>25830000</v>
      </c>
    </row>
    <row r="31" spans="1:16" ht="16.5" thickBot="1" x14ac:dyDescent="0.3">
      <c r="A31" s="144"/>
      <c r="B31" s="36" t="s">
        <v>99</v>
      </c>
      <c r="C31" s="73">
        <v>27702000</v>
      </c>
      <c r="D31" s="4">
        <f>IFERROR(+VLOOKUP(B31,COMISIONES!A:E,5,FALSE),"0")*1</f>
        <v>2515670.4237700473</v>
      </c>
      <c r="E31" s="4">
        <v>1531376.1832633617</v>
      </c>
      <c r="F31" s="59">
        <f t="shared" si="8"/>
        <v>984294.24050668557</v>
      </c>
      <c r="G31" s="5">
        <f t="shared" si="1"/>
        <v>9.0811870037183134E-2</v>
      </c>
      <c r="H31" s="4">
        <f t="shared" si="4"/>
        <v>15722940.148562795</v>
      </c>
      <c r="I31" s="5">
        <f t="shared" si="2"/>
        <v>0.56757418773239454</v>
      </c>
      <c r="J31" s="4">
        <f t="shared" si="5"/>
        <v>628917.60594251181</v>
      </c>
      <c r="K31" s="4">
        <f t="shared" si="3"/>
        <v>1199349.0274395216</v>
      </c>
      <c r="L31" s="63" cm="1">
        <f t="array" ref="L31">+_xlfn.IFS(I31&gt;114%,H31*0.02,I31&gt;109%,H31*0.015,I31&gt;104%,H31*0.0125,I31&gt;99%,H31*0.01,I31&lt;99%,H31*0)</f>
        <v>0</v>
      </c>
      <c r="P31" s="142">
        <v>27702000</v>
      </c>
    </row>
    <row r="32" spans="1:16" ht="16.5" thickBot="1" x14ac:dyDescent="0.3">
      <c r="A32" s="144"/>
      <c r="B32" s="36" t="s">
        <v>138</v>
      </c>
      <c r="C32" s="73">
        <v>24010803.390000001</v>
      </c>
      <c r="D32" s="4">
        <f>IFERROR(+VLOOKUP(B32,COMISIONES!A:E,5,FALSE),"0")*1</f>
        <v>1773841.7023678774</v>
      </c>
      <c r="E32" s="4">
        <v>1155215.0172623193</v>
      </c>
      <c r="F32" s="59">
        <f t="shared" si="8"/>
        <v>618626.68510555802</v>
      </c>
      <c r="G32" s="5">
        <f t="shared" si="1"/>
        <v>7.3876815929726267E-2</v>
      </c>
      <c r="H32" s="4">
        <f t="shared" si="4"/>
        <v>11086510.639799234</v>
      </c>
      <c r="I32" s="5">
        <f t="shared" si="2"/>
        <v>0.46173009956078914</v>
      </c>
      <c r="J32" s="4">
        <f t="shared" si="5"/>
        <v>443460.42559196934</v>
      </c>
      <c r="K32" s="4">
        <f t="shared" si="3"/>
        <v>1058902.9375062915</v>
      </c>
      <c r="L32" s="63" cm="1">
        <f t="array" ref="L32">+_xlfn.IFS(I32&gt;114%,H32*0.02,I32&gt;109%,H32*0.015,I32&gt;104%,H32*0.0125,I32&gt;99%,H32*0.01,I32&lt;99%,H32*0)</f>
        <v>0</v>
      </c>
      <c r="P32" s="142">
        <v>24010803.390000001</v>
      </c>
    </row>
    <row r="33" spans="1:16" ht="16.5" thickBot="1" x14ac:dyDescent="0.3">
      <c r="A33" s="144"/>
      <c r="B33" s="19" t="s">
        <v>272</v>
      </c>
      <c r="C33" s="73">
        <v>25780148</v>
      </c>
      <c r="D33" s="4">
        <f>IFERROR(+VLOOKUP(B33,COMISIONES!A:E,5,FALSE),"0")*1</f>
        <v>2452499.2938377094</v>
      </c>
      <c r="E33" s="4">
        <v>1831514.0723396542</v>
      </c>
      <c r="F33" s="59">
        <f t="shared" si="8"/>
        <v>620985.22149805515</v>
      </c>
      <c r="G33" s="5">
        <f t="shared" si="1"/>
        <v>9.5131311652582803E-2</v>
      </c>
      <c r="H33" s="4">
        <f t="shared" si="4"/>
        <v>15328120.586485684</v>
      </c>
      <c r="I33" s="5">
        <f t="shared" si="2"/>
        <v>0.59457069782864258</v>
      </c>
      <c r="J33" s="4">
        <f t="shared" si="5"/>
        <v>613124.82345942734</v>
      </c>
      <c r="K33" s="4">
        <f t="shared" si="3"/>
        <v>1110840.4145791566</v>
      </c>
      <c r="L33" s="63" cm="1">
        <f t="array" ref="L33">+_xlfn.IFS(I33&gt;114%,H33*0.02,I33&gt;109%,H33*0.015,I33&gt;104%,H33*0.0125,I33&gt;99%,H33*0.01,I33&lt;99%,H33*0)</f>
        <v>0</v>
      </c>
      <c r="P33" s="142">
        <v>25780148</v>
      </c>
    </row>
    <row r="34" spans="1:16" ht="16.5" thickBot="1" x14ac:dyDescent="0.3">
      <c r="A34" s="144"/>
      <c r="B34" s="36" t="s">
        <v>274</v>
      </c>
      <c r="C34" s="73">
        <v>26383192</v>
      </c>
      <c r="D34" s="4">
        <f>IFERROR(+VLOOKUP(B34,COMISIONES!A:E,5,FALSE),"0")*1</f>
        <v>3185102.5027717678</v>
      </c>
      <c r="E34" s="4">
        <v>2209452.8796649785</v>
      </c>
      <c r="F34" s="59">
        <f t="shared" si="8"/>
        <v>975649.62310678931</v>
      </c>
      <c r="G34" s="5">
        <f t="shared" si="1"/>
        <v>0.1207246834564888</v>
      </c>
      <c r="H34" s="4">
        <f t="shared" si="4"/>
        <v>19906890.64232355</v>
      </c>
      <c r="I34" s="5">
        <f t="shared" si="2"/>
        <v>0.75452927160305505</v>
      </c>
      <c r="J34" s="4">
        <f t="shared" si="5"/>
        <v>796275.62569294195</v>
      </c>
      <c r="K34" s="4">
        <f t="shared" si="3"/>
        <v>1104670.9284394395</v>
      </c>
      <c r="L34" s="63" cm="1">
        <f t="array" ref="L34">+_xlfn.IFS(I34&gt;114%,H34*0.02,I34&gt;109%,H34*0.015,I34&gt;104%,H34*0.0125,I34&gt;99%,H34*0.01,I34&lt;99%,H34*0)</f>
        <v>0</v>
      </c>
      <c r="P34" s="142">
        <v>26383192</v>
      </c>
    </row>
    <row r="35" spans="1:16" ht="16.5" thickBot="1" x14ac:dyDescent="0.3">
      <c r="A35" s="144"/>
      <c r="B35" s="36" t="s">
        <v>110</v>
      </c>
      <c r="C35" s="73">
        <v>125062043.75</v>
      </c>
      <c r="D35" s="4">
        <f>IFERROR(+VLOOKUP(B35,COMISIONES!A:E,5,FALSE),"0")*1</f>
        <v>13846941.29303805</v>
      </c>
      <c r="E35" s="4">
        <v>13251421.94303805</v>
      </c>
      <c r="F35" s="59">
        <f t="shared" si="8"/>
        <v>595519.34999999963</v>
      </c>
      <c r="G35" s="5">
        <f t="shared" si="1"/>
        <v>0.11072057418730653</v>
      </c>
      <c r="H35" s="4">
        <f t="shared" si="4"/>
        <v>86543383.081487805</v>
      </c>
      <c r="I35" s="5">
        <f t="shared" si="2"/>
        <v>0.6920035886706658</v>
      </c>
      <c r="J35" s="4">
        <f t="shared" si="5"/>
        <v>3461735.3232595124</v>
      </c>
      <c r="K35" s="4">
        <f t="shared" si="3"/>
        <v>5295957.2598553309</v>
      </c>
      <c r="L35" s="63" cm="1">
        <f t="array" ref="L35">+_xlfn.IFS(I35&gt;114%,H35*0.0125,I35&gt;109%,H35*0.01,I35&gt;104%,H35*0.0075,I35&gt;99%,H35*0.005,I35&lt;99%,H35*0)</f>
        <v>0</v>
      </c>
      <c r="P35" s="142">
        <v>125062043.75</v>
      </c>
    </row>
    <row r="36" spans="1:16" ht="16.5" thickBot="1" x14ac:dyDescent="0.3">
      <c r="A36" s="144"/>
      <c r="B36" s="36" t="s">
        <v>284</v>
      </c>
      <c r="C36" s="73">
        <v>36592500</v>
      </c>
      <c r="D36" s="4">
        <f>IFERROR(+VLOOKUP(B36,COMISIONES!A:E,5,FALSE),"0")*1</f>
        <v>6114784.5568000004</v>
      </c>
      <c r="E36" s="4">
        <v>4904802.4244999997</v>
      </c>
      <c r="F36" s="59">
        <f t="shared" si="8"/>
        <v>1209982.1323000006</v>
      </c>
      <c r="G36" s="5">
        <f t="shared" si="1"/>
        <v>0.16710485910500786</v>
      </c>
      <c r="H36" s="4">
        <f t="shared" si="4"/>
        <v>38217403.480000004</v>
      </c>
      <c r="I36" s="5">
        <f t="shared" si="2"/>
        <v>1.0444053694062991</v>
      </c>
      <c r="J36" s="4">
        <f t="shared" si="5"/>
        <v>1528696.1392000001</v>
      </c>
      <c r="K36" s="4">
        <f t="shared" si="3"/>
        <v>1451319.7830095238</v>
      </c>
      <c r="L36" s="63" cm="1">
        <f t="array" ref="L36">+_xlfn.IFS(I36&gt;109%,H36*0.015,I36&gt;104%,H36*0.0125,I36&gt;99%,H36*0.01,I36&lt;99%,H36*0)</f>
        <v>477717.54350000009</v>
      </c>
      <c r="P36" s="142">
        <v>36592500</v>
      </c>
    </row>
    <row r="37" spans="1:16" ht="15.75" x14ac:dyDescent="0.25">
      <c r="A37" s="144"/>
      <c r="B37" s="36" t="s">
        <v>80</v>
      </c>
      <c r="C37" s="73">
        <v>37270463.43</v>
      </c>
      <c r="D37" s="4">
        <f>IFERROR(+VLOOKUP(B37,COMISIONES!A:E,5,FALSE),"0")*1</f>
        <v>4470247.8676125938</v>
      </c>
      <c r="E37" s="4">
        <v>3309540.3255070136</v>
      </c>
      <c r="F37" s="59">
        <f t="shared" si="8"/>
        <v>1160707.5421055802</v>
      </c>
      <c r="G37" s="5">
        <f t="shared" si="1"/>
        <v>0.11994076424642391</v>
      </c>
      <c r="H37" s="4">
        <f t="shared" si="4"/>
        <v>27939049.172578711</v>
      </c>
      <c r="I37" s="5">
        <f t="shared" si="2"/>
        <v>0.7496297765401494</v>
      </c>
      <c r="J37" s="4">
        <f t="shared" si="5"/>
        <v>1117561.9669031485</v>
      </c>
      <c r="K37" s="4">
        <f t="shared" si="3"/>
        <v>1561915.0267803527</v>
      </c>
      <c r="L37" s="63" cm="1">
        <f t="array" ref="L37">+_xlfn.IFS(I37&gt;114%,H37*0.02,I37&gt;109%,H37*0.015,I37&gt;104%,H37*0.0125,I37&gt;99%,H37*0.01,I37&lt;99%,H37*0)</f>
        <v>0</v>
      </c>
      <c r="P37" s="142">
        <v>37270463.43</v>
      </c>
    </row>
    <row r="38" spans="1:16" ht="16.5" thickBot="1" x14ac:dyDescent="0.3">
      <c r="A38" s="145"/>
      <c r="B38" s="3"/>
      <c r="C38" s="74">
        <v>532189801.57085186</v>
      </c>
      <c r="D38" s="66">
        <f>+SUM(D25:D37)</f>
        <v>53659216.51991494</v>
      </c>
      <c r="E38" s="66">
        <v>41270073.634761102</v>
      </c>
      <c r="F38" s="66">
        <f>+D38-E38</f>
        <v>12389142.885153838</v>
      </c>
      <c r="G38" s="65">
        <f t="shared" si="1"/>
        <v>0.1008272168341639</v>
      </c>
      <c r="H38" s="64">
        <f t="shared" si="4"/>
        <v>335370103.24946839</v>
      </c>
      <c r="I38" s="65">
        <f t="shared" si="2"/>
        <v>0.63017010521352435</v>
      </c>
      <c r="J38" s="64">
        <f t="shared" si="5"/>
        <v>13414804.129978735</v>
      </c>
      <c r="K38" s="66">
        <f t="shared" si="3"/>
        <v>22787170.716711283</v>
      </c>
      <c r="L38" s="67"/>
      <c r="P38" s="142">
        <f t="shared" ref="P38" si="10">+C38*1.02</f>
        <v>542833597.60226893</v>
      </c>
    </row>
    <row r="39" spans="1:16" ht="16.5" thickBot="1" x14ac:dyDescent="0.3">
      <c r="A39" s="143" t="s">
        <v>264</v>
      </c>
      <c r="B39" s="136" t="s">
        <v>144</v>
      </c>
      <c r="C39" s="4">
        <v>35000000</v>
      </c>
      <c r="D39" s="4">
        <f>IFERROR(+VLOOKUP(B39,COMISIONES!A:E,5,FALSE),"0")*1</f>
        <v>2847535.638590497</v>
      </c>
      <c r="E39" s="4">
        <v>2871011.5105904969</v>
      </c>
      <c r="F39" s="59">
        <f t="shared" si="8"/>
        <v>-23475.871999999974</v>
      </c>
      <c r="G39" s="5">
        <f t="shared" si="1"/>
        <v>8.1358161102585633E-2</v>
      </c>
      <c r="H39" s="4">
        <f t="shared" ref="H39:H47" si="11">+D39/$N$3*$N$4</f>
        <v>17797097.741190605</v>
      </c>
      <c r="I39" s="5">
        <f t="shared" ref="I39:I47" si="12">+H39/C39</f>
        <v>0.5084885068911601</v>
      </c>
      <c r="J39" s="4">
        <f t="shared" ref="J39:J47" si="13">+D39/$N$3</f>
        <v>711883.90964762424</v>
      </c>
      <c r="K39" s="4">
        <f t="shared" ref="K39:K47" si="14">+(C39-D39)/$N$2</f>
        <v>1531069.7314956908</v>
      </c>
      <c r="L39" s="63" cm="1">
        <f t="array" ref="L39">+_xlfn.IFS(I39&gt;114%,H39*0.02,I39&gt;109%,H39*0.015,I39&gt;104%,H39*0.0125,I39&gt;99%,H39*0.01,I39&lt;99%,H39*0)</f>
        <v>0</v>
      </c>
      <c r="P39" s="142">
        <f>+C39</f>
        <v>35000000</v>
      </c>
    </row>
    <row r="40" spans="1:16" ht="16.5" thickBot="1" x14ac:dyDescent="0.3">
      <c r="A40" s="144"/>
      <c r="B40" s="136" t="s">
        <v>145</v>
      </c>
      <c r="C40" s="4">
        <v>30000000</v>
      </c>
      <c r="D40" s="4">
        <f>IFERROR(+VLOOKUP(B40,COMISIONES!A:E,5,FALSE),"0")*1</f>
        <v>-80990.517827873206</v>
      </c>
      <c r="E40" s="4">
        <v>0</v>
      </c>
      <c r="F40" s="59">
        <f t="shared" si="8"/>
        <v>-80990.517827873206</v>
      </c>
      <c r="G40" s="5">
        <f t="shared" si="1"/>
        <v>-2.6996839275957737E-3</v>
      </c>
      <c r="H40" s="4">
        <f t="shared" si="11"/>
        <v>-506190.73642420751</v>
      </c>
      <c r="I40" s="5">
        <f t="shared" si="12"/>
        <v>-1.6873024547473584E-2</v>
      </c>
      <c r="J40" s="4">
        <f t="shared" si="13"/>
        <v>-20247.629456968301</v>
      </c>
      <c r="K40" s="4">
        <f t="shared" si="14"/>
        <v>1432428.1198965653</v>
      </c>
      <c r="L40" s="63" cm="1">
        <f t="array" ref="L40">+_xlfn.IFS(I40&gt;114%,H40*0.02,I40&gt;109%,H40*0.015,I40&gt;104%,H40*0.0125,I40&gt;99%,H40*0.01,I40&lt;99%,H40*0)</f>
        <v>0</v>
      </c>
      <c r="P40" s="142">
        <f>+C40</f>
        <v>30000000</v>
      </c>
    </row>
    <row r="41" spans="1:16" ht="16.5" thickBot="1" x14ac:dyDescent="0.3">
      <c r="A41" s="144"/>
      <c r="B41" s="136" t="s">
        <v>106</v>
      </c>
      <c r="C41" s="4">
        <v>32421674.968781177</v>
      </c>
      <c r="D41" s="4">
        <f>IFERROR(+VLOOKUP(B41,COMISIONES!A:E,5,FALSE),"0")*1</f>
        <v>10375630.87772402</v>
      </c>
      <c r="E41" s="4">
        <v>10831777.123155374</v>
      </c>
      <c r="F41" s="59">
        <f t="shared" si="8"/>
        <v>-456146.24543135427</v>
      </c>
      <c r="G41" s="5">
        <f t="shared" si="1"/>
        <v>0.32002143281353329</v>
      </c>
      <c r="H41" s="4">
        <f t="shared" si="11"/>
        <v>64847692.985775121</v>
      </c>
      <c r="I41" s="5">
        <f t="shared" si="12"/>
        <v>2.0001339550845829</v>
      </c>
      <c r="J41" s="4">
        <f t="shared" si="13"/>
        <v>2593907.719431005</v>
      </c>
      <c r="K41" s="4">
        <f t="shared" si="14"/>
        <v>1049811.6233836743</v>
      </c>
      <c r="L41" s="63" cm="1">
        <f t="array" ref="L41">+_xlfn.IFS(I41&gt;114%,H41*0.02,I41&gt;109%,H41*0.015,I41&gt;104%,H41*0.0125,I41&gt;99%,H41*0.01,I41&lt;99%,H41*0)</f>
        <v>1296953.8597155025</v>
      </c>
      <c r="P41" s="142">
        <f>+C41</f>
        <v>32421674.968781177</v>
      </c>
    </row>
    <row r="42" spans="1:16" ht="16.5" thickBot="1" x14ac:dyDescent="0.3">
      <c r="A42" s="144"/>
      <c r="B42" s="137" t="s">
        <v>139</v>
      </c>
      <c r="C42" s="4">
        <v>56524908.220357507</v>
      </c>
      <c r="D42" s="4">
        <f>IFERROR(+VLOOKUP(B42,COMISIONES!A:E,5,FALSE),"0")*1</f>
        <v>21705529.123024561</v>
      </c>
      <c r="E42" s="4">
        <v>3672776.0578550007</v>
      </c>
      <c r="F42" s="59">
        <f t="shared" si="8"/>
        <v>18032753.065169558</v>
      </c>
      <c r="G42" s="5">
        <f t="shared" si="1"/>
        <v>0.38399936959485925</v>
      </c>
      <c r="H42" s="4">
        <f t="shared" si="11"/>
        <v>135659557.01890349</v>
      </c>
      <c r="I42" s="5">
        <f t="shared" si="12"/>
        <v>2.39999605996787</v>
      </c>
      <c r="J42" s="4">
        <f t="shared" si="13"/>
        <v>5426382.2807561401</v>
      </c>
      <c r="K42" s="4">
        <f t="shared" si="14"/>
        <v>1658065.6713015689</v>
      </c>
      <c r="L42" s="63" cm="1">
        <f t="array" ref="L42">+_xlfn.IFS(I42&gt;114%,H42*0.02,I42&gt;109%,H42*0.015,I42&gt;104%,H42*0.0125,I42&gt;99%,H42*0.01,I42&lt;99%,H42*0)</f>
        <v>2713191.1403780701</v>
      </c>
      <c r="P42" s="142">
        <f>+C42*1.02</f>
        <v>57655406.384764656</v>
      </c>
    </row>
    <row r="43" spans="1:16" ht="16.5" thickBot="1" x14ac:dyDescent="0.3">
      <c r="A43" s="144"/>
      <c r="B43" s="138" t="s">
        <v>265</v>
      </c>
      <c r="C43" s="4">
        <v>100000000</v>
      </c>
      <c r="D43" s="4">
        <f>IFERROR(+VLOOKUP(B43,COMISIONES!A:E,5,FALSE),"0")*1</f>
        <v>24101898.667897765</v>
      </c>
      <c r="E43" s="4">
        <v>22371341.880147766</v>
      </c>
      <c r="F43" s="59">
        <f t="shared" si="8"/>
        <v>1730556.7877499983</v>
      </c>
      <c r="G43" s="5">
        <f t="shared" si="1"/>
        <v>0.24101898667897764</v>
      </c>
      <c r="H43" s="4">
        <f t="shared" si="11"/>
        <v>150636866.67436102</v>
      </c>
      <c r="I43" s="5">
        <f t="shared" si="12"/>
        <v>1.5063686667436103</v>
      </c>
      <c r="J43" s="4">
        <f t="shared" si="13"/>
        <v>6025474.6669744411</v>
      </c>
      <c r="K43" s="4">
        <f t="shared" si="14"/>
        <v>3614195.3015286783</v>
      </c>
      <c r="L43" s="63" cm="1">
        <f t="array" ref="L43">+_xlfn.IFS(I43&gt;114%,H43*0.02,I43&gt;109%,H43*0.015,I43&gt;104%,H43*0.0125,I43&gt;99%,H43*0.01,I43&lt;99%,H43*0)</f>
        <v>3012737.3334872206</v>
      </c>
      <c r="P43" s="142">
        <f t="shared" ref="P43:P46" si="15">+C43</f>
        <v>100000000</v>
      </c>
    </row>
    <row r="44" spans="1:16" ht="16.5" thickBot="1" x14ac:dyDescent="0.3">
      <c r="A44" s="144"/>
      <c r="B44" s="138" t="s">
        <v>266</v>
      </c>
      <c r="C44" s="4">
        <v>100000000</v>
      </c>
      <c r="D44" s="4">
        <f>IFERROR(+VLOOKUP(B44,COMISIONES!A:E,5,FALSE),"0")*1</f>
        <v>2923678.1117493762</v>
      </c>
      <c r="E44" s="4">
        <v>2923678.1117493762</v>
      </c>
      <c r="F44" s="59">
        <f t="shared" si="8"/>
        <v>0</v>
      </c>
      <c r="G44" s="5">
        <f t="shared" si="1"/>
        <v>2.9236781117493761E-2</v>
      </c>
      <c r="H44" s="4">
        <f t="shared" si="11"/>
        <v>18272988.1984336</v>
      </c>
      <c r="I44" s="5">
        <f t="shared" si="12"/>
        <v>0.18272988198433601</v>
      </c>
      <c r="J44" s="4">
        <f t="shared" si="13"/>
        <v>730919.52793734404</v>
      </c>
      <c r="K44" s="4">
        <f t="shared" si="14"/>
        <v>4622681.9946786007</v>
      </c>
      <c r="L44" s="63" cm="1">
        <f t="array" ref="L44">+_xlfn.IFS(I44&gt;114%,H44*0.02,I44&gt;109%,H44*0.015,I44&gt;104%,H44*0.0125,I44&gt;99%,H44*0.01,I44&lt;99%,H44*0)</f>
        <v>0</v>
      </c>
      <c r="P44" s="142">
        <f t="shared" si="15"/>
        <v>100000000</v>
      </c>
    </row>
    <row r="45" spans="1:16" ht="16.5" thickBot="1" x14ac:dyDescent="0.3">
      <c r="A45" s="144"/>
      <c r="B45" s="138" t="s">
        <v>273</v>
      </c>
      <c r="C45" s="4">
        <v>25000000</v>
      </c>
      <c r="D45" s="4">
        <f>IFERROR(+VLOOKUP(B45,COMISIONES!A:E,5,FALSE),"0")*1</f>
        <v>7269845.9948500441</v>
      </c>
      <c r="E45" s="4">
        <v>0</v>
      </c>
      <c r="F45" s="59">
        <f t="shared" si="8"/>
        <v>7269845.9948500441</v>
      </c>
      <c r="G45" s="5">
        <f t="shared" si="1"/>
        <v>0.29079383979400175</v>
      </c>
      <c r="H45" s="4">
        <f t="shared" si="11"/>
        <v>45436537.467812777</v>
      </c>
      <c r="I45" s="5">
        <f t="shared" si="12"/>
        <v>1.8174614987125111</v>
      </c>
      <c r="J45" s="4">
        <f t="shared" si="13"/>
        <v>1817461.498712511</v>
      </c>
      <c r="K45" s="4">
        <f t="shared" si="14"/>
        <v>844293.04786428367</v>
      </c>
      <c r="L45" s="63" cm="1">
        <f t="array" ref="L45">+_xlfn.IFS(I45&gt;114%,H45*0.02,I45&gt;109%,H45*0.015,I45&gt;104%,H45*0.0125,I45&gt;99%,H45*0.01,I45&lt;99%,H45*0)</f>
        <v>908730.74935625552</v>
      </c>
      <c r="P45" s="142">
        <f t="shared" si="15"/>
        <v>25000000</v>
      </c>
    </row>
    <row r="46" spans="1:16" ht="15.75" x14ac:dyDescent="0.25">
      <c r="A46" s="144"/>
      <c r="B46" s="138" t="s">
        <v>267</v>
      </c>
      <c r="C46" s="4">
        <v>100000000</v>
      </c>
      <c r="D46" s="4">
        <f>IFERROR(+VLOOKUP(B46,COMISIONES!A:E,5,FALSE),"0")*1</f>
        <v>3242995.6574940565</v>
      </c>
      <c r="E46" s="4">
        <v>3242995.6574940565</v>
      </c>
      <c r="F46" s="59">
        <f t="shared" si="8"/>
        <v>0</v>
      </c>
      <c r="G46" s="5">
        <f t="shared" si="1"/>
        <v>3.2429956574940563E-2</v>
      </c>
      <c r="H46" s="4">
        <f t="shared" si="11"/>
        <v>20268722.859337851</v>
      </c>
      <c r="I46" s="5">
        <f t="shared" si="12"/>
        <v>0.20268722859337851</v>
      </c>
      <c r="J46" s="4">
        <f t="shared" si="13"/>
        <v>810748.91437351413</v>
      </c>
      <c r="K46" s="4">
        <f t="shared" si="14"/>
        <v>4607476.3972621877</v>
      </c>
      <c r="L46" s="63" cm="1">
        <f t="array" ref="L46">+_xlfn.IFS(I46&gt;114%,H46*0.02,I46&gt;109%,H46*0.015,I46&gt;104%,H46*0.0125,I46&gt;99%,H46*0.01,I46&lt;99%,H46*0)</f>
        <v>0</v>
      </c>
      <c r="P46" s="142">
        <f t="shared" si="15"/>
        <v>100000000</v>
      </c>
    </row>
    <row r="47" spans="1:16" ht="16.5" thickBot="1" x14ac:dyDescent="0.3">
      <c r="A47" s="145"/>
      <c r="B47" s="135"/>
      <c r="C47" s="66">
        <v>478946583.18913865</v>
      </c>
      <c r="D47" s="66">
        <f>SUM(D39:D46)</f>
        <v>72386123.55350244</v>
      </c>
      <c r="E47" s="66">
        <v>45913580.340992071</v>
      </c>
      <c r="F47" s="66">
        <f>+SUM(F39:F46)</f>
        <v>26472543.212510373</v>
      </c>
      <c r="G47" s="65">
        <f t="shared" si="1"/>
        <v>0.15113611015138353</v>
      </c>
      <c r="H47" s="64">
        <f t="shared" si="11"/>
        <v>452413272.20939028</v>
      </c>
      <c r="I47" s="65">
        <f t="shared" si="12"/>
        <v>0.9446006884461472</v>
      </c>
      <c r="J47" s="64">
        <f t="shared" si="13"/>
        <v>18096530.88837561</v>
      </c>
      <c r="K47" s="66">
        <f t="shared" si="14"/>
        <v>19360021.887411248</v>
      </c>
      <c r="L47" s="67"/>
      <c r="P47" s="142">
        <f>SUM(P39:P46)</f>
        <v>480077081.35354584</v>
      </c>
    </row>
    <row r="48" spans="1:16" ht="16.5" thickBot="1" x14ac:dyDescent="0.3">
      <c r="A48" s="75" t="s">
        <v>271</v>
      </c>
      <c r="B48" s="76"/>
      <c r="C48" s="77">
        <v>1850055247.7223711</v>
      </c>
      <c r="D48" s="77">
        <f>+D38+D24+D10+D15+D47</f>
        <v>243437252.16015172</v>
      </c>
      <c r="E48" s="77">
        <v>176608057.57956046</v>
      </c>
      <c r="F48" s="77">
        <f>+D48-E48</f>
        <v>66829194.580591261</v>
      </c>
      <c r="G48" s="78">
        <f>+D48/C48</f>
        <v>0.13158377430071386</v>
      </c>
      <c r="H48" s="77">
        <f>+D48/$N$3*$N$4</f>
        <v>1521482826.0009482</v>
      </c>
      <c r="I48" s="140">
        <f t="shared" si="2"/>
        <v>0.82239858937946153</v>
      </c>
      <c r="J48" s="77">
        <f>+D48/$N$3</f>
        <v>60859313.04003793</v>
      </c>
      <c r="K48" s="77">
        <f>+(C48-D48)/$N$2</f>
        <v>76505618.836296156</v>
      </c>
      <c r="L48" s="79"/>
      <c r="P48" s="142">
        <f>+P10+P15+P24+P38+P47</f>
        <v>1878607919.177443</v>
      </c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0.27848101265822783</v>
      </c>
      <c r="E2" s="13">
        <v>33</v>
      </c>
      <c r="F2" s="12">
        <f>+H2-E2</f>
        <v>-11</v>
      </c>
      <c r="G2" s="13">
        <f>VLOOKUP(B2,'Base Cobertura'!$A:$C,3,FALSE)</f>
        <v>79</v>
      </c>
      <c r="H2" s="13">
        <f>VLOOKUP(B2,'Base Cobertura'!$A:$C,2,FALSE)</f>
        <v>22</v>
      </c>
      <c r="I2" s="17">
        <f>(+G2*$M$2)-H2</f>
        <v>45.149999999999991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0.30701754385964913</v>
      </c>
      <c r="E3" s="13">
        <v>126</v>
      </c>
      <c r="F3" s="12">
        <f t="shared" ref="F3:F13" si="1">+H3-E3</f>
        <v>-56</v>
      </c>
      <c r="G3" s="13">
        <f>VLOOKUP(B3,'Base Cobertura'!$A:$C,3,FALSE)</f>
        <v>228</v>
      </c>
      <c r="H3" s="13">
        <f>VLOOKUP(B3,'Base Cobertura'!$A:$C,2,FALSE)</f>
        <v>70</v>
      </c>
      <c r="I3" s="17">
        <f t="shared" ref="I3:I13" si="2">(+G3*$M$2)-H3</f>
        <v>123.79999999999998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142 - ALMACEN</v>
      </c>
      <c r="S3" s="12">
        <v>7</v>
      </c>
      <c r="T3" s="12">
        <v>174</v>
      </c>
      <c r="U3" s="41">
        <f>+S3/T3</f>
        <v>4.0229885057471264E-2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0.23076923076923078</v>
      </c>
      <c r="E4" s="13">
        <v>21</v>
      </c>
      <c r="F4" s="12">
        <f t="shared" si="1"/>
        <v>-6</v>
      </c>
      <c r="G4" s="13">
        <f>VLOOKUP(B4,'Base Cobertura'!$A:$C,3,FALSE)</f>
        <v>65</v>
      </c>
      <c r="H4" s="13">
        <f>VLOOKUP(B4,'Base Cobertura'!$A:$C,2,FALSE)</f>
        <v>15</v>
      </c>
      <c r="I4" s="17">
        <f t="shared" si="2"/>
        <v>40.25</v>
      </c>
      <c r="J4" t="s">
        <v>57</v>
      </c>
      <c r="K4" t="s">
        <v>64</v>
      </c>
      <c r="P4" s="13">
        <v>25</v>
      </c>
      <c r="Q4" s="13">
        <v>0</v>
      </c>
      <c r="R4" s="13" t="str">
        <v>142 - Articulos Sin Asociar Agrupacion</v>
      </c>
      <c r="S4" s="13">
        <v>3</v>
      </c>
      <c r="T4" s="13">
        <v>174</v>
      </c>
      <c r="U4" s="5">
        <f t="shared" ref="U4:U11" si="3">+S4/T4</f>
        <v>1.7241379310344827E-2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0.29665071770334928</v>
      </c>
      <c r="E5" s="13">
        <v>100</v>
      </c>
      <c r="F5" s="12">
        <f t="shared" si="1"/>
        <v>-38</v>
      </c>
      <c r="G5" s="13">
        <f>VLOOKUP(B5,'Base Cobertura'!$A:$C,3,FALSE)</f>
        <v>209</v>
      </c>
      <c r="H5" s="13">
        <f>VLOOKUP(B5,'Base Cobertura'!$A:$C,2,FALSE)</f>
        <v>62</v>
      </c>
      <c r="I5" s="17">
        <f t="shared" si="2"/>
        <v>115.65</v>
      </c>
      <c r="K5" t="s">
        <v>64</v>
      </c>
      <c r="P5" s="13">
        <v>25</v>
      </c>
      <c r="Q5" s="13">
        <v>0</v>
      </c>
      <c r="R5" s="13" t="str">
        <v>142 - BEBIDAS</v>
      </c>
      <c r="S5" s="13">
        <v>7</v>
      </c>
      <c r="T5" s="13">
        <v>174</v>
      </c>
      <c r="U5" s="5">
        <f t="shared" si="3"/>
        <v>4.0229885057471264E-2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0.24</v>
      </c>
      <c r="E6" s="13">
        <v>81</v>
      </c>
      <c r="F6" s="12">
        <f t="shared" si="1"/>
        <v>-33</v>
      </c>
      <c r="G6" s="13">
        <f>VLOOKUP(B6,'Base Cobertura'!$A:$C,3,FALSE)</f>
        <v>200</v>
      </c>
      <c r="H6" s="13">
        <f>VLOOKUP(B6,'Base Cobertura'!$A:$C,2,FALSE)</f>
        <v>48</v>
      </c>
      <c r="I6" s="17">
        <f t="shared" si="2"/>
        <v>122</v>
      </c>
      <c r="J6" t="s">
        <v>58</v>
      </c>
      <c r="K6" t="s">
        <v>58</v>
      </c>
      <c r="P6" s="13">
        <v>25</v>
      </c>
      <c r="Q6" s="13">
        <v>0</v>
      </c>
      <c r="R6" s="13" t="str">
        <v>142 - CHOCOLATE</v>
      </c>
      <c r="S6" s="13">
        <v>3</v>
      </c>
      <c r="T6" s="13">
        <v>174</v>
      </c>
      <c r="U6" s="5">
        <f t="shared" si="3"/>
        <v>1.7241379310344827E-2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0.28372093023255812</v>
      </c>
      <c r="E7" s="13">
        <v>89</v>
      </c>
      <c r="F7" s="12">
        <f t="shared" si="1"/>
        <v>-28</v>
      </c>
      <c r="G7" s="13">
        <f>VLOOKUP(B7,'Base Cobertura'!$A:$C,3,FALSE)</f>
        <v>215</v>
      </c>
      <c r="H7" s="13">
        <f>VLOOKUP(B7,'Base Cobertura'!$A:$C,2,FALSE)</f>
        <v>61</v>
      </c>
      <c r="I7" s="17">
        <f t="shared" si="2"/>
        <v>121.75</v>
      </c>
      <c r="J7" t="s">
        <v>58</v>
      </c>
      <c r="K7" t="s">
        <v>58</v>
      </c>
      <c r="P7" s="13">
        <v>25</v>
      </c>
      <c r="Q7" s="13">
        <v>0</v>
      </c>
      <c r="R7" s="13" t="str">
        <v>142 - GALLETITAS</v>
      </c>
      <c r="S7" s="13">
        <v>7</v>
      </c>
      <c r="T7" s="13">
        <v>174</v>
      </c>
      <c r="U7" s="5">
        <f t="shared" si="3"/>
        <v>4.0229885057471264E-2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0.23529411764705882</v>
      </c>
      <c r="E8" s="13">
        <v>92</v>
      </c>
      <c r="F8" s="12">
        <f t="shared" si="1"/>
        <v>-52</v>
      </c>
      <c r="G8" s="13">
        <f>VLOOKUP(B8,'Base Cobertura'!$A:$C,3,FALSE)</f>
        <v>170</v>
      </c>
      <c r="H8" s="13">
        <f>VLOOKUP(B8,'Base Cobertura'!$A:$C,2,FALSE)</f>
        <v>40</v>
      </c>
      <c r="I8" s="17">
        <f t="shared" si="2"/>
        <v>104.5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142 - GOLOSINAS</v>
      </c>
      <c r="S8" s="13">
        <v>4</v>
      </c>
      <c r="T8" s="13">
        <v>174</v>
      </c>
      <c r="U8" s="5">
        <f t="shared" si="3"/>
        <v>2.2988505747126436E-2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0.19597989949748743</v>
      </c>
      <c r="E9" s="13">
        <v>64</v>
      </c>
      <c r="F9" s="12">
        <f t="shared" si="1"/>
        <v>-25</v>
      </c>
      <c r="G9" s="13">
        <f>VLOOKUP(B9,'Base Cobertura'!$A:$C,3,FALSE)</f>
        <v>199</v>
      </c>
      <c r="H9" s="13">
        <f>VLOOKUP(B9,'Base Cobertura'!$A:$C,2,FALSE)</f>
        <v>39</v>
      </c>
      <c r="I9" s="17">
        <f t="shared" si="2"/>
        <v>130.15</v>
      </c>
      <c r="J9" t="s">
        <v>55</v>
      </c>
      <c r="K9" t="s">
        <v>65</v>
      </c>
      <c r="P9" s="13">
        <v>25</v>
      </c>
      <c r="Q9" s="13">
        <v>0</v>
      </c>
      <c r="R9" s="13" t="str">
        <v>142 - MASCOTAS</v>
      </c>
      <c r="S9" s="13">
        <v>6</v>
      </c>
      <c r="T9" s="13">
        <v>174</v>
      </c>
      <c r="U9" s="5">
        <f t="shared" si="3"/>
        <v>3.4482758620689655E-2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0.11538461538461539</v>
      </c>
      <c r="E10" s="31">
        <v>19</v>
      </c>
      <c r="F10" s="33">
        <f t="shared" si="1"/>
        <v>-7</v>
      </c>
      <c r="G10" s="13">
        <f>VLOOKUP(B10,'Base Cobertura'!$A:$C,3,FALSE)</f>
        <v>104</v>
      </c>
      <c r="H10" s="13">
        <f>VLOOKUP(B10,'Base Cobertura'!$A:$C,2,FALSE)</f>
        <v>12</v>
      </c>
      <c r="I10" s="34">
        <f t="shared" si="2"/>
        <v>76.399999999999991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142 - NO PERECEDEROS</v>
      </c>
      <c r="S10" s="13">
        <v>5</v>
      </c>
      <c r="T10" s="13">
        <v>174</v>
      </c>
      <c r="U10" s="5">
        <f t="shared" si="3"/>
        <v>2.8735632183908046E-2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0.12380952380952381</v>
      </c>
      <c r="E11" s="31">
        <v>24</v>
      </c>
      <c r="F11" s="33">
        <f t="shared" si="1"/>
        <v>-11</v>
      </c>
      <c r="G11" s="13">
        <f>VLOOKUP(B11,'Base Cobertura'!$A:$C,3,FALSE)</f>
        <v>105</v>
      </c>
      <c r="H11" s="13">
        <f>VLOOKUP(B11,'Base Cobertura'!$A:$C,2,FALSE)</f>
        <v>13</v>
      </c>
      <c r="I11" s="34">
        <f t="shared" si="2"/>
        <v>76.25</v>
      </c>
      <c r="J11" t="s">
        <v>59</v>
      </c>
      <c r="P11" s="13">
        <v>25</v>
      </c>
      <c r="Q11" s="13">
        <v>0</v>
      </c>
      <c r="R11" s="13" t="str">
        <v>142 - PILAS</v>
      </c>
      <c r="S11" s="13">
        <v>2</v>
      </c>
      <c r="T11" s="13">
        <v>174</v>
      </c>
      <c r="U11" s="5">
        <f t="shared" si="3"/>
        <v>1.1494252873563218E-2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0.27376425855513309</v>
      </c>
      <c r="E12" s="13">
        <v>144</v>
      </c>
      <c r="F12" s="12">
        <f t="shared" si="1"/>
        <v>-72</v>
      </c>
      <c r="G12" s="13">
        <f>VLOOKUP(B12,'Base Cobertura'!$A:$C,3,FALSE)</f>
        <v>263</v>
      </c>
      <c r="H12" s="13">
        <f>VLOOKUP(B12,'Base Cobertura'!$A:$C,2,FALSE)</f>
        <v>72</v>
      </c>
      <c r="I12" s="17">
        <f t="shared" si="2"/>
        <v>151.54999999999998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0.23076923076923078</v>
      </c>
      <c r="E13" s="13">
        <v>85</v>
      </c>
      <c r="F13" s="12">
        <f t="shared" si="1"/>
        <v>-43</v>
      </c>
      <c r="G13" s="13">
        <f>VLOOKUP(B13,'Base Cobertura'!$A:$C,3,FALSE)</f>
        <v>182</v>
      </c>
      <c r="H13" s="13">
        <f>VLOOKUP(B13,'Base Cobertura'!$A:$C,2,FALSE)</f>
        <v>42</v>
      </c>
      <c r="I13" s="17">
        <f t="shared" si="2"/>
        <v>112.69999999999999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-382</v>
      </c>
      <c r="G14" s="8">
        <f>+SUM(G1:G13)</f>
        <v>2019</v>
      </c>
      <c r="H14" s="8">
        <f>+SUM(H1:H13)</f>
        <v>496</v>
      </c>
      <c r="I14" s="8"/>
      <c r="J14" t="s">
        <v>55</v>
      </c>
      <c r="K14" t="s">
        <v>64</v>
      </c>
    </row>
    <row r="15" spans="1:21" x14ac:dyDescent="0.25">
      <c r="A15" s="149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0.28048780487804881</v>
      </c>
      <c r="E15" s="13">
        <v>90</v>
      </c>
      <c r="F15" s="12">
        <f t="shared" ref="F15:F36" si="6">+H15-E15</f>
        <v>-44</v>
      </c>
      <c r="G15" s="13">
        <f>VLOOKUP(B15,'Base Cobertura'!$A:$C,3,FALSE)</f>
        <v>164</v>
      </c>
      <c r="H15" s="13">
        <f>VLOOKUP(B15,'Base Cobertura'!$A:$C,2,FALSE)</f>
        <v>46</v>
      </c>
      <c r="I15" s="17">
        <f t="shared" ref="I15:I36" si="7">(+G15*$M$2)-H15</f>
        <v>93.4</v>
      </c>
      <c r="J15" t="s">
        <v>55</v>
      </c>
      <c r="K15" t="s">
        <v>55</v>
      </c>
    </row>
    <row r="16" spans="1:21" x14ac:dyDescent="0.25">
      <c r="A16" s="150"/>
      <c r="B16">
        <v>54</v>
      </c>
      <c r="C16" s="13" t="str">
        <f>+AVANCE!B23</f>
        <v>54 - BARTSCHAT EMILIANO NAHUEL</v>
      </c>
      <c r="D16" s="22">
        <f t="shared" si="5"/>
        <v>0.24378109452736318</v>
      </c>
      <c r="E16" s="13">
        <v>92</v>
      </c>
      <c r="F16" s="12">
        <f t="shared" si="6"/>
        <v>-43</v>
      </c>
      <c r="G16" s="13">
        <f>VLOOKUP(B16,'Base Cobertura'!$A:$C,3,FALSE)</f>
        <v>201</v>
      </c>
      <c r="H16" s="13">
        <f>VLOOKUP(B16,'Base Cobertura'!$A:$C,2,FALSE)</f>
        <v>49</v>
      </c>
      <c r="I16" s="17">
        <f t="shared" si="7"/>
        <v>121.85</v>
      </c>
      <c r="J16" t="s">
        <v>55</v>
      </c>
      <c r="K16" t="s">
        <v>63</v>
      </c>
    </row>
    <row r="17" spans="1:11" x14ac:dyDescent="0.25">
      <c r="A17" s="150"/>
      <c r="B17">
        <v>21</v>
      </c>
      <c r="C17" s="13" t="str">
        <f>+AVANCE!B19</f>
        <v>21 - CATAN MATIAS</v>
      </c>
      <c r="D17" s="22">
        <f t="shared" si="5"/>
        <v>0.40361445783132532</v>
      </c>
      <c r="E17" s="13">
        <v>88</v>
      </c>
      <c r="F17" s="12">
        <f t="shared" si="6"/>
        <v>-21</v>
      </c>
      <c r="G17" s="13">
        <f>VLOOKUP(B17,'Base Cobertura'!$A:$C,3,FALSE)</f>
        <v>166</v>
      </c>
      <c r="H17" s="13">
        <f>VLOOKUP(B17,'Base Cobertura'!$A:$C,2,FALSE)</f>
        <v>67</v>
      </c>
      <c r="I17" s="17">
        <f t="shared" si="7"/>
        <v>74.099999999999994</v>
      </c>
      <c r="J17" t="s">
        <v>58</v>
      </c>
      <c r="K17" t="s">
        <v>55</v>
      </c>
    </row>
    <row r="18" spans="1:11" x14ac:dyDescent="0.25">
      <c r="A18" s="150"/>
      <c r="B18">
        <v>23</v>
      </c>
      <c r="C18" s="13" t="str">
        <f>+AVANCE!B20</f>
        <v>23 - DELGADO JOSÉ</v>
      </c>
      <c r="D18" s="22">
        <f t="shared" si="5"/>
        <v>0.38853503184713378</v>
      </c>
      <c r="E18" s="13">
        <v>95</v>
      </c>
      <c r="F18" s="12">
        <f t="shared" si="6"/>
        <v>-34</v>
      </c>
      <c r="G18" s="13">
        <f>VLOOKUP(B18,'Base Cobertura'!$A:$C,3,FALSE)</f>
        <v>157</v>
      </c>
      <c r="H18" s="13">
        <f>VLOOKUP(B18,'Base Cobertura'!$A:$C,2,FALSE)</f>
        <v>61</v>
      </c>
      <c r="I18" s="17">
        <f t="shared" si="7"/>
        <v>72.449999999999989</v>
      </c>
      <c r="J18" t="s">
        <v>58</v>
      </c>
      <c r="K18" t="s">
        <v>64</v>
      </c>
    </row>
    <row r="19" spans="1:11" x14ac:dyDescent="0.25">
      <c r="A19" s="150"/>
      <c r="B19">
        <v>18</v>
      </c>
      <c r="C19" s="13" t="str">
        <f>+AVANCE!B18</f>
        <v>18 - HERRERA PABLO</v>
      </c>
      <c r="D19" s="22">
        <f t="shared" si="5"/>
        <v>0.34254143646408841</v>
      </c>
      <c r="E19" s="13">
        <v>83</v>
      </c>
      <c r="F19" s="12">
        <f t="shared" si="6"/>
        <v>-21</v>
      </c>
      <c r="G19" s="13">
        <f>VLOOKUP(B19,'Base Cobertura'!$A:$C,3,FALSE)</f>
        <v>181</v>
      </c>
      <c r="H19" s="13">
        <f>VLOOKUP(B19,'Base Cobertura'!$A:$C,2,FALSE)</f>
        <v>62</v>
      </c>
      <c r="I19" s="17">
        <f t="shared" si="7"/>
        <v>91.85</v>
      </c>
      <c r="J19" t="s">
        <v>55</v>
      </c>
      <c r="K19" t="s">
        <v>55</v>
      </c>
    </row>
    <row r="20" spans="1:11" x14ac:dyDescent="0.25">
      <c r="A20" s="150"/>
      <c r="B20">
        <v>44</v>
      </c>
      <c r="C20" s="13" t="str">
        <f>+AVANCE!B22</f>
        <v>44 - MONGES CESAR LUIS</v>
      </c>
      <c r="D20" s="22">
        <f t="shared" si="5"/>
        <v>0.31578947368421051</v>
      </c>
      <c r="E20" s="13">
        <v>64</v>
      </c>
      <c r="F20" s="12">
        <f t="shared" si="6"/>
        <v>-10</v>
      </c>
      <c r="G20" s="13">
        <f>VLOOKUP(B20,'Base Cobertura'!$A:$C,3,FALSE)</f>
        <v>171</v>
      </c>
      <c r="H20" s="13">
        <f>VLOOKUP(B20,'Base Cobertura'!$A:$C,2,FALSE)</f>
        <v>54</v>
      </c>
      <c r="I20" s="17">
        <f t="shared" si="7"/>
        <v>91.35</v>
      </c>
      <c r="J20" t="s">
        <v>58</v>
      </c>
      <c r="K20" t="s">
        <v>64</v>
      </c>
    </row>
    <row r="21" spans="1:11" x14ac:dyDescent="0.25">
      <c r="A21" s="150"/>
      <c r="B21">
        <v>2</v>
      </c>
      <c r="C21" s="13" t="str">
        <f>+AVANCE!B16</f>
        <v>2 - OJEDA NORBERTO</v>
      </c>
      <c r="D21" s="22">
        <f t="shared" si="5"/>
        <v>0.33333333333333331</v>
      </c>
      <c r="E21" s="13">
        <v>70</v>
      </c>
      <c r="F21" s="12">
        <f t="shared" si="6"/>
        <v>-30</v>
      </c>
      <c r="G21" s="13">
        <f>VLOOKUP(B21,'Base Cobertura'!$A:$C,3,FALSE)</f>
        <v>120</v>
      </c>
      <c r="H21" s="13">
        <f>VLOOKUP(B21,'Base Cobertura'!$A:$C,2,FALSE)</f>
        <v>40</v>
      </c>
      <c r="I21" s="17">
        <f t="shared" si="7"/>
        <v>62</v>
      </c>
      <c r="J21" t="s">
        <v>58</v>
      </c>
      <c r="K21" t="s">
        <v>66</v>
      </c>
    </row>
    <row r="22" spans="1:11" ht="15.75" thickBot="1" x14ac:dyDescent="0.3">
      <c r="A22" s="150"/>
      <c r="B22">
        <v>3</v>
      </c>
      <c r="C22" s="10" t="str">
        <f>+AVANCE!B17</f>
        <v>3 - VIDAL NAHUEL</v>
      </c>
      <c r="D22" s="22">
        <f t="shared" si="5"/>
        <v>0.30232558139534882</v>
      </c>
      <c r="E22" s="13">
        <v>79</v>
      </c>
      <c r="F22" s="12">
        <f t="shared" si="6"/>
        <v>-27</v>
      </c>
      <c r="G22" s="13">
        <f>VLOOKUP(B22,'Base Cobertura'!$A:$C,3,FALSE)</f>
        <v>172</v>
      </c>
      <c r="H22" s="13">
        <f>VLOOKUP(B22,'Base Cobertura'!$A:$C,2,FALSE)</f>
        <v>52</v>
      </c>
      <c r="I22" s="17">
        <f t="shared" si="7"/>
        <v>94.199999999999989</v>
      </c>
      <c r="J22" t="s">
        <v>60</v>
      </c>
      <c r="K22" t="s">
        <v>64</v>
      </c>
    </row>
    <row r="23" spans="1:11" ht="15.75" thickBot="1" x14ac:dyDescent="0.3">
      <c r="A23" s="151"/>
      <c r="C23" s="9"/>
      <c r="D23" s="23"/>
      <c r="E23" s="14"/>
      <c r="F23" s="16">
        <f>+SUM(F15:F22)</f>
        <v>-230</v>
      </c>
      <c r="G23" s="8">
        <f>+SUM(G15:G22)</f>
        <v>1332</v>
      </c>
      <c r="H23" s="8">
        <f>+SUM(H15:H22)</f>
        <v>431</v>
      </c>
      <c r="I23" s="8"/>
    </row>
    <row r="24" spans="1:11" x14ac:dyDescent="0.25">
      <c r="A24" s="149" t="s">
        <v>215</v>
      </c>
      <c r="B24">
        <v>32</v>
      </c>
      <c r="C24" s="12" t="str">
        <f>+AVANCE!B25</f>
        <v>32 - CABRAL GONZALO</v>
      </c>
      <c r="D24" s="22">
        <f t="shared" si="5"/>
        <v>0.15517241379310345</v>
      </c>
      <c r="E24" s="13">
        <v>20</v>
      </c>
      <c r="F24" s="12">
        <f>+H24-E24</f>
        <v>-11</v>
      </c>
      <c r="G24" s="13">
        <f>VLOOKUP(B24,'Base Cobertura'!$A:$C,3,FALSE)</f>
        <v>58</v>
      </c>
      <c r="H24" s="13">
        <f>VLOOKUP(B24,'Base Cobertura'!$A:$C,2,FALSE)</f>
        <v>9</v>
      </c>
      <c r="I24" s="17">
        <f t="shared" si="7"/>
        <v>40.299999999999997</v>
      </c>
      <c r="J24" t="s">
        <v>55</v>
      </c>
      <c r="K24" t="s">
        <v>66</v>
      </c>
    </row>
    <row r="25" spans="1:11" x14ac:dyDescent="0.25">
      <c r="A25" s="150"/>
      <c r="B25">
        <v>36</v>
      </c>
      <c r="C25" s="12" t="str">
        <f>+AVANCE!B26</f>
        <v>36 - COSARINSKI DIEGO</v>
      </c>
      <c r="D25" s="22">
        <f t="shared" si="5"/>
        <v>0.27672955974842767</v>
      </c>
      <c r="E25" s="13">
        <v>68</v>
      </c>
      <c r="F25" s="12">
        <f t="shared" si="6"/>
        <v>-24</v>
      </c>
      <c r="G25" s="13">
        <f>VLOOKUP(B25,'Base Cobertura'!$A:$C,3,FALSE)</f>
        <v>159</v>
      </c>
      <c r="H25" s="13">
        <f>VLOOKUP(B25,'Base Cobertura'!$A:$C,2,FALSE)</f>
        <v>44</v>
      </c>
      <c r="I25" s="17">
        <f t="shared" si="7"/>
        <v>91.15</v>
      </c>
      <c r="J25" t="s">
        <v>58</v>
      </c>
      <c r="K25" t="s">
        <v>66</v>
      </c>
    </row>
    <row r="26" spans="1:11" x14ac:dyDescent="0.25">
      <c r="A26" s="150"/>
      <c r="B26">
        <v>9</v>
      </c>
      <c r="C26" s="12" t="str">
        <f>+AVANCE!B27</f>
        <v>9 - ESTIGARRIBIA DAVID</v>
      </c>
      <c r="D26" s="22">
        <f t="shared" si="5"/>
        <v>0.34394904458598724</v>
      </c>
      <c r="E26" s="13">
        <v>80</v>
      </c>
      <c r="F26" s="12">
        <f t="shared" si="6"/>
        <v>-26</v>
      </c>
      <c r="G26" s="13">
        <f>VLOOKUP(B26,'Base Cobertura'!$A:$C,3,FALSE)</f>
        <v>157</v>
      </c>
      <c r="H26" s="13">
        <f>VLOOKUP(B26,'Base Cobertura'!$A:$C,2,FALSE)</f>
        <v>54</v>
      </c>
      <c r="I26" s="17">
        <f t="shared" si="7"/>
        <v>79.449999999999989</v>
      </c>
      <c r="J26" t="s">
        <v>58</v>
      </c>
      <c r="K26" t="s">
        <v>55</v>
      </c>
    </row>
    <row r="27" spans="1:11" x14ac:dyDescent="0.25">
      <c r="A27" s="150"/>
      <c r="B27">
        <v>40</v>
      </c>
      <c r="C27" s="12" t="str">
        <f>+AVANCE!B28</f>
        <v>40 - IBARROLA JORGE</v>
      </c>
      <c r="D27" s="22">
        <f t="shared" si="5"/>
        <v>0.14798206278026907</v>
      </c>
      <c r="E27" s="13">
        <v>68</v>
      </c>
      <c r="F27" s="12">
        <f t="shared" si="6"/>
        <v>-35</v>
      </c>
      <c r="G27" s="13">
        <f>VLOOKUP(B27,'Base Cobertura'!$A:$C,3,FALSE)</f>
        <v>223</v>
      </c>
      <c r="H27" s="13">
        <f>VLOOKUP(B27,'Base Cobertura'!$A:$C,2,FALSE)</f>
        <v>33</v>
      </c>
      <c r="I27" s="17">
        <f t="shared" si="7"/>
        <v>156.54999999999998</v>
      </c>
      <c r="J27" t="s">
        <v>58</v>
      </c>
      <c r="K27" t="s">
        <v>66</v>
      </c>
    </row>
    <row r="28" spans="1:11" x14ac:dyDescent="0.25">
      <c r="A28" s="150"/>
      <c r="B28">
        <v>27</v>
      </c>
      <c r="C28" s="12" t="str">
        <f>+AVANCE!B29</f>
        <v>27 - GOMEZ ADRIÁN</v>
      </c>
      <c r="D28" s="22">
        <f t="shared" si="5"/>
        <v>0.28244274809160308</v>
      </c>
      <c r="E28" s="13">
        <v>73</v>
      </c>
      <c r="F28" s="12">
        <f t="shared" si="6"/>
        <v>-36</v>
      </c>
      <c r="G28" s="13">
        <f>VLOOKUP(B28,'Base Cobertura'!$A:$C,3,FALSE)</f>
        <v>131</v>
      </c>
      <c r="H28" s="13">
        <f>VLOOKUP(B28,'Base Cobertura'!$A:$C,2,FALSE)</f>
        <v>37</v>
      </c>
      <c r="I28" s="17">
        <f t="shared" si="7"/>
        <v>74.349999999999994</v>
      </c>
      <c r="J28" t="s">
        <v>55</v>
      </c>
      <c r="K28" t="s">
        <v>66</v>
      </c>
    </row>
    <row r="29" spans="1:11" x14ac:dyDescent="0.25">
      <c r="A29" s="150"/>
      <c r="B29">
        <v>10</v>
      </c>
      <c r="C29" s="12" t="str">
        <f>+AVANCE!B30</f>
        <v>10 - BRITEZ EMMANUEL</v>
      </c>
      <c r="D29" s="22">
        <f t="shared" si="5"/>
        <v>0.18817204301075269</v>
      </c>
      <c r="E29" s="13">
        <v>40</v>
      </c>
      <c r="F29" s="12">
        <f t="shared" si="6"/>
        <v>-5</v>
      </c>
      <c r="G29" s="13">
        <f>VLOOKUP(B29,'Base Cobertura'!$A:$C,3,FALSE)</f>
        <v>186</v>
      </c>
      <c r="H29" s="13">
        <f>VLOOKUP(B29,'Base Cobertura'!$A:$C,2,FALSE)</f>
        <v>35</v>
      </c>
      <c r="I29" s="17">
        <f t="shared" si="7"/>
        <v>123.1</v>
      </c>
      <c r="J29" t="s">
        <v>58</v>
      </c>
      <c r="K29" t="s">
        <v>66</v>
      </c>
    </row>
    <row r="30" spans="1:11" x14ac:dyDescent="0.25">
      <c r="A30" s="150"/>
      <c r="B30">
        <v>28</v>
      </c>
      <c r="C30" s="12" t="str">
        <f>+AVANCE!B31</f>
        <v>28 - GOMEZ PABLO</v>
      </c>
      <c r="D30" s="22">
        <f t="shared" si="5"/>
        <v>0.17159763313609466</v>
      </c>
      <c r="E30" s="13">
        <v>67</v>
      </c>
      <c r="F30" s="12">
        <f t="shared" si="6"/>
        <v>-38</v>
      </c>
      <c r="G30" s="13">
        <f>VLOOKUP(B30,'Base Cobertura'!$A:$C,3,FALSE)</f>
        <v>169</v>
      </c>
      <c r="H30" s="13">
        <f>VLOOKUP(B30,'Base Cobertura'!$A:$C,2,FALSE)</f>
        <v>29</v>
      </c>
      <c r="I30" s="17">
        <f t="shared" si="7"/>
        <v>114.65</v>
      </c>
      <c r="J30" t="s">
        <v>58</v>
      </c>
      <c r="K30" t="s">
        <v>66</v>
      </c>
    </row>
    <row r="31" spans="1:11" x14ac:dyDescent="0.25">
      <c r="A31" s="150"/>
      <c r="B31">
        <v>33</v>
      </c>
      <c r="C31" s="12" t="str">
        <f>+AVANCE!B32</f>
        <v>33 - NICOLAS AZULA</v>
      </c>
      <c r="D31" s="22">
        <f t="shared" si="5"/>
        <v>0.23668639053254437</v>
      </c>
      <c r="E31" s="13">
        <v>66</v>
      </c>
      <c r="F31" s="12">
        <f t="shared" si="6"/>
        <v>-26</v>
      </c>
      <c r="G31" s="13">
        <f>VLOOKUP(B31,'Base Cobertura'!$A:$C,3,FALSE)</f>
        <v>169</v>
      </c>
      <c r="H31" s="13">
        <f>VLOOKUP(B31,'Base Cobertura'!$A:$C,2,FALSE)</f>
        <v>40</v>
      </c>
      <c r="I31" s="17">
        <f t="shared" si="7"/>
        <v>103.65</v>
      </c>
      <c r="J31" t="s">
        <v>58</v>
      </c>
      <c r="K31" t="s">
        <v>66</v>
      </c>
    </row>
    <row r="32" spans="1:11" x14ac:dyDescent="0.25">
      <c r="A32" s="150"/>
      <c r="B32">
        <v>37</v>
      </c>
      <c r="C32" s="12" t="str">
        <f>+AVANCE!B33</f>
        <v>37 - SALAJ EMILIO</v>
      </c>
      <c r="D32" s="22">
        <f t="shared" si="5"/>
        <v>0.18493150684931506</v>
      </c>
      <c r="E32" s="13">
        <v>82</v>
      </c>
      <c r="F32" s="12">
        <f t="shared" si="6"/>
        <v>-55</v>
      </c>
      <c r="G32" s="13">
        <f>VLOOKUP(B32,'Base Cobertura'!$A:$C,3,FALSE)</f>
        <v>146</v>
      </c>
      <c r="H32" s="13">
        <f>VLOOKUP(B32,'Base Cobertura'!$A:$C,2,FALSE)</f>
        <v>27</v>
      </c>
      <c r="I32" s="17">
        <f t="shared" si="7"/>
        <v>97.1</v>
      </c>
      <c r="J32" t="s">
        <v>55</v>
      </c>
      <c r="K32" t="s">
        <v>66</v>
      </c>
    </row>
    <row r="33" spans="1:12" x14ac:dyDescent="0.25">
      <c r="A33" s="150"/>
      <c r="B33">
        <v>24</v>
      </c>
      <c r="C33" s="12" t="str">
        <f>+AVANCE!B34</f>
        <v>24 - SOLIS EMMANUEL</v>
      </c>
      <c r="D33" s="22">
        <f t="shared" si="5"/>
        <v>0.19565217391304349</v>
      </c>
      <c r="E33" s="13">
        <v>81</v>
      </c>
      <c r="F33" s="12">
        <f t="shared" si="6"/>
        <v>-45</v>
      </c>
      <c r="G33" s="13">
        <f>VLOOKUP(B33,'Base Cobertura'!$A:$C,3,FALSE)</f>
        <v>184</v>
      </c>
      <c r="H33" s="13">
        <f>VLOOKUP(B33,'Base Cobertura'!$A:$C,2,FALSE)</f>
        <v>36</v>
      </c>
      <c r="I33" s="17">
        <f t="shared" si="7"/>
        <v>120.4</v>
      </c>
      <c r="J33" t="s">
        <v>58</v>
      </c>
      <c r="K33" t="s">
        <v>66</v>
      </c>
    </row>
    <row r="34" spans="1:12" x14ac:dyDescent="0.25">
      <c r="A34" s="150"/>
      <c r="B34">
        <v>7</v>
      </c>
      <c r="C34" s="12" t="str">
        <f>+AVANCE!B35</f>
        <v>7 - VALLEJOS EDUARDO</v>
      </c>
      <c r="D34" s="22">
        <f t="shared" si="5"/>
        <v>8.5470085470085479E-3</v>
      </c>
      <c r="E34" s="13">
        <v>0</v>
      </c>
      <c r="F34" s="12">
        <f t="shared" si="6"/>
        <v>1</v>
      </c>
      <c r="G34" s="13">
        <f>VLOOKUP(B34,'Base Cobertura'!$A:$C,3,FALSE)</f>
        <v>117</v>
      </c>
      <c r="H34" s="13">
        <f>VLOOKUP(B34,'Base Cobertura'!$A:$C,2,FALSE)</f>
        <v>1</v>
      </c>
      <c r="I34" s="17">
        <f t="shared" si="7"/>
        <v>98.45</v>
      </c>
      <c r="J34" t="s">
        <v>58</v>
      </c>
    </row>
    <row r="35" spans="1:12" x14ac:dyDescent="0.25">
      <c r="A35" s="150"/>
      <c r="B35">
        <v>57</v>
      </c>
      <c r="C35" s="12" t="str">
        <f>+AVANCE!B36</f>
        <v>57 - FEDERRATH MARTIN</v>
      </c>
      <c r="D35" s="22">
        <f t="shared" si="5"/>
        <v>0.18095238095238095</v>
      </c>
      <c r="E35" s="13">
        <v>17</v>
      </c>
      <c r="F35" s="12">
        <f t="shared" si="6"/>
        <v>2</v>
      </c>
      <c r="G35" s="13">
        <f>VLOOKUP(B35,'Base Cobertura'!$A:$C,3,FALSE)</f>
        <v>105</v>
      </c>
      <c r="H35" s="13">
        <f>VLOOKUP(B35,'Base Cobertura'!$A:$C,2,FALSE)</f>
        <v>19</v>
      </c>
      <c r="I35" s="17">
        <f t="shared" si="7"/>
        <v>70.25</v>
      </c>
      <c r="J35" t="s">
        <v>59</v>
      </c>
    </row>
    <row r="36" spans="1:12" ht="15.75" thickBot="1" x14ac:dyDescent="0.3">
      <c r="A36" s="150"/>
      <c r="B36">
        <v>1</v>
      </c>
      <c r="C36" s="12" t="str">
        <f>+AVANCE!B37</f>
        <v>1 - VERA ERNESTO</v>
      </c>
      <c r="D36" s="22">
        <f t="shared" si="5"/>
        <v>0.33898305084745761</v>
      </c>
      <c r="E36" s="13">
        <v>60</v>
      </c>
      <c r="F36" s="12">
        <f t="shared" si="6"/>
        <v>-20</v>
      </c>
      <c r="G36" s="13">
        <f>VLOOKUP(B36,'Base Cobertura'!$A:$C,3,FALSE)</f>
        <v>118</v>
      </c>
      <c r="H36" s="13">
        <f>VLOOKUP(B36,'Base Cobertura'!$A:$C,2,FALSE)</f>
        <v>40</v>
      </c>
      <c r="I36" s="17">
        <f t="shared" si="7"/>
        <v>60.3</v>
      </c>
      <c r="J36" t="s">
        <v>55</v>
      </c>
      <c r="K36" t="s">
        <v>55</v>
      </c>
    </row>
    <row r="37" spans="1:12" ht="15.75" thickBot="1" x14ac:dyDescent="0.3">
      <c r="A37" s="151"/>
      <c r="C37" s="9"/>
      <c r="D37" s="23"/>
      <c r="E37" s="14"/>
      <c r="F37" s="8">
        <f>+SUM(F24:F36)</f>
        <v>-318</v>
      </c>
      <c r="G37" s="8">
        <f>+SUM(G24:G36)</f>
        <v>1922</v>
      </c>
      <c r="H37" s="8">
        <f>+SUM(H24:H36)</f>
        <v>404</v>
      </c>
      <c r="I37" s="8"/>
    </row>
    <row r="38" spans="1:12" x14ac:dyDescent="0.25">
      <c r="A38" s="149" t="s">
        <v>268</v>
      </c>
      <c r="B38">
        <v>58</v>
      </c>
      <c r="C38" t="str">
        <f>+AVANCE!B39</f>
        <v>58 - BLADIMIR LEZCANO</v>
      </c>
      <c r="D38" s="22">
        <f t="shared" ref="D38:D45" si="8">H38/G38</f>
        <v>1.2048192771084338E-2</v>
      </c>
      <c r="E38" s="13">
        <v>60</v>
      </c>
      <c r="F38" s="12">
        <f t="shared" ref="F38:F45" si="9">+H38-E38</f>
        <v>-59</v>
      </c>
      <c r="G38" s="13">
        <f>VLOOKUP(B38,'Base Cobertura'!$A:$C,3,FALSE)</f>
        <v>83</v>
      </c>
      <c r="H38" s="13">
        <f>VLOOKUP(B38,'Base Cobertura'!$A:$C,2,FALSE)</f>
        <v>1</v>
      </c>
      <c r="I38" s="17">
        <f t="shared" ref="I38:I45" si="10">(+G38*$M$2)-H38</f>
        <v>69.55</v>
      </c>
    </row>
    <row r="39" spans="1:12" x14ac:dyDescent="0.25">
      <c r="A39" s="150"/>
      <c r="B39">
        <v>59</v>
      </c>
      <c r="C39" t="str">
        <f>+AVANCE!B40</f>
        <v>59 - LEIVA SILVIO</v>
      </c>
      <c r="D39" s="22">
        <f t="shared" si="8"/>
        <v>0</v>
      </c>
      <c r="E39" s="13">
        <v>60</v>
      </c>
      <c r="F39" s="12">
        <f t="shared" si="9"/>
        <v>-60</v>
      </c>
      <c r="G39" s="13">
        <f>VLOOKUP(B39,'Base Cobertura'!$A:$C,3,FALSE)</f>
        <v>126</v>
      </c>
      <c r="H39" s="13">
        <f>VLOOKUP(B39,'Base Cobertura'!$A:$C,2,FALSE)</f>
        <v>0</v>
      </c>
      <c r="I39" s="17">
        <f t="shared" si="10"/>
        <v>107.1</v>
      </c>
    </row>
    <row r="40" spans="1:12" x14ac:dyDescent="0.25">
      <c r="A40" s="150"/>
      <c r="B40">
        <v>49</v>
      </c>
      <c r="C40" t="str">
        <f>+AVANCE!B41</f>
        <v>49 - ESCOBAR RAÚL</v>
      </c>
      <c r="D40" s="22">
        <f t="shared" si="8"/>
        <v>0.22448979591836735</v>
      </c>
      <c r="E40" s="13">
        <v>60</v>
      </c>
      <c r="F40" s="12">
        <f t="shared" si="9"/>
        <v>-5</v>
      </c>
      <c r="G40" s="13">
        <f>VLOOKUP(B40,'Base Cobertura'!$A:$C,3,FALSE)</f>
        <v>245</v>
      </c>
      <c r="H40" s="13">
        <f>VLOOKUP(B40,'Base Cobertura'!$A:$C,2,FALSE)</f>
        <v>55</v>
      </c>
      <c r="I40" s="17">
        <f t="shared" si="10"/>
        <v>153.25</v>
      </c>
    </row>
    <row r="41" spans="1:12" x14ac:dyDescent="0.25">
      <c r="A41" s="150"/>
      <c r="B41">
        <v>56</v>
      </c>
      <c r="C41" t="str">
        <f>+AVANCE!B42</f>
        <v>56 - JUAN ANDRES SANCHEZ</v>
      </c>
      <c r="D41" s="22">
        <f t="shared" si="8"/>
        <v>2.5000000000000001E-2</v>
      </c>
      <c r="E41" s="13">
        <v>60</v>
      </c>
      <c r="F41" s="12">
        <f t="shared" si="9"/>
        <v>-55</v>
      </c>
      <c r="G41" s="13">
        <f>VLOOKUP(B41,'Base Cobertura'!$A:$C,3,FALSE)</f>
        <v>200</v>
      </c>
      <c r="H41" s="13">
        <f>VLOOKUP(B41,'Base Cobertura'!$A:$C,2,FALSE)</f>
        <v>5</v>
      </c>
      <c r="I41" s="17">
        <f t="shared" si="10"/>
        <v>165</v>
      </c>
    </row>
    <row r="42" spans="1:12" x14ac:dyDescent="0.25">
      <c r="A42" s="150"/>
      <c r="B42">
        <v>26</v>
      </c>
      <c r="C42" t="str">
        <f>+AVANCE!B43</f>
        <v>26 - PUJOL ERNESTO</v>
      </c>
      <c r="D42" s="22">
        <f t="shared" si="8"/>
        <v>0.21301775147928995</v>
      </c>
      <c r="E42" s="13">
        <v>60</v>
      </c>
      <c r="F42" s="12">
        <f t="shared" si="9"/>
        <v>-24</v>
      </c>
      <c r="G42" s="13">
        <f>VLOOKUP(B42,'Base Cobertura'!$A:$C,3,FALSE)</f>
        <v>169</v>
      </c>
      <c r="H42" s="13">
        <f>VLOOKUP(B42,'Base Cobertura'!$A:$C,2,FALSE)</f>
        <v>36</v>
      </c>
      <c r="I42" s="17">
        <f t="shared" si="10"/>
        <v>107.65</v>
      </c>
    </row>
    <row r="43" spans="1:12" x14ac:dyDescent="0.25">
      <c r="A43" s="150"/>
      <c r="B43">
        <v>25</v>
      </c>
      <c r="C43" t="str">
        <f>+AVANCE!B44</f>
        <v>25 - KALATAKI GUSTAVO</v>
      </c>
      <c r="D43" s="22">
        <f t="shared" si="8"/>
        <v>9.1954022988505746E-2</v>
      </c>
      <c r="E43" s="13">
        <v>60</v>
      </c>
      <c r="F43" s="12">
        <f t="shared" si="9"/>
        <v>-44</v>
      </c>
      <c r="G43" s="13">
        <f>VLOOKUP(B43,'Base Cobertura'!$A:$C,3,FALSE)</f>
        <v>174</v>
      </c>
      <c r="H43" s="13">
        <f>VLOOKUP(B43,'Base Cobertura'!$A:$C,2,FALSE)</f>
        <v>16</v>
      </c>
      <c r="I43" s="17">
        <f t="shared" si="10"/>
        <v>131.9</v>
      </c>
    </row>
    <row r="44" spans="1:12" x14ac:dyDescent="0.25">
      <c r="A44" s="150"/>
      <c r="B44">
        <v>60</v>
      </c>
      <c r="C44" t="str">
        <f>+AVANCE!B45</f>
        <v>60 - SILVA ADRIAN</v>
      </c>
      <c r="D44" s="22">
        <f t="shared" ref="D44" si="11">H44/G44</f>
        <v>0</v>
      </c>
      <c r="E44" s="13">
        <v>61</v>
      </c>
      <c r="F44" s="12">
        <f t="shared" ref="F44" si="12">+H44-E44</f>
        <v>-61</v>
      </c>
      <c r="G44" s="13">
        <f>VLOOKUP(B44,'Base Cobertura'!$A:$C,3,FALSE)</f>
        <v>69</v>
      </c>
      <c r="H44" s="13">
        <f>VLOOKUP(B44,'Base Cobertura'!$A:$C,2,FALSE)</f>
        <v>0</v>
      </c>
      <c r="I44" s="17">
        <f t="shared" ref="I44" si="13">(+G44*$M$2)-H44</f>
        <v>58.65</v>
      </c>
    </row>
    <row r="45" spans="1:12" ht="15.75" thickBot="1" x14ac:dyDescent="0.3">
      <c r="A45" s="150"/>
      <c r="B45">
        <v>43</v>
      </c>
      <c r="C45" t="str">
        <f>+AVANCE!B46</f>
        <v>43 - COLHER DIEGO</v>
      </c>
      <c r="D45" s="22">
        <f t="shared" si="8"/>
        <v>6.4516129032258063E-2</v>
      </c>
      <c r="E45" s="13">
        <v>60</v>
      </c>
      <c r="F45" s="12">
        <f t="shared" si="9"/>
        <v>-54</v>
      </c>
      <c r="G45" s="13">
        <f>VLOOKUP(B45,'Base Cobertura'!$A:$C,3,FALSE)</f>
        <v>93</v>
      </c>
      <c r="H45" s="13">
        <f>VLOOKUP(B45,'Base Cobertura'!$A:$C,2,FALSE)</f>
        <v>6</v>
      </c>
      <c r="I45" s="17">
        <f t="shared" si="10"/>
        <v>73.05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3751</v>
      </c>
      <c r="H46" s="8">
        <f>+SUM(H32:H45)</f>
        <v>646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9024</v>
      </c>
      <c r="H47" s="8">
        <f>+H46+H23+H37+H14</f>
        <v>1977</v>
      </c>
      <c r="I47" s="8"/>
      <c r="L47" s="1">
        <f>+H47/G47</f>
        <v>0.21908244680851063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1</v>
      </c>
      <c r="C3" s="51">
        <v>3619</v>
      </c>
      <c r="G3" t="s">
        <v>275</v>
      </c>
      <c r="H3" s="51"/>
      <c r="I3" s="51">
        <v>3619</v>
      </c>
    </row>
    <row r="4" spans="1:9" x14ac:dyDescent="0.25">
      <c r="A4">
        <v>1</v>
      </c>
      <c r="B4" s="51">
        <v>40</v>
      </c>
      <c r="C4" s="51">
        <v>118</v>
      </c>
      <c r="G4" t="s">
        <v>276</v>
      </c>
      <c r="I4" s="51">
        <v>3619</v>
      </c>
    </row>
    <row r="5" spans="1:9" x14ac:dyDescent="0.25">
      <c r="A5">
        <v>10</v>
      </c>
      <c r="B5" s="51">
        <v>35</v>
      </c>
      <c r="C5" s="51">
        <v>186</v>
      </c>
      <c r="G5" t="s">
        <v>277</v>
      </c>
      <c r="H5" s="51"/>
      <c r="I5" s="51">
        <v>3619</v>
      </c>
    </row>
    <row r="6" spans="1:9" x14ac:dyDescent="0.25">
      <c r="A6">
        <v>100</v>
      </c>
      <c r="B6" s="51">
        <v>17</v>
      </c>
      <c r="C6" s="51">
        <v>2033</v>
      </c>
      <c r="G6" t="s">
        <v>278</v>
      </c>
      <c r="H6" s="51">
        <v>1</v>
      </c>
      <c r="I6" s="51">
        <v>3619</v>
      </c>
    </row>
    <row r="7" spans="1:9" x14ac:dyDescent="0.25">
      <c r="A7">
        <v>11</v>
      </c>
      <c r="B7" s="51">
        <v>40</v>
      </c>
      <c r="C7" s="51">
        <v>170</v>
      </c>
      <c r="G7" t="s">
        <v>279</v>
      </c>
      <c r="H7" s="51">
        <v>1</v>
      </c>
      <c r="I7" s="51">
        <v>3619</v>
      </c>
    </row>
    <row r="8" spans="1:9" x14ac:dyDescent="0.25">
      <c r="A8">
        <v>12</v>
      </c>
      <c r="B8" s="51">
        <v>61</v>
      </c>
      <c r="C8" s="51">
        <v>215</v>
      </c>
      <c r="G8" t="s">
        <v>280</v>
      </c>
      <c r="H8" s="51">
        <v>1</v>
      </c>
      <c r="I8" s="51">
        <v>3619</v>
      </c>
    </row>
    <row r="9" spans="1:9" x14ac:dyDescent="0.25">
      <c r="A9">
        <v>123</v>
      </c>
      <c r="B9" s="51">
        <v>16</v>
      </c>
      <c r="C9" s="51">
        <v>488</v>
      </c>
      <c r="G9" t="s">
        <v>281</v>
      </c>
      <c r="H9" s="51"/>
      <c r="I9" s="51">
        <v>3619</v>
      </c>
    </row>
    <row r="10" spans="1:9" x14ac:dyDescent="0.25">
      <c r="A10">
        <v>15</v>
      </c>
      <c r="B10" s="51">
        <v>15</v>
      </c>
      <c r="C10" s="51">
        <v>65</v>
      </c>
      <c r="G10" t="s">
        <v>282</v>
      </c>
      <c r="I10" s="51">
        <v>3619</v>
      </c>
    </row>
    <row r="11" spans="1:9" x14ac:dyDescent="0.25">
      <c r="A11">
        <v>16</v>
      </c>
      <c r="B11" s="51">
        <v>48</v>
      </c>
      <c r="C11" s="51">
        <v>200</v>
      </c>
      <c r="G11" t="s">
        <v>283</v>
      </c>
      <c r="H11" s="51"/>
      <c r="I11" s="51">
        <v>3619</v>
      </c>
    </row>
    <row r="12" spans="1:9" x14ac:dyDescent="0.25">
      <c r="A12">
        <v>18</v>
      </c>
      <c r="B12" s="51">
        <v>62</v>
      </c>
      <c r="C12" s="51">
        <v>181</v>
      </c>
      <c r="E12">
        <f>+F12</f>
        <v>1</v>
      </c>
      <c r="F12">
        <v>1</v>
      </c>
      <c r="G12" t="s">
        <v>275</v>
      </c>
      <c r="H12">
        <v>13</v>
      </c>
      <c r="I12" s="51">
        <v>118</v>
      </c>
    </row>
    <row r="13" spans="1:9" x14ac:dyDescent="0.25">
      <c r="A13">
        <v>19</v>
      </c>
      <c r="B13" s="51">
        <v>62</v>
      </c>
      <c r="C13" s="51">
        <v>209</v>
      </c>
      <c r="E13">
        <f>+$E$12</f>
        <v>1</v>
      </c>
      <c r="G13" t="s">
        <v>276</v>
      </c>
      <c r="H13" s="51">
        <v>7</v>
      </c>
      <c r="I13" s="51">
        <v>118</v>
      </c>
    </row>
    <row r="14" spans="1:9" x14ac:dyDescent="0.25">
      <c r="A14">
        <v>2</v>
      </c>
      <c r="B14" s="51">
        <v>40</v>
      </c>
      <c r="C14" s="51">
        <v>120</v>
      </c>
      <c r="E14">
        <f t="shared" ref="E14:E20" si="0">+$E$12</f>
        <v>1</v>
      </c>
      <c r="G14" t="s">
        <v>277</v>
      </c>
      <c r="H14" s="51">
        <v>24</v>
      </c>
      <c r="I14" s="51">
        <v>118</v>
      </c>
    </row>
    <row r="15" spans="1:9" x14ac:dyDescent="0.25">
      <c r="A15">
        <v>20</v>
      </c>
      <c r="B15" s="51">
        <v>70</v>
      </c>
      <c r="C15" s="51">
        <v>228</v>
      </c>
      <c r="E15">
        <f t="shared" si="0"/>
        <v>1</v>
      </c>
      <c r="G15" t="s">
        <v>278</v>
      </c>
      <c r="H15" s="51">
        <v>9</v>
      </c>
      <c r="I15" s="51">
        <v>118</v>
      </c>
    </row>
    <row r="16" spans="1:9" x14ac:dyDescent="0.25">
      <c r="A16">
        <v>21</v>
      </c>
      <c r="B16" s="51">
        <v>67</v>
      </c>
      <c r="C16" s="51">
        <v>166</v>
      </c>
      <c r="E16">
        <f t="shared" si="0"/>
        <v>1</v>
      </c>
      <c r="G16" t="s">
        <v>279</v>
      </c>
      <c r="H16" s="51">
        <v>20</v>
      </c>
      <c r="I16" s="51">
        <v>118</v>
      </c>
    </row>
    <row r="17" spans="1:9" x14ac:dyDescent="0.25">
      <c r="A17">
        <v>22</v>
      </c>
      <c r="B17" s="51">
        <v>22</v>
      </c>
      <c r="C17" s="51">
        <v>79</v>
      </c>
      <c r="E17">
        <f t="shared" si="0"/>
        <v>1</v>
      </c>
      <c r="G17" t="s">
        <v>280</v>
      </c>
      <c r="H17" s="51">
        <v>26</v>
      </c>
      <c r="I17" s="51">
        <v>118</v>
      </c>
    </row>
    <row r="18" spans="1:9" x14ac:dyDescent="0.25">
      <c r="A18">
        <v>23</v>
      </c>
      <c r="B18" s="51">
        <v>61</v>
      </c>
      <c r="C18" s="51">
        <v>157</v>
      </c>
      <c r="E18">
        <f t="shared" si="0"/>
        <v>1</v>
      </c>
      <c r="G18" t="s">
        <v>281</v>
      </c>
      <c r="H18" s="51">
        <v>8</v>
      </c>
      <c r="I18" s="51">
        <v>118</v>
      </c>
    </row>
    <row r="19" spans="1:9" x14ac:dyDescent="0.25">
      <c r="A19">
        <v>24</v>
      </c>
      <c r="B19" s="51">
        <v>36</v>
      </c>
      <c r="C19" s="51">
        <v>184</v>
      </c>
      <c r="E19">
        <f t="shared" si="0"/>
        <v>1</v>
      </c>
      <c r="G19" t="s">
        <v>282</v>
      </c>
      <c r="H19" s="51">
        <v>13</v>
      </c>
      <c r="I19" s="51">
        <v>118</v>
      </c>
    </row>
    <row r="20" spans="1:9" x14ac:dyDescent="0.25">
      <c r="A20">
        <v>25</v>
      </c>
      <c r="B20" s="51">
        <v>16</v>
      </c>
      <c r="C20" s="51">
        <v>174</v>
      </c>
      <c r="E20">
        <f t="shared" si="0"/>
        <v>1</v>
      </c>
      <c r="G20" t="s">
        <v>283</v>
      </c>
      <c r="H20">
        <v>7</v>
      </c>
      <c r="I20" s="51">
        <v>118</v>
      </c>
    </row>
    <row r="21" spans="1:9" x14ac:dyDescent="0.25">
      <c r="A21">
        <v>26</v>
      </c>
      <c r="B21" s="51">
        <v>36</v>
      </c>
      <c r="C21" s="51">
        <v>169</v>
      </c>
      <c r="E21">
        <f>+$F$21</f>
        <v>10</v>
      </c>
      <c r="F21">
        <v>10</v>
      </c>
      <c r="G21" t="s">
        <v>275</v>
      </c>
      <c r="H21" s="51">
        <v>10</v>
      </c>
      <c r="I21" s="51">
        <v>186</v>
      </c>
    </row>
    <row r="22" spans="1:9" x14ac:dyDescent="0.25">
      <c r="A22">
        <v>27</v>
      </c>
      <c r="B22" s="51">
        <v>37</v>
      </c>
      <c r="C22" s="51">
        <v>131</v>
      </c>
      <c r="E22">
        <f t="shared" ref="E22:E29" si="1">+$F$21</f>
        <v>10</v>
      </c>
      <c r="G22" t="s">
        <v>276</v>
      </c>
      <c r="H22" s="51">
        <v>3</v>
      </c>
      <c r="I22" s="51">
        <v>186</v>
      </c>
    </row>
    <row r="23" spans="1:9" x14ac:dyDescent="0.25">
      <c r="A23">
        <v>28</v>
      </c>
      <c r="B23" s="51">
        <v>29</v>
      </c>
      <c r="C23" s="51">
        <v>169</v>
      </c>
      <c r="E23">
        <f t="shared" si="1"/>
        <v>10</v>
      </c>
      <c r="G23" t="s">
        <v>277</v>
      </c>
      <c r="H23" s="51">
        <v>10</v>
      </c>
      <c r="I23" s="51">
        <v>186</v>
      </c>
    </row>
    <row r="24" spans="1:9" x14ac:dyDescent="0.25">
      <c r="A24">
        <v>3</v>
      </c>
      <c r="B24" s="51">
        <v>52</v>
      </c>
      <c r="C24" s="51">
        <v>172</v>
      </c>
      <c r="E24">
        <f t="shared" si="1"/>
        <v>10</v>
      </c>
      <c r="G24" t="s">
        <v>278</v>
      </c>
      <c r="H24" s="51">
        <v>5</v>
      </c>
      <c r="I24" s="51">
        <v>186</v>
      </c>
    </row>
    <row r="25" spans="1:9" x14ac:dyDescent="0.25">
      <c r="A25">
        <v>30</v>
      </c>
      <c r="B25" s="51">
        <v>1</v>
      </c>
      <c r="C25" s="51">
        <v>122</v>
      </c>
      <c r="E25">
        <f t="shared" si="1"/>
        <v>10</v>
      </c>
      <c r="G25" t="s">
        <v>279</v>
      </c>
      <c r="H25" s="51">
        <v>10</v>
      </c>
      <c r="I25" s="51">
        <v>186</v>
      </c>
    </row>
    <row r="26" spans="1:9" x14ac:dyDescent="0.25">
      <c r="A26">
        <v>31</v>
      </c>
      <c r="B26" s="51">
        <v>46</v>
      </c>
      <c r="C26" s="51">
        <v>164</v>
      </c>
      <c r="E26">
        <f t="shared" si="1"/>
        <v>10</v>
      </c>
      <c r="G26" t="s">
        <v>280</v>
      </c>
      <c r="H26" s="51">
        <v>9</v>
      </c>
      <c r="I26" s="51">
        <v>186</v>
      </c>
    </row>
    <row r="27" spans="1:9" x14ac:dyDescent="0.25">
      <c r="A27">
        <v>32</v>
      </c>
      <c r="B27" s="51">
        <v>9</v>
      </c>
      <c r="C27" s="51">
        <v>58</v>
      </c>
      <c r="E27">
        <f t="shared" si="1"/>
        <v>10</v>
      </c>
      <c r="G27" t="s">
        <v>281</v>
      </c>
      <c r="H27" s="51"/>
      <c r="I27" s="51">
        <v>186</v>
      </c>
    </row>
    <row r="28" spans="1:9" x14ac:dyDescent="0.25">
      <c r="A28">
        <v>33</v>
      </c>
      <c r="B28" s="51">
        <v>40</v>
      </c>
      <c r="C28" s="51">
        <v>169</v>
      </c>
      <c r="E28">
        <f t="shared" si="1"/>
        <v>10</v>
      </c>
      <c r="G28" t="s">
        <v>282</v>
      </c>
      <c r="H28" s="51">
        <v>5</v>
      </c>
      <c r="I28" s="51">
        <v>186</v>
      </c>
    </row>
    <row r="29" spans="1:9" x14ac:dyDescent="0.25">
      <c r="A29">
        <v>36</v>
      </c>
      <c r="B29" s="51">
        <v>44</v>
      </c>
      <c r="C29" s="51">
        <v>159</v>
      </c>
      <c r="E29">
        <f t="shared" si="1"/>
        <v>10</v>
      </c>
      <c r="G29" t="s">
        <v>283</v>
      </c>
      <c r="H29" s="51">
        <v>4</v>
      </c>
      <c r="I29" s="51">
        <v>186</v>
      </c>
    </row>
    <row r="30" spans="1:9" x14ac:dyDescent="0.25">
      <c r="A30">
        <v>37</v>
      </c>
      <c r="B30" s="51">
        <v>27</v>
      </c>
      <c r="C30" s="51">
        <v>146</v>
      </c>
      <c r="E30">
        <f>+$F$30</f>
        <v>100</v>
      </c>
      <c r="F30">
        <v>100</v>
      </c>
      <c r="G30" t="s">
        <v>275</v>
      </c>
      <c r="H30" s="51">
        <v>9</v>
      </c>
      <c r="I30" s="51">
        <v>2033</v>
      </c>
    </row>
    <row r="31" spans="1:9" x14ac:dyDescent="0.25">
      <c r="A31">
        <v>4</v>
      </c>
      <c r="B31" s="51">
        <v>42</v>
      </c>
      <c r="C31" s="51">
        <v>182</v>
      </c>
      <c r="E31">
        <f t="shared" ref="E31:E38" si="2">+$F$30</f>
        <v>100</v>
      </c>
      <c r="G31" t="s">
        <v>276</v>
      </c>
      <c r="H31" s="51">
        <v>7</v>
      </c>
      <c r="I31" s="51">
        <v>2033</v>
      </c>
    </row>
    <row r="32" spans="1:9" x14ac:dyDescent="0.25">
      <c r="A32">
        <v>40</v>
      </c>
      <c r="B32" s="51">
        <v>33</v>
      </c>
      <c r="C32" s="51">
        <v>223</v>
      </c>
      <c r="E32">
        <f t="shared" si="2"/>
        <v>100</v>
      </c>
      <c r="G32" t="s">
        <v>277</v>
      </c>
      <c r="H32" s="51">
        <v>7</v>
      </c>
      <c r="I32" s="51">
        <v>2033</v>
      </c>
    </row>
    <row r="33" spans="1:9" x14ac:dyDescent="0.25">
      <c r="A33">
        <v>42</v>
      </c>
      <c r="B33" s="51"/>
      <c r="C33" s="51">
        <v>52</v>
      </c>
      <c r="E33">
        <f t="shared" si="2"/>
        <v>100</v>
      </c>
      <c r="G33" t="s">
        <v>278</v>
      </c>
      <c r="H33" s="51">
        <v>3</v>
      </c>
      <c r="I33" s="51">
        <v>2033</v>
      </c>
    </row>
    <row r="34" spans="1:9" x14ac:dyDescent="0.25">
      <c r="A34">
        <v>43</v>
      </c>
      <c r="B34" s="51">
        <v>6</v>
      </c>
      <c r="C34" s="51">
        <v>93</v>
      </c>
      <c r="E34">
        <f t="shared" si="2"/>
        <v>100</v>
      </c>
      <c r="G34" t="s">
        <v>279</v>
      </c>
      <c r="H34" s="51">
        <v>11</v>
      </c>
      <c r="I34" s="51">
        <v>2033</v>
      </c>
    </row>
    <row r="35" spans="1:9" x14ac:dyDescent="0.25">
      <c r="A35">
        <v>44</v>
      </c>
      <c r="B35" s="51">
        <v>54</v>
      </c>
      <c r="C35" s="51">
        <v>171</v>
      </c>
      <c r="E35">
        <f t="shared" si="2"/>
        <v>100</v>
      </c>
      <c r="G35" t="s">
        <v>280</v>
      </c>
      <c r="H35" s="51">
        <v>8</v>
      </c>
      <c r="I35" s="51">
        <v>2033</v>
      </c>
    </row>
    <row r="36" spans="1:9" x14ac:dyDescent="0.25">
      <c r="A36">
        <v>49</v>
      </c>
      <c r="B36" s="51">
        <v>55</v>
      </c>
      <c r="C36" s="51">
        <v>245</v>
      </c>
      <c r="E36">
        <f t="shared" si="2"/>
        <v>100</v>
      </c>
      <c r="G36" t="s">
        <v>281</v>
      </c>
      <c r="H36" s="51">
        <v>8</v>
      </c>
      <c r="I36" s="51">
        <v>2033</v>
      </c>
    </row>
    <row r="37" spans="1:9" x14ac:dyDescent="0.25">
      <c r="A37">
        <v>5</v>
      </c>
      <c r="B37" s="51">
        <v>72</v>
      </c>
      <c r="C37" s="51">
        <v>263</v>
      </c>
      <c r="E37">
        <f t="shared" si="2"/>
        <v>100</v>
      </c>
      <c r="G37" t="s">
        <v>282</v>
      </c>
      <c r="H37" s="51">
        <v>3</v>
      </c>
      <c r="I37" s="51">
        <v>2033</v>
      </c>
    </row>
    <row r="38" spans="1:9" x14ac:dyDescent="0.25">
      <c r="A38">
        <v>52</v>
      </c>
      <c r="B38" s="51">
        <v>12</v>
      </c>
      <c r="C38" s="51">
        <v>104</v>
      </c>
      <c r="E38">
        <f t="shared" si="2"/>
        <v>100</v>
      </c>
      <c r="G38" t="s">
        <v>283</v>
      </c>
      <c r="H38" s="51">
        <v>3</v>
      </c>
      <c r="I38" s="51">
        <v>2033</v>
      </c>
    </row>
    <row r="39" spans="1:9" x14ac:dyDescent="0.25">
      <c r="A39">
        <v>53</v>
      </c>
      <c r="B39" s="51">
        <v>13</v>
      </c>
      <c r="C39" s="51">
        <v>105</v>
      </c>
      <c r="E39">
        <f>+$F$39</f>
        <v>11</v>
      </c>
      <c r="F39">
        <v>11</v>
      </c>
      <c r="G39" t="s">
        <v>275</v>
      </c>
      <c r="H39" s="51">
        <v>9</v>
      </c>
      <c r="I39" s="51">
        <v>170</v>
      </c>
    </row>
    <row r="40" spans="1:9" x14ac:dyDescent="0.25">
      <c r="A40">
        <v>54</v>
      </c>
      <c r="B40" s="51">
        <v>49</v>
      </c>
      <c r="C40" s="51">
        <v>201</v>
      </c>
      <c r="E40">
        <f t="shared" ref="E40:E47" si="3">+$F$39</f>
        <v>11</v>
      </c>
      <c r="G40" t="s">
        <v>276</v>
      </c>
      <c r="H40" s="51">
        <v>5</v>
      </c>
      <c r="I40" s="51">
        <v>170</v>
      </c>
    </row>
    <row r="41" spans="1:9" x14ac:dyDescent="0.25">
      <c r="A41">
        <v>56</v>
      </c>
      <c r="B41">
        <v>5</v>
      </c>
      <c r="C41" s="51">
        <v>200</v>
      </c>
      <c r="E41">
        <f t="shared" si="3"/>
        <v>11</v>
      </c>
      <c r="G41" t="s">
        <v>277</v>
      </c>
      <c r="H41" s="51">
        <v>18</v>
      </c>
      <c r="I41" s="51">
        <v>170</v>
      </c>
    </row>
    <row r="42" spans="1:9" x14ac:dyDescent="0.25">
      <c r="A42">
        <v>57</v>
      </c>
      <c r="B42" s="51">
        <v>19</v>
      </c>
      <c r="C42" s="51">
        <v>105</v>
      </c>
      <c r="E42">
        <f t="shared" si="3"/>
        <v>11</v>
      </c>
      <c r="G42" t="s">
        <v>278</v>
      </c>
      <c r="H42" s="51">
        <v>8</v>
      </c>
      <c r="I42" s="51">
        <v>170</v>
      </c>
    </row>
    <row r="43" spans="1:9" x14ac:dyDescent="0.25">
      <c r="A43">
        <v>58</v>
      </c>
      <c r="B43" s="51">
        <v>1</v>
      </c>
      <c r="C43" s="51">
        <v>83</v>
      </c>
      <c r="E43">
        <f t="shared" si="3"/>
        <v>11</v>
      </c>
      <c r="G43" t="s">
        <v>279</v>
      </c>
      <c r="H43" s="51">
        <v>22</v>
      </c>
      <c r="I43" s="51">
        <v>170</v>
      </c>
    </row>
    <row r="44" spans="1:9" x14ac:dyDescent="0.25">
      <c r="A44">
        <v>59</v>
      </c>
      <c r="B44" s="51"/>
      <c r="C44" s="51">
        <v>126</v>
      </c>
      <c r="E44">
        <f t="shared" si="3"/>
        <v>11</v>
      </c>
      <c r="G44" t="s">
        <v>280</v>
      </c>
      <c r="H44" s="51">
        <v>15</v>
      </c>
      <c r="I44" s="51">
        <v>170</v>
      </c>
    </row>
    <row r="45" spans="1:9" x14ac:dyDescent="0.25">
      <c r="A45">
        <v>60</v>
      </c>
      <c r="B45" s="51"/>
      <c r="C45" s="51">
        <v>69</v>
      </c>
      <c r="E45">
        <f t="shared" si="3"/>
        <v>11</v>
      </c>
      <c r="G45" t="s">
        <v>281</v>
      </c>
      <c r="H45" s="51">
        <v>1</v>
      </c>
      <c r="I45" s="51">
        <v>170</v>
      </c>
    </row>
    <row r="46" spans="1:9" x14ac:dyDescent="0.25">
      <c r="A46">
        <v>7</v>
      </c>
      <c r="B46" s="51">
        <v>1</v>
      </c>
      <c r="C46" s="51">
        <v>117</v>
      </c>
      <c r="E46">
        <f t="shared" si="3"/>
        <v>11</v>
      </c>
      <c r="G46" t="s">
        <v>282</v>
      </c>
      <c r="H46" s="51">
        <v>5</v>
      </c>
      <c r="I46" s="51">
        <v>170</v>
      </c>
    </row>
    <row r="47" spans="1:9" x14ac:dyDescent="0.25">
      <c r="A47">
        <v>8</v>
      </c>
      <c r="B47" s="51">
        <v>39</v>
      </c>
      <c r="C47" s="51">
        <v>199</v>
      </c>
      <c r="E47">
        <f t="shared" si="3"/>
        <v>11</v>
      </c>
      <c r="G47" t="s">
        <v>283</v>
      </c>
      <c r="H47" s="51"/>
      <c r="I47" s="51">
        <v>170</v>
      </c>
    </row>
    <row r="48" spans="1:9" x14ac:dyDescent="0.25">
      <c r="A48">
        <v>9</v>
      </c>
      <c r="B48" s="51">
        <v>54</v>
      </c>
      <c r="C48" s="51">
        <v>157</v>
      </c>
      <c r="E48">
        <f>+$F$48</f>
        <v>12</v>
      </c>
      <c r="F48">
        <v>12</v>
      </c>
      <c r="G48" t="s">
        <v>275</v>
      </c>
      <c r="H48" s="51">
        <v>13</v>
      </c>
      <c r="I48" s="51">
        <v>215</v>
      </c>
    </row>
    <row r="49" spans="2:9" x14ac:dyDescent="0.25">
      <c r="B49" s="35"/>
      <c r="C49" s="35"/>
      <c r="E49">
        <f t="shared" ref="E49:E56" si="4">+$F$48</f>
        <v>12</v>
      </c>
      <c r="G49" t="s">
        <v>276</v>
      </c>
      <c r="H49" s="51">
        <v>12</v>
      </c>
      <c r="I49" s="51">
        <v>215</v>
      </c>
    </row>
    <row r="50" spans="2:9" x14ac:dyDescent="0.25">
      <c r="E50">
        <f t="shared" si="4"/>
        <v>12</v>
      </c>
      <c r="G50" t="s">
        <v>277</v>
      </c>
      <c r="H50" s="51">
        <v>18</v>
      </c>
      <c r="I50" s="51">
        <v>215</v>
      </c>
    </row>
    <row r="51" spans="2:9" x14ac:dyDescent="0.25">
      <c r="E51">
        <f t="shared" si="4"/>
        <v>12</v>
      </c>
      <c r="G51" t="s">
        <v>278</v>
      </c>
      <c r="H51" s="51">
        <v>17</v>
      </c>
      <c r="I51" s="51">
        <v>215</v>
      </c>
    </row>
    <row r="52" spans="2:9" x14ac:dyDescent="0.25">
      <c r="E52">
        <f t="shared" si="4"/>
        <v>12</v>
      </c>
      <c r="G52" t="s">
        <v>279</v>
      </c>
      <c r="H52" s="51">
        <v>18</v>
      </c>
      <c r="I52" s="51">
        <v>215</v>
      </c>
    </row>
    <row r="53" spans="2:9" x14ac:dyDescent="0.25">
      <c r="E53">
        <f t="shared" si="4"/>
        <v>12</v>
      </c>
      <c r="G53" t="s">
        <v>280</v>
      </c>
      <c r="H53" s="51">
        <v>17</v>
      </c>
      <c r="I53" s="51">
        <v>215</v>
      </c>
    </row>
    <row r="54" spans="2:9" x14ac:dyDescent="0.25">
      <c r="E54">
        <f t="shared" si="4"/>
        <v>12</v>
      </c>
      <c r="G54" t="s">
        <v>281</v>
      </c>
      <c r="H54" s="51">
        <v>9</v>
      </c>
      <c r="I54" s="51">
        <v>215</v>
      </c>
    </row>
    <row r="55" spans="2:9" x14ac:dyDescent="0.25">
      <c r="E55">
        <f t="shared" si="4"/>
        <v>12</v>
      </c>
      <c r="G55" t="s">
        <v>282</v>
      </c>
      <c r="H55" s="51">
        <v>4</v>
      </c>
      <c r="I55" s="51">
        <v>215</v>
      </c>
    </row>
    <row r="56" spans="2:9" x14ac:dyDescent="0.25">
      <c r="E56">
        <f t="shared" si="4"/>
        <v>12</v>
      </c>
      <c r="G56" t="s">
        <v>283</v>
      </c>
      <c r="H56" s="51">
        <v>7</v>
      </c>
      <c r="I56" s="51">
        <v>215</v>
      </c>
    </row>
    <row r="57" spans="2:9" x14ac:dyDescent="0.25">
      <c r="E57">
        <f>+$F$57</f>
        <v>123</v>
      </c>
      <c r="F57">
        <v>123</v>
      </c>
      <c r="G57" t="s">
        <v>275</v>
      </c>
      <c r="H57" s="51">
        <v>12</v>
      </c>
      <c r="I57" s="51">
        <v>488</v>
      </c>
    </row>
    <row r="58" spans="2:9" x14ac:dyDescent="0.25">
      <c r="E58">
        <f t="shared" ref="E58:E65" si="5">+$F$57</f>
        <v>123</v>
      </c>
      <c r="G58" t="s">
        <v>276</v>
      </c>
      <c r="H58" s="51">
        <v>4</v>
      </c>
      <c r="I58" s="51">
        <v>488</v>
      </c>
    </row>
    <row r="59" spans="2:9" x14ac:dyDescent="0.25">
      <c r="E59">
        <f t="shared" si="5"/>
        <v>123</v>
      </c>
      <c r="G59" t="s">
        <v>277</v>
      </c>
      <c r="H59" s="51">
        <v>8</v>
      </c>
      <c r="I59" s="51">
        <v>488</v>
      </c>
    </row>
    <row r="60" spans="2:9" x14ac:dyDescent="0.25">
      <c r="E60">
        <f t="shared" si="5"/>
        <v>123</v>
      </c>
      <c r="G60" t="s">
        <v>278</v>
      </c>
      <c r="H60" s="51">
        <v>1</v>
      </c>
      <c r="I60" s="51">
        <v>488</v>
      </c>
    </row>
    <row r="61" spans="2:9" x14ac:dyDescent="0.25">
      <c r="E61">
        <f t="shared" si="5"/>
        <v>123</v>
      </c>
      <c r="G61" t="s">
        <v>279</v>
      </c>
      <c r="H61" s="51">
        <v>10</v>
      </c>
      <c r="I61" s="51">
        <v>488</v>
      </c>
    </row>
    <row r="62" spans="2:9" x14ac:dyDescent="0.25">
      <c r="E62">
        <f t="shared" si="5"/>
        <v>123</v>
      </c>
      <c r="G62" t="s">
        <v>280</v>
      </c>
      <c r="H62" s="51">
        <v>3</v>
      </c>
      <c r="I62" s="51">
        <v>488</v>
      </c>
    </row>
    <row r="63" spans="2:9" x14ac:dyDescent="0.25">
      <c r="E63">
        <f t="shared" si="5"/>
        <v>123</v>
      </c>
      <c r="G63" t="s">
        <v>281</v>
      </c>
      <c r="H63" s="51">
        <v>5</v>
      </c>
      <c r="I63" s="51">
        <v>488</v>
      </c>
    </row>
    <row r="64" spans="2:9" x14ac:dyDescent="0.25">
      <c r="E64">
        <f t="shared" si="5"/>
        <v>123</v>
      </c>
      <c r="G64" t="s">
        <v>282</v>
      </c>
      <c r="H64" s="51">
        <v>2</v>
      </c>
      <c r="I64" s="51">
        <v>488</v>
      </c>
    </row>
    <row r="65" spans="5:9" x14ac:dyDescent="0.25">
      <c r="E65">
        <f t="shared" si="5"/>
        <v>123</v>
      </c>
      <c r="G65" t="s">
        <v>283</v>
      </c>
      <c r="H65" s="51">
        <v>2</v>
      </c>
      <c r="I65" s="51">
        <v>488</v>
      </c>
    </row>
    <row r="66" spans="5:9" x14ac:dyDescent="0.25">
      <c r="E66">
        <f>+$F$66</f>
        <v>15</v>
      </c>
      <c r="F66">
        <v>15</v>
      </c>
      <c r="G66" t="s">
        <v>275</v>
      </c>
      <c r="H66" s="51">
        <v>6</v>
      </c>
      <c r="I66" s="51">
        <v>65</v>
      </c>
    </row>
    <row r="67" spans="5:9" x14ac:dyDescent="0.25">
      <c r="E67">
        <f t="shared" ref="E67:E74" si="6">+$F$66</f>
        <v>15</v>
      </c>
      <c r="G67" t="s">
        <v>276</v>
      </c>
      <c r="H67" s="51">
        <v>6</v>
      </c>
      <c r="I67" s="51">
        <v>65</v>
      </c>
    </row>
    <row r="68" spans="5:9" x14ac:dyDescent="0.25">
      <c r="E68">
        <f t="shared" si="6"/>
        <v>15</v>
      </c>
      <c r="G68" t="s">
        <v>277</v>
      </c>
      <c r="H68" s="51">
        <v>6</v>
      </c>
      <c r="I68" s="51">
        <v>65</v>
      </c>
    </row>
    <row r="69" spans="5:9" x14ac:dyDescent="0.25">
      <c r="E69">
        <f t="shared" si="6"/>
        <v>15</v>
      </c>
      <c r="G69" t="s">
        <v>278</v>
      </c>
      <c r="H69" s="51">
        <v>7</v>
      </c>
      <c r="I69" s="51">
        <v>65</v>
      </c>
    </row>
    <row r="70" spans="5:9" x14ac:dyDescent="0.25">
      <c r="E70">
        <f t="shared" si="6"/>
        <v>15</v>
      </c>
      <c r="G70" t="s">
        <v>279</v>
      </c>
      <c r="H70" s="51">
        <v>10</v>
      </c>
      <c r="I70" s="51">
        <v>65</v>
      </c>
    </row>
    <row r="71" spans="5:9" x14ac:dyDescent="0.25">
      <c r="E71">
        <f t="shared" si="6"/>
        <v>15</v>
      </c>
      <c r="G71" t="s">
        <v>280</v>
      </c>
      <c r="H71" s="51">
        <v>5</v>
      </c>
      <c r="I71" s="51">
        <v>65</v>
      </c>
    </row>
    <row r="72" spans="5:9" x14ac:dyDescent="0.25">
      <c r="E72">
        <f t="shared" si="6"/>
        <v>15</v>
      </c>
      <c r="G72" t="s">
        <v>281</v>
      </c>
      <c r="H72" s="51">
        <v>8</v>
      </c>
      <c r="I72" s="51">
        <v>65</v>
      </c>
    </row>
    <row r="73" spans="5:9" x14ac:dyDescent="0.25">
      <c r="E73">
        <f t="shared" si="6"/>
        <v>15</v>
      </c>
      <c r="G73" t="s">
        <v>282</v>
      </c>
      <c r="H73" s="51">
        <v>3</v>
      </c>
      <c r="I73" s="51">
        <v>65</v>
      </c>
    </row>
    <row r="74" spans="5:9" x14ac:dyDescent="0.25">
      <c r="E74">
        <f t="shared" si="6"/>
        <v>15</v>
      </c>
      <c r="G74" t="s">
        <v>283</v>
      </c>
      <c r="H74" s="51">
        <v>2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275</v>
      </c>
      <c r="H75" s="51">
        <v>8</v>
      </c>
      <c r="I75" s="51">
        <v>200</v>
      </c>
    </row>
    <row r="76" spans="5:9" x14ac:dyDescent="0.25">
      <c r="E76">
        <f t="shared" ref="E76:E83" si="7">+$F$75</f>
        <v>16</v>
      </c>
      <c r="G76" t="s">
        <v>276</v>
      </c>
      <c r="H76">
        <v>4</v>
      </c>
      <c r="I76" s="51">
        <v>200</v>
      </c>
    </row>
    <row r="77" spans="5:9" x14ac:dyDescent="0.25">
      <c r="E77">
        <f t="shared" si="7"/>
        <v>16</v>
      </c>
      <c r="G77" t="s">
        <v>277</v>
      </c>
      <c r="H77" s="51">
        <v>16</v>
      </c>
      <c r="I77" s="51">
        <v>200</v>
      </c>
    </row>
    <row r="78" spans="5:9" x14ac:dyDescent="0.25">
      <c r="E78">
        <f t="shared" si="7"/>
        <v>16</v>
      </c>
      <c r="G78" t="s">
        <v>278</v>
      </c>
      <c r="H78" s="51">
        <v>4</v>
      </c>
      <c r="I78" s="51">
        <v>200</v>
      </c>
    </row>
    <row r="79" spans="5:9" x14ac:dyDescent="0.25">
      <c r="E79">
        <f t="shared" si="7"/>
        <v>16</v>
      </c>
      <c r="G79" t="s">
        <v>279</v>
      </c>
      <c r="H79" s="51">
        <v>28</v>
      </c>
      <c r="I79" s="51">
        <v>200</v>
      </c>
    </row>
    <row r="80" spans="5:9" x14ac:dyDescent="0.25">
      <c r="E80">
        <f t="shared" si="7"/>
        <v>16</v>
      </c>
      <c r="G80" t="s">
        <v>280</v>
      </c>
      <c r="H80" s="51">
        <v>16</v>
      </c>
      <c r="I80" s="51">
        <v>200</v>
      </c>
    </row>
    <row r="81" spans="5:9" x14ac:dyDescent="0.25">
      <c r="E81">
        <f t="shared" si="7"/>
        <v>16</v>
      </c>
      <c r="G81" t="s">
        <v>281</v>
      </c>
      <c r="H81" s="51">
        <v>2</v>
      </c>
      <c r="I81" s="51">
        <v>200</v>
      </c>
    </row>
    <row r="82" spans="5:9" x14ac:dyDescent="0.25">
      <c r="E82">
        <f t="shared" si="7"/>
        <v>16</v>
      </c>
      <c r="G82" t="s">
        <v>282</v>
      </c>
      <c r="H82" s="51">
        <v>5</v>
      </c>
      <c r="I82" s="51">
        <v>200</v>
      </c>
    </row>
    <row r="83" spans="5:9" x14ac:dyDescent="0.25">
      <c r="E83">
        <f t="shared" si="7"/>
        <v>16</v>
      </c>
      <c r="G83" t="s">
        <v>283</v>
      </c>
      <c r="H83" s="51">
        <v>6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275</v>
      </c>
      <c r="H84" s="51">
        <v>12</v>
      </c>
      <c r="I84" s="51">
        <v>181</v>
      </c>
    </row>
    <row r="85" spans="5:9" x14ac:dyDescent="0.25">
      <c r="E85">
        <f t="shared" ref="E85:E92" si="8">+$F$84</f>
        <v>18</v>
      </c>
      <c r="G85" t="s">
        <v>276</v>
      </c>
      <c r="H85" s="51">
        <v>10</v>
      </c>
      <c r="I85" s="51">
        <v>181</v>
      </c>
    </row>
    <row r="86" spans="5:9" x14ac:dyDescent="0.25">
      <c r="E86">
        <f t="shared" si="8"/>
        <v>18</v>
      </c>
      <c r="G86" t="s">
        <v>277</v>
      </c>
      <c r="H86" s="51">
        <v>17</v>
      </c>
      <c r="I86" s="51">
        <v>181</v>
      </c>
    </row>
    <row r="87" spans="5:9" x14ac:dyDescent="0.25">
      <c r="E87">
        <f t="shared" si="8"/>
        <v>18</v>
      </c>
      <c r="G87" t="s">
        <v>278</v>
      </c>
      <c r="H87" s="51">
        <v>13</v>
      </c>
      <c r="I87" s="51">
        <v>181</v>
      </c>
    </row>
    <row r="88" spans="5:9" x14ac:dyDescent="0.25">
      <c r="E88">
        <f t="shared" si="8"/>
        <v>18</v>
      </c>
      <c r="G88" t="s">
        <v>279</v>
      </c>
      <c r="H88" s="51">
        <v>41</v>
      </c>
      <c r="I88" s="51">
        <v>181</v>
      </c>
    </row>
    <row r="89" spans="5:9" x14ac:dyDescent="0.25">
      <c r="E89">
        <f t="shared" si="8"/>
        <v>18</v>
      </c>
      <c r="G89" t="s">
        <v>280</v>
      </c>
      <c r="H89" s="51">
        <v>14</v>
      </c>
      <c r="I89" s="51">
        <v>181</v>
      </c>
    </row>
    <row r="90" spans="5:9" x14ac:dyDescent="0.25">
      <c r="E90">
        <f t="shared" si="8"/>
        <v>18</v>
      </c>
      <c r="G90" t="s">
        <v>281</v>
      </c>
      <c r="H90" s="51">
        <v>4</v>
      </c>
      <c r="I90" s="51">
        <v>181</v>
      </c>
    </row>
    <row r="91" spans="5:9" x14ac:dyDescent="0.25">
      <c r="E91">
        <f t="shared" si="8"/>
        <v>18</v>
      </c>
      <c r="G91" t="s">
        <v>282</v>
      </c>
      <c r="H91" s="51">
        <v>9</v>
      </c>
      <c r="I91" s="51">
        <v>181</v>
      </c>
    </row>
    <row r="92" spans="5:9" x14ac:dyDescent="0.25">
      <c r="E92">
        <f t="shared" si="8"/>
        <v>18</v>
      </c>
      <c r="G92" t="s">
        <v>283</v>
      </c>
      <c r="H92" s="51">
        <v>5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275</v>
      </c>
      <c r="H93" s="51">
        <v>19</v>
      </c>
      <c r="I93" s="51">
        <v>209</v>
      </c>
    </row>
    <row r="94" spans="5:9" x14ac:dyDescent="0.25">
      <c r="E94">
        <f t="shared" ref="E94:E101" si="9">+$F$93</f>
        <v>19</v>
      </c>
      <c r="G94" t="s">
        <v>276</v>
      </c>
      <c r="H94" s="51">
        <v>2</v>
      </c>
      <c r="I94" s="51">
        <v>209</v>
      </c>
    </row>
    <row r="95" spans="5:9" x14ac:dyDescent="0.25">
      <c r="E95">
        <f t="shared" si="9"/>
        <v>19</v>
      </c>
      <c r="G95" t="s">
        <v>277</v>
      </c>
      <c r="H95" s="51">
        <v>25</v>
      </c>
      <c r="I95" s="51">
        <v>209</v>
      </c>
    </row>
    <row r="96" spans="5:9" x14ac:dyDescent="0.25">
      <c r="E96">
        <f t="shared" si="9"/>
        <v>19</v>
      </c>
      <c r="G96" t="s">
        <v>278</v>
      </c>
      <c r="H96" s="51">
        <v>11</v>
      </c>
      <c r="I96" s="51">
        <v>209</v>
      </c>
    </row>
    <row r="97" spans="5:9" x14ac:dyDescent="0.25">
      <c r="E97">
        <f t="shared" si="9"/>
        <v>19</v>
      </c>
      <c r="G97" t="s">
        <v>279</v>
      </c>
      <c r="H97" s="51">
        <v>30</v>
      </c>
      <c r="I97" s="51">
        <v>209</v>
      </c>
    </row>
    <row r="98" spans="5:9" x14ac:dyDescent="0.25">
      <c r="E98">
        <f t="shared" si="9"/>
        <v>19</v>
      </c>
      <c r="G98" t="s">
        <v>280</v>
      </c>
      <c r="H98" s="51">
        <v>20</v>
      </c>
      <c r="I98" s="51">
        <v>209</v>
      </c>
    </row>
    <row r="99" spans="5:9" x14ac:dyDescent="0.25">
      <c r="E99">
        <f t="shared" si="9"/>
        <v>19</v>
      </c>
      <c r="G99" t="s">
        <v>281</v>
      </c>
      <c r="H99" s="51">
        <v>5</v>
      </c>
      <c r="I99" s="51">
        <v>209</v>
      </c>
    </row>
    <row r="100" spans="5:9" x14ac:dyDescent="0.25">
      <c r="E100">
        <f t="shared" si="9"/>
        <v>19</v>
      </c>
      <c r="G100" t="s">
        <v>282</v>
      </c>
      <c r="H100" s="51">
        <v>9</v>
      </c>
      <c r="I100" s="51">
        <v>209</v>
      </c>
    </row>
    <row r="101" spans="5:9" x14ac:dyDescent="0.25">
      <c r="E101">
        <f t="shared" si="9"/>
        <v>19</v>
      </c>
      <c r="G101" t="s">
        <v>283</v>
      </c>
      <c r="H101" s="51">
        <v>6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275</v>
      </c>
      <c r="H102" s="51">
        <v>4</v>
      </c>
      <c r="I102" s="51">
        <v>120</v>
      </c>
    </row>
    <row r="103" spans="5:9" x14ac:dyDescent="0.25">
      <c r="E103">
        <f t="shared" ref="E103:E110" si="10">+$F$102</f>
        <v>2</v>
      </c>
      <c r="G103" t="s">
        <v>276</v>
      </c>
      <c r="H103" s="51">
        <v>6</v>
      </c>
      <c r="I103" s="51">
        <v>120</v>
      </c>
    </row>
    <row r="104" spans="5:9" x14ac:dyDescent="0.25">
      <c r="E104">
        <f t="shared" si="10"/>
        <v>2</v>
      </c>
      <c r="G104" t="s">
        <v>277</v>
      </c>
      <c r="H104" s="51">
        <v>13</v>
      </c>
      <c r="I104" s="51">
        <v>120</v>
      </c>
    </row>
    <row r="105" spans="5:9" x14ac:dyDescent="0.25">
      <c r="E105">
        <f t="shared" si="10"/>
        <v>2</v>
      </c>
      <c r="G105" t="s">
        <v>278</v>
      </c>
      <c r="H105" s="51">
        <v>10</v>
      </c>
      <c r="I105" s="51">
        <v>120</v>
      </c>
    </row>
    <row r="106" spans="5:9" x14ac:dyDescent="0.25">
      <c r="E106">
        <f t="shared" si="10"/>
        <v>2</v>
      </c>
      <c r="G106" t="s">
        <v>279</v>
      </c>
      <c r="H106" s="51">
        <v>18</v>
      </c>
      <c r="I106" s="51">
        <v>120</v>
      </c>
    </row>
    <row r="107" spans="5:9" x14ac:dyDescent="0.25">
      <c r="E107">
        <f t="shared" si="10"/>
        <v>2</v>
      </c>
      <c r="G107" t="s">
        <v>280</v>
      </c>
      <c r="H107" s="51">
        <v>7</v>
      </c>
      <c r="I107" s="51">
        <v>120</v>
      </c>
    </row>
    <row r="108" spans="5:9" x14ac:dyDescent="0.25">
      <c r="E108">
        <f t="shared" si="10"/>
        <v>2</v>
      </c>
      <c r="G108" t="s">
        <v>281</v>
      </c>
      <c r="H108" s="51">
        <v>4</v>
      </c>
      <c r="I108" s="51">
        <v>120</v>
      </c>
    </row>
    <row r="109" spans="5:9" x14ac:dyDescent="0.25">
      <c r="E109">
        <f t="shared" si="10"/>
        <v>2</v>
      </c>
      <c r="G109" t="s">
        <v>282</v>
      </c>
      <c r="H109" s="51">
        <v>2</v>
      </c>
      <c r="I109" s="51">
        <v>120</v>
      </c>
    </row>
    <row r="110" spans="5:9" x14ac:dyDescent="0.25">
      <c r="E110">
        <f t="shared" si="10"/>
        <v>2</v>
      </c>
      <c r="G110" t="s">
        <v>283</v>
      </c>
      <c r="H110" s="51">
        <v>12</v>
      </c>
      <c r="I110" s="51">
        <v>120</v>
      </c>
    </row>
    <row r="111" spans="5:9" x14ac:dyDescent="0.25">
      <c r="E111">
        <f>+$F$111</f>
        <v>20</v>
      </c>
      <c r="F111">
        <v>20</v>
      </c>
      <c r="G111" t="s">
        <v>275</v>
      </c>
      <c r="H111" s="51">
        <v>13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276</v>
      </c>
      <c r="H112" s="51">
        <v>10</v>
      </c>
      <c r="I112" s="51">
        <v>228</v>
      </c>
    </row>
    <row r="113" spans="5:9" x14ac:dyDescent="0.25">
      <c r="E113">
        <f t="shared" si="11"/>
        <v>20</v>
      </c>
      <c r="G113" t="s">
        <v>277</v>
      </c>
      <c r="H113" s="51">
        <v>29</v>
      </c>
      <c r="I113" s="51">
        <v>228</v>
      </c>
    </row>
    <row r="114" spans="5:9" x14ac:dyDescent="0.25">
      <c r="E114">
        <f t="shared" si="11"/>
        <v>20</v>
      </c>
      <c r="G114" t="s">
        <v>278</v>
      </c>
      <c r="H114" s="51">
        <v>15</v>
      </c>
      <c r="I114" s="51">
        <v>228</v>
      </c>
    </row>
    <row r="115" spans="5:9" x14ac:dyDescent="0.25">
      <c r="E115">
        <f t="shared" si="11"/>
        <v>20</v>
      </c>
      <c r="G115" t="s">
        <v>279</v>
      </c>
      <c r="H115" s="51">
        <v>36</v>
      </c>
      <c r="I115" s="51">
        <v>228</v>
      </c>
    </row>
    <row r="116" spans="5:9" x14ac:dyDescent="0.25">
      <c r="E116">
        <f t="shared" si="11"/>
        <v>20</v>
      </c>
      <c r="G116" t="s">
        <v>280</v>
      </c>
      <c r="H116">
        <v>24</v>
      </c>
      <c r="I116" s="51">
        <v>228</v>
      </c>
    </row>
    <row r="117" spans="5:9" x14ac:dyDescent="0.25">
      <c r="E117">
        <f t="shared" si="11"/>
        <v>20</v>
      </c>
      <c r="G117" t="s">
        <v>281</v>
      </c>
      <c r="H117" s="51">
        <v>6</v>
      </c>
      <c r="I117" s="51">
        <v>228</v>
      </c>
    </row>
    <row r="118" spans="5:9" x14ac:dyDescent="0.25">
      <c r="E118">
        <f t="shared" si="11"/>
        <v>20</v>
      </c>
      <c r="G118" t="s">
        <v>282</v>
      </c>
      <c r="H118" s="51">
        <v>5</v>
      </c>
      <c r="I118" s="51">
        <v>228</v>
      </c>
    </row>
    <row r="119" spans="5:9" x14ac:dyDescent="0.25">
      <c r="E119">
        <f t="shared" si="11"/>
        <v>20</v>
      </c>
      <c r="G119" t="s">
        <v>283</v>
      </c>
      <c r="H119" s="51">
        <v>8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275</v>
      </c>
      <c r="H120" s="51">
        <v>18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276</v>
      </c>
      <c r="H121" s="51">
        <v>7</v>
      </c>
      <c r="I121" s="51">
        <v>166</v>
      </c>
    </row>
    <row r="122" spans="5:9" x14ac:dyDescent="0.25">
      <c r="E122">
        <f t="shared" si="12"/>
        <v>21</v>
      </c>
      <c r="G122" t="s">
        <v>277</v>
      </c>
      <c r="H122" s="51">
        <v>31</v>
      </c>
      <c r="I122" s="51">
        <v>166</v>
      </c>
    </row>
    <row r="123" spans="5:9" x14ac:dyDescent="0.25">
      <c r="E123">
        <f t="shared" si="12"/>
        <v>21</v>
      </c>
      <c r="G123" t="s">
        <v>278</v>
      </c>
      <c r="H123" s="51">
        <v>14</v>
      </c>
      <c r="I123" s="51">
        <v>166</v>
      </c>
    </row>
    <row r="124" spans="5:9" x14ac:dyDescent="0.25">
      <c r="E124">
        <f t="shared" si="12"/>
        <v>21</v>
      </c>
      <c r="G124" t="s">
        <v>279</v>
      </c>
      <c r="H124">
        <v>46</v>
      </c>
      <c r="I124" s="51">
        <v>166</v>
      </c>
    </row>
    <row r="125" spans="5:9" x14ac:dyDescent="0.25">
      <c r="E125">
        <f t="shared" si="12"/>
        <v>21</v>
      </c>
      <c r="G125" t="s">
        <v>280</v>
      </c>
      <c r="H125" s="51">
        <v>32</v>
      </c>
      <c r="I125" s="51">
        <v>166</v>
      </c>
    </row>
    <row r="126" spans="5:9" x14ac:dyDescent="0.25">
      <c r="E126">
        <f t="shared" si="12"/>
        <v>21</v>
      </c>
      <c r="G126" t="s">
        <v>281</v>
      </c>
      <c r="H126" s="51">
        <v>4</v>
      </c>
      <c r="I126" s="51">
        <v>166</v>
      </c>
    </row>
    <row r="127" spans="5:9" x14ac:dyDescent="0.25">
      <c r="E127">
        <f t="shared" si="12"/>
        <v>21</v>
      </c>
      <c r="G127" t="s">
        <v>282</v>
      </c>
      <c r="H127" s="51">
        <v>3</v>
      </c>
      <c r="I127" s="51">
        <v>166</v>
      </c>
    </row>
    <row r="128" spans="5:9" x14ac:dyDescent="0.25">
      <c r="E128">
        <f t="shared" si="12"/>
        <v>21</v>
      </c>
      <c r="G128" t="s">
        <v>283</v>
      </c>
      <c r="H128" s="51">
        <v>5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275</v>
      </c>
      <c r="H129" s="51">
        <v>17</v>
      </c>
      <c r="I129" s="51">
        <v>79</v>
      </c>
    </row>
    <row r="130" spans="5:9" x14ac:dyDescent="0.25">
      <c r="E130">
        <f t="shared" ref="E130:E137" si="13">+$F$129</f>
        <v>22</v>
      </c>
      <c r="G130" t="s">
        <v>276</v>
      </c>
      <c r="H130" s="51">
        <v>6</v>
      </c>
      <c r="I130" s="51">
        <v>79</v>
      </c>
    </row>
    <row r="131" spans="5:9" x14ac:dyDescent="0.25">
      <c r="E131">
        <f t="shared" si="13"/>
        <v>22</v>
      </c>
      <c r="G131" t="s">
        <v>277</v>
      </c>
      <c r="H131" s="51">
        <v>6</v>
      </c>
      <c r="I131" s="51">
        <v>79</v>
      </c>
    </row>
    <row r="132" spans="5:9" x14ac:dyDescent="0.25">
      <c r="E132">
        <f t="shared" si="13"/>
        <v>22</v>
      </c>
      <c r="G132" t="s">
        <v>278</v>
      </c>
      <c r="H132" s="51">
        <v>3</v>
      </c>
      <c r="I132" s="51">
        <v>79</v>
      </c>
    </row>
    <row r="133" spans="5:9" x14ac:dyDescent="0.25">
      <c r="E133">
        <f t="shared" si="13"/>
        <v>22</v>
      </c>
      <c r="G133" t="s">
        <v>279</v>
      </c>
      <c r="H133" s="51">
        <v>11</v>
      </c>
      <c r="I133" s="51">
        <v>79</v>
      </c>
    </row>
    <row r="134" spans="5:9" x14ac:dyDescent="0.25">
      <c r="E134">
        <f t="shared" si="13"/>
        <v>22</v>
      </c>
      <c r="G134" t="s">
        <v>280</v>
      </c>
      <c r="H134" s="51">
        <v>7</v>
      </c>
      <c r="I134" s="51">
        <v>79</v>
      </c>
    </row>
    <row r="135" spans="5:9" x14ac:dyDescent="0.25">
      <c r="E135">
        <f t="shared" si="13"/>
        <v>22</v>
      </c>
      <c r="G135" t="s">
        <v>281</v>
      </c>
      <c r="H135" s="51">
        <v>12</v>
      </c>
      <c r="I135" s="51">
        <v>79</v>
      </c>
    </row>
    <row r="136" spans="5:9" x14ac:dyDescent="0.25">
      <c r="E136">
        <f t="shared" si="13"/>
        <v>22</v>
      </c>
      <c r="G136" t="s">
        <v>282</v>
      </c>
      <c r="H136" s="51">
        <v>5</v>
      </c>
      <c r="I136" s="51">
        <v>79</v>
      </c>
    </row>
    <row r="137" spans="5:9" x14ac:dyDescent="0.25">
      <c r="E137">
        <f t="shared" si="13"/>
        <v>22</v>
      </c>
      <c r="G137" t="s">
        <v>283</v>
      </c>
      <c r="H137" s="51">
        <v>5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275</v>
      </c>
      <c r="H138" s="51">
        <v>13</v>
      </c>
      <c r="I138" s="51">
        <v>157</v>
      </c>
    </row>
    <row r="139" spans="5:9" x14ac:dyDescent="0.25">
      <c r="E139">
        <f t="shared" ref="E139:E146" si="14">+$F$138</f>
        <v>23</v>
      </c>
      <c r="G139" t="s">
        <v>276</v>
      </c>
      <c r="H139" s="51">
        <v>3</v>
      </c>
      <c r="I139" s="51">
        <v>157</v>
      </c>
    </row>
    <row r="140" spans="5:9" x14ac:dyDescent="0.25">
      <c r="E140">
        <f t="shared" si="14"/>
        <v>23</v>
      </c>
      <c r="G140" t="s">
        <v>277</v>
      </c>
      <c r="H140">
        <v>30</v>
      </c>
      <c r="I140" s="51">
        <v>157</v>
      </c>
    </row>
    <row r="141" spans="5:9" x14ac:dyDescent="0.25">
      <c r="E141">
        <f t="shared" si="14"/>
        <v>23</v>
      </c>
      <c r="G141" t="s">
        <v>278</v>
      </c>
      <c r="H141" s="51">
        <v>13</v>
      </c>
      <c r="I141" s="51">
        <v>157</v>
      </c>
    </row>
    <row r="142" spans="5:9" x14ac:dyDescent="0.25">
      <c r="E142">
        <f t="shared" si="14"/>
        <v>23</v>
      </c>
      <c r="G142" t="s">
        <v>279</v>
      </c>
      <c r="H142" s="51">
        <v>36</v>
      </c>
      <c r="I142" s="51">
        <v>157</v>
      </c>
    </row>
    <row r="143" spans="5:9" x14ac:dyDescent="0.25">
      <c r="E143">
        <f t="shared" si="14"/>
        <v>23</v>
      </c>
      <c r="G143" t="s">
        <v>280</v>
      </c>
      <c r="H143" s="51">
        <v>19</v>
      </c>
      <c r="I143" s="51">
        <v>157</v>
      </c>
    </row>
    <row r="144" spans="5:9" x14ac:dyDescent="0.25">
      <c r="E144">
        <f t="shared" si="14"/>
        <v>23</v>
      </c>
      <c r="G144" t="s">
        <v>281</v>
      </c>
      <c r="H144" s="51">
        <v>4</v>
      </c>
      <c r="I144" s="51">
        <v>157</v>
      </c>
    </row>
    <row r="145" spans="5:9" x14ac:dyDescent="0.25">
      <c r="E145">
        <f t="shared" si="14"/>
        <v>23</v>
      </c>
      <c r="G145" t="s">
        <v>282</v>
      </c>
      <c r="H145" s="51">
        <v>8</v>
      </c>
      <c r="I145" s="51">
        <v>157</v>
      </c>
    </row>
    <row r="146" spans="5:9" x14ac:dyDescent="0.25">
      <c r="E146">
        <f t="shared" si="14"/>
        <v>23</v>
      </c>
      <c r="G146" t="s">
        <v>283</v>
      </c>
      <c r="H146" s="51">
        <v>3</v>
      </c>
      <c r="I146" s="51">
        <v>157</v>
      </c>
    </row>
    <row r="147" spans="5:9" x14ac:dyDescent="0.25">
      <c r="E147">
        <f>+$F$147</f>
        <v>24</v>
      </c>
      <c r="F147">
        <v>24</v>
      </c>
      <c r="G147" t="s">
        <v>275</v>
      </c>
      <c r="H147" s="51">
        <v>10</v>
      </c>
      <c r="I147" s="51">
        <v>184</v>
      </c>
    </row>
    <row r="148" spans="5:9" x14ac:dyDescent="0.25">
      <c r="E148">
        <f t="shared" ref="E148:E155" si="15">+$F$147</f>
        <v>24</v>
      </c>
      <c r="G148" t="s">
        <v>276</v>
      </c>
      <c r="H148">
        <v>4</v>
      </c>
      <c r="I148" s="51">
        <v>184</v>
      </c>
    </row>
    <row r="149" spans="5:9" x14ac:dyDescent="0.25">
      <c r="E149">
        <f t="shared" si="15"/>
        <v>24</v>
      </c>
      <c r="G149" t="s">
        <v>277</v>
      </c>
      <c r="H149" s="51">
        <v>10</v>
      </c>
      <c r="I149" s="51">
        <v>184</v>
      </c>
    </row>
    <row r="150" spans="5:9" x14ac:dyDescent="0.25">
      <c r="E150">
        <f t="shared" si="15"/>
        <v>24</v>
      </c>
      <c r="G150" t="s">
        <v>278</v>
      </c>
      <c r="H150" s="51">
        <v>8</v>
      </c>
      <c r="I150" s="51">
        <v>184</v>
      </c>
    </row>
    <row r="151" spans="5:9" x14ac:dyDescent="0.25">
      <c r="E151">
        <f t="shared" si="15"/>
        <v>24</v>
      </c>
      <c r="G151" t="s">
        <v>279</v>
      </c>
      <c r="H151" s="51">
        <v>25</v>
      </c>
      <c r="I151" s="51">
        <v>184</v>
      </c>
    </row>
    <row r="152" spans="5:9" x14ac:dyDescent="0.25">
      <c r="E152">
        <f t="shared" si="15"/>
        <v>24</v>
      </c>
      <c r="G152" t="s">
        <v>280</v>
      </c>
      <c r="H152" s="51">
        <v>13</v>
      </c>
      <c r="I152" s="51">
        <v>184</v>
      </c>
    </row>
    <row r="153" spans="5:9" x14ac:dyDescent="0.25">
      <c r="E153">
        <f t="shared" si="15"/>
        <v>24</v>
      </c>
      <c r="G153" t="s">
        <v>281</v>
      </c>
      <c r="H153" s="51">
        <v>2</v>
      </c>
      <c r="I153" s="51">
        <v>184</v>
      </c>
    </row>
    <row r="154" spans="5:9" x14ac:dyDescent="0.25">
      <c r="E154">
        <f t="shared" si="15"/>
        <v>24</v>
      </c>
      <c r="G154" t="s">
        <v>282</v>
      </c>
      <c r="H154" s="51">
        <v>8</v>
      </c>
      <c r="I154" s="51">
        <v>184</v>
      </c>
    </row>
    <row r="155" spans="5:9" x14ac:dyDescent="0.25">
      <c r="E155">
        <f t="shared" si="15"/>
        <v>24</v>
      </c>
      <c r="G155" t="s">
        <v>283</v>
      </c>
      <c r="H155" s="51">
        <v>2</v>
      </c>
      <c r="I155" s="51">
        <v>184</v>
      </c>
    </row>
    <row r="156" spans="5:9" x14ac:dyDescent="0.25">
      <c r="E156">
        <f>+$F$156</f>
        <v>25</v>
      </c>
      <c r="F156">
        <v>25</v>
      </c>
      <c r="G156" t="s">
        <v>275</v>
      </c>
      <c r="H156" s="51">
        <v>7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276</v>
      </c>
      <c r="H157" s="51">
        <v>3</v>
      </c>
      <c r="I157" s="51">
        <v>174</v>
      </c>
    </row>
    <row r="158" spans="5:9" x14ac:dyDescent="0.25">
      <c r="E158">
        <f t="shared" si="16"/>
        <v>25</v>
      </c>
      <c r="G158" t="s">
        <v>277</v>
      </c>
      <c r="H158" s="51">
        <v>7</v>
      </c>
      <c r="I158" s="51">
        <v>174</v>
      </c>
    </row>
    <row r="159" spans="5:9" x14ac:dyDescent="0.25">
      <c r="E159">
        <f t="shared" si="16"/>
        <v>25</v>
      </c>
      <c r="G159" t="s">
        <v>278</v>
      </c>
      <c r="H159" s="51">
        <v>3</v>
      </c>
      <c r="I159" s="51">
        <v>174</v>
      </c>
    </row>
    <row r="160" spans="5:9" x14ac:dyDescent="0.25">
      <c r="E160">
        <f t="shared" si="16"/>
        <v>25</v>
      </c>
      <c r="G160" t="s">
        <v>279</v>
      </c>
      <c r="H160" s="51">
        <v>7</v>
      </c>
      <c r="I160" s="51">
        <v>174</v>
      </c>
    </row>
    <row r="161" spans="5:9" x14ac:dyDescent="0.25">
      <c r="E161">
        <f t="shared" si="16"/>
        <v>25</v>
      </c>
      <c r="G161" t="s">
        <v>280</v>
      </c>
      <c r="H161" s="51">
        <v>4</v>
      </c>
      <c r="I161" s="51">
        <v>174</v>
      </c>
    </row>
    <row r="162" spans="5:9" x14ac:dyDescent="0.25">
      <c r="E162">
        <f t="shared" si="16"/>
        <v>25</v>
      </c>
      <c r="G162" t="s">
        <v>281</v>
      </c>
      <c r="H162" s="51">
        <v>6</v>
      </c>
      <c r="I162" s="51">
        <v>174</v>
      </c>
    </row>
    <row r="163" spans="5:9" x14ac:dyDescent="0.25">
      <c r="E163">
        <f t="shared" si="16"/>
        <v>25</v>
      </c>
      <c r="G163" t="s">
        <v>282</v>
      </c>
      <c r="H163" s="51">
        <v>5</v>
      </c>
      <c r="I163" s="51">
        <v>174</v>
      </c>
    </row>
    <row r="164" spans="5:9" x14ac:dyDescent="0.25">
      <c r="E164">
        <f t="shared" si="16"/>
        <v>25</v>
      </c>
      <c r="G164" t="s">
        <v>283</v>
      </c>
      <c r="H164">
        <v>2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275</v>
      </c>
      <c r="H165" s="51">
        <v>19</v>
      </c>
      <c r="I165" s="51">
        <v>169</v>
      </c>
    </row>
    <row r="166" spans="5:9" x14ac:dyDescent="0.25">
      <c r="E166">
        <f t="shared" ref="E166:E173" si="17">+$F$165</f>
        <v>26</v>
      </c>
      <c r="G166" t="s">
        <v>276</v>
      </c>
      <c r="H166" s="51">
        <v>6</v>
      </c>
      <c r="I166" s="51">
        <v>169</v>
      </c>
    </row>
    <row r="167" spans="5:9" x14ac:dyDescent="0.25">
      <c r="E167">
        <f t="shared" si="17"/>
        <v>26</v>
      </c>
      <c r="G167" t="s">
        <v>277</v>
      </c>
      <c r="H167" s="51">
        <v>4</v>
      </c>
      <c r="I167" s="51">
        <v>169</v>
      </c>
    </row>
    <row r="168" spans="5:9" x14ac:dyDescent="0.25">
      <c r="E168">
        <f t="shared" si="17"/>
        <v>26</v>
      </c>
      <c r="G168" t="s">
        <v>278</v>
      </c>
      <c r="H168" s="51">
        <v>7</v>
      </c>
      <c r="I168" s="51">
        <v>169</v>
      </c>
    </row>
    <row r="169" spans="5:9" x14ac:dyDescent="0.25">
      <c r="E169">
        <f t="shared" si="17"/>
        <v>26</v>
      </c>
      <c r="G169" t="s">
        <v>279</v>
      </c>
      <c r="H169" s="51">
        <v>10</v>
      </c>
      <c r="I169" s="51">
        <v>169</v>
      </c>
    </row>
    <row r="170" spans="5:9" x14ac:dyDescent="0.25">
      <c r="E170">
        <f t="shared" si="17"/>
        <v>26</v>
      </c>
      <c r="G170" t="s">
        <v>280</v>
      </c>
      <c r="H170" s="51">
        <v>6</v>
      </c>
      <c r="I170" s="51">
        <v>169</v>
      </c>
    </row>
    <row r="171" spans="5:9" x14ac:dyDescent="0.25">
      <c r="E171">
        <f t="shared" si="17"/>
        <v>26</v>
      </c>
      <c r="G171" t="s">
        <v>281</v>
      </c>
      <c r="H171" s="51">
        <v>20</v>
      </c>
      <c r="I171" s="51">
        <v>169</v>
      </c>
    </row>
    <row r="172" spans="5:9" x14ac:dyDescent="0.25">
      <c r="E172">
        <f t="shared" si="17"/>
        <v>26</v>
      </c>
      <c r="G172" t="s">
        <v>282</v>
      </c>
      <c r="H172" s="51">
        <v>7</v>
      </c>
      <c r="I172" s="51">
        <v>169</v>
      </c>
    </row>
    <row r="173" spans="5:9" x14ac:dyDescent="0.25">
      <c r="E173">
        <f t="shared" si="17"/>
        <v>26</v>
      </c>
      <c r="G173" t="s">
        <v>283</v>
      </c>
      <c r="H173" s="51">
        <v>5</v>
      </c>
      <c r="I173" s="51">
        <v>169</v>
      </c>
    </row>
    <row r="174" spans="5:9" x14ac:dyDescent="0.25">
      <c r="E174">
        <f>+$F$174</f>
        <v>27</v>
      </c>
      <c r="F174">
        <v>27</v>
      </c>
      <c r="G174" t="s">
        <v>275</v>
      </c>
      <c r="H174" s="51">
        <v>6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276</v>
      </c>
      <c r="H175" s="51">
        <v>1</v>
      </c>
      <c r="I175" s="51">
        <v>131</v>
      </c>
    </row>
    <row r="176" spans="5:9" x14ac:dyDescent="0.25">
      <c r="E176">
        <f t="shared" si="18"/>
        <v>27</v>
      </c>
      <c r="G176" t="s">
        <v>277</v>
      </c>
      <c r="H176" s="51">
        <v>10</v>
      </c>
      <c r="I176" s="51">
        <v>131</v>
      </c>
    </row>
    <row r="177" spans="5:9" x14ac:dyDescent="0.25">
      <c r="E177">
        <f t="shared" si="18"/>
        <v>27</v>
      </c>
      <c r="G177" t="s">
        <v>278</v>
      </c>
      <c r="H177" s="51">
        <v>10</v>
      </c>
      <c r="I177" s="51">
        <v>131</v>
      </c>
    </row>
    <row r="178" spans="5:9" x14ac:dyDescent="0.25">
      <c r="E178">
        <f t="shared" si="18"/>
        <v>27</v>
      </c>
      <c r="G178" t="s">
        <v>279</v>
      </c>
      <c r="H178" s="51">
        <v>19</v>
      </c>
      <c r="I178" s="51">
        <v>131</v>
      </c>
    </row>
    <row r="179" spans="5:9" x14ac:dyDescent="0.25">
      <c r="E179">
        <f t="shared" si="18"/>
        <v>27</v>
      </c>
      <c r="G179" t="s">
        <v>280</v>
      </c>
      <c r="H179" s="51">
        <v>6</v>
      </c>
      <c r="I179" s="51">
        <v>131</v>
      </c>
    </row>
    <row r="180" spans="5:9" x14ac:dyDescent="0.25">
      <c r="E180">
        <f t="shared" si="18"/>
        <v>27</v>
      </c>
      <c r="G180" t="s">
        <v>281</v>
      </c>
      <c r="H180">
        <v>5</v>
      </c>
      <c r="I180" s="51">
        <v>131</v>
      </c>
    </row>
    <row r="181" spans="5:9" x14ac:dyDescent="0.25">
      <c r="E181">
        <f t="shared" si="18"/>
        <v>27</v>
      </c>
      <c r="G181" t="s">
        <v>282</v>
      </c>
      <c r="H181" s="51">
        <v>2</v>
      </c>
      <c r="I181" s="51">
        <v>131</v>
      </c>
    </row>
    <row r="182" spans="5:9" x14ac:dyDescent="0.25">
      <c r="E182">
        <f t="shared" si="18"/>
        <v>27</v>
      </c>
      <c r="G182" t="s">
        <v>283</v>
      </c>
      <c r="H182" s="51">
        <v>2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275</v>
      </c>
      <c r="H183" s="51">
        <v>6</v>
      </c>
      <c r="I183" s="51">
        <v>169</v>
      </c>
    </row>
    <row r="184" spans="5:9" x14ac:dyDescent="0.25">
      <c r="E184">
        <f t="shared" ref="E184:E191" si="19">+$F$183</f>
        <v>28</v>
      </c>
      <c r="G184" t="s">
        <v>276</v>
      </c>
      <c r="H184" s="51">
        <v>3</v>
      </c>
      <c r="I184" s="51">
        <v>169</v>
      </c>
    </row>
    <row r="185" spans="5:9" x14ac:dyDescent="0.25">
      <c r="E185">
        <f t="shared" si="19"/>
        <v>28</v>
      </c>
      <c r="G185" t="s">
        <v>277</v>
      </c>
      <c r="H185" s="51">
        <v>12</v>
      </c>
      <c r="I185" s="51">
        <v>169</v>
      </c>
    </row>
    <row r="186" spans="5:9" x14ac:dyDescent="0.25">
      <c r="E186">
        <f t="shared" si="19"/>
        <v>28</v>
      </c>
      <c r="G186" t="s">
        <v>278</v>
      </c>
      <c r="H186">
        <v>6</v>
      </c>
      <c r="I186" s="51">
        <v>169</v>
      </c>
    </row>
    <row r="187" spans="5:9" x14ac:dyDescent="0.25">
      <c r="E187">
        <f t="shared" si="19"/>
        <v>28</v>
      </c>
      <c r="G187" t="s">
        <v>279</v>
      </c>
      <c r="H187" s="51">
        <v>15</v>
      </c>
      <c r="I187" s="51">
        <v>169</v>
      </c>
    </row>
    <row r="188" spans="5:9" x14ac:dyDescent="0.25">
      <c r="E188">
        <f t="shared" si="19"/>
        <v>28</v>
      </c>
      <c r="G188" t="s">
        <v>280</v>
      </c>
      <c r="H188" s="51">
        <v>14</v>
      </c>
      <c r="I188" s="51">
        <v>169</v>
      </c>
    </row>
    <row r="189" spans="5:9" x14ac:dyDescent="0.25">
      <c r="E189">
        <f t="shared" si="19"/>
        <v>28</v>
      </c>
      <c r="G189" t="s">
        <v>281</v>
      </c>
      <c r="H189" s="51"/>
      <c r="I189" s="51">
        <v>169</v>
      </c>
    </row>
    <row r="190" spans="5:9" x14ac:dyDescent="0.25">
      <c r="E190">
        <f t="shared" si="19"/>
        <v>28</v>
      </c>
      <c r="G190" t="s">
        <v>282</v>
      </c>
      <c r="H190" s="51">
        <v>3</v>
      </c>
      <c r="I190" s="51">
        <v>169</v>
      </c>
    </row>
    <row r="191" spans="5:9" x14ac:dyDescent="0.25">
      <c r="E191">
        <f t="shared" si="19"/>
        <v>28</v>
      </c>
      <c r="G191" t="s">
        <v>283</v>
      </c>
      <c r="H191" s="51">
        <v>2</v>
      </c>
      <c r="I191" s="51">
        <v>169</v>
      </c>
    </row>
    <row r="192" spans="5:9" x14ac:dyDescent="0.25">
      <c r="E192">
        <f>+$F$192</f>
        <v>3</v>
      </c>
      <c r="F192">
        <v>3</v>
      </c>
      <c r="G192" t="s">
        <v>275</v>
      </c>
      <c r="H192" s="51">
        <v>11</v>
      </c>
      <c r="I192" s="51">
        <v>172</v>
      </c>
    </row>
    <row r="193" spans="5:9" x14ac:dyDescent="0.25">
      <c r="E193">
        <f t="shared" ref="E193:E200" si="20">+$F$192</f>
        <v>3</v>
      </c>
      <c r="G193" t="s">
        <v>276</v>
      </c>
      <c r="H193" s="51">
        <v>3</v>
      </c>
      <c r="I193" s="51">
        <v>172</v>
      </c>
    </row>
    <row r="194" spans="5:9" x14ac:dyDescent="0.25">
      <c r="E194">
        <f t="shared" si="20"/>
        <v>3</v>
      </c>
      <c r="G194" t="s">
        <v>277</v>
      </c>
      <c r="H194" s="51">
        <v>24</v>
      </c>
      <c r="I194" s="51">
        <v>172</v>
      </c>
    </row>
    <row r="195" spans="5:9" x14ac:dyDescent="0.25">
      <c r="E195">
        <f t="shared" si="20"/>
        <v>3</v>
      </c>
      <c r="G195" t="s">
        <v>278</v>
      </c>
      <c r="H195" s="51">
        <v>9</v>
      </c>
      <c r="I195" s="51">
        <v>172</v>
      </c>
    </row>
    <row r="196" spans="5:9" x14ac:dyDescent="0.25">
      <c r="E196">
        <f t="shared" si="20"/>
        <v>3</v>
      </c>
      <c r="G196" t="s">
        <v>279</v>
      </c>
      <c r="H196">
        <v>27</v>
      </c>
      <c r="I196" s="51">
        <v>172</v>
      </c>
    </row>
    <row r="197" spans="5:9" x14ac:dyDescent="0.25">
      <c r="E197">
        <f t="shared" si="20"/>
        <v>3</v>
      </c>
      <c r="G197" t="s">
        <v>280</v>
      </c>
      <c r="H197" s="51">
        <v>20</v>
      </c>
      <c r="I197" s="51">
        <v>172</v>
      </c>
    </row>
    <row r="198" spans="5:9" x14ac:dyDescent="0.25">
      <c r="E198">
        <f t="shared" si="20"/>
        <v>3</v>
      </c>
      <c r="G198" t="s">
        <v>281</v>
      </c>
      <c r="H198" s="51">
        <v>4</v>
      </c>
      <c r="I198" s="51">
        <v>172</v>
      </c>
    </row>
    <row r="199" spans="5:9" x14ac:dyDescent="0.25">
      <c r="E199">
        <f t="shared" si="20"/>
        <v>3</v>
      </c>
      <c r="G199" t="s">
        <v>282</v>
      </c>
      <c r="H199" s="51">
        <v>9</v>
      </c>
      <c r="I199" s="51">
        <v>172</v>
      </c>
    </row>
    <row r="200" spans="5:9" x14ac:dyDescent="0.25">
      <c r="E200">
        <f t="shared" si="20"/>
        <v>3</v>
      </c>
      <c r="G200" t="s">
        <v>283</v>
      </c>
      <c r="H200" s="51">
        <v>7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275</v>
      </c>
      <c r="H201" s="51"/>
      <c r="I201" s="51">
        <v>122</v>
      </c>
    </row>
    <row r="202" spans="5:9" x14ac:dyDescent="0.25">
      <c r="E202">
        <f t="shared" ref="E202:E209" si="21">+$F$201</f>
        <v>30</v>
      </c>
      <c r="G202" t="s">
        <v>276</v>
      </c>
      <c r="H202" s="51"/>
      <c r="I202" s="51">
        <v>122</v>
      </c>
    </row>
    <row r="203" spans="5:9" x14ac:dyDescent="0.25">
      <c r="E203">
        <f t="shared" si="21"/>
        <v>30</v>
      </c>
      <c r="G203" t="s">
        <v>277</v>
      </c>
      <c r="H203" s="51">
        <v>1</v>
      </c>
      <c r="I203" s="51">
        <v>122</v>
      </c>
    </row>
    <row r="204" spans="5:9" x14ac:dyDescent="0.25">
      <c r="E204">
        <f t="shared" si="21"/>
        <v>30</v>
      </c>
      <c r="G204" t="s">
        <v>278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279</v>
      </c>
      <c r="H205" s="51"/>
      <c r="I205" s="51">
        <v>122</v>
      </c>
    </row>
    <row r="206" spans="5:9" x14ac:dyDescent="0.25">
      <c r="E206">
        <f t="shared" si="21"/>
        <v>30</v>
      </c>
      <c r="G206" t="s">
        <v>280</v>
      </c>
      <c r="H206" s="51"/>
      <c r="I206" s="51">
        <v>122</v>
      </c>
    </row>
    <row r="207" spans="5:9" x14ac:dyDescent="0.25">
      <c r="E207">
        <f t="shared" si="21"/>
        <v>30</v>
      </c>
      <c r="G207" t="s">
        <v>281</v>
      </c>
      <c r="H207" s="51"/>
      <c r="I207" s="51">
        <v>122</v>
      </c>
    </row>
    <row r="208" spans="5:9" x14ac:dyDescent="0.25">
      <c r="E208">
        <f t="shared" si="21"/>
        <v>30</v>
      </c>
      <c r="G208" t="s">
        <v>282</v>
      </c>
      <c r="H208" s="51"/>
      <c r="I208" s="51">
        <v>122</v>
      </c>
    </row>
    <row r="209" spans="5:9" x14ac:dyDescent="0.25">
      <c r="E209">
        <f t="shared" si="21"/>
        <v>30</v>
      </c>
      <c r="G209" t="s">
        <v>283</v>
      </c>
      <c r="H209" s="51"/>
      <c r="I209" s="51">
        <v>122</v>
      </c>
    </row>
    <row r="210" spans="5:9" x14ac:dyDescent="0.25">
      <c r="E210">
        <f>+$F$210</f>
        <v>31</v>
      </c>
      <c r="F210">
        <v>31</v>
      </c>
      <c r="G210" t="s">
        <v>275</v>
      </c>
      <c r="H210" s="51">
        <v>11</v>
      </c>
      <c r="I210" s="51">
        <v>164</v>
      </c>
    </row>
    <row r="211" spans="5:9" x14ac:dyDescent="0.25">
      <c r="E211">
        <f t="shared" ref="E211:E218" si="22">+$F$210</f>
        <v>31</v>
      </c>
      <c r="G211" t="s">
        <v>276</v>
      </c>
      <c r="H211" s="51">
        <v>7</v>
      </c>
      <c r="I211" s="51">
        <v>164</v>
      </c>
    </row>
    <row r="212" spans="5:9" x14ac:dyDescent="0.25">
      <c r="E212">
        <f t="shared" si="22"/>
        <v>31</v>
      </c>
      <c r="G212" t="s">
        <v>277</v>
      </c>
      <c r="H212">
        <v>18</v>
      </c>
      <c r="I212" s="51">
        <v>164</v>
      </c>
    </row>
    <row r="213" spans="5:9" x14ac:dyDescent="0.25">
      <c r="E213">
        <f t="shared" si="22"/>
        <v>31</v>
      </c>
      <c r="G213" t="s">
        <v>278</v>
      </c>
      <c r="H213" s="51">
        <v>14</v>
      </c>
      <c r="I213" s="51">
        <v>164</v>
      </c>
    </row>
    <row r="214" spans="5:9" x14ac:dyDescent="0.25">
      <c r="E214">
        <f t="shared" si="22"/>
        <v>31</v>
      </c>
      <c r="G214" t="s">
        <v>279</v>
      </c>
      <c r="H214" s="51">
        <v>26</v>
      </c>
      <c r="I214" s="51">
        <v>164</v>
      </c>
    </row>
    <row r="215" spans="5:9" x14ac:dyDescent="0.25">
      <c r="E215">
        <f t="shared" si="22"/>
        <v>31</v>
      </c>
      <c r="G215" t="s">
        <v>280</v>
      </c>
      <c r="H215" s="51">
        <v>18</v>
      </c>
      <c r="I215" s="51">
        <v>164</v>
      </c>
    </row>
    <row r="216" spans="5:9" x14ac:dyDescent="0.25">
      <c r="E216">
        <f t="shared" si="22"/>
        <v>31</v>
      </c>
      <c r="G216" t="s">
        <v>281</v>
      </c>
      <c r="H216" s="51">
        <v>7</v>
      </c>
      <c r="I216" s="51">
        <v>164</v>
      </c>
    </row>
    <row r="217" spans="5:9" x14ac:dyDescent="0.25">
      <c r="E217">
        <f t="shared" si="22"/>
        <v>31</v>
      </c>
      <c r="G217" t="s">
        <v>282</v>
      </c>
      <c r="H217" s="51">
        <v>6</v>
      </c>
      <c r="I217" s="51">
        <v>164</v>
      </c>
    </row>
    <row r="218" spans="5:9" x14ac:dyDescent="0.25">
      <c r="E218">
        <f t="shared" si="22"/>
        <v>31</v>
      </c>
      <c r="G218" t="s">
        <v>283</v>
      </c>
      <c r="H218" s="51">
        <v>4</v>
      </c>
      <c r="I218" s="51">
        <v>164</v>
      </c>
    </row>
    <row r="219" spans="5:9" x14ac:dyDescent="0.25">
      <c r="E219">
        <f>+$F$219</f>
        <v>32</v>
      </c>
      <c r="F219">
        <v>32</v>
      </c>
      <c r="G219" t="s">
        <v>275</v>
      </c>
      <c r="H219" s="51">
        <v>3</v>
      </c>
      <c r="I219" s="51">
        <v>58</v>
      </c>
    </row>
    <row r="220" spans="5:9" x14ac:dyDescent="0.25">
      <c r="E220">
        <f t="shared" ref="E220:E227" si="23">+$F$219</f>
        <v>32</v>
      </c>
      <c r="G220" t="s">
        <v>276</v>
      </c>
      <c r="H220" s="51">
        <v>1</v>
      </c>
      <c r="I220" s="51">
        <v>58</v>
      </c>
    </row>
    <row r="221" spans="5:9" x14ac:dyDescent="0.25">
      <c r="E221">
        <f t="shared" si="23"/>
        <v>32</v>
      </c>
      <c r="G221" t="s">
        <v>277</v>
      </c>
      <c r="H221" s="51">
        <v>1</v>
      </c>
      <c r="I221" s="51">
        <v>58</v>
      </c>
    </row>
    <row r="222" spans="5:9" x14ac:dyDescent="0.25">
      <c r="E222">
        <f t="shared" si="23"/>
        <v>32</v>
      </c>
      <c r="G222" t="s">
        <v>278</v>
      </c>
      <c r="H222" s="51">
        <v>5</v>
      </c>
      <c r="I222" s="51">
        <v>58</v>
      </c>
    </row>
    <row r="223" spans="5:9" x14ac:dyDescent="0.25">
      <c r="E223">
        <f t="shared" si="23"/>
        <v>32</v>
      </c>
      <c r="G223" t="s">
        <v>279</v>
      </c>
      <c r="H223" s="51">
        <v>8</v>
      </c>
      <c r="I223" s="51">
        <v>58</v>
      </c>
    </row>
    <row r="224" spans="5:9" x14ac:dyDescent="0.25">
      <c r="E224">
        <f t="shared" si="23"/>
        <v>32</v>
      </c>
      <c r="G224" t="s">
        <v>280</v>
      </c>
      <c r="H224" s="51">
        <v>4</v>
      </c>
      <c r="I224" s="51">
        <v>58</v>
      </c>
    </row>
    <row r="225" spans="5:9" x14ac:dyDescent="0.25">
      <c r="E225">
        <f t="shared" si="23"/>
        <v>32</v>
      </c>
      <c r="G225" t="s">
        <v>281</v>
      </c>
      <c r="H225" s="51">
        <v>5</v>
      </c>
      <c r="I225" s="51">
        <v>58</v>
      </c>
    </row>
    <row r="226" spans="5:9" x14ac:dyDescent="0.25">
      <c r="E226">
        <f t="shared" si="23"/>
        <v>32</v>
      </c>
      <c r="G226" t="s">
        <v>282</v>
      </c>
      <c r="H226" s="51">
        <v>2</v>
      </c>
      <c r="I226" s="51">
        <v>58</v>
      </c>
    </row>
    <row r="227" spans="5:9" x14ac:dyDescent="0.25">
      <c r="E227">
        <f t="shared" si="23"/>
        <v>32</v>
      </c>
      <c r="G227" t="s">
        <v>283</v>
      </c>
      <c r="H227" s="51">
        <v>1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275</v>
      </c>
      <c r="H228" s="51">
        <v>9</v>
      </c>
      <c r="I228" s="51">
        <v>169</v>
      </c>
    </row>
    <row r="229" spans="5:9" x14ac:dyDescent="0.25">
      <c r="E229">
        <f t="shared" ref="E229:E236" si="24">+$F$228</f>
        <v>33</v>
      </c>
      <c r="G229" t="s">
        <v>276</v>
      </c>
      <c r="H229" s="51">
        <v>5</v>
      </c>
      <c r="I229" s="51">
        <v>169</v>
      </c>
    </row>
    <row r="230" spans="5:9" x14ac:dyDescent="0.25">
      <c r="E230">
        <f t="shared" si="24"/>
        <v>33</v>
      </c>
      <c r="G230" t="s">
        <v>277</v>
      </c>
      <c r="H230" s="51">
        <v>13</v>
      </c>
      <c r="I230" s="51">
        <v>169</v>
      </c>
    </row>
    <row r="231" spans="5:9" x14ac:dyDescent="0.25">
      <c r="E231">
        <f t="shared" si="24"/>
        <v>33</v>
      </c>
      <c r="G231" t="s">
        <v>278</v>
      </c>
      <c r="H231" s="51">
        <v>8</v>
      </c>
      <c r="I231" s="51">
        <v>169</v>
      </c>
    </row>
    <row r="232" spans="5:9" x14ac:dyDescent="0.25">
      <c r="E232">
        <f t="shared" si="24"/>
        <v>33</v>
      </c>
      <c r="G232" t="s">
        <v>279</v>
      </c>
      <c r="H232" s="51">
        <v>19</v>
      </c>
      <c r="I232" s="51">
        <v>169</v>
      </c>
    </row>
    <row r="233" spans="5:9" x14ac:dyDescent="0.25">
      <c r="E233">
        <f t="shared" si="24"/>
        <v>33</v>
      </c>
      <c r="G233" t="s">
        <v>280</v>
      </c>
      <c r="H233" s="51">
        <v>14</v>
      </c>
      <c r="I233" s="51">
        <v>169</v>
      </c>
    </row>
    <row r="234" spans="5:9" x14ac:dyDescent="0.25">
      <c r="E234">
        <f t="shared" si="24"/>
        <v>33</v>
      </c>
      <c r="G234" t="s">
        <v>281</v>
      </c>
      <c r="H234" s="51">
        <v>2</v>
      </c>
      <c r="I234" s="51">
        <v>169</v>
      </c>
    </row>
    <row r="235" spans="5:9" x14ac:dyDescent="0.25">
      <c r="E235">
        <f t="shared" si="24"/>
        <v>33</v>
      </c>
      <c r="G235" t="s">
        <v>282</v>
      </c>
      <c r="H235" s="51">
        <v>7</v>
      </c>
      <c r="I235" s="51">
        <v>169</v>
      </c>
    </row>
    <row r="236" spans="5:9" x14ac:dyDescent="0.25">
      <c r="E236">
        <f t="shared" si="24"/>
        <v>33</v>
      </c>
      <c r="G236" t="s">
        <v>283</v>
      </c>
      <c r="H236">
        <v>2</v>
      </c>
      <c r="I236" s="51">
        <v>169</v>
      </c>
    </row>
    <row r="237" spans="5:9" x14ac:dyDescent="0.25">
      <c r="E237">
        <f>+$F$237</f>
        <v>36</v>
      </c>
      <c r="F237">
        <v>36</v>
      </c>
      <c r="G237" t="s">
        <v>275</v>
      </c>
      <c r="H237" s="51">
        <v>13</v>
      </c>
      <c r="I237" s="51">
        <v>159</v>
      </c>
    </row>
    <row r="238" spans="5:9" x14ac:dyDescent="0.25">
      <c r="E238">
        <f t="shared" ref="E238:E245" si="25">+$F$237</f>
        <v>36</v>
      </c>
      <c r="G238" t="s">
        <v>276</v>
      </c>
      <c r="H238" s="51">
        <v>2</v>
      </c>
      <c r="I238" s="51">
        <v>159</v>
      </c>
    </row>
    <row r="239" spans="5:9" x14ac:dyDescent="0.25">
      <c r="E239">
        <f t="shared" si="25"/>
        <v>36</v>
      </c>
      <c r="G239" t="s">
        <v>277</v>
      </c>
      <c r="H239" s="51">
        <v>17</v>
      </c>
      <c r="I239" s="51">
        <v>159</v>
      </c>
    </row>
    <row r="240" spans="5:9" x14ac:dyDescent="0.25">
      <c r="E240">
        <f t="shared" si="25"/>
        <v>36</v>
      </c>
      <c r="G240" t="s">
        <v>278</v>
      </c>
      <c r="H240" s="51">
        <v>7</v>
      </c>
      <c r="I240" s="51">
        <v>159</v>
      </c>
    </row>
    <row r="241" spans="5:9" x14ac:dyDescent="0.25">
      <c r="E241">
        <f t="shared" si="25"/>
        <v>36</v>
      </c>
      <c r="G241" t="s">
        <v>279</v>
      </c>
      <c r="H241" s="51">
        <v>25</v>
      </c>
      <c r="I241" s="51">
        <v>159</v>
      </c>
    </row>
    <row r="242" spans="5:9" x14ac:dyDescent="0.25">
      <c r="E242">
        <f t="shared" si="25"/>
        <v>36</v>
      </c>
      <c r="G242" t="s">
        <v>280</v>
      </c>
      <c r="H242" s="51">
        <v>11</v>
      </c>
      <c r="I242" s="51">
        <v>159</v>
      </c>
    </row>
    <row r="243" spans="5:9" x14ac:dyDescent="0.25">
      <c r="E243">
        <f t="shared" si="25"/>
        <v>36</v>
      </c>
      <c r="G243" t="s">
        <v>281</v>
      </c>
      <c r="H243" s="51">
        <v>1</v>
      </c>
      <c r="I243" s="51">
        <v>159</v>
      </c>
    </row>
    <row r="244" spans="5:9" x14ac:dyDescent="0.25">
      <c r="E244">
        <f t="shared" si="25"/>
        <v>36</v>
      </c>
      <c r="G244" t="s">
        <v>282</v>
      </c>
      <c r="H244">
        <v>1</v>
      </c>
      <c r="I244" s="51">
        <v>159</v>
      </c>
    </row>
    <row r="245" spans="5:9" x14ac:dyDescent="0.25">
      <c r="E245">
        <f t="shared" si="25"/>
        <v>36</v>
      </c>
      <c r="G245" t="s">
        <v>283</v>
      </c>
      <c r="H245" s="51">
        <v>1</v>
      </c>
      <c r="I245" s="51">
        <v>159</v>
      </c>
    </row>
    <row r="246" spans="5:9" x14ac:dyDescent="0.25">
      <c r="E246">
        <f>+$F$246</f>
        <v>37</v>
      </c>
      <c r="F246">
        <v>37</v>
      </c>
      <c r="G246" t="s">
        <v>275</v>
      </c>
      <c r="H246" s="51">
        <v>4</v>
      </c>
      <c r="I246" s="51">
        <v>146</v>
      </c>
    </row>
    <row r="247" spans="5:9" x14ac:dyDescent="0.25">
      <c r="E247">
        <f t="shared" ref="E247:E254" si="26">+$F$246</f>
        <v>37</v>
      </c>
      <c r="G247" t="s">
        <v>276</v>
      </c>
      <c r="H247" s="51">
        <v>6</v>
      </c>
      <c r="I247" s="51">
        <v>146</v>
      </c>
    </row>
    <row r="248" spans="5:9" x14ac:dyDescent="0.25">
      <c r="E248">
        <f t="shared" si="26"/>
        <v>37</v>
      </c>
      <c r="G248" t="s">
        <v>277</v>
      </c>
      <c r="H248" s="51">
        <v>8</v>
      </c>
      <c r="I248" s="51">
        <v>146</v>
      </c>
    </row>
    <row r="249" spans="5:9" x14ac:dyDescent="0.25">
      <c r="E249">
        <f t="shared" si="26"/>
        <v>37</v>
      </c>
      <c r="G249" t="s">
        <v>278</v>
      </c>
      <c r="H249" s="51">
        <v>5</v>
      </c>
      <c r="I249" s="51">
        <v>146</v>
      </c>
    </row>
    <row r="250" spans="5:9" x14ac:dyDescent="0.25">
      <c r="E250">
        <f t="shared" si="26"/>
        <v>37</v>
      </c>
      <c r="G250" t="s">
        <v>279</v>
      </c>
      <c r="H250" s="51">
        <v>13</v>
      </c>
      <c r="I250" s="51">
        <v>146</v>
      </c>
    </row>
    <row r="251" spans="5:9" x14ac:dyDescent="0.25">
      <c r="E251">
        <f t="shared" si="26"/>
        <v>37</v>
      </c>
      <c r="G251" t="s">
        <v>280</v>
      </c>
      <c r="H251" s="51">
        <v>8</v>
      </c>
      <c r="I251" s="51">
        <v>146</v>
      </c>
    </row>
    <row r="252" spans="5:9" x14ac:dyDescent="0.25">
      <c r="E252">
        <f t="shared" si="26"/>
        <v>37</v>
      </c>
      <c r="G252" t="s">
        <v>281</v>
      </c>
      <c r="H252">
        <v>1</v>
      </c>
      <c r="I252" s="51">
        <v>146</v>
      </c>
    </row>
    <row r="253" spans="5:9" x14ac:dyDescent="0.25">
      <c r="E253">
        <f t="shared" si="26"/>
        <v>37</v>
      </c>
      <c r="G253" t="s">
        <v>282</v>
      </c>
      <c r="H253" s="51">
        <v>4</v>
      </c>
      <c r="I253" s="51">
        <v>146</v>
      </c>
    </row>
    <row r="254" spans="5:9" x14ac:dyDescent="0.25">
      <c r="E254">
        <f t="shared" si="26"/>
        <v>37</v>
      </c>
      <c r="G254" t="s">
        <v>283</v>
      </c>
      <c r="H254" s="51">
        <v>5</v>
      </c>
      <c r="I254" s="51">
        <v>146</v>
      </c>
    </row>
    <row r="255" spans="5:9" x14ac:dyDescent="0.25">
      <c r="E255">
        <f>+$F$255</f>
        <v>4</v>
      </c>
      <c r="F255">
        <v>4</v>
      </c>
      <c r="G255" t="s">
        <v>275</v>
      </c>
      <c r="H255" s="51">
        <v>10</v>
      </c>
      <c r="I255" s="51">
        <v>182</v>
      </c>
    </row>
    <row r="256" spans="5:9" x14ac:dyDescent="0.25">
      <c r="E256">
        <f t="shared" ref="E256:E263" si="27">+$F$255</f>
        <v>4</v>
      </c>
      <c r="G256" t="s">
        <v>276</v>
      </c>
      <c r="H256" s="51">
        <v>7</v>
      </c>
      <c r="I256" s="51">
        <v>182</v>
      </c>
    </row>
    <row r="257" spans="5:9" x14ac:dyDescent="0.25">
      <c r="E257">
        <f t="shared" si="27"/>
        <v>4</v>
      </c>
      <c r="G257" t="s">
        <v>277</v>
      </c>
      <c r="H257" s="51">
        <v>17</v>
      </c>
      <c r="I257" s="51">
        <v>182</v>
      </c>
    </row>
    <row r="258" spans="5:9" x14ac:dyDescent="0.25">
      <c r="E258">
        <f t="shared" si="27"/>
        <v>4</v>
      </c>
      <c r="G258" t="s">
        <v>278</v>
      </c>
      <c r="H258">
        <v>9</v>
      </c>
      <c r="I258" s="51">
        <v>182</v>
      </c>
    </row>
    <row r="259" spans="5:9" x14ac:dyDescent="0.25">
      <c r="E259">
        <f t="shared" si="27"/>
        <v>4</v>
      </c>
      <c r="G259" t="s">
        <v>279</v>
      </c>
      <c r="H259" s="51">
        <v>23</v>
      </c>
      <c r="I259" s="51">
        <v>182</v>
      </c>
    </row>
    <row r="260" spans="5:9" x14ac:dyDescent="0.25">
      <c r="E260">
        <f t="shared" si="27"/>
        <v>4</v>
      </c>
      <c r="G260" t="s">
        <v>280</v>
      </c>
      <c r="H260">
        <v>12</v>
      </c>
      <c r="I260" s="51">
        <v>182</v>
      </c>
    </row>
    <row r="261" spans="5:9" x14ac:dyDescent="0.25">
      <c r="E261">
        <f t="shared" si="27"/>
        <v>4</v>
      </c>
      <c r="G261" t="s">
        <v>281</v>
      </c>
      <c r="H261" s="51">
        <v>3</v>
      </c>
      <c r="I261" s="51">
        <v>182</v>
      </c>
    </row>
    <row r="262" spans="5:9" x14ac:dyDescent="0.25">
      <c r="E262">
        <f t="shared" si="27"/>
        <v>4</v>
      </c>
      <c r="G262" t="s">
        <v>282</v>
      </c>
      <c r="H262" s="51">
        <v>4</v>
      </c>
      <c r="I262" s="51">
        <v>182</v>
      </c>
    </row>
    <row r="263" spans="5:9" x14ac:dyDescent="0.25">
      <c r="E263">
        <f t="shared" si="27"/>
        <v>4</v>
      </c>
      <c r="G263" t="s">
        <v>283</v>
      </c>
      <c r="H263" s="51">
        <v>7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275</v>
      </c>
      <c r="H264" s="51">
        <v>9</v>
      </c>
      <c r="I264" s="51">
        <v>223</v>
      </c>
    </row>
    <row r="265" spans="5:9" x14ac:dyDescent="0.25">
      <c r="E265">
        <f t="shared" ref="E265:E272" si="28">+$F$264</f>
        <v>40</v>
      </c>
      <c r="G265" t="s">
        <v>276</v>
      </c>
      <c r="H265">
        <v>3</v>
      </c>
      <c r="I265" s="51">
        <v>223</v>
      </c>
    </row>
    <row r="266" spans="5:9" x14ac:dyDescent="0.25">
      <c r="E266">
        <f t="shared" si="28"/>
        <v>40</v>
      </c>
      <c r="G266" t="s">
        <v>277</v>
      </c>
      <c r="H266" s="51">
        <v>11</v>
      </c>
      <c r="I266" s="51">
        <v>223</v>
      </c>
    </row>
    <row r="267" spans="5:9" x14ac:dyDescent="0.25">
      <c r="E267">
        <f t="shared" si="28"/>
        <v>40</v>
      </c>
      <c r="G267" t="s">
        <v>278</v>
      </c>
      <c r="H267" s="51">
        <v>5</v>
      </c>
      <c r="I267" s="51">
        <v>223</v>
      </c>
    </row>
    <row r="268" spans="5:9" x14ac:dyDescent="0.25">
      <c r="E268">
        <f t="shared" si="28"/>
        <v>40</v>
      </c>
      <c r="G268" t="s">
        <v>279</v>
      </c>
      <c r="H268">
        <v>18</v>
      </c>
      <c r="I268" s="51">
        <v>223</v>
      </c>
    </row>
    <row r="269" spans="5:9" x14ac:dyDescent="0.25">
      <c r="E269">
        <f t="shared" si="28"/>
        <v>40</v>
      </c>
      <c r="G269" t="s">
        <v>280</v>
      </c>
      <c r="H269" s="51">
        <v>11</v>
      </c>
      <c r="I269" s="51">
        <v>223</v>
      </c>
    </row>
    <row r="270" spans="5:9" x14ac:dyDescent="0.25">
      <c r="E270">
        <f t="shared" si="28"/>
        <v>40</v>
      </c>
      <c r="G270" t="s">
        <v>281</v>
      </c>
      <c r="H270" s="51">
        <v>11</v>
      </c>
      <c r="I270" s="51">
        <v>223</v>
      </c>
    </row>
    <row r="271" spans="5:9" x14ac:dyDescent="0.25">
      <c r="E271">
        <f t="shared" si="28"/>
        <v>40</v>
      </c>
      <c r="G271" t="s">
        <v>282</v>
      </c>
      <c r="H271" s="51">
        <v>2</v>
      </c>
      <c r="I271" s="51">
        <v>223</v>
      </c>
    </row>
    <row r="272" spans="5:9" x14ac:dyDescent="0.25">
      <c r="E272">
        <f t="shared" si="28"/>
        <v>40</v>
      </c>
      <c r="G272" t="s">
        <v>283</v>
      </c>
      <c r="H272" s="51">
        <v>5</v>
      </c>
      <c r="I272" s="51">
        <v>223</v>
      </c>
    </row>
    <row r="273" spans="5:9" x14ac:dyDescent="0.25">
      <c r="E273">
        <f>+$F$273</f>
        <v>42</v>
      </c>
      <c r="F273">
        <v>42</v>
      </c>
      <c r="G273" t="s">
        <v>275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276</v>
      </c>
      <c r="H274" s="51"/>
      <c r="I274" s="51">
        <v>52</v>
      </c>
    </row>
    <row r="275" spans="5:9" x14ac:dyDescent="0.25">
      <c r="E275">
        <f t="shared" si="29"/>
        <v>42</v>
      </c>
      <c r="G275" t="s">
        <v>277</v>
      </c>
      <c r="H275" s="51"/>
      <c r="I275" s="51">
        <v>52</v>
      </c>
    </row>
    <row r="276" spans="5:9" x14ac:dyDescent="0.25">
      <c r="E276">
        <f t="shared" si="29"/>
        <v>42</v>
      </c>
      <c r="G276" t="s">
        <v>278</v>
      </c>
      <c r="I276" s="51">
        <v>52</v>
      </c>
    </row>
    <row r="277" spans="5:9" x14ac:dyDescent="0.25">
      <c r="E277">
        <f t="shared" si="29"/>
        <v>42</v>
      </c>
      <c r="G277" t="s">
        <v>279</v>
      </c>
      <c r="H277" s="51"/>
      <c r="I277" s="51">
        <v>52</v>
      </c>
    </row>
    <row r="278" spans="5:9" x14ac:dyDescent="0.25">
      <c r="E278">
        <f t="shared" si="29"/>
        <v>42</v>
      </c>
      <c r="G278" t="s">
        <v>280</v>
      </c>
      <c r="H278" s="51"/>
      <c r="I278" s="51">
        <v>52</v>
      </c>
    </row>
    <row r="279" spans="5:9" x14ac:dyDescent="0.25">
      <c r="E279">
        <f t="shared" si="29"/>
        <v>42</v>
      </c>
      <c r="G279" t="s">
        <v>281</v>
      </c>
      <c r="H279" s="51"/>
      <c r="I279" s="51">
        <v>52</v>
      </c>
    </row>
    <row r="280" spans="5:9" x14ac:dyDescent="0.25">
      <c r="E280">
        <f t="shared" si="29"/>
        <v>42</v>
      </c>
      <c r="G280" t="s">
        <v>282</v>
      </c>
      <c r="H280" s="51"/>
      <c r="I280" s="51">
        <v>52</v>
      </c>
    </row>
    <row r="281" spans="5:9" x14ac:dyDescent="0.25">
      <c r="E281">
        <f t="shared" si="29"/>
        <v>42</v>
      </c>
      <c r="G281" t="s">
        <v>283</v>
      </c>
      <c r="H281" s="51"/>
      <c r="I281" s="51">
        <v>52</v>
      </c>
    </row>
    <row r="282" spans="5:9" x14ac:dyDescent="0.25">
      <c r="E282">
        <f>+$F$282</f>
        <v>43</v>
      </c>
      <c r="F282">
        <v>43</v>
      </c>
      <c r="G282" t="s">
        <v>275</v>
      </c>
      <c r="H282" s="51">
        <v>2</v>
      </c>
      <c r="I282" s="51">
        <v>93</v>
      </c>
    </row>
    <row r="283" spans="5:9" x14ac:dyDescent="0.25">
      <c r="E283">
        <f t="shared" ref="E283:E290" si="30">+$F$282</f>
        <v>43</v>
      </c>
      <c r="G283" t="s">
        <v>276</v>
      </c>
      <c r="H283" s="51">
        <v>2</v>
      </c>
      <c r="I283" s="51">
        <v>93</v>
      </c>
    </row>
    <row r="284" spans="5:9" x14ac:dyDescent="0.25">
      <c r="E284">
        <f t="shared" si="30"/>
        <v>43</v>
      </c>
      <c r="G284" t="s">
        <v>277</v>
      </c>
      <c r="I284" s="51">
        <v>93</v>
      </c>
    </row>
    <row r="285" spans="5:9" x14ac:dyDescent="0.25">
      <c r="E285">
        <f t="shared" si="30"/>
        <v>43</v>
      </c>
      <c r="G285" t="s">
        <v>278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279</v>
      </c>
      <c r="I286" s="51">
        <v>93</v>
      </c>
    </row>
    <row r="287" spans="5:9" x14ac:dyDescent="0.25">
      <c r="E287">
        <f t="shared" si="30"/>
        <v>43</v>
      </c>
      <c r="G287" t="s">
        <v>280</v>
      </c>
      <c r="H287">
        <v>2</v>
      </c>
      <c r="I287" s="51">
        <v>93</v>
      </c>
    </row>
    <row r="288" spans="5:9" x14ac:dyDescent="0.25">
      <c r="E288">
        <f t="shared" si="30"/>
        <v>43</v>
      </c>
      <c r="G288" t="s">
        <v>281</v>
      </c>
      <c r="H288">
        <v>2</v>
      </c>
      <c r="I288" s="51">
        <v>93</v>
      </c>
    </row>
    <row r="289" spans="5:9" x14ac:dyDescent="0.25">
      <c r="E289">
        <f t="shared" si="30"/>
        <v>43</v>
      </c>
      <c r="G289" t="s">
        <v>282</v>
      </c>
      <c r="H289" s="51"/>
      <c r="I289" s="51">
        <v>93</v>
      </c>
    </row>
    <row r="290" spans="5:9" x14ac:dyDescent="0.25">
      <c r="E290">
        <f t="shared" si="30"/>
        <v>43</v>
      </c>
      <c r="G290" t="s">
        <v>283</v>
      </c>
      <c r="H290">
        <v>1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275</v>
      </c>
      <c r="H291">
        <v>6</v>
      </c>
      <c r="I291" s="51">
        <v>171</v>
      </c>
    </row>
    <row r="292" spans="5:9" x14ac:dyDescent="0.25">
      <c r="E292">
        <f t="shared" ref="E292:E299" si="31">+$F$291</f>
        <v>44</v>
      </c>
      <c r="G292" t="s">
        <v>276</v>
      </c>
      <c r="H292">
        <v>4</v>
      </c>
      <c r="I292" s="51">
        <v>171</v>
      </c>
    </row>
    <row r="293" spans="5:9" x14ac:dyDescent="0.25">
      <c r="E293">
        <f t="shared" si="31"/>
        <v>44</v>
      </c>
      <c r="G293" t="s">
        <v>277</v>
      </c>
      <c r="H293">
        <v>18</v>
      </c>
      <c r="I293" s="51">
        <v>171</v>
      </c>
    </row>
    <row r="294" spans="5:9" x14ac:dyDescent="0.25">
      <c r="E294">
        <f t="shared" si="31"/>
        <v>44</v>
      </c>
      <c r="G294" t="s">
        <v>278</v>
      </c>
      <c r="H294">
        <v>10</v>
      </c>
      <c r="I294" s="51">
        <v>171</v>
      </c>
    </row>
    <row r="295" spans="5:9" x14ac:dyDescent="0.25">
      <c r="E295">
        <f t="shared" si="31"/>
        <v>44</v>
      </c>
      <c r="G295" t="s">
        <v>279</v>
      </c>
      <c r="H295">
        <v>32</v>
      </c>
      <c r="I295" s="51">
        <v>171</v>
      </c>
    </row>
    <row r="296" spans="5:9" x14ac:dyDescent="0.25">
      <c r="E296">
        <f t="shared" si="31"/>
        <v>44</v>
      </c>
      <c r="G296" t="s">
        <v>280</v>
      </c>
      <c r="H296">
        <v>26</v>
      </c>
      <c r="I296" s="51">
        <v>171</v>
      </c>
    </row>
    <row r="297" spans="5:9" x14ac:dyDescent="0.25">
      <c r="E297">
        <f t="shared" si="31"/>
        <v>44</v>
      </c>
      <c r="G297" t="s">
        <v>281</v>
      </c>
      <c r="H297" s="51">
        <v>4</v>
      </c>
      <c r="I297" s="51">
        <v>171</v>
      </c>
    </row>
    <row r="298" spans="5:9" x14ac:dyDescent="0.25">
      <c r="E298">
        <f t="shared" si="31"/>
        <v>44</v>
      </c>
      <c r="G298" t="s">
        <v>282</v>
      </c>
      <c r="H298">
        <v>5</v>
      </c>
      <c r="I298" s="51">
        <v>171</v>
      </c>
    </row>
    <row r="299" spans="5:9" x14ac:dyDescent="0.25">
      <c r="E299">
        <f t="shared" si="31"/>
        <v>44</v>
      </c>
      <c r="G299" t="s">
        <v>283</v>
      </c>
      <c r="H299" s="51">
        <v>4</v>
      </c>
      <c r="I299" s="51">
        <v>171</v>
      </c>
    </row>
    <row r="300" spans="5:9" x14ac:dyDescent="0.25">
      <c r="E300">
        <f>+$F$300</f>
        <v>49</v>
      </c>
      <c r="F300">
        <v>49</v>
      </c>
      <c r="G300" t="s">
        <v>275</v>
      </c>
      <c r="H300" s="51">
        <v>14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276</v>
      </c>
      <c r="H301" s="51">
        <v>11</v>
      </c>
      <c r="I301" s="51">
        <v>245</v>
      </c>
    </row>
    <row r="302" spans="5:9" x14ac:dyDescent="0.25">
      <c r="E302">
        <f t="shared" si="32"/>
        <v>49</v>
      </c>
      <c r="G302" t="s">
        <v>277</v>
      </c>
      <c r="H302" s="51">
        <v>17</v>
      </c>
      <c r="I302" s="51">
        <v>245</v>
      </c>
    </row>
    <row r="303" spans="5:9" x14ac:dyDescent="0.25">
      <c r="E303">
        <f t="shared" si="32"/>
        <v>49</v>
      </c>
      <c r="G303" t="s">
        <v>278</v>
      </c>
      <c r="H303" s="51">
        <v>6</v>
      </c>
      <c r="I303" s="51">
        <v>245</v>
      </c>
    </row>
    <row r="304" spans="5:9" x14ac:dyDescent="0.25">
      <c r="E304">
        <f t="shared" si="32"/>
        <v>49</v>
      </c>
      <c r="G304" t="s">
        <v>279</v>
      </c>
      <c r="H304" s="51">
        <v>9</v>
      </c>
      <c r="I304" s="51">
        <v>245</v>
      </c>
    </row>
    <row r="305" spans="5:9" x14ac:dyDescent="0.25">
      <c r="E305">
        <f t="shared" si="32"/>
        <v>49</v>
      </c>
      <c r="G305" t="s">
        <v>280</v>
      </c>
      <c r="H305" s="51">
        <v>7</v>
      </c>
      <c r="I305" s="51">
        <v>245</v>
      </c>
    </row>
    <row r="306" spans="5:9" x14ac:dyDescent="0.25">
      <c r="E306">
        <f t="shared" si="32"/>
        <v>49</v>
      </c>
      <c r="G306" t="s">
        <v>281</v>
      </c>
      <c r="H306" s="51">
        <v>17</v>
      </c>
      <c r="I306" s="51">
        <v>245</v>
      </c>
    </row>
    <row r="307" spans="5:9" x14ac:dyDescent="0.25">
      <c r="E307">
        <f t="shared" si="32"/>
        <v>49</v>
      </c>
      <c r="G307" t="s">
        <v>282</v>
      </c>
      <c r="H307">
        <v>13</v>
      </c>
      <c r="I307" s="51">
        <v>245</v>
      </c>
    </row>
    <row r="308" spans="5:9" x14ac:dyDescent="0.25">
      <c r="E308">
        <f t="shared" si="32"/>
        <v>49</v>
      </c>
      <c r="G308" t="s">
        <v>283</v>
      </c>
      <c r="H308">
        <v>10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275</v>
      </c>
      <c r="H309">
        <v>8</v>
      </c>
      <c r="I309" s="51">
        <v>263</v>
      </c>
    </row>
    <row r="310" spans="5:9" x14ac:dyDescent="0.25">
      <c r="E310">
        <f t="shared" ref="E310:E317" si="33">+$F$309</f>
        <v>5</v>
      </c>
      <c r="G310" t="s">
        <v>276</v>
      </c>
      <c r="H310">
        <v>3</v>
      </c>
      <c r="I310" s="51">
        <v>263</v>
      </c>
    </row>
    <row r="311" spans="5:9" x14ac:dyDescent="0.25">
      <c r="E311">
        <f t="shared" si="33"/>
        <v>5</v>
      </c>
      <c r="G311" t="s">
        <v>277</v>
      </c>
      <c r="H311">
        <v>21</v>
      </c>
      <c r="I311" s="51">
        <v>263</v>
      </c>
    </row>
    <row r="312" spans="5:9" x14ac:dyDescent="0.25">
      <c r="E312">
        <f t="shared" si="33"/>
        <v>5</v>
      </c>
      <c r="G312" t="s">
        <v>278</v>
      </c>
      <c r="H312">
        <v>7</v>
      </c>
      <c r="I312" s="51">
        <v>263</v>
      </c>
    </row>
    <row r="313" spans="5:9" x14ac:dyDescent="0.25">
      <c r="E313">
        <f t="shared" si="33"/>
        <v>5</v>
      </c>
      <c r="G313" t="s">
        <v>279</v>
      </c>
      <c r="H313">
        <v>33</v>
      </c>
      <c r="I313" s="51">
        <v>263</v>
      </c>
    </row>
    <row r="314" spans="5:9" x14ac:dyDescent="0.25">
      <c r="E314">
        <f t="shared" si="33"/>
        <v>5</v>
      </c>
      <c r="G314" t="s">
        <v>280</v>
      </c>
      <c r="H314">
        <v>19</v>
      </c>
      <c r="I314" s="51">
        <v>263</v>
      </c>
    </row>
    <row r="315" spans="5:9" x14ac:dyDescent="0.25">
      <c r="E315">
        <f t="shared" si="33"/>
        <v>5</v>
      </c>
      <c r="G315" t="s">
        <v>281</v>
      </c>
      <c r="H315" s="51">
        <v>8</v>
      </c>
      <c r="I315" s="51">
        <v>263</v>
      </c>
    </row>
    <row r="316" spans="5:9" x14ac:dyDescent="0.25">
      <c r="E316">
        <f t="shared" si="33"/>
        <v>5</v>
      </c>
      <c r="G316" t="s">
        <v>282</v>
      </c>
      <c r="H316">
        <v>5</v>
      </c>
      <c r="I316" s="51">
        <v>263</v>
      </c>
    </row>
    <row r="317" spans="5:9" x14ac:dyDescent="0.25">
      <c r="E317">
        <f t="shared" si="33"/>
        <v>5</v>
      </c>
      <c r="G317" t="s">
        <v>283</v>
      </c>
      <c r="H317" s="51">
        <v>6</v>
      </c>
      <c r="I317" s="51">
        <v>263</v>
      </c>
    </row>
    <row r="318" spans="5:9" x14ac:dyDescent="0.25">
      <c r="E318">
        <f>+$F$318</f>
        <v>52</v>
      </c>
      <c r="F318">
        <v>52</v>
      </c>
      <c r="G318" t="s">
        <v>275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276</v>
      </c>
      <c r="H319" s="51">
        <v>3</v>
      </c>
      <c r="I319" s="51">
        <v>104</v>
      </c>
    </row>
    <row r="320" spans="5:9" x14ac:dyDescent="0.25">
      <c r="E320">
        <f t="shared" si="34"/>
        <v>52</v>
      </c>
      <c r="G320" t="s">
        <v>277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278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279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280</v>
      </c>
      <c r="I323" s="51">
        <v>104</v>
      </c>
    </row>
    <row r="324" spans="5:9" x14ac:dyDescent="0.25">
      <c r="E324">
        <f t="shared" si="34"/>
        <v>52</v>
      </c>
      <c r="G324" t="s">
        <v>281</v>
      </c>
      <c r="H324" s="51">
        <v>12</v>
      </c>
      <c r="I324" s="51">
        <v>104</v>
      </c>
    </row>
    <row r="325" spans="5:9" x14ac:dyDescent="0.25">
      <c r="E325">
        <f t="shared" si="34"/>
        <v>52</v>
      </c>
      <c r="G325" t="s">
        <v>282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283</v>
      </c>
      <c r="H326" s="51"/>
      <c r="I326" s="51">
        <v>104</v>
      </c>
    </row>
    <row r="327" spans="5:9" x14ac:dyDescent="0.25">
      <c r="E327">
        <f>+$F$327</f>
        <v>53</v>
      </c>
      <c r="F327">
        <v>53</v>
      </c>
      <c r="G327" t="s">
        <v>275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276</v>
      </c>
      <c r="I328" s="51">
        <v>105</v>
      </c>
    </row>
    <row r="329" spans="5:9" x14ac:dyDescent="0.25">
      <c r="E329">
        <f t="shared" si="35"/>
        <v>53</v>
      </c>
      <c r="G329" t="s">
        <v>277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278</v>
      </c>
      <c r="I330" s="51">
        <v>105</v>
      </c>
    </row>
    <row r="331" spans="5:9" x14ac:dyDescent="0.25">
      <c r="E331">
        <f t="shared" si="35"/>
        <v>53</v>
      </c>
      <c r="G331" t="s">
        <v>279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280</v>
      </c>
      <c r="I332" s="51">
        <v>105</v>
      </c>
    </row>
    <row r="333" spans="5:9" x14ac:dyDescent="0.25">
      <c r="E333">
        <f t="shared" si="35"/>
        <v>53</v>
      </c>
      <c r="G333" t="s">
        <v>281</v>
      </c>
      <c r="H333" s="51">
        <v>13</v>
      </c>
      <c r="I333" s="51">
        <v>105</v>
      </c>
    </row>
    <row r="334" spans="5:9" x14ac:dyDescent="0.25">
      <c r="E334">
        <f t="shared" si="35"/>
        <v>53</v>
      </c>
      <c r="G334" t="s">
        <v>282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283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275</v>
      </c>
      <c r="H336" s="51">
        <v>13</v>
      </c>
      <c r="I336" s="51">
        <v>201</v>
      </c>
    </row>
    <row r="337" spans="5:9" x14ac:dyDescent="0.25">
      <c r="E337">
        <f t="shared" ref="E337:E344" si="36">+$F$336</f>
        <v>54</v>
      </c>
      <c r="G337" t="s">
        <v>276</v>
      </c>
      <c r="H337" s="51">
        <v>4</v>
      </c>
      <c r="I337" s="51">
        <v>201</v>
      </c>
    </row>
    <row r="338" spans="5:9" x14ac:dyDescent="0.25">
      <c r="E338">
        <f t="shared" si="36"/>
        <v>54</v>
      </c>
      <c r="G338" t="s">
        <v>277</v>
      </c>
      <c r="H338" s="51">
        <v>15</v>
      </c>
      <c r="I338" s="51">
        <v>201</v>
      </c>
    </row>
    <row r="339" spans="5:9" x14ac:dyDescent="0.25">
      <c r="E339">
        <f t="shared" si="36"/>
        <v>54</v>
      </c>
      <c r="G339" t="s">
        <v>278</v>
      </c>
      <c r="H339" s="51">
        <v>13</v>
      </c>
      <c r="I339" s="51">
        <v>201</v>
      </c>
    </row>
    <row r="340" spans="5:9" x14ac:dyDescent="0.25">
      <c r="E340">
        <f t="shared" si="36"/>
        <v>54</v>
      </c>
      <c r="G340" t="s">
        <v>279</v>
      </c>
      <c r="H340">
        <v>31</v>
      </c>
      <c r="I340" s="51">
        <v>201</v>
      </c>
    </row>
    <row r="341" spans="5:9" x14ac:dyDescent="0.25">
      <c r="E341">
        <f t="shared" si="36"/>
        <v>54</v>
      </c>
      <c r="G341" t="s">
        <v>280</v>
      </c>
      <c r="H341" s="51">
        <v>21</v>
      </c>
      <c r="I341" s="51">
        <v>201</v>
      </c>
    </row>
    <row r="342" spans="5:9" x14ac:dyDescent="0.25">
      <c r="E342">
        <f t="shared" si="36"/>
        <v>54</v>
      </c>
      <c r="G342" t="s">
        <v>281</v>
      </c>
      <c r="H342" s="51">
        <v>5</v>
      </c>
      <c r="I342" s="51">
        <v>201</v>
      </c>
    </row>
    <row r="343" spans="5:9" x14ac:dyDescent="0.25">
      <c r="E343">
        <f t="shared" si="36"/>
        <v>54</v>
      </c>
      <c r="G343" t="s">
        <v>282</v>
      </c>
      <c r="H343" s="51">
        <v>10</v>
      </c>
      <c r="I343" s="51">
        <v>201</v>
      </c>
    </row>
    <row r="344" spans="5:9" x14ac:dyDescent="0.25">
      <c r="E344">
        <f t="shared" si="36"/>
        <v>54</v>
      </c>
      <c r="G344" t="s">
        <v>283</v>
      </c>
      <c r="H344" s="51">
        <v>5</v>
      </c>
      <c r="I344" s="51">
        <v>201</v>
      </c>
    </row>
    <row r="345" spans="5:9" x14ac:dyDescent="0.25">
      <c r="E345">
        <f>+$F$345</f>
        <v>56</v>
      </c>
      <c r="F345">
        <v>56</v>
      </c>
      <c r="G345" t="s">
        <v>275</v>
      </c>
      <c r="H345">
        <v>1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276</v>
      </c>
      <c r="H346" s="51">
        <v>1</v>
      </c>
      <c r="I346" s="51">
        <v>200</v>
      </c>
    </row>
    <row r="347" spans="5:9" x14ac:dyDescent="0.25">
      <c r="E347">
        <f t="shared" si="37"/>
        <v>56</v>
      </c>
      <c r="G347" t="s">
        <v>277</v>
      </c>
      <c r="H347" s="51">
        <v>4</v>
      </c>
      <c r="I347" s="51">
        <v>200</v>
      </c>
    </row>
    <row r="348" spans="5:9" x14ac:dyDescent="0.25">
      <c r="E348">
        <f t="shared" si="37"/>
        <v>56</v>
      </c>
      <c r="G348" t="s">
        <v>278</v>
      </c>
      <c r="H348">
        <v>1</v>
      </c>
      <c r="I348" s="51">
        <v>200</v>
      </c>
    </row>
    <row r="349" spans="5:9" x14ac:dyDescent="0.25">
      <c r="E349">
        <f t="shared" si="37"/>
        <v>56</v>
      </c>
      <c r="G349" t="s">
        <v>279</v>
      </c>
      <c r="H349" s="51">
        <v>1</v>
      </c>
      <c r="I349" s="51">
        <v>200</v>
      </c>
    </row>
    <row r="350" spans="5:9" x14ac:dyDescent="0.25">
      <c r="E350">
        <f t="shared" si="37"/>
        <v>56</v>
      </c>
      <c r="G350" t="s">
        <v>280</v>
      </c>
      <c r="H350" s="51"/>
      <c r="I350" s="51">
        <v>200</v>
      </c>
    </row>
    <row r="351" spans="5:9" x14ac:dyDescent="0.25">
      <c r="E351">
        <f t="shared" si="37"/>
        <v>56</v>
      </c>
      <c r="G351" t="s">
        <v>281</v>
      </c>
      <c r="H351" s="51">
        <v>1</v>
      </c>
      <c r="I351" s="51">
        <v>200</v>
      </c>
    </row>
    <row r="352" spans="5:9" x14ac:dyDescent="0.25">
      <c r="E352">
        <f t="shared" si="37"/>
        <v>56</v>
      </c>
      <c r="G352" t="s">
        <v>282</v>
      </c>
      <c r="I352" s="51">
        <v>200</v>
      </c>
    </row>
    <row r="353" spans="5:9" x14ac:dyDescent="0.25">
      <c r="E353">
        <f t="shared" si="37"/>
        <v>56</v>
      </c>
      <c r="G353" t="s">
        <v>283</v>
      </c>
      <c r="H353" s="51">
        <v>1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275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276</v>
      </c>
      <c r="H355" s="51">
        <v>4</v>
      </c>
      <c r="I355" s="51">
        <v>105</v>
      </c>
    </row>
    <row r="356" spans="5:9" x14ac:dyDescent="0.25">
      <c r="E356">
        <f t="shared" si="38"/>
        <v>57</v>
      </c>
      <c r="G356" t="s">
        <v>277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278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279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280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281</v>
      </c>
      <c r="H360" s="51">
        <v>18</v>
      </c>
      <c r="I360" s="51">
        <v>105</v>
      </c>
    </row>
    <row r="361" spans="5:9" x14ac:dyDescent="0.25">
      <c r="E361">
        <f t="shared" si="38"/>
        <v>57</v>
      </c>
      <c r="G361" t="s">
        <v>282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283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275</v>
      </c>
      <c r="H363" s="51"/>
      <c r="I363" s="51">
        <v>83</v>
      </c>
    </row>
    <row r="364" spans="5:9" x14ac:dyDescent="0.25">
      <c r="E364">
        <f t="shared" ref="E364:E371" si="39">+$F$363</f>
        <v>58</v>
      </c>
      <c r="G364" t="s">
        <v>276</v>
      </c>
      <c r="H364" s="51"/>
      <c r="I364" s="51">
        <v>83</v>
      </c>
    </row>
    <row r="365" spans="5:9" x14ac:dyDescent="0.25">
      <c r="E365">
        <f t="shared" si="39"/>
        <v>58</v>
      </c>
      <c r="G365" t="s">
        <v>277</v>
      </c>
      <c r="H365" s="51"/>
      <c r="I365" s="51">
        <v>83</v>
      </c>
    </row>
    <row r="366" spans="5:9" x14ac:dyDescent="0.25">
      <c r="E366">
        <f t="shared" si="39"/>
        <v>58</v>
      </c>
      <c r="G366" t="s">
        <v>278</v>
      </c>
      <c r="H366" s="51"/>
      <c r="I366" s="51">
        <v>83</v>
      </c>
    </row>
    <row r="367" spans="5:9" x14ac:dyDescent="0.25">
      <c r="E367">
        <f t="shared" si="39"/>
        <v>58</v>
      </c>
      <c r="G367" t="s">
        <v>279</v>
      </c>
      <c r="H367" s="51"/>
      <c r="I367" s="51">
        <v>83</v>
      </c>
    </row>
    <row r="368" spans="5:9" x14ac:dyDescent="0.25">
      <c r="E368">
        <f t="shared" si="39"/>
        <v>58</v>
      </c>
      <c r="G368" t="s">
        <v>280</v>
      </c>
      <c r="H368" s="51"/>
      <c r="I368" s="51">
        <v>83</v>
      </c>
    </row>
    <row r="369" spans="5:9" x14ac:dyDescent="0.25">
      <c r="E369">
        <f t="shared" si="39"/>
        <v>58</v>
      </c>
      <c r="G369" t="s">
        <v>281</v>
      </c>
      <c r="H369" s="51">
        <v>1</v>
      </c>
      <c r="I369" s="51">
        <v>83</v>
      </c>
    </row>
    <row r="370" spans="5:9" x14ac:dyDescent="0.25">
      <c r="E370">
        <f t="shared" si="39"/>
        <v>58</v>
      </c>
      <c r="G370" t="s">
        <v>282</v>
      </c>
      <c r="H370" s="51"/>
      <c r="I370" s="51">
        <v>83</v>
      </c>
    </row>
    <row r="371" spans="5:9" x14ac:dyDescent="0.25">
      <c r="E371">
        <f t="shared" si="39"/>
        <v>58</v>
      </c>
      <c r="G371" t="s">
        <v>283</v>
      </c>
      <c r="H371" s="35"/>
      <c r="I371" s="35">
        <v>83</v>
      </c>
    </row>
    <row r="372" spans="5:9" x14ac:dyDescent="0.25">
      <c r="E372">
        <f>+$F$372</f>
        <v>59</v>
      </c>
      <c r="F372">
        <v>59</v>
      </c>
      <c r="G372" t="s">
        <v>275</v>
      </c>
      <c r="I372">
        <v>126</v>
      </c>
    </row>
    <row r="373" spans="5:9" x14ac:dyDescent="0.25">
      <c r="E373">
        <f t="shared" ref="E373:E380" si="40">+$F$372</f>
        <v>59</v>
      </c>
      <c r="G373" t="s">
        <v>276</v>
      </c>
      <c r="I373">
        <v>126</v>
      </c>
    </row>
    <row r="374" spans="5:9" x14ac:dyDescent="0.25">
      <c r="E374">
        <f t="shared" si="40"/>
        <v>59</v>
      </c>
      <c r="G374" t="s">
        <v>277</v>
      </c>
      <c r="I374">
        <v>126</v>
      </c>
    </row>
    <row r="375" spans="5:9" x14ac:dyDescent="0.25">
      <c r="E375">
        <f t="shared" si="40"/>
        <v>59</v>
      </c>
      <c r="G375" t="s">
        <v>278</v>
      </c>
      <c r="I375">
        <v>126</v>
      </c>
    </row>
    <row r="376" spans="5:9" x14ac:dyDescent="0.25">
      <c r="E376">
        <f t="shared" si="40"/>
        <v>59</v>
      </c>
      <c r="G376" t="s">
        <v>279</v>
      </c>
      <c r="I376">
        <v>126</v>
      </c>
    </row>
    <row r="377" spans="5:9" x14ac:dyDescent="0.25">
      <c r="E377">
        <f t="shared" si="40"/>
        <v>59</v>
      </c>
      <c r="G377" t="s">
        <v>280</v>
      </c>
      <c r="I377">
        <v>126</v>
      </c>
    </row>
    <row r="378" spans="5:9" x14ac:dyDescent="0.25">
      <c r="E378">
        <f t="shared" si="40"/>
        <v>59</v>
      </c>
      <c r="G378" t="s">
        <v>281</v>
      </c>
      <c r="I378">
        <v>126</v>
      </c>
    </row>
    <row r="379" spans="5:9" x14ac:dyDescent="0.25">
      <c r="E379">
        <f t="shared" si="40"/>
        <v>59</v>
      </c>
      <c r="G379" t="s">
        <v>282</v>
      </c>
      <c r="I379">
        <v>126</v>
      </c>
    </row>
    <row r="380" spans="5:9" x14ac:dyDescent="0.25">
      <c r="E380">
        <f t="shared" si="40"/>
        <v>59</v>
      </c>
      <c r="G380" t="s">
        <v>283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275</v>
      </c>
      <c r="I381">
        <v>69</v>
      </c>
    </row>
    <row r="382" spans="5:9" x14ac:dyDescent="0.25">
      <c r="E382">
        <f t="shared" ref="E382:E389" si="41">+$F$381</f>
        <v>60</v>
      </c>
      <c r="G382" t="s">
        <v>276</v>
      </c>
      <c r="I382">
        <v>69</v>
      </c>
    </row>
    <row r="383" spans="5:9" x14ac:dyDescent="0.25">
      <c r="E383">
        <f t="shared" si="41"/>
        <v>60</v>
      </c>
      <c r="G383" t="s">
        <v>277</v>
      </c>
      <c r="I383">
        <v>69</v>
      </c>
    </row>
    <row r="384" spans="5:9" x14ac:dyDescent="0.25">
      <c r="E384">
        <f t="shared" si="41"/>
        <v>60</v>
      </c>
      <c r="G384" t="s">
        <v>278</v>
      </c>
      <c r="I384">
        <v>69</v>
      </c>
    </row>
    <row r="385" spans="5:9" x14ac:dyDescent="0.25">
      <c r="E385">
        <f t="shared" si="41"/>
        <v>60</v>
      </c>
      <c r="G385" t="s">
        <v>279</v>
      </c>
      <c r="I385">
        <v>69</v>
      </c>
    </row>
    <row r="386" spans="5:9" x14ac:dyDescent="0.25">
      <c r="E386">
        <f t="shared" si="41"/>
        <v>60</v>
      </c>
      <c r="G386" t="s">
        <v>280</v>
      </c>
      <c r="I386">
        <v>69</v>
      </c>
    </row>
    <row r="387" spans="5:9" x14ac:dyDescent="0.25">
      <c r="E387">
        <f t="shared" si="41"/>
        <v>60</v>
      </c>
      <c r="G387" t="s">
        <v>281</v>
      </c>
      <c r="I387">
        <v>69</v>
      </c>
    </row>
    <row r="388" spans="5:9" x14ac:dyDescent="0.25">
      <c r="E388">
        <f t="shared" si="41"/>
        <v>60</v>
      </c>
      <c r="G388" t="s">
        <v>282</v>
      </c>
      <c r="I388">
        <v>69</v>
      </c>
    </row>
    <row r="389" spans="5:9" x14ac:dyDescent="0.25">
      <c r="E389">
        <f t="shared" si="41"/>
        <v>60</v>
      </c>
      <c r="G389" t="s">
        <v>283</v>
      </c>
      <c r="I389">
        <v>69</v>
      </c>
    </row>
    <row r="390" spans="5:9" x14ac:dyDescent="0.25">
      <c r="E390">
        <f>+$F$390</f>
        <v>7</v>
      </c>
      <c r="F390">
        <v>7</v>
      </c>
      <c r="G390" t="s">
        <v>275</v>
      </c>
      <c r="I390">
        <v>117</v>
      </c>
    </row>
    <row r="391" spans="5:9" x14ac:dyDescent="0.25">
      <c r="E391">
        <f t="shared" ref="E391:E398" si="42">+$F$390</f>
        <v>7</v>
      </c>
      <c r="G391" t="s">
        <v>276</v>
      </c>
      <c r="H391">
        <v>1</v>
      </c>
      <c r="I391">
        <v>117</v>
      </c>
    </row>
    <row r="392" spans="5:9" x14ac:dyDescent="0.25">
      <c r="E392">
        <f t="shared" si="42"/>
        <v>7</v>
      </c>
      <c r="G392" t="s">
        <v>277</v>
      </c>
      <c r="H392">
        <v>1</v>
      </c>
      <c r="I392">
        <v>117</v>
      </c>
    </row>
    <row r="393" spans="5:9" x14ac:dyDescent="0.25">
      <c r="E393">
        <f t="shared" si="42"/>
        <v>7</v>
      </c>
      <c r="G393" t="s">
        <v>278</v>
      </c>
      <c r="I393">
        <v>117</v>
      </c>
    </row>
    <row r="394" spans="5:9" x14ac:dyDescent="0.25">
      <c r="E394">
        <f t="shared" si="42"/>
        <v>7</v>
      </c>
      <c r="G394" t="s">
        <v>279</v>
      </c>
      <c r="H394">
        <v>1</v>
      </c>
      <c r="I394">
        <v>117</v>
      </c>
    </row>
    <row r="395" spans="5:9" x14ac:dyDescent="0.25">
      <c r="E395">
        <f t="shared" si="42"/>
        <v>7</v>
      </c>
      <c r="G395" t="s">
        <v>280</v>
      </c>
      <c r="H395">
        <v>1</v>
      </c>
      <c r="I395">
        <v>117</v>
      </c>
    </row>
    <row r="396" spans="5:9" x14ac:dyDescent="0.25">
      <c r="E396">
        <f t="shared" si="42"/>
        <v>7</v>
      </c>
      <c r="G396" t="s">
        <v>281</v>
      </c>
      <c r="H396">
        <v>1</v>
      </c>
      <c r="I396">
        <v>117</v>
      </c>
    </row>
    <row r="397" spans="5:9" x14ac:dyDescent="0.25">
      <c r="E397">
        <f t="shared" si="42"/>
        <v>7</v>
      </c>
      <c r="G397" t="s">
        <v>282</v>
      </c>
      <c r="H397">
        <v>1</v>
      </c>
      <c r="I397">
        <v>117</v>
      </c>
    </row>
    <row r="398" spans="5:9" x14ac:dyDescent="0.25">
      <c r="E398">
        <f t="shared" si="42"/>
        <v>7</v>
      </c>
      <c r="G398" t="s">
        <v>283</v>
      </c>
      <c r="H398">
        <v>1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275</v>
      </c>
      <c r="H399">
        <v>10</v>
      </c>
      <c r="I399">
        <v>199</v>
      </c>
    </row>
    <row r="400" spans="5:9" x14ac:dyDescent="0.25">
      <c r="E400">
        <f t="shared" ref="E400:E407" si="43">+$F$399</f>
        <v>8</v>
      </c>
      <c r="G400" t="s">
        <v>276</v>
      </c>
      <c r="H400">
        <v>1</v>
      </c>
      <c r="I400">
        <v>199</v>
      </c>
    </row>
    <row r="401" spans="5:9" x14ac:dyDescent="0.25">
      <c r="E401">
        <f t="shared" si="43"/>
        <v>8</v>
      </c>
      <c r="G401" t="s">
        <v>277</v>
      </c>
      <c r="H401">
        <v>14</v>
      </c>
      <c r="I401">
        <v>199</v>
      </c>
    </row>
    <row r="402" spans="5:9" x14ac:dyDescent="0.25">
      <c r="E402">
        <f t="shared" si="43"/>
        <v>8</v>
      </c>
      <c r="G402" t="s">
        <v>278</v>
      </c>
      <c r="H402">
        <v>9</v>
      </c>
      <c r="I402">
        <v>199</v>
      </c>
    </row>
    <row r="403" spans="5:9" x14ac:dyDescent="0.25">
      <c r="E403">
        <f t="shared" si="43"/>
        <v>8</v>
      </c>
      <c r="G403" t="s">
        <v>279</v>
      </c>
      <c r="H403">
        <v>16</v>
      </c>
      <c r="I403">
        <v>199</v>
      </c>
    </row>
    <row r="404" spans="5:9" x14ac:dyDescent="0.25">
      <c r="E404">
        <f t="shared" si="43"/>
        <v>8</v>
      </c>
      <c r="G404" t="s">
        <v>280</v>
      </c>
      <c r="H404">
        <v>10</v>
      </c>
      <c r="I404">
        <v>199</v>
      </c>
    </row>
    <row r="405" spans="5:9" x14ac:dyDescent="0.25">
      <c r="E405">
        <f t="shared" si="43"/>
        <v>8</v>
      </c>
      <c r="G405" t="s">
        <v>281</v>
      </c>
      <c r="H405">
        <v>4</v>
      </c>
      <c r="I405">
        <v>199</v>
      </c>
    </row>
    <row r="406" spans="5:9" x14ac:dyDescent="0.25">
      <c r="E406">
        <f t="shared" si="43"/>
        <v>8</v>
      </c>
      <c r="G406" t="s">
        <v>282</v>
      </c>
      <c r="H406">
        <v>3</v>
      </c>
      <c r="I406">
        <v>199</v>
      </c>
    </row>
    <row r="407" spans="5:9" x14ac:dyDescent="0.25">
      <c r="E407">
        <f t="shared" si="43"/>
        <v>8</v>
      </c>
      <c r="G407" t="s">
        <v>283</v>
      </c>
      <c r="H407">
        <v>1</v>
      </c>
      <c r="I407">
        <v>199</v>
      </c>
    </row>
    <row r="408" spans="5:9" x14ac:dyDescent="0.25">
      <c r="E408">
        <f>+$F$408</f>
        <v>9</v>
      </c>
      <c r="F408">
        <v>9</v>
      </c>
      <c r="G408" t="s">
        <v>275</v>
      </c>
      <c r="H408">
        <v>16</v>
      </c>
      <c r="I408">
        <v>157</v>
      </c>
    </row>
    <row r="409" spans="5:9" x14ac:dyDescent="0.25">
      <c r="E409">
        <f t="shared" ref="E409:E416" si="44">+$F$408</f>
        <v>9</v>
      </c>
      <c r="G409" t="s">
        <v>276</v>
      </c>
      <c r="H409">
        <v>7</v>
      </c>
      <c r="I409">
        <v>157</v>
      </c>
    </row>
    <row r="410" spans="5:9" x14ac:dyDescent="0.25">
      <c r="E410">
        <f t="shared" si="44"/>
        <v>9</v>
      </c>
      <c r="G410" t="s">
        <v>277</v>
      </c>
      <c r="H410">
        <v>16</v>
      </c>
      <c r="I410">
        <v>157</v>
      </c>
    </row>
    <row r="411" spans="5:9" x14ac:dyDescent="0.25">
      <c r="E411">
        <f t="shared" si="44"/>
        <v>9</v>
      </c>
      <c r="G411" t="s">
        <v>278</v>
      </c>
      <c r="H411">
        <v>17</v>
      </c>
      <c r="I411">
        <v>157</v>
      </c>
    </row>
    <row r="412" spans="5:9" x14ac:dyDescent="0.25">
      <c r="E412">
        <f t="shared" si="44"/>
        <v>9</v>
      </c>
      <c r="G412" t="s">
        <v>279</v>
      </c>
      <c r="H412">
        <v>26</v>
      </c>
      <c r="I412">
        <v>157</v>
      </c>
    </row>
    <row r="413" spans="5:9" x14ac:dyDescent="0.25">
      <c r="E413">
        <f t="shared" si="44"/>
        <v>9</v>
      </c>
      <c r="G413" t="s">
        <v>280</v>
      </c>
      <c r="H413">
        <v>21</v>
      </c>
      <c r="I413">
        <v>157</v>
      </c>
    </row>
    <row r="414" spans="5:9" x14ac:dyDescent="0.25">
      <c r="E414">
        <f t="shared" si="44"/>
        <v>9</v>
      </c>
      <c r="G414" t="s">
        <v>281</v>
      </c>
      <c r="H414">
        <v>3</v>
      </c>
      <c r="I414">
        <v>157</v>
      </c>
    </row>
    <row r="415" spans="5:9" x14ac:dyDescent="0.25">
      <c r="E415">
        <f t="shared" si="44"/>
        <v>9</v>
      </c>
      <c r="G415" t="s">
        <v>282</v>
      </c>
      <c r="H415">
        <v>5</v>
      </c>
      <c r="I415">
        <v>157</v>
      </c>
    </row>
    <row r="416" spans="5:9" x14ac:dyDescent="0.25">
      <c r="E416">
        <f t="shared" si="44"/>
        <v>9</v>
      </c>
      <c r="G416" t="s">
        <v>283</v>
      </c>
      <c r="H416">
        <v>6</v>
      </c>
      <c r="I416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topLeftCell="A3"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0.15581404320987652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0.22525462962962964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0.19889274691358025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0.22451388888888882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0.2349614197530864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0.21521604938271613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0.19139274691358024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0.21104938271604934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0.13423611111111111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0.21941358024691363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0.23623456790123462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0.18734567901234569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0.23597222222222222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0.21421296296296299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0.16682291666666668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0.20636188271604938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0.18163966049382715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0.18163966049382715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0.23909722222222221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0.20015046296296299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0.1815547839506173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0.18966435185185185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0.19156250000000005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0.17172453703703705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0.20624228395061728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0.21311728395061727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0.19652777777777777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0.19725308641975306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0.17182098765432099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0.18036265432098766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0.13572916666666665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0.19832175925925924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0.13183449074074077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0.12870370370370374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0.11476851851851849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C23" sqref="A23:C23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workbookViewId="0">
      <selection activeCell="D31" sqref="A31:D31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0" t="s">
        <v>205</v>
      </c>
      <c r="P1" s="81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N2" s="150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N3" s="150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N4" s="150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N5" s="150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N6" s="150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N7" s="150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N8" s="150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N9" s="150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N10" s="150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N11" s="150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N12" s="150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N13" s="150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N14" s="150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151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N16" s="149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N17" s="150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N18" s="150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N19" s="150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N20" s="150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N21" s="150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N22" s="150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N23" s="150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N24" s="150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151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N26" s="149" t="s">
        <v>221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N27" s="150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N28" s="150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N29" s="150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N30" s="150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N31" s="150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N32" s="150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N33" s="150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N34" s="150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N35" s="150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N36" s="150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N37" s="150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N38" s="150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151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2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workbookViewId="0">
      <selection activeCell="E20" sqref="E2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</row>
    <row r="2" spans="1:12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</row>
    <row r="3" spans="1:12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</row>
    <row r="4" spans="1:12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</row>
    <row r="5" spans="1:12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</row>
    <row r="6" spans="1:12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</row>
    <row r="7" spans="1:12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</row>
    <row r="8" spans="1:12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</row>
    <row r="9" spans="1:12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</row>
    <row r="10" spans="1:12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</row>
    <row r="11" spans="1:12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</row>
    <row r="12" spans="1:12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</row>
    <row r="13" spans="1:12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</row>
    <row r="14" spans="1:12" ht="15.75" x14ac:dyDescent="0.25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</row>
    <row r="15" spans="1:12" ht="15.75" x14ac:dyDescent="0.25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</row>
    <row r="16" spans="1:12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</row>
    <row r="17" spans="1:12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</row>
    <row r="18" spans="1:12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</row>
    <row r="19" spans="1:12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</row>
    <row r="20" spans="1:12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</row>
    <row r="21" spans="1:12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</row>
    <row r="22" spans="1:12" ht="15.75" x14ac:dyDescent="0.25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</row>
    <row r="23" spans="1:12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</row>
    <row r="24" spans="1:12" ht="15.75" x14ac:dyDescent="0.25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</row>
    <row r="25" spans="1:12" ht="15.75" x14ac:dyDescent="0.25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</row>
    <row r="26" spans="1:12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</row>
    <row r="27" spans="1:12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</row>
    <row r="28" spans="1:12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</row>
    <row r="29" spans="1:12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</row>
    <row r="30" spans="1:12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</row>
    <row r="31" spans="1:12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</row>
    <row r="32" spans="1:12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</row>
    <row r="33" spans="1:12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</row>
    <row r="34" spans="1:12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</row>
    <row r="35" spans="1:12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</row>
    <row r="36" spans="1:12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</row>
    <row r="37" spans="1:12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</row>
    <row r="38" spans="1:12" ht="15.75" x14ac:dyDescent="0.25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</row>
    <row r="39" spans="1:12" ht="15.75" x14ac:dyDescent="0.25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</row>
    <row r="40" spans="1:12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</row>
    <row r="41" spans="1:12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</row>
    <row r="42" spans="1:1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</row>
    <row r="43" spans="1:12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12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N48"/>
  <sheetViews>
    <sheetView workbookViewId="0">
      <selection activeCell="D5" sqref="D5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  <col min="14" max="14" width="5.140625" bestFit="1" customWidth="1"/>
  </cols>
  <sheetData>
    <row r="1" spans="1:14" ht="6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3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 t="s">
        <v>36</v>
      </c>
      <c r="N2">
        <v>0</v>
      </c>
    </row>
    <row r="3" spans="1:14" ht="16.5" thickBot="1" x14ac:dyDescent="0.3">
      <c r="A3" s="144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 t="s">
        <v>40</v>
      </c>
      <c r="N3">
        <v>26</v>
      </c>
    </row>
    <row r="4" spans="1:14" ht="16.5" thickBot="1" x14ac:dyDescent="0.3">
      <c r="A4" s="144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 t="s">
        <v>47</v>
      </c>
      <c r="N4">
        <v>26</v>
      </c>
    </row>
    <row r="5" spans="1:14" ht="16.5" thickBot="1" x14ac:dyDescent="0.3">
      <c r="A5" s="144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</row>
    <row r="6" spans="1:14" ht="16.5" thickBot="1" x14ac:dyDescent="0.3">
      <c r="A6" s="144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</row>
    <row r="7" spans="1:14" ht="16.5" thickBot="1" x14ac:dyDescent="0.3">
      <c r="A7" s="144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</row>
    <row r="8" spans="1:14" ht="16.5" thickBot="1" x14ac:dyDescent="0.3">
      <c r="A8" s="144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</row>
    <row r="9" spans="1:14" ht="15.75" x14ac:dyDescent="0.25">
      <c r="A9" s="144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</row>
    <row r="10" spans="1:14" ht="16.5" thickBot="1" x14ac:dyDescent="0.3">
      <c r="A10" s="145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</row>
    <row r="11" spans="1:14" ht="16.5" thickBot="1" x14ac:dyDescent="0.3">
      <c r="A11" s="143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</row>
    <row r="12" spans="1:14" ht="16.5" thickBot="1" x14ac:dyDescent="0.3">
      <c r="A12" s="144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 t="s">
        <v>61</v>
      </c>
      <c r="N12" s="25">
        <v>0.02</v>
      </c>
    </row>
    <row r="13" spans="1:14" ht="16.5" thickBot="1" x14ac:dyDescent="0.3">
      <c r="A13" s="144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N13" s="28"/>
    </row>
    <row r="14" spans="1:14" ht="15.75" x14ac:dyDescent="0.25">
      <c r="A14" s="144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</row>
    <row r="15" spans="1:14" ht="16.5" thickBot="1" x14ac:dyDescent="0.3">
      <c r="A15" s="145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</row>
    <row r="16" spans="1:14" ht="16.5" thickBot="1" x14ac:dyDescent="0.3">
      <c r="A16" s="146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</row>
    <row r="17" spans="1:13" ht="16.5" thickBot="1" x14ac:dyDescent="0.3">
      <c r="A17" s="147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</row>
    <row r="18" spans="1:13" ht="16.5" thickBot="1" x14ac:dyDescent="0.3">
      <c r="A18" s="147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</row>
    <row r="19" spans="1:13" ht="16.5" thickBot="1" x14ac:dyDescent="0.3">
      <c r="A19" s="147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</row>
    <row r="20" spans="1:13" ht="16.5" thickBot="1" x14ac:dyDescent="0.3">
      <c r="A20" s="147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</row>
    <row r="21" spans="1:13" ht="16.5" thickBot="1" x14ac:dyDescent="0.3">
      <c r="A21" s="147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</row>
    <row r="22" spans="1:13" ht="16.5" thickBot="1" x14ac:dyDescent="0.3">
      <c r="A22" s="147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</row>
    <row r="23" spans="1:13" ht="15.75" x14ac:dyDescent="0.25">
      <c r="A23" s="147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</row>
    <row r="24" spans="1:13" ht="16.5" thickBot="1" x14ac:dyDescent="0.3">
      <c r="A24" s="148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</row>
    <row r="25" spans="1:13" ht="16.5" thickBot="1" x14ac:dyDescent="0.3">
      <c r="A25" s="143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</row>
    <row r="26" spans="1:13" ht="16.5" thickBot="1" x14ac:dyDescent="0.3">
      <c r="A26" s="144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</row>
    <row r="27" spans="1:13" ht="16.5" thickBot="1" x14ac:dyDescent="0.3">
      <c r="A27" s="144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 s="27"/>
    </row>
    <row r="28" spans="1:13" ht="16.5" thickBot="1" x14ac:dyDescent="0.3">
      <c r="A28" s="144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26"/>
    </row>
    <row r="29" spans="1:13" ht="16.5" thickBot="1" x14ac:dyDescent="0.3">
      <c r="A29" s="144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 s="27"/>
    </row>
    <row r="30" spans="1:13" ht="16.5" thickBot="1" x14ac:dyDescent="0.3">
      <c r="A30" s="144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26"/>
    </row>
    <row r="31" spans="1:13" ht="16.5" thickBot="1" x14ac:dyDescent="0.3">
      <c r="A31" s="144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</row>
    <row r="32" spans="1:13" ht="16.5" thickBot="1" x14ac:dyDescent="0.3">
      <c r="A32" s="144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</row>
    <row r="33" spans="1:12" ht="16.5" thickBot="1" x14ac:dyDescent="0.3">
      <c r="A33" s="144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</row>
    <row r="34" spans="1:12" ht="16.5" thickBot="1" x14ac:dyDescent="0.3">
      <c r="A34" s="144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</row>
    <row r="35" spans="1:12" ht="16.5" thickBot="1" x14ac:dyDescent="0.3">
      <c r="A35" s="144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</row>
    <row r="36" spans="1:12" ht="16.5" thickBot="1" x14ac:dyDescent="0.3">
      <c r="A36" s="144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</row>
    <row r="37" spans="1:12" ht="15.75" x14ac:dyDescent="0.25">
      <c r="A37" s="144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</row>
    <row r="38" spans="1:12" ht="16.5" thickBot="1" x14ac:dyDescent="0.3">
      <c r="A38" s="145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</row>
    <row r="39" spans="1:12" ht="16.5" thickBot="1" x14ac:dyDescent="0.3">
      <c r="A39" s="143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</row>
    <row r="40" spans="1:12" ht="16.5" thickBot="1" x14ac:dyDescent="0.3">
      <c r="A40" s="144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</row>
    <row r="41" spans="1:12" ht="16.5" thickBot="1" x14ac:dyDescent="0.3">
      <c r="A41" s="144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</row>
    <row r="42" spans="1:12" ht="16.5" thickBot="1" x14ac:dyDescent="0.3">
      <c r="A42" s="144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</row>
    <row r="43" spans="1:12" ht="16.5" thickBot="1" x14ac:dyDescent="0.3">
      <c r="A43" s="144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</row>
    <row r="44" spans="1:12" ht="16.5" thickBot="1" x14ac:dyDescent="0.3">
      <c r="A44" s="144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</row>
    <row r="45" spans="1:12" ht="16.5" thickBot="1" x14ac:dyDescent="0.3">
      <c r="A45" s="144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</row>
    <row r="46" spans="1:12" ht="15.75" x14ac:dyDescent="0.25">
      <c r="A46" s="144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</row>
    <row r="47" spans="1:12" ht="16.5" thickBot="1" x14ac:dyDescent="0.3">
      <c r="A47" s="145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</row>
    <row r="48" spans="1:12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2026-08-05T19:03:19Z</dcterms:modified>
</cp:coreProperties>
</file>