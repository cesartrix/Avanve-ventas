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sar\Desktop\Reportes Ventas Rap\"/>
    </mc:Choice>
  </mc:AlternateContent>
  <xr:revisionPtr revIDLastSave="0" documentId="8_{BD953C04-3D1F-4AA9-9A7D-E3930DD7D48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ISIONES" sheetId="7" r:id="rId1"/>
    <sheet name="AVANCE" sheetId="3" r:id="rId2"/>
    <sheet name="COBERTURA" sheetId="6" r:id="rId3"/>
    <sheet name="Venta C" sheetId="10" r:id="rId4"/>
    <sheet name="Base Cobertura" sheetId="9" r:id="rId5"/>
    <sheet name="Base venta C" sheetId="12" r:id="rId6"/>
    <sheet name="Promedio Horas" sheetId="18" r:id="rId7"/>
    <sheet name="Historico Enero" sheetId="17" r:id="rId8"/>
    <sheet name="Historico Febrero" sheetId="13" r:id="rId9"/>
    <sheet name="Historico Marzo" sheetId="14" r:id="rId10"/>
    <sheet name="Historico Abril" sheetId="15" r:id="rId11"/>
    <sheet name="Historico Mayo" sheetId="16" r:id="rId12"/>
  </sheets>
  <definedNames>
    <definedName name="_xlnm._FilterDatabase" localSheetId="1" hidden="1">AVANCE!$B$1:$N$47</definedName>
    <definedName name="_xlnm._FilterDatabase" localSheetId="2" hidden="1">COBERTURA!$C$1:$N$48</definedName>
    <definedName name="_xlnm._FilterDatabase" localSheetId="0" hidden="1">COMISIONES!$A$1:$H$38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6" l="1"/>
  <c r="H46" i="6" l="1"/>
  <c r="F46" i="6" s="1"/>
  <c r="G46" i="6"/>
  <c r="H45" i="6"/>
  <c r="F45" i="6" s="1"/>
  <c r="G45" i="6"/>
  <c r="H44" i="6"/>
  <c r="F44" i="6" s="1"/>
  <c r="G44" i="6"/>
  <c r="H43" i="6"/>
  <c r="G43" i="6"/>
  <c r="I43" i="6" s="1"/>
  <c r="F43" i="6"/>
  <c r="H42" i="6"/>
  <c r="G42" i="6"/>
  <c r="H41" i="6"/>
  <c r="G41" i="6"/>
  <c r="I41" i="6" s="1"/>
  <c r="F41" i="6"/>
  <c r="D41" i="6"/>
  <c r="H40" i="6"/>
  <c r="G40" i="6"/>
  <c r="D45" i="3"/>
  <c r="F45" i="3" s="1"/>
  <c r="D44" i="3"/>
  <c r="F44" i="3" s="1"/>
  <c r="D43" i="3"/>
  <c r="F43" i="3" s="1"/>
  <c r="D42" i="3"/>
  <c r="F42" i="3" s="1"/>
  <c r="D41" i="3"/>
  <c r="F41" i="3" s="1"/>
  <c r="D40" i="3"/>
  <c r="F40" i="3" s="1"/>
  <c r="D39" i="3"/>
  <c r="F39" i="3" s="1"/>
  <c r="C37" i="6"/>
  <c r="E407" i="9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0" i="9"/>
  <c r="E311" i="9"/>
  <c r="E312" i="9"/>
  <c r="E313" i="9"/>
  <c r="E314" i="9"/>
  <c r="E315" i="9"/>
  <c r="E316" i="9"/>
  <c r="E317" i="9"/>
  <c r="E309" i="9"/>
  <c r="E308" i="9"/>
  <c r="E307" i="9"/>
  <c r="E306" i="9"/>
  <c r="E305" i="9"/>
  <c r="E304" i="9"/>
  <c r="E303" i="9"/>
  <c r="E302" i="9"/>
  <c r="E301" i="9"/>
  <c r="E300" i="9"/>
  <c r="E292" i="9"/>
  <c r="E293" i="9"/>
  <c r="E294" i="9"/>
  <c r="E295" i="9"/>
  <c r="E296" i="9"/>
  <c r="E297" i="9"/>
  <c r="E298" i="9"/>
  <c r="E299" i="9"/>
  <c r="E291" i="9"/>
  <c r="E283" i="9"/>
  <c r="E284" i="9"/>
  <c r="E285" i="9"/>
  <c r="E286" i="9"/>
  <c r="E287" i="9"/>
  <c r="E288" i="9"/>
  <c r="E289" i="9"/>
  <c r="E290" i="9"/>
  <c r="E282" i="9"/>
  <c r="E281" i="9"/>
  <c r="E280" i="9"/>
  <c r="E279" i="9"/>
  <c r="E278" i="9"/>
  <c r="E277" i="9"/>
  <c r="E276" i="9"/>
  <c r="E275" i="9"/>
  <c r="E274" i="9"/>
  <c r="E273" i="9"/>
  <c r="E265" i="9"/>
  <c r="E266" i="9"/>
  <c r="E267" i="9"/>
  <c r="E268" i="9"/>
  <c r="E269" i="9"/>
  <c r="E270" i="9"/>
  <c r="E271" i="9"/>
  <c r="E272" i="9"/>
  <c r="E264" i="9"/>
  <c r="E263" i="9"/>
  <c r="E262" i="9"/>
  <c r="E261" i="9"/>
  <c r="E260" i="9"/>
  <c r="E259" i="9"/>
  <c r="E258" i="9"/>
  <c r="E257" i="9"/>
  <c r="E256" i="9"/>
  <c r="E255" i="9"/>
  <c r="E247" i="9"/>
  <c r="E248" i="9"/>
  <c r="E249" i="9"/>
  <c r="E250" i="9"/>
  <c r="E251" i="9"/>
  <c r="E252" i="9"/>
  <c r="E253" i="9"/>
  <c r="E254" i="9"/>
  <c r="E246" i="9"/>
  <c r="E238" i="9"/>
  <c r="E239" i="9"/>
  <c r="E240" i="9"/>
  <c r="E241" i="9"/>
  <c r="E242" i="9"/>
  <c r="E243" i="9"/>
  <c r="E244" i="9"/>
  <c r="E245" i="9"/>
  <c r="E237" i="9"/>
  <c r="E229" i="9"/>
  <c r="E230" i="9"/>
  <c r="E231" i="9"/>
  <c r="E232" i="9"/>
  <c r="E233" i="9"/>
  <c r="E234" i="9"/>
  <c r="E235" i="9"/>
  <c r="E236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0" i="9"/>
  <c r="E131" i="9"/>
  <c r="E132" i="9"/>
  <c r="E133" i="9"/>
  <c r="E134" i="9"/>
  <c r="E135" i="9"/>
  <c r="E136" i="9"/>
  <c r="E137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76" i="9"/>
  <c r="E77" i="9"/>
  <c r="E78" i="9"/>
  <c r="E79" i="9"/>
  <c r="E80" i="9"/>
  <c r="E81" i="9"/>
  <c r="E82" i="9"/>
  <c r="E83" i="9"/>
  <c r="E75" i="9"/>
  <c r="E67" i="9"/>
  <c r="E68" i="9"/>
  <c r="E69" i="9"/>
  <c r="E70" i="9"/>
  <c r="E71" i="9"/>
  <c r="E72" i="9"/>
  <c r="E73" i="9"/>
  <c r="E74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12" i="9"/>
  <c r="E20" i="9" s="1"/>
  <c r="D42" i="6" l="1"/>
  <c r="D46" i="6"/>
  <c r="F42" i="6"/>
  <c r="I46" i="6"/>
  <c r="I42" i="6"/>
  <c r="F46" i="3"/>
  <c r="G40" i="3"/>
  <c r="D40" i="6"/>
  <c r="F40" i="6"/>
  <c r="I40" i="6"/>
  <c r="D43" i="6"/>
  <c r="I45" i="6"/>
  <c r="D45" i="6"/>
  <c r="I44" i="6"/>
  <c r="D44" i="6"/>
  <c r="K44" i="3"/>
  <c r="K45" i="3"/>
  <c r="K41" i="3"/>
  <c r="D46" i="3"/>
  <c r="K40" i="3"/>
  <c r="K42" i="3"/>
  <c r="K39" i="3"/>
  <c r="K43" i="3"/>
  <c r="G42" i="3"/>
  <c r="G39" i="3"/>
  <c r="G41" i="3"/>
  <c r="E14" i="9"/>
  <c r="E15" i="9"/>
  <c r="E16" i="9"/>
  <c r="E17" i="9"/>
  <c r="E18" i="9"/>
  <c r="E13" i="9"/>
  <c r="E19" i="9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5" i="10"/>
  <c r="C24" i="10"/>
  <c r="C23" i="10"/>
  <c r="C22" i="10"/>
  <c r="C21" i="10"/>
  <c r="C20" i="10"/>
  <c r="C19" i="10"/>
  <c r="C18" i="10"/>
  <c r="C17" i="10"/>
  <c r="C15" i="10"/>
  <c r="C14" i="10"/>
  <c r="C13" i="10"/>
  <c r="C12" i="10"/>
  <c r="C11" i="10"/>
  <c r="C9" i="10"/>
  <c r="C8" i="10"/>
  <c r="C7" i="10"/>
  <c r="C6" i="10"/>
  <c r="C5" i="10"/>
  <c r="C4" i="10"/>
  <c r="C3" i="10"/>
  <c r="C2" i="10"/>
  <c r="C27" i="6"/>
  <c r="C28" i="6"/>
  <c r="C29" i="6"/>
  <c r="C30" i="6"/>
  <c r="C31" i="6"/>
  <c r="C32" i="6"/>
  <c r="C33" i="6"/>
  <c r="C34" i="6"/>
  <c r="C35" i="6"/>
  <c r="C36" i="6"/>
  <c r="C38" i="6"/>
  <c r="C26" i="6"/>
  <c r="C24" i="6"/>
  <c r="C23" i="6"/>
  <c r="C21" i="6"/>
  <c r="C20" i="6"/>
  <c r="C19" i="6"/>
  <c r="C18" i="6"/>
  <c r="C17" i="6"/>
  <c r="C16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G33" i="6"/>
  <c r="H33" i="6"/>
  <c r="K46" i="3" l="1"/>
  <c r="G46" i="3"/>
  <c r="G43" i="3"/>
  <c r="D33" i="6"/>
  <c r="I33" i="6"/>
  <c r="F33" i="6"/>
  <c r="R2" i="6"/>
  <c r="Q2" i="6"/>
  <c r="G45" i="3" l="1"/>
  <c r="G44" i="3"/>
  <c r="P3" i="6" l="1" a="1"/>
  <c r="D2" i="3"/>
  <c r="D3" i="3"/>
  <c r="D4" i="3"/>
  <c r="D5" i="3"/>
  <c r="D6" i="3"/>
  <c r="D7" i="3"/>
  <c r="D8" i="3"/>
  <c r="D9" i="3"/>
  <c r="D11" i="3"/>
  <c r="D12" i="3"/>
  <c r="D13" i="3"/>
  <c r="D14" i="3"/>
  <c r="D16" i="3"/>
  <c r="F16" i="3" s="1"/>
  <c r="D17" i="3"/>
  <c r="F17" i="3" s="1"/>
  <c r="D18" i="3"/>
  <c r="F18" i="3" s="1"/>
  <c r="D19" i="3"/>
  <c r="F19" i="3" s="1"/>
  <c r="D20" i="3"/>
  <c r="F20" i="3" s="1"/>
  <c r="D21" i="3"/>
  <c r="F21" i="3" s="1"/>
  <c r="D22" i="3"/>
  <c r="F22" i="3" s="1"/>
  <c r="D23" i="3"/>
  <c r="F23" i="3" s="1"/>
  <c r="D25" i="3"/>
  <c r="F25" i="3" s="1"/>
  <c r="D26" i="3"/>
  <c r="F26" i="3" s="1"/>
  <c r="D27" i="3"/>
  <c r="F27" i="3" s="1"/>
  <c r="D28" i="3"/>
  <c r="F28" i="3" s="1"/>
  <c r="D29" i="3"/>
  <c r="F29" i="3" s="1"/>
  <c r="D30" i="3"/>
  <c r="F30" i="3" s="1"/>
  <c r="D31" i="3"/>
  <c r="F31" i="3" s="1"/>
  <c r="D32" i="3"/>
  <c r="F32" i="3" s="1"/>
  <c r="D33" i="3"/>
  <c r="F33" i="3" s="1"/>
  <c r="D34" i="3"/>
  <c r="F34" i="3" s="1"/>
  <c r="D35" i="3"/>
  <c r="F35" i="3" s="1"/>
  <c r="D36" i="3"/>
  <c r="F36" i="3" s="1"/>
  <c r="D37" i="3"/>
  <c r="N3" i="3"/>
  <c r="H38" i="6"/>
  <c r="G38" i="6"/>
  <c r="H37" i="6"/>
  <c r="G37" i="6"/>
  <c r="H36" i="6"/>
  <c r="G36" i="6"/>
  <c r="H35" i="6"/>
  <c r="G35" i="6"/>
  <c r="H34" i="6"/>
  <c r="G34" i="6"/>
  <c r="H32" i="6"/>
  <c r="G32" i="6"/>
  <c r="H31" i="6"/>
  <c r="G31" i="6"/>
  <c r="H30" i="6"/>
  <c r="G30" i="6"/>
  <c r="H29" i="6"/>
  <c r="G29" i="6"/>
  <c r="H28" i="6"/>
  <c r="G28" i="6"/>
  <c r="H27" i="6"/>
  <c r="G27" i="6"/>
  <c r="H26" i="6"/>
  <c r="G26" i="6"/>
  <c r="H24" i="6"/>
  <c r="G24" i="6"/>
  <c r="H23" i="6"/>
  <c r="G23" i="6"/>
  <c r="H22" i="6"/>
  <c r="G22" i="6"/>
  <c r="H21" i="6"/>
  <c r="G21" i="6"/>
  <c r="H20" i="6"/>
  <c r="G20" i="6"/>
  <c r="H19" i="6"/>
  <c r="G19" i="6"/>
  <c r="H18" i="6"/>
  <c r="G18" i="6"/>
  <c r="H17" i="6"/>
  <c r="G17" i="6"/>
  <c r="H16" i="6"/>
  <c r="G16" i="6"/>
  <c r="H14" i="6"/>
  <c r="G14" i="6"/>
  <c r="H13" i="6"/>
  <c r="G13" i="6"/>
  <c r="H12" i="6"/>
  <c r="G12" i="6"/>
  <c r="H11" i="6"/>
  <c r="G11" i="6"/>
  <c r="H10" i="6"/>
  <c r="G10" i="6"/>
  <c r="H9" i="6"/>
  <c r="G9" i="6"/>
  <c r="H8" i="6"/>
  <c r="G8" i="6"/>
  <c r="H7" i="6"/>
  <c r="G7" i="6"/>
  <c r="H6" i="6"/>
  <c r="G6" i="6"/>
  <c r="H5" i="6"/>
  <c r="G5" i="6"/>
  <c r="H4" i="6"/>
  <c r="G4" i="6"/>
  <c r="H3" i="6"/>
  <c r="G3" i="6"/>
  <c r="H2" i="6"/>
  <c r="G2" i="6"/>
  <c r="J45" i="3" l="1"/>
  <c r="H45" i="3"/>
  <c r="I45" i="3" s="1"/>
  <c r="L45" i="3" s="1" a="1"/>
  <c r="L45" i="3" s="1"/>
  <c r="H41" i="3"/>
  <c r="I41" i="3" s="1"/>
  <c r="L41" i="3" s="1" a="1"/>
  <c r="L41" i="3" s="1"/>
  <c r="J40" i="3"/>
  <c r="H44" i="3"/>
  <c r="I44" i="3" s="1"/>
  <c r="L44" i="3" s="1" a="1"/>
  <c r="L44" i="3" s="1"/>
  <c r="H40" i="3"/>
  <c r="I40" i="3" s="1"/>
  <c r="L40" i="3" s="1" a="1"/>
  <c r="L40" i="3" s="1"/>
  <c r="J44" i="3"/>
  <c r="H43" i="3"/>
  <c r="I43" i="3" s="1"/>
  <c r="L43" i="3" s="1" a="1"/>
  <c r="L43" i="3" s="1"/>
  <c r="J43" i="3"/>
  <c r="J42" i="3"/>
  <c r="H42" i="3"/>
  <c r="I42" i="3" s="1"/>
  <c r="L42" i="3" s="1" a="1"/>
  <c r="L42" i="3" s="1"/>
  <c r="J41" i="3"/>
  <c r="J39" i="3"/>
  <c r="H39" i="3"/>
  <c r="I39" i="3" s="1"/>
  <c r="L39" i="3" s="1" a="1"/>
  <c r="L39" i="3" s="1"/>
  <c r="J46" i="3"/>
  <c r="H46" i="3"/>
  <c r="I46" i="3" s="1"/>
  <c r="F37" i="3"/>
  <c r="G37" i="3"/>
  <c r="P3" i="6"/>
  <c r="U11" i="6"/>
  <c r="D15" i="3"/>
  <c r="D24" i="3"/>
  <c r="F24" i="3" s="1"/>
  <c r="D38" i="3"/>
  <c r="F38" i="3" s="1"/>
  <c r="D10" i="3"/>
  <c r="G38" i="3" l="1"/>
  <c r="D47" i="3"/>
  <c r="F47" i="3" s="1"/>
  <c r="D9" i="6"/>
  <c r="G34" i="3" l="1"/>
  <c r="G6" i="3"/>
  <c r="K3" i="3"/>
  <c r="G2" i="3"/>
  <c r="G39" i="6" l="1"/>
  <c r="G47" i="6" s="1"/>
  <c r="G15" i="6"/>
  <c r="G25" i="6"/>
  <c r="G22" i="3"/>
  <c r="H17" i="3"/>
  <c r="J17" i="3"/>
  <c r="H21" i="3"/>
  <c r="I21" i="3" s="1"/>
  <c r="L21" i="3" s="1" a="1"/>
  <c r="L21" i="3" s="1"/>
  <c r="H22" i="3"/>
  <c r="I22" i="3" s="1"/>
  <c r="L22" i="3" s="1" a="1"/>
  <c r="L22" i="3" s="1"/>
  <c r="J21" i="3"/>
  <c r="H23" i="3"/>
  <c r="J23" i="3"/>
  <c r="J18" i="3"/>
  <c r="H20" i="3"/>
  <c r="J19" i="3"/>
  <c r="H19" i="3"/>
  <c r="J16" i="3"/>
  <c r="H16" i="3"/>
  <c r="I16" i="3" s="1"/>
  <c r="L16" i="3" s="1" a="1"/>
  <c r="L16" i="3" s="1"/>
  <c r="H18" i="3"/>
  <c r="J20" i="3"/>
  <c r="J22" i="3"/>
  <c r="D19" i="6"/>
  <c r="F19" i="6"/>
  <c r="I5" i="6"/>
  <c r="I6" i="6"/>
  <c r="I7" i="6"/>
  <c r="I8" i="6"/>
  <c r="I9" i="6"/>
  <c r="I14" i="6"/>
  <c r="H39" i="6" l="1"/>
  <c r="H47" i="6" s="1"/>
  <c r="H15" i="6"/>
  <c r="H25" i="6"/>
  <c r="G48" i="6"/>
  <c r="D37" i="6"/>
  <c r="F37" i="6"/>
  <c r="D36" i="6"/>
  <c r="F36" i="6"/>
  <c r="D35" i="6"/>
  <c r="F35" i="6"/>
  <c r="D32" i="6"/>
  <c r="F32" i="6"/>
  <c r="D27" i="6"/>
  <c r="F27" i="6"/>
  <c r="D34" i="6"/>
  <c r="F34" i="6"/>
  <c r="D31" i="6"/>
  <c r="F31" i="6"/>
  <c r="D30" i="6"/>
  <c r="F30" i="6"/>
  <c r="D29" i="6"/>
  <c r="F29" i="6"/>
  <c r="D28" i="6"/>
  <c r="F28" i="6"/>
  <c r="D38" i="6"/>
  <c r="F38" i="6"/>
  <c r="D26" i="6"/>
  <c r="F26" i="6"/>
  <c r="H11" i="3"/>
  <c r="I11" i="3" s="1"/>
  <c r="L11" i="3" s="1" a="1"/>
  <c r="L11" i="3" s="1"/>
  <c r="J11" i="3"/>
  <c r="H30" i="3"/>
  <c r="J30" i="3"/>
  <c r="H9" i="3"/>
  <c r="J9" i="3"/>
  <c r="H14" i="3"/>
  <c r="J14" i="3"/>
  <c r="J13" i="3"/>
  <c r="H13" i="3"/>
  <c r="H26" i="3"/>
  <c r="J26" i="3"/>
  <c r="J36" i="3"/>
  <c r="H36" i="3"/>
  <c r="J35" i="3"/>
  <c r="H35" i="3"/>
  <c r="I35" i="3" s="1"/>
  <c r="L35" i="3" s="1" a="1"/>
  <c r="L35" i="3" s="1"/>
  <c r="H4" i="3"/>
  <c r="J4" i="3"/>
  <c r="J3" i="3"/>
  <c r="H3" i="3"/>
  <c r="I3" i="3" s="1"/>
  <c r="L3" i="3" s="1" a="1"/>
  <c r="L3" i="3" s="1"/>
  <c r="J33" i="3"/>
  <c r="H33" i="3"/>
  <c r="J12" i="3"/>
  <c r="H12" i="3"/>
  <c r="H32" i="3"/>
  <c r="J32" i="3"/>
  <c r="J24" i="3"/>
  <c r="H24" i="3"/>
  <c r="H29" i="3"/>
  <c r="J29" i="3"/>
  <c r="H8" i="3"/>
  <c r="J8" i="3"/>
  <c r="H28" i="3"/>
  <c r="J28" i="3"/>
  <c r="J27" i="3"/>
  <c r="H27" i="3"/>
  <c r="H25" i="3"/>
  <c r="J25" i="3"/>
  <c r="H7" i="3"/>
  <c r="J7" i="3"/>
  <c r="H37" i="3"/>
  <c r="J37" i="3"/>
  <c r="H6" i="3"/>
  <c r="J6" i="3"/>
  <c r="H5" i="3"/>
  <c r="J5" i="3"/>
  <c r="J34" i="3"/>
  <c r="H34" i="3"/>
  <c r="I34" i="3" s="1"/>
  <c r="L34" i="3" s="1" a="1"/>
  <c r="L34" i="3" s="1"/>
  <c r="H2" i="3"/>
  <c r="I2" i="3" s="1"/>
  <c r="L2" i="3" s="1" a="1"/>
  <c r="L2" i="3" s="1"/>
  <c r="J2" i="3"/>
  <c r="H31" i="3"/>
  <c r="J31" i="3"/>
  <c r="F4" i="6"/>
  <c r="D4" i="6"/>
  <c r="F2" i="6"/>
  <c r="D2" i="6"/>
  <c r="F3" i="6"/>
  <c r="D3" i="6"/>
  <c r="F14" i="6"/>
  <c r="D14" i="6"/>
  <c r="F13" i="6"/>
  <c r="D13" i="6"/>
  <c r="I13" i="6"/>
  <c r="F12" i="6"/>
  <c r="D12" i="6"/>
  <c r="F23" i="6"/>
  <c r="D23" i="6"/>
  <c r="F11" i="6"/>
  <c r="D11" i="6"/>
  <c r="F22" i="6"/>
  <c r="D22" i="6"/>
  <c r="F10" i="6"/>
  <c r="D10" i="6"/>
  <c r="F21" i="6"/>
  <c r="D21" i="6"/>
  <c r="F8" i="6"/>
  <c r="D8" i="6"/>
  <c r="F7" i="6"/>
  <c r="D7" i="6"/>
  <c r="F18" i="6"/>
  <c r="D18" i="6"/>
  <c r="F17" i="6"/>
  <c r="D17" i="6"/>
  <c r="F24" i="6"/>
  <c r="D24" i="6"/>
  <c r="I12" i="6"/>
  <c r="F9" i="6"/>
  <c r="F20" i="6"/>
  <c r="D20" i="6"/>
  <c r="F6" i="6"/>
  <c r="D6" i="6"/>
  <c r="I3" i="6"/>
  <c r="F5" i="6"/>
  <c r="D5" i="6"/>
  <c r="F16" i="6"/>
  <c r="D16" i="6"/>
  <c r="I10" i="6"/>
  <c r="K22" i="3"/>
  <c r="I30" i="6"/>
  <c r="I34" i="6"/>
  <c r="G14" i="3"/>
  <c r="I4" i="6"/>
  <c r="I29" i="6"/>
  <c r="I31" i="6"/>
  <c r="I28" i="6"/>
  <c r="I37" i="6"/>
  <c r="I27" i="6"/>
  <c r="I38" i="6"/>
  <c r="I11" i="6"/>
  <c r="I17" i="6"/>
  <c r="I2" i="6"/>
  <c r="I26" i="6"/>
  <c r="I16" i="6"/>
  <c r="I18" i="6"/>
  <c r="I21" i="6"/>
  <c r="I24" i="6"/>
  <c r="I36" i="6"/>
  <c r="I23" i="6"/>
  <c r="I35" i="6"/>
  <c r="I22" i="6"/>
  <c r="I20" i="6"/>
  <c r="I32" i="6"/>
  <c r="I19" i="6"/>
  <c r="K27" i="3"/>
  <c r="K16" i="3"/>
  <c r="K5" i="3"/>
  <c r="K30" i="3"/>
  <c r="I23" i="3"/>
  <c r="L23" i="3" s="1" a="1"/>
  <c r="L23" i="3" s="1"/>
  <c r="K36" i="3"/>
  <c r="G36" i="3"/>
  <c r="G21" i="3"/>
  <c r="K21" i="3"/>
  <c r="K20" i="3"/>
  <c r="I20" i="3"/>
  <c r="L20" i="3" s="1" a="1"/>
  <c r="L20" i="3" s="1"/>
  <c r="G20" i="3"/>
  <c r="K8" i="3"/>
  <c r="G8" i="3"/>
  <c r="K7" i="3"/>
  <c r="K13" i="3"/>
  <c r="G13" i="3"/>
  <c r="K14" i="3"/>
  <c r="G7" i="3"/>
  <c r="I19" i="3"/>
  <c r="L19" i="3" s="1" a="1"/>
  <c r="L19" i="3" s="1"/>
  <c r="K25" i="3"/>
  <c r="G30" i="3"/>
  <c r="G16" i="3"/>
  <c r="I18" i="3"/>
  <c r="L18" i="3" s="1" a="1"/>
  <c r="L18" i="3" s="1"/>
  <c r="K37" i="3"/>
  <c r="K2" i="3"/>
  <c r="G29" i="3"/>
  <c r="G9" i="3"/>
  <c r="I17" i="3"/>
  <c r="L17" i="3" s="1" a="1"/>
  <c r="L17" i="3" s="1"/>
  <c r="K35" i="3"/>
  <c r="G28" i="3"/>
  <c r="K34" i="3"/>
  <c r="K23" i="3"/>
  <c r="G27" i="3"/>
  <c r="G5" i="3"/>
  <c r="K33" i="3"/>
  <c r="K19" i="3"/>
  <c r="G26" i="3"/>
  <c r="G4" i="3"/>
  <c r="K32" i="3"/>
  <c r="K18" i="3"/>
  <c r="K12" i="3"/>
  <c r="G25" i="3"/>
  <c r="G3" i="3"/>
  <c r="K31" i="3"/>
  <c r="K17" i="3"/>
  <c r="G12" i="3"/>
  <c r="G35" i="3"/>
  <c r="K29" i="3"/>
  <c r="K9" i="3"/>
  <c r="G23" i="3"/>
  <c r="K28" i="3"/>
  <c r="K6" i="3"/>
  <c r="G33" i="3"/>
  <c r="G19" i="3"/>
  <c r="G32" i="3"/>
  <c r="G18" i="3"/>
  <c r="K11" i="3"/>
  <c r="K26" i="3"/>
  <c r="K4" i="3"/>
  <c r="G31" i="3"/>
  <c r="G17" i="3"/>
  <c r="G11" i="3"/>
  <c r="H48" i="6" l="1"/>
  <c r="L48" i="6" s="1"/>
  <c r="F39" i="6"/>
  <c r="H38" i="3"/>
  <c r="J38" i="3"/>
  <c r="J10" i="3"/>
  <c r="H10" i="3"/>
  <c r="K15" i="3"/>
  <c r="G15" i="3"/>
  <c r="H15" i="3"/>
  <c r="I15" i="3" s="1"/>
  <c r="J15" i="3"/>
  <c r="F25" i="6"/>
  <c r="F15" i="6"/>
  <c r="I6" i="3"/>
  <c r="L6" i="3" s="1" a="1"/>
  <c r="L6" i="3" s="1"/>
  <c r="I27" i="3"/>
  <c r="L27" i="3" s="1" a="1"/>
  <c r="L27" i="3" s="1"/>
  <c r="I33" i="3"/>
  <c r="L33" i="3" s="1" a="1"/>
  <c r="L33" i="3" s="1"/>
  <c r="I5" i="3"/>
  <c r="L5" i="3" s="1" a="1"/>
  <c r="L5" i="3" s="1"/>
  <c r="I26" i="3"/>
  <c r="L26" i="3" s="1" a="1"/>
  <c r="L26" i="3" s="1"/>
  <c r="I9" i="3"/>
  <c r="L9" i="3" s="1" a="1"/>
  <c r="L9" i="3" s="1"/>
  <c r="I13" i="3"/>
  <c r="L13" i="3" s="1" a="1"/>
  <c r="L13" i="3" s="1"/>
  <c r="I37" i="3"/>
  <c r="L37" i="3" s="1" a="1"/>
  <c r="L37" i="3" s="1"/>
  <c r="I30" i="3"/>
  <c r="L30" i="3" s="1" a="1"/>
  <c r="L30" i="3" s="1"/>
  <c r="I12" i="3"/>
  <c r="L12" i="3" s="1" a="1"/>
  <c r="L12" i="3" s="1"/>
  <c r="I8" i="3"/>
  <c r="L8" i="3" s="1" a="1"/>
  <c r="L8" i="3" s="1"/>
  <c r="I4" i="3"/>
  <c r="L4" i="3" s="1" a="1"/>
  <c r="L4" i="3" s="1"/>
  <c r="I29" i="3"/>
  <c r="L29" i="3" s="1" a="1"/>
  <c r="L29" i="3" s="1"/>
  <c r="I25" i="3"/>
  <c r="L25" i="3" s="1" a="1"/>
  <c r="L25" i="3" s="1"/>
  <c r="I31" i="3"/>
  <c r="L31" i="3" s="1" a="1"/>
  <c r="L31" i="3" s="1"/>
  <c r="I32" i="3"/>
  <c r="L32" i="3" s="1" a="1"/>
  <c r="L32" i="3" s="1"/>
  <c r="I14" i="3"/>
  <c r="L14" i="3" s="1" a="1"/>
  <c r="L14" i="3" s="1"/>
  <c r="I28" i="3"/>
  <c r="L28" i="3" s="1" a="1"/>
  <c r="L28" i="3" s="1"/>
  <c r="I7" i="3"/>
  <c r="L7" i="3" s="1" a="1"/>
  <c r="L7" i="3" s="1"/>
  <c r="I36" i="3"/>
  <c r="L36" i="3" s="1" a="1"/>
  <c r="L36" i="3" s="1"/>
  <c r="G24" i="3"/>
  <c r="K24" i="3"/>
  <c r="K38" i="3"/>
  <c r="G10" i="3"/>
  <c r="K10" i="3"/>
  <c r="F48" i="6" l="1"/>
  <c r="H47" i="3"/>
  <c r="J47" i="3"/>
  <c r="I38" i="3"/>
  <c r="I24" i="3"/>
  <c r="I10" i="3"/>
  <c r="K47" i="3"/>
  <c r="G47" i="3"/>
  <c r="I47" i="3" l="1"/>
  <c r="U8" i="6" s="1"/>
  <c r="U7" i="6" s="1"/>
  <c r="U5" i="6" s="1"/>
  <c r="U3" i="6" l="1"/>
  <c r="U10" i="6"/>
  <c r="U6" i="6"/>
  <c r="U4" i="6"/>
  <c r="U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<sst xmlns="http://schemas.openxmlformats.org/spreadsheetml/2006/main" count="1518" uniqueCount="289">
  <si>
    <t>GOMEZ MARTÍN</t>
  </si>
  <si>
    <t>GOMEZ PABLO</t>
  </si>
  <si>
    <t>TORRES ROLANDO</t>
  </si>
  <si>
    <t>BARTSCHAT EMILIANO NAHUEL</t>
  </si>
  <si>
    <t>VIDAL NAHUEL</t>
  </si>
  <si>
    <t>COLHER DIEGO</t>
  </si>
  <si>
    <t>RAVAROTTO EMANUEL</t>
  </si>
  <si>
    <t>OJEDA NORBERTO</t>
  </si>
  <si>
    <t>ESTIGARRIBIA DAVID</t>
  </si>
  <si>
    <t>SANDOVAL RODRIGO</t>
  </si>
  <si>
    <t>VALLEJOS EDUARDO</t>
  </si>
  <si>
    <t>HERRERA PABLO</t>
  </si>
  <si>
    <t>GUTIERREZ MARCOS DAVID</t>
  </si>
  <si>
    <t>GALARZA GERARDO</t>
  </si>
  <si>
    <t>VERA ERNESTO</t>
  </si>
  <si>
    <t>ESCOBAR RAÚL</t>
  </si>
  <si>
    <t>PUJOL ERNESTO</t>
  </si>
  <si>
    <t>CATAN MATIAS</t>
  </si>
  <si>
    <t>KALATAKI GUSTAVO</t>
  </si>
  <si>
    <t>TUR SPRINGER FERNANDO</t>
  </si>
  <si>
    <t>FLORES JAVIER</t>
  </si>
  <si>
    <t>GOMEZ MATÍAS</t>
  </si>
  <si>
    <t>DELGADO JOSÉ</t>
  </si>
  <si>
    <t>ALMIRON NICOLAS</t>
  </si>
  <si>
    <t>CAÑETE DIEGO</t>
  </si>
  <si>
    <t>PEREZ ESQUIVEL BRUNO NICOLAS</t>
  </si>
  <si>
    <t>GOMEZ ADRIÁN</t>
  </si>
  <si>
    <t>ZARATE NICOLAS</t>
  </si>
  <si>
    <t>BLANCO FERNANDO</t>
  </si>
  <si>
    <t>ROMERO ARIEL</t>
  </si>
  <si>
    <t>VENDEDOR/ SUPERVISOR</t>
  </si>
  <si>
    <t>OBJETIVO</t>
  </si>
  <si>
    <t>FACTURACION ACUMULADA</t>
  </si>
  <si>
    <t>FACTURACION DEL DIA</t>
  </si>
  <si>
    <t>MEDIA NECESARIA</t>
  </si>
  <si>
    <t>MEDIA REAL</t>
  </si>
  <si>
    <t>DIAS DE TRABAJO RESTANTES</t>
  </si>
  <si>
    <t>MARTIN (SUPERVISOR)</t>
  </si>
  <si>
    <t>CRISTIAN (SUPERVISOR)</t>
  </si>
  <si>
    <t>FACTURACION N-1</t>
  </si>
  <si>
    <t>DIAS TRABAJADOS</t>
  </si>
  <si>
    <t>AVANCE VS OBJETIVO</t>
  </si>
  <si>
    <t>LOPEZ ENZO</t>
  </si>
  <si>
    <t>COBERTURA TOTAL</t>
  </si>
  <si>
    <t>INCREMENTO DIARIO</t>
  </si>
  <si>
    <t xml:space="preserve">PROYECCION </t>
  </si>
  <si>
    <t>CUMPLIMIENTO PROYECTADO</t>
  </si>
  <si>
    <t>DIAS DE TRABAJO MES</t>
  </si>
  <si>
    <t>CARTERA TOTAL</t>
  </si>
  <si>
    <t>CCC</t>
  </si>
  <si>
    <t>DIA ANTERIOR</t>
  </si>
  <si>
    <t>MARTIN (SUPERVISOR) PREVENTA</t>
  </si>
  <si>
    <t xml:space="preserve">MARTIN (SUPERVISOR) </t>
  </si>
  <si>
    <t>COBRO</t>
  </si>
  <si>
    <t>CCC FALTANTE 85%</t>
  </si>
  <si>
    <t>bien</t>
  </si>
  <si>
    <t>mal</t>
  </si>
  <si>
    <t>re bien</t>
  </si>
  <si>
    <t>apretarlo</t>
  </si>
  <si>
    <t>verlo</t>
  </si>
  <si>
    <t>abrazo</t>
  </si>
  <si>
    <t xml:space="preserve">AUMENTO OBJ </t>
  </si>
  <si>
    <t>SEGOVIA JUAN CRUZ</t>
  </si>
  <si>
    <t>chaca</t>
  </si>
  <si>
    <t>muy bien</t>
  </si>
  <si>
    <t>apretarlo con ema</t>
  </si>
  <si>
    <t>apretar/charlar</t>
  </si>
  <si>
    <t>apretar</t>
  </si>
  <si>
    <t>TOTAL CANALES</t>
  </si>
  <si>
    <t>GARCIA BOGARIN SANTIAGO</t>
  </si>
  <si>
    <t>MOSTRADOR</t>
  </si>
  <si>
    <t>SCHELOVER RAUL</t>
  </si>
  <si>
    <t>MONGES CESAR LUIS</t>
  </si>
  <si>
    <t>GONZALEZ MARCELO</t>
  </si>
  <si>
    <t>Agrupacion</t>
  </si>
  <si>
    <t>DELGADO HERNAN GABRIEL</t>
  </si>
  <si>
    <t>VENDEDOR</t>
  </si>
  <si>
    <t>Nro Vendedor</t>
  </si>
  <si>
    <t>CCC x Bultos</t>
  </si>
  <si>
    <t>Cartera Clientes</t>
  </si>
  <si>
    <t>ZACARIAS DAVID</t>
  </si>
  <si>
    <t>1 - VERA ERNESTO</t>
  </si>
  <si>
    <t>2 - OJEDA NORBERTO</t>
  </si>
  <si>
    <t>3 - VIDAL NAHUEL</t>
  </si>
  <si>
    <t>4 - TUR SPRINGER FERNANDO</t>
  </si>
  <si>
    <t>5 - SCHELOVER RAUL</t>
  </si>
  <si>
    <t>8 - RAVAROTTO EMANUEL</t>
  </si>
  <si>
    <t>9 - ESTIGARRIBIA DAVID</t>
  </si>
  <si>
    <t>10 - SEGOVIA JUAN CRUZ</t>
  </si>
  <si>
    <t>11 - ZACARIAS DAVID</t>
  </si>
  <si>
    <t>12 - GUTIERREZ MARCOS DAVID</t>
  </si>
  <si>
    <t>15 - GALARZA GERARDO</t>
  </si>
  <si>
    <t>16 - GOMEZ MATÍAS</t>
  </si>
  <si>
    <t>18 - HERRERA PABLO</t>
  </si>
  <si>
    <t>19 - GONZALEZ MARCELO</t>
  </si>
  <si>
    <t>20 - FLORES JAVIER</t>
  </si>
  <si>
    <t>21 - CATAN MATIAS</t>
  </si>
  <si>
    <t>22 - ALMIRON NICOLAS</t>
  </si>
  <si>
    <t>23 - DELGADO JOSÉ</t>
  </si>
  <si>
    <t>27 - GOMEZ ADRIÁN</t>
  </si>
  <si>
    <t>28 - GOMEZ PABLO</t>
  </si>
  <si>
    <t>31 - BARTSCHAT EMILIANO NAHUEL</t>
  </si>
  <si>
    <t>32 - BLANCO FERNANDO</t>
  </si>
  <si>
    <t>36 - STELLA MARIS CANO</t>
  </si>
  <si>
    <t>37 - PEREZ ESQUIVEL BRUNO NICOLAS</t>
  </si>
  <si>
    <t>40 - GARCIA BOGARIN SANTIAGO</t>
  </si>
  <si>
    <t>44 - MONGE CÉSAR LUIS</t>
  </si>
  <si>
    <t>49 - ESCOBAR RAÚL</t>
  </si>
  <si>
    <t>53 - SANDOVAL RODRIGO</t>
  </si>
  <si>
    <t>54 - CAÑETE DIEGO</t>
  </si>
  <si>
    <t>57 - ZARATE NICOLAS</t>
  </si>
  <si>
    <t>7 - VALLEJOS EDUARDO</t>
  </si>
  <si>
    <t>52 - MARSALL NICOLAS</t>
  </si>
  <si>
    <t>24 - DELGADO HERNAN GABRIEL</t>
  </si>
  <si>
    <t>Cobertura x Un de negocio</t>
  </si>
  <si>
    <t>Cod vdor</t>
  </si>
  <si>
    <t>% ALCANZADO</t>
  </si>
  <si>
    <t>Periodos</t>
  </si>
  <si>
    <t>Cod. Período</t>
  </si>
  <si>
    <t>Descripción Período</t>
  </si>
  <si>
    <t>Vendedor según comprobante</t>
  </si>
  <si>
    <t>Código</t>
  </si>
  <si>
    <t>Descripción</t>
  </si>
  <si>
    <t>Rotacion a-b-c</t>
  </si>
  <si>
    <t>P.P.P. Neto</t>
  </si>
  <si>
    <t>P.P.P. Final</t>
  </si>
  <si>
    <t>Cantidades CON Cargo</t>
  </si>
  <si>
    <t>Cantidades SIN Cargo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</si>
  <si>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</si>
  <si>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</si>
  <si>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</si>
  <si>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</si>
  <si>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</si>
  <si>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</si>
  <si>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</si>
  <si>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Suc: 001 (000009) ESTIGARRIBIA DAVID</t>
  </si>
  <si>
    <t>Suc: 001 (000021) CATAN MATIAS</t>
  </si>
  <si>
    <t>Suc: 001 (000024) DELGADO HERNAN GABRIEL</t>
  </si>
  <si>
    <t>Venta NETA ARTICULOS C</t>
  </si>
  <si>
    <t>33 - NICOLAS AZULA</t>
  </si>
  <si>
    <t>56 - JUAN ANDRES SANCHEZ</t>
  </si>
  <si>
    <t>COBERTURAMESENCURSO</t>
  </si>
  <si>
    <t>COBERTURAUNIDADDENEGOCIO</t>
  </si>
  <si>
    <t>(1382) ROTACION C INCENTIVO</t>
  </si>
  <si>
    <t>ROTACION C INCENTIVO</t>
  </si>
  <si>
    <t>58 - BLADIMIR LEZCANO</t>
  </si>
  <si>
    <t>59 - LEIVA SILVIO</t>
  </si>
  <si>
    <t>SUCURSAL</t>
  </si>
  <si>
    <t>BULTOS</t>
  </si>
  <si>
    <t>UNIDAD DE MEDIDA</t>
  </si>
  <si>
    <t>IMPORTE</t>
  </si>
  <si>
    <t>COMISIÓN POR IMPORTE FIJO</t>
  </si>
  <si>
    <t>COMISIÓN POR PORCENTAJE</t>
  </si>
  <si>
    <t>COMISIÓN TOTAL</t>
  </si>
  <si>
    <t>0 - TODOS LOS VENDEDORES</t>
  </si>
  <si>
    <t>100 - MOSTRADOR</t>
  </si>
  <si>
    <t>Suc: 001 (000001) VERA ERNESTO</t>
  </si>
  <si>
    <t>Suc: 001 (000003) VIDAL NAHUEL</t>
  </si>
  <si>
    <t>Suc: 001 (000008) RAVAROTTO EMANUEL</t>
  </si>
  <si>
    <t>Suc: 001 (000023) DELGADO JOSÉ</t>
  </si>
  <si>
    <t>Suc: 001 (000040) GARCIA BOGARIN SANTIAGO</t>
  </si>
  <si>
    <t>44 - MONGES CESAR LUIS</t>
  </si>
  <si>
    <t>Suc: 001 (000004) TUR SPRINGER FERNANDO</t>
  </si>
  <si>
    <t>Suc: 001 (000005) SCHELOVER RAUL</t>
  </si>
  <si>
    <t>Suc: 001 (000010) SEGOVIA JUAN CRUZ</t>
  </si>
  <si>
    <t>Suc: 001 (000011) ZACARIAS DAVID</t>
  </si>
  <si>
    <t>Suc: 001 (000016) GOMEZ MATÍAS</t>
  </si>
  <si>
    <t>Suc: 001 (000018) HERRERA PABLO</t>
  </si>
  <si>
    <t>Suc: 001 (000020) FLORES JAVIER</t>
  </si>
  <si>
    <t>Suc: 001 (000025) KALATAKI GUSTAVO</t>
  </si>
  <si>
    <t>Suc: 001 (000026) PUJOL ERNESTO</t>
  </si>
  <si>
    <t>Suc: 001 (000027) GOMEZ ADRIÁN</t>
  </si>
  <si>
    <t>Suc: 001 (000028) GOMEZ PABLO</t>
  </si>
  <si>
    <t>Suc: 001 (000031) BARTSCHAT EMILIANO NAHUEL</t>
  </si>
  <si>
    <t>Suc: 001 (000033) NICOLAS AZULA</t>
  </si>
  <si>
    <t>NICOLAS AZULA</t>
  </si>
  <si>
    <t>Suc: 001 (000037) PEREZ ESQUIVEL BRUNO NICOLAS</t>
  </si>
  <si>
    <t>Suc: 001 (000044) MONGES CESAR LUIS</t>
  </si>
  <si>
    <t>Suc: 001 (000054) CAÑETE DIEGO</t>
  </si>
  <si>
    <t>Suc: 001 (000100) MOSTRADOR</t>
  </si>
  <si>
    <t>Suc: 001 (000002) OJEDA NORBERTO</t>
  </si>
  <si>
    <t>Suc: 001 (000012) GUTIERREZ MARCOS DAVID</t>
  </si>
  <si>
    <t>Suc: 001 (000019) GONZALEZ MARCELO</t>
  </si>
  <si>
    <t>Suc: 001 (000036) GONZALO CABRAL</t>
  </si>
  <si>
    <t>GONZALO CABRAL</t>
  </si>
  <si>
    <t>Suc: 001 (000056) JUAN ANDRES SANCHEZ</t>
  </si>
  <si>
    <t>JUAN ANDRES SANCHEZ</t>
  </si>
  <si>
    <t>Suc: 001 (000123) TORRES ROLANDO</t>
  </si>
  <si>
    <t>Suc: 001 (000030) GOMEZ MARTÍN</t>
  </si>
  <si>
    <t>Suc: 001 (000032) BLANCO FERNANDO</t>
  </si>
  <si>
    <t>Suc: 001 (000052) MARSALL NICOLAS</t>
  </si>
  <si>
    <t>MARSALL NICOLAS</t>
  </si>
  <si>
    <t>Suc: 001 (000053) SANDOVAL RODRIGO</t>
  </si>
  <si>
    <t>Suc: 001 (000058) BLADIMIR LEZCANO</t>
  </si>
  <si>
    <t>BLADIMIR LEZCANO</t>
  </si>
  <si>
    <t>Suc: 001 (000059) LEIVA SILVIO</t>
  </si>
  <si>
    <t>LEIVA SILVIO</t>
  </si>
  <si>
    <t>Suc: 001 (000007) VALLEJOS EDUARDO</t>
  </si>
  <si>
    <t>Suc: 001 (000022) ALMIRON NICOLAS</t>
  </si>
  <si>
    <t>Suc: 001 (000049) ESCOBAR RAÚL</t>
  </si>
  <si>
    <t>Suc: 001 (000042) ROMERO ARIEL</t>
  </si>
  <si>
    <t>Suc: 001 (000057) ZARATE NICOLAS</t>
  </si>
  <si>
    <t>Suc: 001 (000015) GALARZA GERARDO</t>
  </si>
  <si>
    <t>Suc: 001 (000043) COLHER DIEGO</t>
  </si>
  <si>
    <t>(001) MAR 2026</t>
  </si>
  <si>
    <t>24 - MARTINEZ JORGE NICOLAS</t>
  </si>
  <si>
    <t>SUPERVISOR</t>
  </si>
  <si>
    <t>MARTIN PREVENTA</t>
  </si>
  <si>
    <t>MARTIN</t>
  </si>
  <si>
    <t>CRISTIAN</t>
  </si>
  <si>
    <t>11 - SANCHEZ RICARDO</t>
  </si>
  <si>
    <t>10 - BRITEZ EMMANUEL</t>
  </si>
  <si>
    <t>32 - CABRAL GONZALO</t>
  </si>
  <si>
    <t>40 - IBARROLA JORGE</t>
  </si>
  <si>
    <t>36 - COSARINSKI DIEGO</t>
  </si>
  <si>
    <t>57 - ROUBINEAU SEBASTIAN</t>
  </si>
  <si>
    <t>GONZALO (SUPERVISOR)</t>
  </si>
  <si>
    <t>GONZALO</t>
  </si>
  <si>
    <t>30 - GOMEZ MARTÍN</t>
  </si>
  <si>
    <t>123 - TORRES ROLANDO</t>
  </si>
  <si>
    <t>31 - RENZO RAMOS</t>
  </si>
  <si>
    <t>54 - BARTSCHAT EMILIANO NAHUEL</t>
  </si>
  <si>
    <t>36 - GONZALO CABRAL</t>
  </si>
  <si>
    <t>NELSON (SUPERVISOR)</t>
  </si>
  <si>
    <t>36 - JORGE OSCAR USET</t>
  </si>
  <si>
    <t>10 - CABRAL GONZALO</t>
  </si>
  <si>
    <t>57 - SEGOVIA JUAN CRUZ</t>
  </si>
  <si>
    <t>NELSON</t>
  </si>
  <si>
    <t>Cod</t>
  </si>
  <si>
    <t>Vendedor</t>
  </si>
  <si>
    <t>Promedio Mensual</t>
  </si>
  <si>
    <t>V2</t>
  </si>
  <si>
    <t>V3</t>
  </si>
  <si>
    <t>V18</t>
  </si>
  <si>
    <t>V21</t>
  </si>
  <si>
    <t>V23</t>
  </si>
  <si>
    <t>V31</t>
  </si>
  <si>
    <t>V44</t>
  </si>
  <si>
    <t>V54</t>
  </si>
  <si>
    <t>V56</t>
  </si>
  <si>
    <t>V4</t>
  </si>
  <si>
    <t>V5</t>
  </si>
  <si>
    <t>V8</t>
  </si>
  <si>
    <t>V11</t>
  </si>
  <si>
    <t>V12</t>
  </si>
  <si>
    <t>V16</t>
  </si>
  <si>
    <t>V19</t>
  </si>
  <si>
    <t>V20</t>
  </si>
  <si>
    <t>V49</t>
  </si>
  <si>
    <t>V1</t>
  </si>
  <si>
    <t>V9</t>
  </si>
  <si>
    <t>V10</t>
  </si>
  <si>
    <t>V24</t>
  </si>
  <si>
    <t>V27</t>
  </si>
  <si>
    <t>V28</t>
  </si>
  <si>
    <t>V33</t>
  </si>
  <si>
    <t>V36</t>
  </si>
  <si>
    <t>V37</t>
  </si>
  <si>
    <t>V40</t>
  </si>
  <si>
    <t>V52</t>
  </si>
  <si>
    <t>V53</t>
  </si>
  <si>
    <t>V15</t>
  </si>
  <si>
    <t>V22</t>
  </si>
  <si>
    <t>V7</t>
  </si>
  <si>
    <t>V32</t>
  </si>
  <si>
    <t>V57</t>
  </si>
  <si>
    <t>RENZO RAMOS</t>
  </si>
  <si>
    <t>SANCHEZ RICARDO</t>
  </si>
  <si>
    <t>MARTINEZ JORGE NICOLAS</t>
  </si>
  <si>
    <t>BRITEZ EMMANUEL</t>
  </si>
  <si>
    <t>COSARINSKI DIEGO</t>
  </si>
  <si>
    <t>IBARROLA JORGE</t>
  </si>
  <si>
    <t>CABRAL GONZALO</t>
  </si>
  <si>
    <t>ROUBINEAU SEBASTIAN</t>
  </si>
  <si>
    <t>MAXI</t>
  </si>
  <si>
    <t>26 - PUJOL ERNESTO</t>
  </si>
  <si>
    <t>25 - KALATAKI GUSTAVO</t>
  </si>
  <si>
    <t>43 - COLHER DIEGO</t>
  </si>
  <si>
    <t>MAXI (SUPERVISOR)</t>
  </si>
  <si>
    <t>42 - ROMERO ARIEL</t>
  </si>
  <si>
    <t>147 - ALMACEN</t>
  </si>
  <si>
    <t>147 - Articulos Sin Asociar Agrupacion</t>
  </si>
  <si>
    <t>147 - BEBIDAS</t>
  </si>
  <si>
    <t>147 - CHOCOLATE</t>
  </si>
  <si>
    <t>147 - GALLETITAS</t>
  </si>
  <si>
    <t>147 - GOLOSINAS</t>
  </si>
  <si>
    <t>147 - MASCOTAS</t>
  </si>
  <si>
    <t>147 - NO PERECEDEROS</t>
  </si>
  <si>
    <t>147 - PILAS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</si>
</sst>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 [$$-2C0A]\ * #,##0.00_ ;_ [$$-2C0A]\ * \-#,##0.00_ ;_ [$$-2C0A]\ * &quot;-&quot;??_ ;_ @_ "/>
    <numFmt numFmtId="166" formatCode="0.0%"/>
    <numFmt numFmtId="167" formatCode="&quot;$&quot;\ #,##0.00"/>
    <numFmt numFmtId="168" formatCode="#,##0.000;\-#,##0.000"/>
    <numFmt numFmtId="169" formatCode="[$-F400]h:mm:ss\ AM/PM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9"/>
      <color rgb="FF111111"/>
      <name val="Roboto"/>
    </font>
    <font>
      <sz val="11"/>
      <color rgb="FFFFFFFF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285F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D9DCDE"/>
      </left>
      <right style="thin">
        <color rgb="FFD9DCDE"/>
      </right>
      <top style="thin">
        <color rgb="FFD9DCDE"/>
      </top>
      <bottom style="thin">
        <color rgb="FFD9DCDE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3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55">
    <xf numFmtId="0" fontId="0" fillId="0" borderId="0" xfId="0"/>
    <xf numFmtId="9" fontId="0" fillId="0" borderId="0" xfId="2" applyFont="1"/>
    <xf numFmtId="164" fontId="0" fillId="0" borderId="0" xfId="1" applyFont="1"/>
    <xf numFmtId="165" fontId="18" fillId="34" borderId="14" xfId="47" applyFont="1" applyFill="1" applyBorder="1" applyAlignment="1">
      <alignment horizontal="left"/>
    </xf>
    <xf numFmtId="164" fontId="0" fillId="0" borderId="12" xfId="1" applyFont="1" applyBorder="1"/>
    <xf numFmtId="9" fontId="0" fillId="0" borderId="12" xfId="2" applyFont="1" applyBorder="1"/>
    <xf numFmtId="9" fontId="0" fillId="36" borderId="12" xfId="2" applyFont="1" applyFill="1" applyBorder="1"/>
    <xf numFmtId="0" fontId="0" fillId="36" borderId="10" xfId="0" applyFill="1" applyBorder="1"/>
    <xf numFmtId="0" fontId="0" fillId="36" borderId="12" xfId="0" applyFill="1" applyBorder="1"/>
    <xf numFmtId="0" fontId="16" fillId="34" borderId="10" xfId="0" applyFont="1" applyFill="1" applyBorder="1"/>
    <xf numFmtId="0" fontId="0" fillId="0" borderId="16" xfId="0" applyBorder="1"/>
    <xf numFmtId="0" fontId="16" fillId="34" borderId="11" xfId="0" applyFont="1" applyFill="1" applyBorder="1"/>
    <xf numFmtId="0" fontId="0" fillId="0" borderId="11" xfId="0" applyBorder="1"/>
    <xf numFmtId="0" fontId="0" fillId="0" borderId="12" xfId="0" applyBorder="1"/>
    <xf numFmtId="9" fontId="0" fillId="36" borderId="15" xfId="2" applyFont="1" applyFill="1" applyBorder="1"/>
    <xf numFmtId="9" fontId="0" fillId="36" borderId="10" xfId="2" applyFont="1" applyFill="1" applyBorder="1"/>
    <xf numFmtId="0" fontId="0" fillId="36" borderId="11" xfId="0" applyFill="1" applyBorder="1"/>
    <xf numFmtId="1" fontId="0" fillId="0" borderId="12" xfId="0" applyNumberFormat="1" applyBorder="1"/>
    <xf numFmtId="165" fontId="18" fillId="34" borderId="17" xfId="47" applyFont="1" applyFill="1" applyBorder="1" applyAlignment="1">
      <alignment horizontal="left"/>
    </xf>
    <xf numFmtId="165" fontId="18" fillId="33" borderId="12" xfId="47" applyFont="1" applyFill="1" applyBorder="1" applyAlignment="1" applyProtection="1">
      <alignment horizontal="left"/>
      <protection locked="0"/>
    </xf>
    <xf numFmtId="165" fontId="18" fillId="34" borderId="12" xfId="47" applyFont="1" applyFill="1" applyBorder="1" applyAlignment="1">
      <alignment horizontal="left"/>
    </xf>
    <xf numFmtId="166" fontId="0" fillId="36" borderId="10" xfId="2" applyNumberFormat="1" applyFont="1" applyFill="1" applyBorder="1"/>
    <xf numFmtId="166" fontId="0" fillId="0" borderId="11" xfId="2" applyNumberFormat="1" applyFont="1" applyBorder="1"/>
    <xf numFmtId="166" fontId="0" fillId="36" borderId="15" xfId="2" applyNumberFormat="1" applyFont="1" applyFill="1" applyBorder="1"/>
    <xf numFmtId="166" fontId="0" fillId="36" borderId="12" xfId="2" applyNumberFormat="1" applyFont="1" applyFill="1" applyBorder="1"/>
    <xf numFmtId="166" fontId="0" fillId="0" borderId="0" xfId="2" applyNumberFormat="1" applyFont="1"/>
    <xf numFmtId="164" fontId="0" fillId="0" borderId="0" xfId="132" applyFont="1"/>
    <xf numFmtId="164" fontId="0" fillId="0" borderId="0" xfId="0" applyNumberFormat="1"/>
    <xf numFmtId="3" fontId="0" fillId="0" borderId="0" xfId="0" applyNumberFormat="1"/>
    <xf numFmtId="166" fontId="0" fillId="0" borderId="0" xfId="0" applyNumberFormat="1"/>
    <xf numFmtId="0" fontId="21" fillId="0" borderId="0" xfId="0" applyFont="1"/>
    <xf numFmtId="0" fontId="0" fillId="37" borderId="12" xfId="0" applyFill="1" applyBorder="1"/>
    <xf numFmtId="166" fontId="0" fillId="37" borderId="11" xfId="2" applyNumberFormat="1" applyFont="1" applyFill="1" applyBorder="1"/>
    <xf numFmtId="0" fontId="0" fillId="37" borderId="11" xfId="0" applyFill="1" applyBorder="1"/>
    <xf numFmtId="1" fontId="0" fillId="37" borderId="12" xfId="0" applyNumberFormat="1" applyFill="1" applyBorder="1"/>
    <xf numFmtId="4" fontId="0" fillId="0" borderId="0" xfId="0" applyNumberFormat="1"/>
    <xf numFmtId="165" fontId="18" fillId="33" borderId="12" xfId="47" applyFont="1" applyFill="1" applyBorder="1" applyAlignment="1" applyProtection="1">
      <alignment horizontal="left" wrapText="1"/>
      <protection locked="0"/>
    </xf>
    <xf numFmtId="165" fontId="18" fillId="33" borderId="11" xfId="47" applyFont="1" applyFill="1" applyBorder="1" applyAlignment="1" applyProtection="1">
      <alignment horizontal="left" wrapText="1"/>
      <protection locked="0"/>
    </xf>
    <xf numFmtId="0" fontId="0" fillId="39" borderId="10" xfId="0" applyFill="1" applyBorder="1"/>
    <xf numFmtId="0" fontId="0" fillId="0" borderId="19" xfId="0" applyBorder="1"/>
    <xf numFmtId="0" fontId="16" fillId="0" borderId="0" xfId="0" applyFont="1"/>
    <xf numFmtId="9" fontId="0" fillId="0" borderId="11" xfId="2" applyFont="1" applyBorder="1"/>
    <xf numFmtId="0" fontId="0" fillId="36" borderId="10" xfId="2" applyNumberFormat="1" applyFont="1" applyFill="1" applyBorder="1"/>
    <xf numFmtId="165" fontId="19" fillId="35" borderId="13" xfId="47" applyFont="1" applyFill="1" applyBorder="1" applyAlignment="1">
      <alignment horizontal="center" vertical="center"/>
    </xf>
    <xf numFmtId="167" fontId="0" fillId="0" borderId="11" xfId="0" applyNumberFormat="1" applyBorder="1"/>
    <xf numFmtId="167" fontId="0" fillId="0" borderId="0" xfId="0" applyNumberFormat="1"/>
    <xf numFmtId="167" fontId="0" fillId="0" borderId="21" xfId="0" applyNumberFormat="1" applyBorder="1"/>
    <xf numFmtId="167" fontId="0" fillId="0" borderId="12" xfId="0" applyNumberFormat="1" applyBorder="1"/>
    <xf numFmtId="165" fontId="18" fillId="36" borderId="0" xfId="47" applyFont="1" applyFill="1" applyAlignment="1" applyProtection="1">
      <alignment horizontal="center"/>
      <protection locked="0"/>
    </xf>
    <xf numFmtId="167" fontId="19" fillId="35" borderId="20" xfId="47" applyNumberFormat="1" applyFont="1" applyFill="1" applyBorder="1" applyAlignment="1">
      <alignment horizontal="center" vertical="center"/>
    </xf>
    <xf numFmtId="167" fontId="0" fillId="0" borderId="22" xfId="0" applyNumberFormat="1" applyBorder="1"/>
    <xf numFmtId="168" fontId="22" fillId="40" borderId="23" xfId="0" applyNumberFormat="1" applyFont="1" applyFill="1" applyBorder="1" applyAlignment="1">
      <alignment horizontal="right" vertical="center" wrapText="1"/>
    </xf>
    <xf numFmtId="17" fontId="0" fillId="0" borderId="0" xfId="0" applyNumberFormat="1"/>
    <xf numFmtId="0" fontId="0" fillId="0" borderId="24" xfId="0" applyBorder="1"/>
    <xf numFmtId="165" fontId="19" fillId="35" borderId="20" xfId="47" applyFont="1" applyFill="1" applyBorder="1" applyAlignment="1">
      <alignment horizontal="center" vertical="center" wrapText="1"/>
    </xf>
    <xf numFmtId="9" fontId="19" fillId="35" borderId="20" xfId="2" applyFont="1" applyFill="1" applyBorder="1" applyAlignment="1">
      <alignment horizontal="center" vertical="center" wrapText="1"/>
    </xf>
    <xf numFmtId="164" fontId="19" fillId="35" borderId="20" xfId="1" applyFont="1" applyFill="1" applyBorder="1" applyAlignment="1">
      <alignment horizontal="center" vertical="center" wrapText="1"/>
    </xf>
    <xf numFmtId="165" fontId="18" fillId="33" borderId="26" xfId="47" applyFont="1" applyFill="1" applyBorder="1" applyAlignment="1" applyProtection="1">
      <alignment horizontal="left" wrapText="1"/>
      <protection locked="0"/>
    </xf>
    <xf numFmtId="164" fontId="0" fillId="0" borderId="27" xfId="133" applyFont="1" applyBorder="1"/>
    <xf numFmtId="164" fontId="0" fillId="0" borderId="26" xfId="1" applyFont="1" applyBorder="1"/>
    <xf numFmtId="9" fontId="0" fillId="0" borderId="26" xfId="2" applyFont="1" applyBorder="1"/>
    <xf numFmtId="164" fontId="0" fillId="0" borderId="28" xfId="1" applyFont="1" applyBorder="1"/>
    <xf numFmtId="164" fontId="0" fillId="0" borderId="0" xfId="133" applyFont="1" applyBorder="1"/>
    <xf numFmtId="164" fontId="0" fillId="0" borderId="13" xfId="1" applyFont="1" applyBorder="1"/>
    <xf numFmtId="164" fontId="0" fillId="34" borderId="29" xfId="1" applyFont="1" applyFill="1" applyBorder="1"/>
    <xf numFmtId="164" fontId="0" fillId="0" borderId="30" xfId="1" applyFont="1" applyBorder="1"/>
    <xf numFmtId="9" fontId="0" fillId="34" borderId="30" xfId="2" applyFont="1" applyFill="1" applyBorder="1"/>
    <xf numFmtId="164" fontId="0" fillId="34" borderId="30" xfId="1" applyFont="1" applyFill="1" applyBorder="1"/>
    <xf numFmtId="164" fontId="0" fillId="34" borderId="31" xfId="1" applyFont="1" applyFill="1" applyBorder="1"/>
    <xf numFmtId="165" fontId="18" fillId="33" borderId="26" xfId="47" applyFont="1" applyFill="1" applyBorder="1" applyAlignment="1" applyProtection="1">
      <alignment horizontal="left"/>
      <protection locked="0"/>
    </xf>
    <xf numFmtId="44" fontId="0" fillId="0" borderId="27" xfId="0" applyNumberFormat="1" applyBorder="1"/>
    <xf numFmtId="44" fontId="0" fillId="0" borderId="0" xfId="0" applyNumberFormat="1"/>
    <xf numFmtId="165" fontId="18" fillId="34" borderId="30" xfId="47" applyFont="1" applyFill="1" applyBorder="1" applyAlignment="1">
      <alignment horizontal="left"/>
    </xf>
    <xf numFmtId="164" fontId="0" fillId="0" borderId="27" xfId="1" applyFont="1" applyBorder="1"/>
    <xf numFmtId="164" fontId="0" fillId="0" borderId="0" xfId="1" applyFont="1" applyBorder="1"/>
    <xf numFmtId="164" fontId="0" fillId="34" borderId="30" xfId="134" applyFont="1" applyFill="1" applyBorder="1"/>
    <xf numFmtId="165" fontId="18" fillId="36" borderId="37" xfId="47" applyFont="1" applyFill="1" applyBorder="1" applyAlignment="1" applyProtection="1">
      <alignment horizontal="center" wrapText="1"/>
      <protection locked="0"/>
    </xf>
    <xf numFmtId="165" fontId="18" fillId="36" borderId="38" xfId="47" applyFont="1" applyFill="1" applyBorder="1" applyAlignment="1" applyProtection="1">
      <alignment horizontal="center" wrapText="1"/>
      <protection locked="0"/>
    </xf>
    <xf numFmtId="164" fontId="0" fillId="36" borderId="39" xfId="1" applyFont="1" applyFill="1" applyBorder="1"/>
    <xf numFmtId="164" fontId="0" fillId="0" borderId="39" xfId="1" applyFont="1" applyBorder="1"/>
    <xf numFmtId="9" fontId="0" fillId="36" borderId="39" xfId="2" applyFont="1" applyFill="1" applyBorder="1"/>
    <xf numFmtId="164" fontId="0" fillId="36" borderId="40" xfId="1" applyFont="1" applyFill="1" applyBorder="1"/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/>
    </xf>
    <xf numFmtId="9" fontId="19" fillId="35" borderId="13" xfId="2" applyFont="1" applyFill="1" applyBorder="1" applyAlignment="1">
      <alignment horizontal="center" vertical="center"/>
    </xf>
    <xf numFmtId="164" fontId="19" fillId="35" borderId="13" xfId="1" applyFont="1" applyFill="1" applyBorder="1" applyAlignment="1">
      <alignment horizontal="center" vertical="center"/>
    </xf>
    <xf numFmtId="164" fontId="0" fillId="0" borderId="0" xfId="133" applyFont="1" applyAlignment="1"/>
    <xf numFmtId="164" fontId="0" fillId="0" borderId="12" xfId="1" applyFont="1" applyBorder="1" applyAlignment="1"/>
    <xf numFmtId="9" fontId="0" fillId="0" borderId="12" xfId="2" applyFont="1" applyBorder="1" applyAlignment="1"/>
    <xf numFmtId="164" fontId="0" fillId="34" borderId="11" xfId="1" applyFont="1" applyFill="1" applyBorder="1" applyAlignment="1"/>
    <xf numFmtId="9" fontId="0" fillId="34" borderId="12" xfId="2" applyFont="1" applyFill="1" applyBorder="1" applyAlignment="1"/>
    <xf numFmtId="164" fontId="0" fillId="34" borderId="12" xfId="1" applyFont="1" applyFill="1" applyBorder="1" applyAlignment="1"/>
    <xf numFmtId="165" fontId="18" fillId="33" borderId="11" xfId="47" applyFont="1" applyFill="1" applyBorder="1" applyAlignment="1" applyProtection="1">
      <alignment horizontal="left"/>
      <protection locked="0"/>
    </xf>
    <xf numFmtId="164" fontId="0" fillId="0" borderId="0" xfId="136" applyFont="1" applyAlignment="1"/>
    <xf numFmtId="164" fontId="0" fillId="34" borderId="12" xfId="134" applyFont="1" applyFill="1" applyBorder="1" applyAlignment="1"/>
    <xf numFmtId="165" fontId="18" fillId="36" borderId="41" xfId="47" applyFont="1" applyFill="1" applyBorder="1" applyAlignment="1" applyProtection="1">
      <alignment horizontal="center"/>
      <protection locked="0"/>
    </xf>
    <xf numFmtId="164" fontId="0" fillId="36" borderId="12" xfId="1" applyFont="1" applyFill="1" applyBorder="1" applyAlignment="1"/>
    <xf numFmtId="9" fontId="0" fillId="36" borderId="12" xfId="2" applyFont="1" applyFill="1" applyBorder="1" applyAlignment="1"/>
    <xf numFmtId="164" fontId="0" fillId="0" borderId="0" xfId="1" applyFont="1" applyAlignment="1"/>
    <xf numFmtId="165" fontId="19" fillId="35" borderId="20" xfId="47" applyFont="1" applyFill="1" applyBorder="1" applyAlignment="1">
      <alignment horizontal="center" vertical="center"/>
    </xf>
    <xf numFmtId="9" fontId="19" fillId="35" borderId="20" xfId="2" applyFont="1" applyFill="1" applyBorder="1" applyAlignment="1">
      <alignment horizontal="center" vertical="center"/>
    </xf>
    <xf numFmtId="164" fontId="19" fillId="35" borderId="20" xfId="1" applyFont="1" applyFill="1" applyBorder="1" applyAlignment="1">
      <alignment horizontal="center" vertical="center"/>
    </xf>
    <xf numFmtId="164" fontId="0" fillId="0" borderId="27" xfId="133" applyFont="1" applyBorder="1" applyAlignment="1"/>
    <xf numFmtId="164" fontId="0" fillId="0" borderId="26" xfId="1" applyFont="1" applyBorder="1" applyAlignment="1"/>
    <xf numFmtId="9" fontId="0" fillId="0" borderId="26" xfId="2" applyFont="1" applyBorder="1" applyAlignment="1"/>
    <xf numFmtId="164" fontId="0" fillId="0" borderId="28" xfId="1" applyFont="1" applyBorder="1" applyAlignment="1"/>
    <xf numFmtId="164" fontId="0" fillId="0" borderId="0" xfId="133" applyFont="1" applyBorder="1" applyAlignment="1"/>
    <xf numFmtId="164" fontId="0" fillId="0" borderId="13" xfId="1" applyFont="1" applyBorder="1" applyAlignment="1"/>
    <xf numFmtId="164" fontId="0" fillId="34" borderId="29" xfId="1" applyFont="1" applyFill="1" applyBorder="1" applyAlignment="1"/>
    <xf numFmtId="164" fontId="0" fillId="0" borderId="30" xfId="1" applyFont="1" applyBorder="1" applyAlignment="1"/>
    <xf numFmtId="9" fontId="0" fillId="34" borderId="30" xfId="2" applyFont="1" applyFill="1" applyBorder="1" applyAlignment="1"/>
    <xf numFmtId="164" fontId="0" fillId="34" borderId="30" xfId="1" applyFont="1" applyFill="1" applyBorder="1" applyAlignment="1"/>
    <xf numFmtId="164" fontId="0" fillId="34" borderId="31" xfId="1" applyFont="1" applyFill="1" applyBorder="1" applyAlignment="1"/>
    <xf numFmtId="164" fontId="0" fillId="0" borderId="27" xfId="1" applyFont="1" applyBorder="1" applyAlignment="1"/>
    <xf numFmtId="164" fontId="0" fillId="0" borderId="0" xfId="1" applyFont="1" applyBorder="1" applyAlignment="1"/>
    <xf numFmtId="164" fontId="0" fillId="34" borderId="30" xfId="134" applyFont="1" applyFill="1" applyBorder="1" applyAlignment="1"/>
    <xf numFmtId="165" fontId="18" fillId="36" borderId="37" xfId="47" applyFont="1" applyFill="1" applyBorder="1" applyAlignment="1" applyProtection="1">
      <alignment horizontal="center"/>
      <protection locked="0"/>
    </xf>
    <xf numFmtId="165" fontId="18" fillId="36" borderId="38" xfId="47" applyFont="1" applyFill="1" applyBorder="1" applyAlignment="1" applyProtection="1">
      <alignment horizontal="center"/>
      <protection locked="0"/>
    </xf>
    <xf numFmtId="164" fontId="0" fillId="36" borderId="39" xfId="1" applyFont="1" applyFill="1" applyBorder="1" applyAlignment="1"/>
    <xf numFmtId="164" fontId="0" fillId="0" borderId="39" xfId="1" applyFont="1" applyBorder="1" applyAlignment="1"/>
    <xf numFmtId="9" fontId="0" fillId="36" borderId="39" xfId="2" applyFont="1" applyFill="1" applyBorder="1" applyAlignment="1"/>
    <xf numFmtId="164" fontId="0" fillId="36" borderId="40" xfId="1" applyFont="1" applyFill="1" applyBorder="1" applyAlignment="1"/>
    <xf numFmtId="165" fontId="19" fillId="35" borderId="36" xfId="47" applyFont="1" applyFill="1" applyBorder="1" applyAlignment="1">
      <alignment horizontal="center" vertical="center"/>
    </xf>
    <xf numFmtId="9" fontId="19" fillId="35" borderId="36" xfId="2" applyFont="1" applyFill="1" applyBorder="1" applyAlignment="1">
      <alignment horizontal="center" vertical="center"/>
    </xf>
    <xf numFmtId="164" fontId="19" fillId="35" borderId="36" xfId="1" applyFont="1" applyFill="1" applyBorder="1" applyAlignment="1">
      <alignment horizontal="center" vertical="center"/>
    </xf>
    <xf numFmtId="165" fontId="18" fillId="34" borderId="25" xfId="47" applyFont="1" applyFill="1" applyBorder="1" applyAlignment="1">
      <alignment vertical="center"/>
    </xf>
    <xf numFmtId="165" fontId="18" fillId="34" borderId="17" xfId="47" applyFont="1" applyFill="1" applyBorder="1" applyAlignment="1">
      <alignment vertical="center"/>
    </xf>
    <xf numFmtId="165" fontId="18" fillId="34" borderId="14" xfId="47" applyFont="1" applyFill="1" applyBorder="1" applyAlignment="1">
      <alignment vertical="center"/>
    </xf>
    <xf numFmtId="165" fontId="18" fillId="34" borderId="32" xfId="47" applyFont="1" applyFill="1" applyBorder="1" applyAlignment="1">
      <alignment vertical="center"/>
    </xf>
    <xf numFmtId="165" fontId="18" fillId="34" borderId="33" xfId="47" applyFont="1" applyFill="1" applyBorder="1" applyAlignment="1">
      <alignment vertical="center"/>
    </xf>
    <xf numFmtId="165" fontId="18" fillId="34" borderId="34" xfId="47" applyFont="1" applyFill="1" applyBorder="1" applyAlignment="1">
      <alignment vertical="center"/>
    </xf>
    <xf numFmtId="164" fontId="0" fillId="0" borderId="0" xfId="132" applyFont="1" applyAlignment="1"/>
    <xf numFmtId="0" fontId="0" fillId="0" borderId="10" xfId="0" applyBorder="1"/>
    <xf numFmtId="169" fontId="0" fillId="0" borderId="0" xfId="0" applyNumberFormat="1"/>
    <xf numFmtId="169" fontId="0" fillId="0" borderId="42" xfId="0" applyNumberFormat="1" applyBorder="1"/>
    <xf numFmtId="0" fontId="1" fillId="0" borderId="12" xfId="0" applyFont="1" applyBorder="1"/>
    <xf numFmtId="10" fontId="0" fillId="36" borderId="39" xfId="2" applyNumberFormat="1" applyFont="1" applyFill="1" applyBorder="1"/>
    <xf numFmtId="165" fontId="18" fillId="34" borderId="25" xfId="47" applyFont="1" applyFill="1" applyBorder="1" applyAlignment="1">
      <alignment horizontal="center" vertical="center"/>
    </xf>
    <xf numFmtId="165" fontId="18" fillId="34" borderId="17" xfId="47" applyFont="1" applyFill="1" applyBorder="1" applyAlignment="1">
      <alignment horizontal="center" vertical="center"/>
    </xf>
    <xf numFmtId="165" fontId="18" fillId="34" borderId="14" xfId="47" applyFont="1" applyFill="1" applyBorder="1" applyAlignment="1">
      <alignment horizontal="center" vertical="center"/>
    </xf>
    <xf numFmtId="165" fontId="18" fillId="34" borderId="32" xfId="47" applyFont="1" applyFill="1" applyBorder="1" applyAlignment="1">
      <alignment horizontal="center" vertical="center"/>
    </xf>
    <xf numFmtId="165" fontId="18" fillId="34" borderId="33" xfId="47" applyFont="1" applyFill="1" applyBorder="1" applyAlignment="1">
      <alignment horizontal="center" vertical="center"/>
    </xf>
    <xf numFmtId="165" fontId="18" fillId="34" borderId="34" xfId="47" applyFont="1" applyFill="1" applyBorder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16" fillId="34" borderId="35" xfId="0" applyFont="1" applyFill="1" applyBorder="1" applyAlignment="1">
      <alignment horizontal="center" vertical="center"/>
    </xf>
    <xf numFmtId="0" fontId="16" fillId="34" borderId="27" xfId="0" applyFont="1" applyFill="1" applyBorder="1" applyAlignment="1">
      <alignment horizontal="center" vertical="center"/>
    </xf>
    <xf numFmtId="165" fontId="18" fillId="34" borderId="35" xfId="47" applyFont="1" applyFill="1" applyBorder="1" applyAlignment="1">
      <alignment horizontal="left"/>
    </xf>
    <xf numFmtId="165" fontId="18" fillId="33" borderId="43" xfId="47" applyFont="1" applyFill="1" applyBorder="1" applyAlignment="1" applyProtection="1">
      <alignment horizontal="left" wrapText="1"/>
      <protection locked="0"/>
    </xf>
    <xf numFmtId="165" fontId="18" fillId="33" borderId="43" xfId="47" applyFont="1" applyFill="1" applyBorder="1" applyAlignment="1" applyProtection="1">
      <alignment horizontal="left"/>
      <protection locked="0"/>
    </xf>
    <xf numFmtId="165" fontId="18" fillId="33" borderId="44" xfId="47" applyFont="1" applyFill="1" applyBorder="1" applyAlignment="1" applyProtection="1">
      <alignment horizontal="left" wrapText="1"/>
      <protection locked="0"/>
    </xf>
    <xf numFmtId="0" fontId="16" fillId="34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16" fillId="34" borderId="0" xfId="0" applyFont="1" applyFill="1" applyBorder="1" applyAlignment="1">
      <alignment horizontal="center" vertical="center"/>
    </xf>
    <xf numFmtId="0" fontId="0" fillId="0" borderId="0" xfId="0"/>
    <xf numFmtId="0" fontId="23" fillId="38" borderId="18" xfId="0" applyFont="1" applyFill="1" applyBorder="1" applyAlignment="1">
      <alignment horizontal="left" vertical="center"/>
    </xf>
  </cellXfs>
  <cellStyles count="138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 2" xfId="129" xr:uid="{00000000-0005-0000-0000-000020000000}"/>
    <cellStyle name="Millares 2 2" xfId="135" xr:uid="{BAB1C5F7-A103-47CE-B9CD-8DC544220142}"/>
    <cellStyle name="Moneda" xfId="1" builtinId="4"/>
    <cellStyle name="Moneda 2" xfId="130" xr:uid="{00000000-0005-0000-0000-000022000000}"/>
    <cellStyle name="Moneda 3" xfId="132" xr:uid="{BE0869EE-F189-4E06-A592-D726C240CFEA}"/>
    <cellStyle name="Moneda 3 2" xfId="136" xr:uid="{FC6AA592-0FF9-456D-8CFE-BCCF46350E97}"/>
    <cellStyle name="Moneda 4" xfId="133" xr:uid="{D2C5022A-C521-4491-894B-F496A408B41E}"/>
    <cellStyle name="Moneda 4 2" xfId="137" xr:uid="{224C4A3F-8E21-4819-989E-F20DDC574FC1}"/>
    <cellStyle name="Moneda 5" xfId="134" xr:uid="{481A2629-4FEA-446C-875A-57012E452824}"/>
    <cellStyle name="Neutral" xfId="10" builtinId="28" customBuiltin="1"/>
    <cellStyle name="Normal" xfId="0" builtinId="0"/>
    <cellStyle name="Normal 1028" xfId="55" xr:uid="{00000000-0005-0000-0000-000025000000}"/>
    <cellStyle name="Normal 1029" xfId="56" xr:uid="{00000000-0005-0000-0000-000026000000}"/>
    <cellStyle name="Normal 1041" xfId="54" xr:uid="{00000000-0005-0000-0000-000027000000}"/>
    <cellStyle name="Normal 1048" xfId="49" xr:uid="{00000000-0005-0000-0000-000028000000}"/>
    <cellStyle name="Normal 1051" xfId="83" xr:uid="{00000000-0005-0000-0000-000029000000}"/>
    <cellStyle name="Normal 1069" xfId="79" xr:uid="{00000000-0005-0000-0000-00002A000000}"/>
    <cellStyle name="Normal 1070" xfId="75" xr:uid="{00000000-0005-0000-0000-00002B000000}"/>
    <cellStyle name="Normal 1073" xfId="71" xr:uid="{00000000-0005-0000-0000-00002C000000}"/>
    <cellStyle name="Normal 1076" xfId="67" xr:uid="{00000000-0005-0000-0000-00002D000000}"/>
    <cellStyle name="Normal 1083" xfId="63" xr:uid="{00000000-0005-0000-0000-00002E000000}"/>
    <cellStyle name="Normal 1085" xfId="82" xr:uid="{00000000-0005-0000-0000-00002F000000}"/>
    <cellStyle name="Normal 1094" xfId="78" xr:uid="{00000000-0005-0000-0000-000030000000}"/>
    <cellStyle name="Normal 1096" xfId="74" xr:uid="{00000000-0005-0000-0000-000031000000}"/>
    <cellStyle name="Normal 1097" xfId="70" xr:uid="{00000000-0005-0000-0000-000032000000}"/>
    <cellStyle name="Normal 1098" xfId="66" xr:uid="{00000000-0005-0000-0000-000033000000}"/>
    <cellStyle name="Normal 1105" xfId="62" xr:uid="{00000000-0005-0000-0000-000034000000}"/>
    <cellStyle name="Normal 1107" xfId="81" xr:uid="{00000000-0005-0000-0000-000035000000}"/>
    <cellStyle name="Normal 1111" xfId="77" xr:uid="{00000000-0005-0000-0000-000036000000}"/>
    <cellStyle name="Normal 1113" xfId="73" xr:uid="{00000000-0005-0000-0000-000037000000}"/>
    <cellStyle name="Normal 1116" xfId="69" xr:uid="{00000000-0005-0000-0000-000038000000}"/>
    <cellStyle name="Normal 1119" xfId="65" xr:uid="{00000000-0005-0000-0000-000039000000}"/>
    <cellStyle name="Normal 1127" xfId="61" xr:uid="{00000000-0005-0000-0000-00003A000000}"/>
    <cellStyle name="Normal 1132" xfId="84" xr:uid="{00000000-0005-0000-0000-00003B000000}"/>
    <cellStyle name="Normal 1138" xfId="85" xr:uid="{00000000-0005-0000-0000-00003C000000}"/>
    <cellStyle name="Normal 1139" xfId="86" xr:uid="{00000000-0005-0000-0000-00003D000000}"/>
    <cellStyle name="Normal 1141" xfId="87" xr:uid="{00000000-0005-0000-0000-00003E000000}"/>
    <cellStyle name="Normal 1145" xfId="88" xr:uid="{00000000-0005-0000-0000-00003F000000}"/>
    <cellStyle name="Normal 1155" xfId="89" xr:uid="{00000000-0005-0000-0000-000040000000}"/>
    <cellStyle name="Normal 1157" xfId="90" xr:uid="{00000000-0005-0000-0000-000041000000}"/>
    <cellStyle name="Normal 1159" xfId="91" xr:uid="{00000000-0005-0000-0000-000042000000}"/>
    <cellStyle name="Normal 1160" xfId="92" xr:uid="{00000000-0005-0000-0000-000043000000}"/>
    <cellStyle name="Normal 1163" xfId="93" xr:uid="{00000000-0005-0000-0000-000044000000}"/>
    <cellStyle name="Normal 1164" xfId="94" xr:uid="{00000000-0005-0000-0000-000045000000}"/>
    <cellStyle name="Normal 1166" xfId="95" xr:uid="{00000000-0005-0000-0000-000046000000}"/>
    <cellStyle name="Normal 1168" xfId="96" xr:uid="{00000000-0005-0000-0000-000047000000}"/>
    <cellStyle name="Normal 1172" xfId="97" xr:uid="{00000000-0005-0000-0000-000048000000}"/>
    <cellStyle name="Normal 1174" xfId="98" xr:uid="{00000000-0005-0000-0000-000049000000}"/>
    <cellStyle name="Normal 1182" xfId="99" xr:uid="{00000000-0005-0000-0000-00004A000000}"/>
    <cellStyle name="Normal 1183" xfId="100" xr:uid="{00000000-0005-0000-0000-00004B000000}"/>
    <cellStyle name="Normal 1184" xfId="101" xr:uid="{00000000-0005-0000-0000-00004C000000}"/>
    <cellStyle name="Normal 1185" xfId="102" xr:uid="{00000000-0005-0000-0000-00004D000000}"/>
    <cellStyle name="Normal 1189" xfId="104" xr:uid="{00000000-0005-0000-0000-00004E000000}"/>
    <cellStyle name="Normal 1190" xfId="103" xr:uid="{00000000-0005-0000-0000-00004F000000}"/>
    <cellStyle name="Normal 1193" xfId="105" xr:uid="{00000000-0005-0000-0000-000050000000}"/>
    <cellStyle name="Normal 1194" xfId="106" xr:uid="{00000000-0005-0000-0000-000051000000}"/>
    <cellStyle name="Normal 1195" xfId="107" xr:uid="{00000000-0005-0000-0000-000052000000}"/>
    <cellStyle name="Normal 1200" xfId="108" xr:uid="{00000000-0005-0000-0000-000053000000}"/>
    <cellStyle name="Normal 1201" xfId="109" xr:uid="{00000000-0005-0000-0000-000054000000}"/>
    <cellStyle name="Normal 1203" xfId="110" xr:uid="{00000000-0005-0000-0000-000055000000}"/>
    <cellStyle name="Normal 1205" xfId="111" xr:uid="{00000000-0005-0000-0000-000056000000}"/>
    <cellStyle name="Normal 1208" xfId="112" xr:uid="{00000000-0005-0000-0000-000057000000}"/>
    <cellStyle name="Normal 1210" xfId="113" xr:uid="{00000000-0005-0000-0000-000058000000}"/>
    <cellStyle name="Normal 1211" xfId="114" xr:uid="{00000000-0005-0000-0000-000059000000}"/>
    <cellStyle name="Normal 1212" xfId="115" xr:uid="{00000000-0005-0000-0000-00005A000000}"/>
    <cellStyle name="Normal 1214" xfId="116" xr:uid="{00000000-0005-0000-0000-00005B000000}"/>
    <cellStyle name="Normal 1216" xfId="117" xr:uid="{00000000-0005-0000-0000-00005C000000}"/>
    <cellStyle name="Normal 1227" xfId="118" xr:uid="{00000000-0005-0000-0000-00005D000000}"/>
    <cellStyle name="Normal 1228" xfId="119" xr:uid="{00000000-0005-0000-0000-00005E000000}"/>
    <cellStyle name="Normal 1229" xfId="120" xr:uid="{00000000-0005-0000-0000-00005F000000}"/>
    <cellStyle name="Normal 1230" xfId="121" xr:uid="{00000000-0005-0000-0000-000060000000}"/>
    <cellStyle name="Normal 1231" xfId="122" xr:uid="{00000000-0005-0000-0000-000061000000}"/>
    <cellStyle name="Normal 1233" xfId="123" xr:uid="{00000000-0005-0000-0000-000062000000}"/>
    <cellStyle name="Normal 198" xfId="45" xr:uid="{00000000-0005-0000-0000-000063000000}"/>
    <cellStyle name="Normal 2" xfId="131" xr:uid="{00000000-0005-0000-0000-000064000000}"/>
    <cellStyle name="Normal 316" xfId="52" xr:uid="{00000000-0005-0000-0000-000065000000}"/>
    <cellStyle name="Normal 347" xfId="47" xr:uid="{00000000-0005-0000-0000-000066000000}"/>
    <cellStyle name="Normal 357" xfId="124" xr:uid="{00000000-0005-0000-0000-000067000000}"/>
    <cellStyle name="Normal 423" xfId="128" xr:uid="{00000000-0005-0000-0000-000068000000}"/>
    <cellStyle name="Normal 477" xfId="59" xr:uid="{00000000-0005-0000-0000-000069000000}"/>
    <cellStyle name="Normal 501" xfId="57" xr:uid="{00000000-0005-0000-0000-00006A000000}"/>
    <cellStyle name="Normal 611" xfId="53" xr:uid="{00000000-0005-0000-0000-00006B000000}"/>
    <cellStyle name="Normal 718" xfId="58" xr:uid="{00000000-0005-0000-0000-00006C000000}"/>
    <cellStyle name="Normal 720" xfId="44" xr:uid="{00000000-0005-0000-0000-00006D000000}"/>
    <cellStyle name="Normal 722" xfId="51" xr:uid="{00000000-0005-0000-0000-00006E000000}"/>
    <cellStyle name="Normal 726" xfId="50" xr:uid="{00000000-0005-0000-0000-00006F000000}"/>
    <cellStyle name="Normal 771" xfId="80" xr:uid="{00000000-0005-0000-0000-000070000000}"/>
    <cellStyle name="Normal 776" xfId="76" xr:uid="{00000000-0005-0000-0000-000071000000}"/>
    <cellStyle name="Normal 779" xfId="72" xr:uid="{00000000-0005-0000-0000-000072000000}"/>
    <cellStyle name="Normal 787" xfId="68" xr:uid="{00000000-0005-0000-0000-000073000000}"/>
    <cellStyle name="Normal 794" xfId="64" xr:uid="{00000000-0005-0000-0000-000074000000}"/>
    <cellStyle name="Normal 805" xfId="60" xr:uid="{00000000-0005-0000-0000-000075000000}"/>
    <cellStyle name="Normal 819" xfId="48" xr:uid="{00000000-0005-0000-0000-000076000000}"/>
    <cellStyle name="Normal 874" xfId="127" xr:uid="{00000000-0005-0000-0000-000077000000}"/>
    <cellStyle name="Normal 876" xfId="125" xr:uid="{00000000-0005-0000-0000-000078000000}"/>
    <cellStyle name="Normal 888" xfId="46" xr:uid="{00000000-0005-0000-0000-000079000000}"/>
    <cellStyle name="Normal 924" xfId="126" xr:uid="{00000000-0005-0000-0000-00007A000000}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3"/>
  <sheetViews>
    <sheetView topLeftCell="A13" workbookViewId="0">
      <selection sqref="A1:H43"/>
    </sheetView>
  </sheetViews>
  <sheetFormatPr baseColWidth="10" defaultRowHeight="15" x14ac:dyDescent="0.25"/>
  <cols>
    <col min="1" max="1" width="34" bestFit="1" customWidth="1"/>
    <col min="2" max="2" width="18.42578125" bestFit="1" customWidth="1"/>
    <col min="3" max="3" width="12" bestFit="1" customWidth="1"/>
    <col min="4" max="4" width="18.5703125" bestFit="1" customWidth="1"/>
    <col min="5" max="5" width="12" bestFit="1" customWidth="1"/>
    <col min="6" max="6" width="27.42578125" bestFit="1" customWidth="1"/>
    <col min="7" max="7" width="26.5703125" bestFit="1" customWidth="1"/>
    <col min="8" max="8" width="16.42578125" bestFit="1" customWidth="1"/>
  </cols>
  <sheetData>
    <row r="1" spans="1:8" x14ac:dyDescent="0.25">
      <c r="A1" s="154" t="s">
        <v>76</v>
      </c>
      <c r="B1" s="154" t="s">
        <v>147</v>
      </c>
      <c r="C1" s="154" t="s">
        <v>148</v>
      </c>
      <c r="D1" s="154" t="s">
        <v>149</v>
      </c>
      <c r="E1" s="154" t="s">
        <v>150</v>
      </c>
      <c r="F1" s="154" t="s">
        <v>151</v>
      </c>
      <c r="G1" s="154" t="s">
        <v>152</v>
      </c>
      <c r="H1" s="154" t="s">
        <v>153</v>
      </c>
    </row>
    <row r="2" spans="1:8" x14ac:dyDescent="0.25">
      <c r="A2" s="153" t="s">
        <v>154</v>
      </c>
      <c r="B2" s="153">
        <v>0</v>
      </c>
      <c r="C2" s="153">
        <v>9307.0963630874994</v>
      </c>
      <c r="D2" s="153">
        <v>35869.188825949503</v>
      </c>
      <c r="E2" s="153">
        <v>160720626.20225924</v>
      </c>
      <c r="F2" s="153">
        <v>0</v>
      </c>
      <c r="G2" s="153">
        <v>95503.9880044936</v>
      </c>
      <c r="H2" s="153">
        <v>95504.07</v>
      </c>
    </row>
    <row r="3" spans="1:8" x14ac:dyDescent="0.25">
      <c r="A3" s="153" t="s">
        <v>81</v>
      </c>
      <c r="B3" s="153">
        <v>1</v>
      </c>
      <c r="C3" s="153">
        <v>101.6478670633</v>
      </c>
      <c r="D3" s="153">
        <v>202.0123437565</v>
      </c>
      <c r="E3" s="153">
        <v>3183466.266816447</v>
      </c>
      <c r="F3" s="153">
        <v>0</v>
      </c>
      <c r="G3" s="153">
        <v>95503.9880044936</v>
      </c>
      <c r="H3" s="153">
        <v>95504.07</v>
      </c>
    </row>
    <row r="4" spans="1:8" x14ac:dyDescent="0.25">
      <c r="A4" s="153" t="s">
        <v>82</v>
      </c>
      <c r="B4" s="153">
        <v>1</v>
      </c>
      <c r="C4" s="153">
        <v>40.252480158700003</v>
      </c>
      <c r="D4" s="153">
        <v>73.449250002200003</v>
      </c>
      <c r="E4" s="153">
        <v>1422600.3677457583</v>
      </c>
      <c r="F4" s="153">
        <v>0</v>
      </c>
      <c r="G4" s="153">
        <v>0</v>
      </c>
      <c r="H4" s="153">
        <v>0</v>
      </c>
    </row>
    <row r="5" spans="1:8" x14ac:dyDescent="0.25">
      <c r="A5" s="153" t="s">
        <v>83</v>
      </c>
      <c r="B5" s="153">
        <v>1</v>
      </c>
      <c r="C5" s="153">
        <v>159.59628968249999</v>
      </c>
      <c r="D5" s="153">
        <v>1736.7711666713999</v>
      </c>
      <c r="E5" s="153">
        <v>4354861.8680324219</v>
      </c>
      <c r="F5" s="153">
        <v>0</v>
      </c>
      <c r="G5" s="153">
        <v>0</v>
      </c>
      <c r="H5" s="153">
        <v>0</v>
      </c>
    </row>
    <row r="6" spans="1:8" x14ac:dyDescent="0.25">
      <c r="A6" s="153" t="s">
        <v>84</v>
      </c>
      <c r="B6" s="153">
        <v>1</v>
      </c>
      <c r="C6" s="153">
        <v>144.09970238049999</v>
      </c>
      <c r="D6" s="153">
        <v>130.11894047519999</v>
      </c>
      <c r="E6" s="153">
        <v>3440020.7789135631</v>
      </c>
      <c r="F6" s="153">
        <v>0</v>
      </c>
      <c r="G6" s="153">
        <v>0</v>
      </c>
      <c r="H6" s="153">
        <v>0</v>
      </c>
    </row>
    <row r="7" spans="1:8" x14ac:dyDescent="0.25">
      <c r="A7" s="153" t="s">
        <v>85</v>
      </c>
      <c r="B7" s="153">
        <v>1</v>
      </c>
      <c r="C7" s="153">
        <v>200.38341269719999</v>
      </c>
      <c r="D7" s="153">
        <v>755.98142857070002</v>
      </c>
      <c r="E7" s="153">
        <v>3946966.7153136632</v>
      </c>
      <c r="F7" s="153">
        <v>0</v>
      </c>
      <c r="G7" s="153">
        <v>0</v>
      </c>
      <c r="H7" s="153">
        <v>0</v>
      </c>
    </row>
    <row r="8" spans="1:8" x14ac:dyDescent="0.25">
      <c r="A8" s="153" t="s">
        <v>111</v>
      </c>
      <c r="B8" s="153">
        <v>1</v>
      </c>
      <c r="C8" s="153">
        <v>319</v>
      </c>
      <c r="D8" s="153">
        <v>1573.9</v>
      </c>
      <c r="E8" s="153">
        <v>9048937.8315500002</v>
      </c>
      <c r="F8" s="153">
        <v>0</v>
      </c>
      <c r="G8" s="153">
        <v>0</v>
      </c>
      <c r="H8" s="153">
        <v>0</v>
      </c>
    </row>
    <row r="9" spans="1:8" x14ac:dyDescent="0.25">
      <c r="A9" s="153" t="s">
        <v>86</v>
      </c>
      <c r="B9" s="153">
        <v>1</v>
      </c>
      <c r="C9" s="153">
        <v>28.883333333500001</v>
      </c>
      <c r="D9" s="153">
        <v>74.419166667799999</v>
      </c>
      <c r="E9" s="153">
        <v>665204.34997130139</v>
      </c>
      <c r="F9" s="153">
        <v>0</v>
      </c>
      <c r="G9" s="153">
        <v>0</v>
      </c>
      <c r="H9" s="153">
        <v>0</v>
      </c>
    </row>
    <row r="10" spans="1:8" x14ac:dyDescent="0.25">
      <c r="A10" s="153" t="s">
        <v>87</v>
      </c>
      <c r="B10" s="153">
        <v>1</v>
      </c>
      <c r="C10" s="153">
        <v>33.897916666500002</v>
      </c>
      <c r="D10" s="153">
        <v>146.03286905319999</v>
      </c>
      <c r="E10" s="153">
        <v>1470728.8131182878</v>
      </c>
      <c r="F10" s="153">
        <v>0</v>
      </c>
      <c r="G10" s="153">
        <v>0</v>
      </c>
      <c r="H10" s="153">
        <v>0</v>
      </c>
    </row>
    <row r="11" spans="1:8" x14ac:dyDescent="0.25">
      <c r="A11" s="153" t="s">
        <v>211</v>
      </c>
      <c r="B11" s="153">
        <v>1</v>
      </c>
      <c r="C11" s="153">
        <v>47.479920634700001</v>
      </c>
      <c r="D11" s="153">
        <v>133.23400000300001</v>
      </c>
      <c r="E11" s="153">
        <v>1145490.5930998356</v>
      </c>
      <c r="F11" s="153">
        <v>0</v>
      </c>
      <c r="G11" s="153">
        <v>0</v>
      </c>
      <c r="H11" s="153">
        <v>0</v>
      </c>
    </row>
    <row r="12" spans="1:8" x14ac:dyDescent="0.25">
      <c r="A12" s="153" t="s">
        <v>210</v>
      </c>
      <c r="B12" s="153">
        <v>1</v>
      </c>
      <c r="C12" s="153">
        <v>174.800992063</v>
      </c>
      <c r="D12" s="153">
        <v>535.74500000709997</v>
      </c>
      <c r="E12" s="153">
        <v>3158440.5098537616</v>
      </c>
      <c r="F12" s="153">
        <v>0</v>
      </c>
      <c r="G12" s="153">
        <v>0</v>
      </c>
      <c r="H12" s="153">
        <v>0</v>
      </c>
    </row>
    <row r="13" spans="1:8" x14ac:dyDescent="0.25">
      <c r="A13" s="153" t="s">
        <v>90</v>
      </c>
      <c r="B13" s="153">
        <v>1</v>
      </c>
      <c r="C13" s="153">
        <v>132.3061825396</v>
      </c>
      <c r="D13" s="153">
        <v>567.20566666649995</v>
      </c>
      <c r="E13" s="153">
        <v>2324352.4436895773</v>
      </c>
      <c r="F13" s="153">
        <v>0</v>
      </c>
      <c r="G13" s="153">
        <v>0</v>
      </c>
      <c r="H13" s="153">
        <v>0</v>
      </c>
    </row>
    <row r="14" spans="1:8" x14ac:dyDescent="0.25">
      <c r="A14" s="153" t="s">
        <v>91</v>
      </c>
      <c r="B14" s="153">
        <v>1</v>
      </c>
      <c r="C14" s="153">
        <v>182.84722222190001</v>
      </c>
      <c r="D14" s="153">
        <v>96.504999999999995</v>
      </c>
      <c r="E14" s="153">
        <v>3123900.0180868423</v>
      </c>
      <c r="F14" s="153">
        <v>0</v>
      </c>
      <c r="G14" s="153">
        <v>0</v>
      </c>
      <c r="H14" s="153">
        <v>0</v>
      </c>
    </row>
    <row r="15" spans="1:8" x14ac:dyDescent="0.25">
      <c r="A15" s="153" t="s">
        <v>92</v>
      </c>
      <c r="B15" s="153">
        <v>1</v>
      </c>
      <c r="C15" s="153">
        <v>85.390277776900007</v>
      </c>
      <c r="D15" s="153">
        <v>250.93192856749999</v>
      </c>
      <c r="E15" s="153">
        <v>2772280.5911958492</v>
      </c>
      <c r="F15" s="153">
        <v>0</v>
      </c>
      <c r="G15" s="153">
        <v>0</v>
      </c>
      <c r="H15" s="153">
        <v>0</v>
      </c>
    </row>
    <row r="16" spans="1:8" x14ac:dyDescent="0.25">
      <c r="A16" s="153" t="s">
        <v>93</v>
      </c>
      <c r="B16" s="153">
        <v>1</v>
      </c>
      <c r="C16" s="153">
        <v>97.048591269699997</v>
      </c>
      <c r="D16" s="153">
        <v>549.86483333959995</v>
      </c>
      <c r="E16" s="153">
        <v>2195813.549609337</v>
      </c>
      <c r="F16" s="153">
        <v>0</v>
      </c>
      <c r="G16" s="153">
        <v>0</v>
      </c>
      <c r="H16" s="153">
        <v>0</v>
      </c>
    </row>
    <row r="17" spans="1:8" x14ac:dyDescent="0.25">
      <c r="A17" s="153" t="s">
        <v>94</v>
      </c>
      <c r="B17" s="153">
        <v>1</v>
      </c>
      <c r="C17" s="153">
        <v>173.50888888899999</v>
      </c>
      <c r="D17" s="153">
        <v>590.15760714340001</v>
      </c>
      <c r="E17" s="153">
        <v>3246306.3773491825</v>
      </c>
      <c r="F17" s="153">
        <v>0</v>
      </c>
      <c r="G17" s="153">
        <v>0</v>
      </c>
      <c r="H17" s="153">
        <v>0</v>
      </c>
    </row>
    <row r="18" spans="1:8" x14ac:dyDescent="0.25">
      <c r="A18" s="153" t="s">
        <v>95</v>
      </c>
      <c r="B18" s="153">
        <v>1</v>
      </c>
      <c r="C18" s="153">
        <v>206.8671626981</v>
      </c>
      <c r="D18" s="153">
        <v>487.41666666899999</v>
      </c>
      <c r="E18" s="153">
        <v>5630523.4506773651</v>
      </c>
      <c r="F18" s="153">
        <v>0</v>
      </c>
      <c r="G18" s="153">
        <v>0</v>
      </c>
      <c r="H18" s="153">
        <v>0</v>
      </c>
    </row>
    <row r="19" spans="1:8" x14ac:dyDescent="0.25">
      <c r="A19" s="153" t="s">
        <v>96</v>
      </c>
      <c r="B19" s="153">
        <v>1</v>
      </c>
      <c r="C19" s="153">
        <v>105.2906746024</v>
      </c>
      <c r="D19" s="153">
        <v>320.21679762410002</v>
      </c>
      <c r="E19" s="153">
        <v>2509696.9953732048</v>
      </c>
      <c r="F19" s="153">
        <v>0</v>
      </c>
      <c r="G19" s="153">
        <v>0</v>
      </c>
      <c r="H19" s="153">
        <v>0</v>
      </c>
    </row>
    <row r="20" spans="1:8" x14ac:dyDescent="0.25">
      <c r="A20" s="153" t="s">
        <v>97</v>
      </c>
      <c r="B20" s="153">
        <v>1</v>
      </c>
      <c r="C20" s="153">
        <v>347.64613095239997</v>
      </c>
      <c r="D20" s="153">
        <v>1655.3129702363999</v>
      </c>
      <c r="E20" s="153">
        <v>5511113.9408346927</v>
      </c>
      <c r="F20" s="153">
        <v>0</v>
      </c>
      <c r="G20" s="153">
        <v>0</v>
      </c>
      <c r="H20" s="153">
        <v>0</v>
      </c>
    </row>
    <row r="21" spans="1:8" x14ac:dyDescent="0.25">
      <c r="A21" s="153" t="s">
        <v>98</v>
      </c>
      <c r="B21" s="153">
        <v>1</v>
      </c>
      <c r="C21" s="153">
        <v>110.0326388889</v>
      </c>
      <c r="D21" s="153">
        <v>412.19733334059998</v>
      </c>
      <c r="E21" s="153">
        <v>2318490.8457977781</v>
      </c>
      <c r="F21" s="153">
        <v>0</v>
      </c>
      <c r="G21" s="153">
        <v>0</v>
      </c>
      <c r="H21" s="153">
        <v>0</v>
      </c>
    </row>
    <row r="22" spans="1:8" x14ac:dyDescent="0.25">
      <c r="A22" s="153" t="s">
        <v>205</v>
      </c>
      <c r="B22" s="153">
        <v>1</v>
      </c>
      <c r="C22" s="153">
        <v>129.42402777769999</v>
      </c>
      <c r="D22" s="153">
        <v>554.09125000649999</v>
      </c>
      <c r="E22" s="153">
        <v>1843966.5617338859</v>
      </c>
      <c r="F22" s="153">
        <v>0</v>
      </c>
      <c r="G22" s="153">
        <v>0</v>
      </c>
      <c r="H22" s="153">
        <v>0</v>
      </c>
    </row>
    <row r="23" spans="1:8" x14ac:dyDescent="0.25">
      <c r="A23" s="153" t="s">
        <v>276</v>
      </c>
      <c r="B23" s="153">
        <v>1</v>
      </c>
      <c r="C23" s="153">
        <v>1685.0319642857</v>
      </c>
      <c r="D23" s="153">
        <v>9992.1012857140995</v>
      </c>
      <c r="E23" s="153">
        <v>26974110.981855042</v>
      </c>
      <c r="F23" s="153">
        <v>0</v>
      </c>
      <c r="G23" s="153">
        <v>0</v>
      </c>
      <c r="H23" s="153">
        <v>0</v>
      </c>
    </row>
    <row r="24" spans="1:8" x14ac:dyDescent="0.25">
      <c r="A24" s="153" t="s">
        <v>275</v>
      </c>
      <c r="B24" s="153">
        <v>1</v>
      </c>
      <c r="C24" s="153">
        <v>-10</v>
      </c>
      <c r="D24" s="153">
        <v>-75</v>
      </c>
      <c r="E24" s="153">
        <v>-170283.8252251072</v>
      </c>
      <c r="F24" s="153">
        <v>0</v>
      </c>
      <c r="G24" s="153">
        <v>0</v>
      </c>
      <c r="H24" s="153">
        <v>0</v>
      </c>
    </row>
    <row r="25" spans="1:8" x14ac:dyDescent="0.25">
      <c r="A25" s="153" t="s">
        <v>99</v>
      </c>
      <c r="B25" s="153">
        <v>1</v>
      </c>
      <c r="C25" s="153">
        <v>92.946182539299997</v>
      </c>
      <c r="D25" s="153">
        <v>436.16300000640001</v>
      </c>
      <c r="E25" s="153">
        <v>2307023.1532985521</v>
      </c>
      <c r="F25" s="153">
        <v>0</v>
      </c>
      <c r="G25" s="153">
        <v>0</v>
      </c>
      <c r="H25" s="153">
        <v>0</v>
      </c>
    </row>
    <row r="26" spans="1:8" x14ac:dyDescent="0.25">
      <c r="A26" s="153" t="s">
        <v>100</v>
      </c>
      <c r="B26" s="153">
        <v>1</v>
      </c>
      <c r="C26" s="153">
        <v>73.466468253599999</v>
      </c>
      <c r="D26" s="153">
        <v>342.50999999930002</v>
      </c>
      <c r="E26" s="153">
        <v>1606564.9666621478</v>
      </c>
      <c r="F26" s="153">
        <v>0</v>
      </c>
      <c r="G26" s="153">
        <v>0</v>
      </c>
      <c r="H26" s="153">
        <v>0</v>
      </c>
    </row>
    <row r="27" spans="1:8" x14ac:dyDescent="0.25">
      <c r="A27" s="153" t="s">
        <v>218</v>
      </c>
      <c r="B27" s="153">
        <v>1</v>
      </c>
      <c r="C27" s="153">
        <v>2464</v>
      </c>
      <c r="D27" s="153">
        <v>485.86</v>
      </c>
      <c r="E27" s="153">
        <v>24757860.477299999</v>
      </c>
      <c r="F27" s="153">
        <v>0</v>
      </c>
      <c r="G27" s="153">
        <v>0</v>
      </c>
      <c r="H27" s="153">
        <v>0</v>
      </c>
    </row>
    <row r="28" spans="1:8" x14ac:dyDescent="0.25">
      <c r="A28" s="153" t="s">
        <v>220</v>
      </c>
      <c r="B28" s="153">
        <v>1</v>
      </c>
      <c r="C28" s="153">
        <v>121.7767261896</v>
      </c>
      <c r="D28" s="153">
        <v>531.46392856889997</v>
      </c>
      <c r="E28" s="153">
        <v>2857508.3967910991</v>
      </c>
      <c r="F28" s="153">
        <v>0</v>
      </c>
      <c r="G28" s="153">
        <v>0</v>
      </c>
      <c r="H28" s="153">
        <v>0</v>
      </c>
    </row>
    <row r="29" spans="1:8" x14ac:dyDescent="0.25">
      <c r="A29" s="153" t="s">
        <v>212</v>
      </c>
      <c r="B29" s="153">
        <v>1</v>
      </c>
      <c r="C29" s="153">
        <v>319.059722222</v>
      </c>
      <c r="D29" s="153">
        <v>1448.1424999983999</v>
      </c>
      <c r="E29" s="153">
        <v>5603368.9906648742</v>
      </c>
      <c r="F29" s="153">
        <v>0</v>
      </c>
      <c r="G29" s="153">
        <v>0</v>
      </c>
      <c r="H29" s="153">
        <v>0</v>
      </c>
    </row>
    <row r="30" spans="1:8" x14ac:dyDescent="0.25">
      <c r="A30" s="153" t="s">
        <v>139</v>
      </c>
      <c r="B30" s="153">
        <v>1</v>
      </c>
      <c r="C30" s="153">
        <v>80.020892856900005</v>
      </c>
      <c r="D30" s="153">
        <v>165.2336666644</v>
      </c>
      <c r="E30" s="153">
        <v>1415676.5223384921</v>
      </c>
      <c r="F30" s="153">
        <v>0</v>
      </c>
      <c r="G30" s="153">
        <v>0</v>
      </c>
      <c r="H30" s="153">
        <v>0</v>
      </c>
    </row>
    <row r="31" spans="1:8" x14ac:dyDescent="0.25">
      <c r="A31" s="153" t="s">
        <v>214</v>
      </c>
      <c r="B31" s="153">
        <v>1</v>
      </c>
      <c r="C31" s="153">
        <v>60.8480158729</v>
      </c>
      <c r="D31" s="153">
        <v>124.01000000179999</v>
      </c>
      <c r="E31" s="153">
        <v>1210633.5644645579</v>
      </c>
      <c r="F31" s="153">
        <v>0</v>
      </c>
      <c r="G31" s="153">
        <v>0</v>
      </c>
      <c r="H31" s="153">
        <v>0</v>
      </c>
    </row>
    <row r="32" spans="1:8" x14ac:dyDescent="0.25">
      <c r="A32" s="153" t="s">
        <v>104</v>
      </c>
      <c r="B32" s="153">
        <v>1</v>
      </c>
      <c r="C32" s="153">
        <v>10.208333333200001</v>
      </c>
      <c r="D32" s="153">
        <v>32.504999999600003</v>
      </c>
      <c r="E32" s="153">
        <v>512291.0948258026</v>
      </c>
      <c r="F32" s="153">
        <v>0</v>
      </c>
      <c r="G32" s="153">
        <v>0</v>
      </c>
      <c r="H32" s="153">
        <v>0</v>
      </c>
    </row>
    <row r="33" spans="1:8" x14ac:dyDescent="0.25">
      <c r="A33" s="153" t="s">
        <v>213</v>
      </c>
      <c r="B33" s="153">
        <v>1</v>
      </c>
      <c r="C33" s="153">
        <v>124.8198412696</v>
      </c>
      <c r="D33" s="153">
        <v>289.72166667070002</v>
      </c>
      <c r="E33" s="153">
        <v>2156343.838919275</v>
      </c>
      <c r="F33" s="153">
        <v>0</v>
      </c>
      <c r="G33" s="153">
        <v>0</v>
      </c>
      <c r="H33" s="153">
        <v>0</v>
      </c>
    </row>
    <row r="34" spans="1:8" x14ac:dyDescent="0.25">
      <c r="A34" s="153" t="s">
        <v>279</v>
      </c>
      <c r="B34" s="153">
        <v>1</v>
      </c>
      <c r="C34" s="153">
        <v>45.192162698399997</v>
      </c>
      <c r="D34" s="153">
        <v>588.74174999909997</v>
      </c>
      <c r="E34" s="153">
        <v>1558605.7160031793</v>
      </c>
      <c r="F34" s="153">
        <v>0</v>
      </c>
      <c r="G34" s="153">
        <v>0</v>
      </c>
      <c r="H34" s="153">
        <v>0</v>
      </c>
    </row>
    <row r="35" spans="1:8" x14ac:dyDescent="0.25">
      <c r="A35" s="153" t="s">
        <v>161</v>
      </c>
      <c r="B35" s="153">
        <v>1</v>
      </c>
      <c r="C35" s="153">
        <v>85.112817460599999</v>
      </c>
      <c r="D35" s="153">
        <v>400.10625000149997</v>
      </c>
      <c r="E35" s="153">
        <v>2290915.2239304981</v>
      </c>
      <c r="F35" s="153">
        <v>0</v>
      </c>
      <c r="G35" s="153">
        <v>0</v>
      </c>
      <c r="H35" s="153">
        <v>0</v>
      </c>
    </row>
    <row r="36" spans="1:8" x14ac:dyDescent="0.25">
      <c r="A36" s="153" t="s">
        <v>107</v>
      </c>
      <c r="B36" s="153">
        <v>1</v>
      </c>
      <c r="C36" s="153">
        <v>-9.0500000000000007</v>
      </c>
      <c r="D36" s="153">
        <v>-87</v>
      </c>
      <c r="E36" s="153">
        <v>-140371.8553</v>
      </c>
      <c r="F36" s="153">
        <v>0</v>
      </c>
      <c r="G36" s="153">
        <v>0</v>
      </c>
      <c r="H36" s="153">
        <v>0</v>
      </c>
    </row>
    <row r="37" spans="1:8" x14ac:dyDescent="0.25">
      <c r="A37" s="153" t="s">
        <v>112</v>
      </c>
      <c r="B37" s="153">
        <v>1</v>
      </c>
      <c r="C37" s="153">
        <v>178.66666666660001</v>
      </c>
      <c r="D37" s="153">
        <v>1657.4199999988</v>
      </c>
      <c r="E37" s="153">
        <v>3697110.3445274378</v>
      </c>
      <c r="F37" s="153">
        <v>0</v>
      </c>
      <c r="G37" s="153">
        <v>0</v>
      </c>
      <c r="H37" s="153">
        <v>0</v>
      </c>
    </row>
    <row r="38" spans="1:8" x14ac:dyDescent="0.25">
      <c r="A38" s="153" t="s">
        <v>108</v>
      </c>
      <c r="B38" s="153">
        <v>1</v>
      </c>
      <c r="C38" s="153">
        <v>132.5166666666</v>
      </c>
      <c r="D38" s="153">
        <v>1566.94</v>
      </c>
      <c r="E38" s="153">
        <v>3131426.4628949971</v>
      </c>
      <c r="F38" s="153">
        <v>0</v>
      </c>
      <c r="G38" s="153">
        <v>0</v>
      </c>
      <c r="H38" s="153">
        <v>0</v>
      </c>
    </row>
    <row r="39" spans="1:8" x14ac:dyDescent="0.25">
      <c r="A39" s="153" t="s">
        <v>221</v>
      </c>
      <c r="B39" s="153">
        <v>1</v>
      </c>
      <c r="C39" s="153">
        <v>106.116269841</v>
      </c>
      <c r="D39" s="153">
        <v>412.14547619410001</v>
      </c>
      <c r="E39" s="153">
        <v>2921308.9667262044</v>
      </c>
      <c r="F39" s="153">
        <v>0</v>
      </c>
      <c r="G39" s="153">
        <v>0</v>
      </c>
      <c r="H39" s="153">
        <v>0</v>
      </c>
    </row>
    <row r="40" spans="1:8" x14ac:dyDescent="0.25">
      <c r="A40" s="153" t="s">
        <v>140</v>
      </c>
      <c r="B40" s="153">
        <v>1</v>
      </c>
      <c r="C40" s="153">
        <v>691.15238095250004</v>
      </c>
      <c r="D40" s="153">
        <v>5480.7084166669001</v>
      </c>
      <c r="E40" s="153">
        <v>8973346.7586207036</v>
      </c>
      <c r="F40" s="153">
        <v>0</v>
      </c>
      <c r="G40" s="153">
        <v>0</v>
      </c>
      <c r="H40" s="153">
        <v>0</v>
      </c>
    </row>
    <row r="41" spans="1:8" x14ac:dyDescent="0.25">
      <c r="A41" s="153" t="s">
        <v>215</v>
      </c>
      <c r="B41" s="153">
        <v>1</v>
      </c>
      <c r="C41" s="153">
        <v>61</v>
      </c>
      <c r="D41" s="153">
        <v>349.74</v>
      </c>
      <c r="E41" s="153">
        <v>941292.30350000004</v>
      </c>
      <c r="F41" s="153">
        <v>0</v>
      </c>
      <c r="G41" s="153">
        <v>0</v>
      </c>
      <c r="H41" s="153">
        <v>0</v>
      </c>
    </row>
    <row r="42" spans="1:8" x14ac:dyDescent="0.25">
      <c r="A42" s="153" t="s">
        <v>155</v>
      </c>
      <c r="B42" s="153">
        <v>1</v>
      </c>
      <c r="C42" s="153">
        <v>104.80753968250001</v>
      </c>
      <c r="D42" s="153">
        <v>833.09166666479996</v>
      </c>
      <c r="E42" s="153">
        <v>2175619.6436987366</v>
      </c>
      <c r="F42" s="153">
        <v>0</v>
      </c>
      <c r="G42" s="153">
        <v>0</v>
      </c>
      <c r="H42" s="153">
        <v>0</v>
      </c>
    </row>
    <row r="43" spans="1:8" x14ac:dyDescent="0.25">
      <c r="A43" s="153" t="s">
        <v>219</v>
      </c>
      <c r="B43" s="153">
        <v>1</v>
      </c>
      <c r="C43" s="153">
        <v>69</v>
      </c>
      <c r="D43" s="153">
        <v>49.02</v>
      </c>
      <c r="E43" s="153">
        <v>2627111.6069999998</v>
      </c>
      <c r="F43" s="153">
        <v>0</v>
      </c>
      <c r="G43" s="153">
        <v>0</v>
      </c>
      <c r="H43" s="1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N47"/>
  <sheetViews>
    <sheetView tabSelected="1" zoomScale="80" zoomScaleNormal="80" workbookViewId="0">
      <selection activeCell="N3" sqref="N3"/>
    </sheetView>
  </sheetViews>
  <sheetFormatPr baseColWidth="10" defaultRowHeight="15" x14ac:dyDescent="0.25"/>
  <cols>
    <col min="1" max="1" width="25" bestFit="1" customWidth="1"/>
    <col min="2" max="2" width="48" bestFit="1" customWidth="1"/>
    <col min="3" max="3" width="18.85546875" style="2" bestFit="1" customWidth="1"/>
    <col min="4" max="4" width="17.140625" style="2" bestFit="1" customWidth="1"/>
    <col min="5" max="5" width="18.42578125" style="2" hidden="1" customWidth="1"/>
    <col min="6" max="6" width="17.140625" style="2" bestFit="1" customWidth="1"/>
    <col min="7" max="7" width="13" style="1" bestFit="1" customWidth="1"/>
    <col min="8" max="8" width="20" style="2" bestFit="1" customWidth="1"/>
    <col min="9" max="9" width="18" style="1" bestFit="1" customWidth="1"/>
    <col min="10" max="10" width="18.85546875" style="2" bestFit="1" customWidth="1"/>
    <col min="11" max="11" width="17.140625" style="2" bestFit="1" customWidth="1"/>
    <col min="12" max="12" width="16" style="2" bestFit="1" customWidth="1"/>
    <col min="13" max="13" width="27.7109375" bestFit="1" customWidth="1"/>
  </cols>
  <sheetData>
    <row r="1" spans="1:14" ht="30.75" thickBot="1" x14ac:dyDescent="0.3">
      <c r="A1" s="54" t="s">
        <v>206</v>
      </c>
      <c r="B1" s="54" t="s">
        <v>76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</row>
    <row r="2" spans="1:14" ht="16.5" thickBot="1" x14ac:dyDescent="0.3">
      <c r="A2" s="137" t="s">
        <v>207</v>
      </c>
      <c r="B2" s="57" t="s">
        <v>95</v>
      </c>
      <c r="C2" s="58">
        <v>32279076.638250753</v>
      </c>
      <c r="D2" s="59">
        <f>IFERROR(+VLOOKUP(B2,COMISIONES!A:E,5,FALSE),"0")*1</f>
        <v>5630523.4506773651</v>
      </c>
      <c r="E2" s="59">
        <v>197724.00803753021</v>
      </c>
      <c r="F2" s="59">
        <v>33086053.55420702</v>
      </c>
      <c r="G2" s="60">
        <f t="shared" ref="G2:G47" si="0">+D2/C2</f>
        <v>0.1744326057953339</v>
      </c>
      <c r="H2" s="59">
        <f>+D2/$N$3*$N$4</f>
        <v>73196804.858805746</v>
      </c>
      <c r="I2" s="60">
        <f t="shared" ref="I2:I47" si="1">+H2/C2</f>
        <v>2.2676238753393405</v>
      </c>
      <c r="J2" s="59">
        <f>+D2/$N$3</f>
        <v>2815261.7253386825</v>
      </c>
      <c r="K2" s="59">
        <f t="shared" ref="K2:K47" si="2">+(C2-D2)/$N$2</f>
        <v>1110356.3828155578</v>
      </c>
      <c r="L2" s="61" cm="1">
        <f t="array" ref="L2">+_xlfn.IFS(I2&gt;114%,H2*0.02,I2&gt;109%,H2*0.015,I2&gt;104%,H2*0.0125,I2&gt;99%,H2*0.01,I2&lt;99%,H2*0)</f>
        <v>1463936.097176115</v>
      </c>
      <c r="M2" s="53" t="s">
        <v>36</v>
      </c>
      <c r="N2">
        <v>24</v>
      </c>
    </row>
    <row r="3" spans="1:14" ht="16.5" thickBot="1" x14ac:dyDescent="0.3">
      <c r="A3" s="138"/>
      <c r="B3" s="36" t="s">
        <v>94</v>
      </c>
      <c r="C3" s="62">
        <v>30982728.178883255</v>
      </c>
      <c r="D3" s="4">
        <f>IFERROR(+VLOOKUP(B3,COMISIONES!A:E,5,FALSE),"0")*1</f>
        <v>3246306.3773491825</v>
      </c>
      <c r="E3" s="4">
        <v>1795361.9151083895</v>
      </c>
      <c r="F3" s="4">
        <v>31757296.383355334</v>
      </c>
      <c r="G3" s="5">
        <f t="shared" si="0"/>
        <v>0.1047779381662636</v>
      </c>
      <c r="H3" s="4">
        <f t="shared" ref="H3:H47" si="3">+D3/$N$3*$N$4</f>
        <v>42201982.905539371</v>
      </c>
      <c r="I3" s="5">
        <f t="shared" si="1"/>
        <v>1.3621131961614268</v>
      </c>
      <c r="J3" s="4">
        <f t="shared" ref="J3:J47" si="4">+D3/$N$3</f>
        <v>1623153.1886745912</v>
      </c>
      <c r="K3" s="4">
        <f t="shared" si="2"/>
        <v>1155684.2417305864</v>
      </c>
      <c r="L3" s="63" cm="1">
        <f t="array" ref="L3">+_xlfn.IFS(I3&gt;114%,H3*0.02,I3&gt;109%,H3*0.015,I3&gt;104%,H3*0.0125,I3&gt;99%,H3*0.01,I3&lt;99%,H3*0)</f>
        <v>844039.65811078739</v>
      </c>
      <c r="M3" s="53" t="s">
        <v>40</v>
      </c>
      <c r="N3">
        <f>N4-N2</f>
        <v>2</v>
      </c>
    </row>
    <row r="4" spans="1:14" ht="16.5" thickBot="1" x14ac:dyDescent="0.3">
      <c r="A4" s="138"/>
      <c r="B4" s="36" t="s">
        <v>92</v>
      </c>
      <c r="C4" s="62">
        <v>28390031.260148253</v>
      </c>
      <c r="D4" s="4">
        <f>IFERROR(+VLOOKUP(B4,COMISIONES!A:E,5,FALSE),"0")*1</f>
        <v>2772280.5911958492</v>
      </c>
      <c r="E4" s="4">
        <v>1264552.9138414571</v>
      </c>
      <c r="F4" s="4">
        <v>29099782.041651957</v>
      </c>
      <c r="G4" s="5">
        <f t="shared" si="0"/>
        <v>9.7649790019335547E-2</v>
      </c>
      <c r="H4" s="4">
        <f t="shared" si="3"/>
        <v>36039647.685546041</v>
      </c>
      <c r="I4" s="5">
        <f t="shared" si="1"/>
        <v>1.2694472702513622</v>
      </c>
      <c r="J4" s="4">
        <f t="shared" si="4"/>
        <v>1386140.2955979246</v>
      </c>
      <c r="K4" s="4">
        <f t="shared" si="2"/>
        <v>1067406.2778730169</v>
      </c>
      <c r="L4" s="63" cm="1">
        <f t="array" ref="L4">+_xlfn.IFS(I4&gt;114%,H4*0.02,I4&gt;109%,H4*0.015,I4&gt;104%,H4*0.0125,I4&gt;99%,H4*0.01,I4&lt;99%,H4*0)</f>
        <v>720792.95371092088</v>
      </c>
      <c r="M4" s="53" t="s">
        <v>47</v>
      </c>
      <c r="N4">
        <v>26</v>
      </c>
    </row>
    <row r="5" spans="1:14" ht="15.75" x14ac:dyDescent="0.25">
      <c r="A5" s="138"/>
      <c r="B5" s="36" t="s">
        <v>90</v>
      </c>
      <c r="C5" s="62">
        <v>28390031.260148253</v>
      </c>
      <c r="D5" s="4">
        <f>IFERROR(+VLOOKUP(B5,COMISIONES!A:E,5,FALSE),"0")*1</f>
        <v>2324352.4436895773</v>
      </c>
      <c r="E5" s="4">
        <v>554218.39276560419</v>
      </c>
      <c r="F5" s="4">
        <v>29099782.041651957</v>
      </c>
      <c r="G5" s="5">
        <f t="shared" si="0"/>
        <v>8.1872134003329711E-2</v>
      </c>
      <c r="H5" s="4">
        <f t="shared" si="3"/>
        <v>30216581.767964505</v>
      </c>
      <c r="I5" s="5">
        <f t="shared" si="1"/>
        <v>1.0643377420432862</v>
      </c>
      <c r="J5" s="4">
        <f t="shared" si="4"/>
        <v>1162176.2218447886</v>
      </c>
      <c r="K5" s="4">
        <f t="shared" si="2"/>
        <v>1086069.9506857782</v>
      </c>
      <c r="L5" s="63" cm="1">
        <f t="array" ref="L5">+_xlfn.IFS(I5&gt;114%,H5*0.02,I5&gt;109%,H5*0.015,I5&gt;104%,H5*0.0125,I5&gt;99%,H5*0.01,I5&lt;99%,H5*0)</f>
        <v>377707.27209955634</v>
      </c>
    </row>
    <row r="6" spans="1:14" ht="15.75" x14ac:dyDescent="0.25">
      <c r="A6" s="138"/>
      <c r="B6" s="36" t="s">
        <v>210</v>
      </c>
      <c r="C6" s="62">
        <v>23528724.537520126</v>
      </c>
      <c r="D6" s="4">
        <f>IFERROR(+VLOOKUP(B6,COMISIONES!A:E,5,FALSE),"0")*1</f>
        <v>3158440.5098537616</v>
      </c>
      <c r="E6" s="4">
        <v>2024283.4990501967</v>
      </c>
      <c r="F6" s="4">
        <v>24116942.650958128</v>
      </c>
      <c r="G6" s="5">
        <f t="shared" si="0"/>
        <v>0.13423764236846533</v>
      </c>
      <c r="H6" s="4">
        <f t="shared" si="3"/>
        <v>41059726.628098905</v>
      </c>
      <c r="I6" s="5">
        <f t="shared" si="1"/>
        <v>1.7450893507900496</v>
      </c>
      <c r="J6" s="4">
        <f t="shared" si="4"/>
        <v>1579220.2549268808</v>
      </c>
      <c r="K6" s="4">
        <f t="shared" si="2"/>
        <v>848761.83448609849</v>
      </c>
      <c r="L6" s="63" cm="1">
        <f t="array" ref="L6">+_xlfn.IFS(I6&gt;114%,H6*0.02,I6&gt;109%,H6*0.015,I6&gt;104%,H6*0.0125,I6&gt;99%,H6*0.01,I6&lt;99%,H6*0)</f>
        <v>821194.53256197809</v>
      </c>
    </row>
    <row r="7" spans="1:14" ht="15.75" x14ac:dyDescent="0.25">
      <c r="A7" s="138"/>
      <c r="B7" s="36" t="s">
        <v>86</v>
      </c>
      <c r="C7" s="62">
        <v>27741857.030464504</v>
      </c>
      <c r="D7" s="4">
        <f>IFERROR(+VLOOKUP(B7,COMISIONES!A:E,5,FALSE),"0")*1</f>
        <v>665204.34997130139</v>
      </c>
      <c r="E7" s="4">
        <v>401287.85045149352</v>
      </c>
      <c r="F7" s="4">
        <v>28435403.456226114</v>
      </c>
      <c r="G7" s="5">
        <f t="shared" si="0"/>
        <v>2.3978364146308318E-2</v>
      </c>
      <c r="H7" s="4">
        <f t="shared" si="3"/>
        <v>8647656.5496269185</v>
      </c>
      <c r="I7" s="5">
        <f t="shared" si="1"/>
        <v>0.31171873390200816</v>
      </c>
      <c r="J7" s="4">
        <f t="shared" si="4"/>
        <v>332602.17498565069</v>
      </c>
      <c r="K7" s="4">
        <f t="shared" si="2"/>
        <v>1128193.8616872167</v>
      </c>
      <c r="L7" s="63" cm="1">
        <f t="array" ref="L7">+_xlfn.IFS(I7&gt;114%,H7*0.02,I7&gt;109%,H7*0.015,I7&gt;104%,H7*0.0125,I7&gt;99%,H7*0.01,I7&lt;99%,H7*0)</f>
        <v>0</v>
      </c>
    </row>
    <row r="8" spans="1:14" ht="15.75" x14ac:dyDescent="0.25">
      <c r="A8" s="138"/>
      <c r="B8" s="36" t="s">
        <v>85</v>
      </c>
      <c r="C8" s="62">
        <v>35831071.416917704</v>
      </c>
      <c r="D8" s="4">
        <f>IFERROR(+VLOOKUP(B8,COMISIONES!A:E,5,FALSE),"0")*1</f>
        <v>3946966.7153136632</v>
      </c>
      <c r="E8" s="4">
        <v>2033398.5131540904</v>
      </c>
      <c r="F8" s="4">
        <v>36726848.20234064</v>
      </c>
      <c r="G8" s="5">
        <f t="shared" si="0"/>
        <v>0.11015486166707524</v>
      </c>
      <c r="H8" s="4">
        <f t="shared" si="3"/>
        <v>51310567.299077623</v>
      </c>
      <c r="I8" s="5">
        <f t="shared" si="1"/>
        <v>1.4320132016719782</v>
      </c>
      <c r="J8" s="4">
        <f t="shared" si="4"/>
        <v>1973483.3576568316</v>
      </c>
      <c r="K8" s="4">
        <f t="shared" si="2"/>
        <v>1328504.362566835</v>
      </c>
      <c r="L8" s="63" cm="1">
        <f t="array" ref="L8">+_xlfn.IFS(I8&gt;114%,H8*0.02,I8&gt;109%,H8*0.015,I8&gt;104%,H8*0.0125,I8&gt;99%,H8*0.01,I8&lt;99%,H8*0)</f>
        <v>1026211.3459815525</v>
      </c>
    </row>
    <row r="9" spans="1:14" ht="15.75" x14ac:dyDescent="0.25">
      <c r="A9" s="138"/>
      <c r="B9" s="36" t="s">
        <v>84</v>
      </c>
      <c r="C9" s="62">
        <v>35831071.416917704</v>
      </c>
      <c r="D9" s="4">
        <f>IFERROR(+VLOOKUP(B9,COMISIONES!A:E,5,FALSE),"0")*1</f>
        <v>3440020.7789135631</v>
      </c>
      <c r="E9" s="4">
        <v>1533394.8363165089</v>
      </c>
      <c r="F9" s="4">
        <v>36726848.20234064</v>
      </c>
      <c r="G9" s="5">
        <f t="shared" si="0"/>
        <v>9.6006640127689599E-2</v>
      </c>
      <c r="H9" s="4">
        <f t="shared" si="3"/>
        <v>44720270.125876322</v>
      </c>
      <c r="I9" s="5">
        <f t="shared" si="1"/>
        <v>1.2480863216599649</v>
      </c>
      <c r="J9" s="4">
        <f t="shared" si="4"/>
        <v>1720010.3894567816</v>
      </c>
      <c r="K9" s="4">
        <f t="shared" si="2"/>
        <v>1349627.1099168391</v>
      </c>
      <c r="L9" s="63" cm="1">
        <f t="array" ref="L9">+_xlfn.IFS(I9&gt;114%,H9*0.02,I9&gt;109%,H9*0.015,I9&gt;104%,H9*0.0125,I9&gt;99%,H9*0.01,I9&lt;99%,H9*0)</f>
        <v>894405.40251752641</v>
      </c>
    </row>
    <row r="10" spans="1:14" ht="16.5" thickBot="1" x14ac:dyDescent="0.3">
      <c r="A10" s="139"/>
      <c r="B10" s="3"/>
      <c r="C10" s="64">
        <v>242974591.73925051</v>
      </c>
      <c r="D10" s="64">
        <f>+SUM(D2:D9)</f>
        <v>25184095.21696426</v>
      </c>
      <c r="E10" s="65">
        <v>9804221.9287252706</v>
      </c>
      <c r="F10" s="64">
        <v>249048956.5327318</v>
      </c>
      <c r="G10" s="66">
        <f t="shared" si="0"/>
        <v>0.10364908954756351</v>
      </c>
      <c r="H10" s="64">
        <f t="shared" si="3"/>
        <v>327393237.82053536</v>
      </c>
      <c r="I10" s="66">
        <f t="shared" si="1"/>
        <v>1.3474381641183255</v>
      </c>
      <c r="J10" s="64">
        <f t="shared" si="4"/>
        <v>12592047.60848213</v>
      </c>
      <c r="K10" s="67">
        <f t="shared" si="2"/>
        <v>9074604.0217619259</v>
      </c>
      <c r="L10" s="68"/>
    </row>
    <row r="11" spans="1:14" ht="16.5" thickBot="1" x14ac:dyDescent="0.3">
      <c r="A11" s="137" t="s">
        <v>208</v>
      </c>
      <c r="B11" s="57" t="s">
        <v>97</v>
      </c>
      <c r="C11" s="58">
        <v>96971948.480137512</v>
      </c>
      <c r="D11" s="59">
        <f>IFERROR(+VLOOKUP(B11,COMISIONES!A:E,5,FALSE),"0")*1</f>
        <v>5511113.9408346927</v>
      </c>
      <c r="E11" s="59">
        <v>2321605.5172273046</v>
      </c>
      <c r="F11" s="59">
        <v>99396247.192140937</v>
      </c>
      <c r="G11" s="60">
        <f t="shared" si="0"/>
        <v>5.6832042948621563E-2</v>
      </c>
      <c r="H11" s="59">
        <f t="shared" si="3"/>
        <v>71644481.230851009</v>
      </c>
      <c r="I11" s="60">
        <f t="shared" si="1"/>
        <v>0.73881655833208038</v>
      </c>
      <c r="J11" s="59">
        <f t="shared" si="4"/>
        <v>2755556.9704173463</v>
      </c>
      <c r="K11" s="59">
        <f t="shared" si="2"/>
        <v>3810868.1058042846</v>
      </c>
      <c r="L11" s="61" cm="1">
        <f t="array" ref="L11">+_xlfn.IFS(I11&gt;114%,H11*0.0125,I11&gt;109%,H11*0.01,I11&gt;104%,H11*0.0075,I11&gt;99%,H11*0.005,I11&lt;99%,H11*0)</f>
        <v>0</v>
      </c>
    </row>
    <row r="12" spans="1:14" ht="16.5" thickBot="1" x14ac:dyDescent="0.3">
      <c r="A12" s="138"/>
      <c r="B12" s="36" t="s">
        <v>91</v>
      </c>
      <c r="C12" s="62">
        <v>128363916.07462499</v>
      </c>
      <c r="D12" s="4">
        <f>IFERROR(+VLOOKUP(B12,COMISIONES!A:E,5,FALSE),"0")*1</f>
        <v>3123900.0180868423</v>
      </c>
      <c r="E12" s="4">
        <v>1461699.3346656237</v>
      </c>
      <c r="F12" s="4">
        <v>131573013.9764906</v>
      </c>
      <c r="G12" s="5">
        <f t="shared" si="0"/>
        <v>2.4336278555655375E-2</v>
      </c>
      <c r="H12" s="4">
        <f t="shared" si="3"/>
        <v>40610700.235128947</v>
      </c>
      <c r="I12" s="5">
        <f t="shared" si="1"/>
        <v>0.31637162122351986</v>
      </c>
      <c r="J12" s="4">
        <f t="shared" si="4"/>
        <v>1561950.0090434211</v>
      </c>
      <c r="K12" s="4">
        <f t="shared" si="2"/>
        <v>5218334.0023557562</v>
      </c>
      <c r="L12" s="63" cm="1">
        <f t="array" ref="L12">+_xlfn.IFS(I12&gt;114%,H12*0.0125,I12&gt;109%,H12*0.01,I12&gt;104%,H12*0.0075,I12&gt;99%,H12*0.005,I12&lt;99%,H12*0)</f>
        <v>0</v>
      </c>
      <c r="M12" s="53" t="s">
        <v>61</v>
      </c>
      <c r="N12" s="25">
        <v>0.02</v>
      </c>
    </row>
    <row r="13" spans="1:14" ht="15.75" x14ac:dyDescent="0.25">
      <c r="A13" s="138"/>
      <c r="B13" s="36" t="s">
        <v>112</v>
      </c>
      <c r="C13" s="62">
        <v>42449057.394974999</v>
      </c>
      <c r="D13" s="4">
        <f>IFERROR(+VLOOKUP(B13,COMISIONES!A:E,5,FALSE),"0")*1</f>
        <v>3697110.3445274378</v>
      </c>
      <c r="E13" s="4">
        <v>92221.681925437602</v>
      </c>
      <c r="F13" s="4">
        <v>43510283.82984937</v>
      </c>
      <c r="G13" s="5">
        <f t="shared" si="0"/>
        <v>8.7095228290395246E-2</v>
      </c>
      <c r="H13" s="4">
        <f t="shared" si="3"/>
        <v>48062434.47885669</v>
      </c>
      <c r="I13" s="5">
        <f t="shared" si="1"/>
        <v>1.1322379677751382</v>
      </c>
      <c r="J13" s="4">
        <f t="shared" si="4"/>
        <v>1848555.1722637189</v>
      </c>
      <c r="K13" s="4">
        <f t="shared" si="2"/>
        <v>1614664.460435315</v>
      </c>
      <c r="L13" s="63" cm="1">
        <f t="array" ref="L13">+_xlfn.IFS(I13&gt;109%,H13*0.015,I13&gt;104%,H13*0.0125,I13&gt;99%,H13*0.01,I13&lt;99%,H13*0)</f>
        <v>720936.51718285028</v>
      </c>
      <c r="N13" s="28"/>
    </row>
    <row r="14" spans="1:14" ht="15.75" x14ac:dyDescent="0.25">
      <c r="A14" s="138"/>
      <c r="B14" s="36" t="s">
        <v>108</v>
      </c>
      <c r="C14" s="62">
        <v>42449057.394974999</v>
      </c>
      <c r="D14" s="4">
        <f>IFERROR(+VLOOKUP(B14,COMISIONES!A:E,5,FALSE),"0")*1</f>
        <v>3131426.4628949971</v>
      </c>
      <c r="E14" s="4">
        <v>2876584.6422999999</v>
      </c>
      <c r="F14" s="4">
        <v>43510283.82984937</v>
      </c>
      <c r="G14" s="5">
        <f t="shared" si="0"/>
        <v>7.3769045888535723E-2</v>
      </c>
      <c r="H14" s="4">
        <f t="shared" si="3"/>
        <v>40708544.017634965</v>
      </c>
      <c r="I14" s="5">
        <f t="shared" si="1"/>
        <v>0.95899759655096439</v>
      </c>
      <c r="J14" s="4">
        <f t="shared" si="4"/>
        <v>1565713.2314474985</v>
      </c>
      <c r="K14" s="4">
        <f t="shared" si="2"/>
        <v>1638234.6221700001</v>
      </c>
      <c r="L14" s="63" cm="1">
        <f t="array" ref="L14">+_xlfn.IFS(I14&gt;109%,H14*0.015,I14&gt;104%,H14*0.0125,I14&gt;99%,H14*0.01,I14&lt;99%,H14*0)</f>
        <v>0</v>
      </c>
    </row>
    <row r="15" spans="1:14" ht="16.5" thickBot="1" x14ac:dyDescent="0.3">
      <c r="A15" s="139"/>
      <c r="B15" s="3"/>
      <c r="C15" s="64">
        <v>341864881.75327951</v>
      </c>
      <c r="D15" s="64">
        <f>+SUM(D11:D14)</f>
        <v>15463550.76634397</v>
      </c>
      <c r="E15" s="65">
        <v>6752111.1761183664</v>
      </c>
      <c r="F15" s="64">
        <v>317989828.82833028</v>
      </c>
      <c r="G15" s="66">
        <f t="shared" si="0"/>
        <v>4.5232931464144539E-2</v>
      </c>
      <c r="H15" s="64">
        <f t="shared" si="3"/>
        <v>201026159.9624716</v>
      </c>
      <c r="I15" s="66">
        <f t="shared" si="1"/>
        <v>0.58802810903387903</v>
      </c>
      <c r="J15" s="64">
        <f t="shared" si="4"/>
        <v>7731775.3831719849</v>
      </c>
      <c r="K15" s="67">
        <f t="shared" si="2"/>
        <v>13600055.457788981</v>
      </c>
      <c r="L15" s="68"/>
    </row>
    <row r="16" spans="1:14" ht="15.75" x14ac:dyDescent="0.25">
      <c r="A16" s="140" t="s">
        <v>209</v>
      </c>
      <c r="B16" s="69" t="s">
        <v>82</v>
      </c>
      <c r="C16" s="70">
        <v>28430000</v>
      </c>
      <c r="D16" s="59">
        <f>IFERROR(+VLOOKUP(B16,COMISIONES!A:E,5,FALSE),"0")*1</f>
        <v>1422600.3677457583</v>
      </c>
      <c r="E16" s="59">
        <v>741155.95572463318</v>
      </c>
      <c r="F16" s="59">
        <f t="shared" ref="F16:F37" si="5">+D16-E16</f>
        <v>681444.41202112508</v>
      </c>
      <c r="G16" s="60">
        <f t="shared" si="0"/>
        <v>5.0038704458169478E-2</v>
      </c>
      <c r="H16" s="59">
        <f t="shared" si="3"/>
        <v>18493804.780694857</v>
      </c>
      <c r="I16" s="60">
        <f t="shared" si="1"/>
        <v>0.65050315795620317</v>
      </c>
      <c r="J16" s="59">
        <f t="shared" si="4"/>
        <v>711300.18387287913</v>
      </c>
      <c r="K16" s="59">
        <f t="shared" si="2"/>
        <v>1125308.3180105935</v>
      </c>
      <c r="L16" s="61" cm="1">
        <f t="array" ref="L16">+_xlfn.IFS(I16&gt;114%,H16*0.02,I16&gt;109%,H16*0.015,I16&gt;104%,H16*0.0125,I16&gt;99%,H16*0.01,I16&lt;99%,H16*0)</f>
        <v>0</v>
      </c>
    </row>
    <row r="17" spans="1:13" ht="15.75" x14ac:dyDescent="0.25">
      <c r="A17" s="141"/>
      <c r="B17" s="19" t="s">
        <v>83</v>
      </c>
      <c r="C17" s="71">
        <v>25000000</v>
      </c>
      <c r="D17" s="4">
        <f>IFERROR(+VLOOKUP(B17,COMISIONES!A:E,5,FALSE),"0")*1</f>
        <v>4354861.8680324219</v>
      </c>
      <c r="E17" s="4">
        <v>3175848.47970931</v>
      </c>
      <c r="F17" s="4">
        <f t="shared" si="5"/>
        <v>1179013.3883231119</v>
      </c>
      <c r="G17" s="5">
        <f t="shared" si="0"/>
        <v>0.17419447472129687</v>
      </c>
      <c r="H17" s="4">
        <f t="shared" si="3"/>
        <v>56613204.284421489</v>
      </c>
      <c r="I17" s="5">
        <f t="shared" si="1"/>
        <v>2.2645281713768597</v>
      </c>
      <c r="J17" s="4">
        <f t="shared" si="4"/>
        <v>2177430.934016211</v>
      </c>
      <c r="K17" s="4">
        <f t="shared" si="2"/>
        <v>860214.08883198246</v>
      </c>
      <c r="L17" s="63" cm="1">
        <f t="array" ref="L17">+_xlfn.IFS(I17&gt;114%,H17*0.02,I17&gt;109%,H17*0.015,I17&gt;104%,H17*0.0125,I17&gt;99%,H17*0.01,I17&lt;99%,H17*0)</f>
        <v>1132264.0856884299</v>
      </c>
    </row>
    <row r="18" spans="1:13" ht="15.75" x14ac:dyDescent="0.25">
      <c r="A18" s="141"/>
      <c r="B18" s="19" t="s">
        <v>93</v>
      </c>
      <c r="C18" s="71">
        <v>25500000</v>
      </c>
      <c r="D18" s="4">
        <f>IFERROR(+VLOOKUP(B18,COMISIONES!A:E,5,FALSE),"0")*1</f>
        <v>2195813.549609337</v>
      </c>
      <c r="E18" s="4">
        <v>1106384.1298211117</v>
      </c>
      <c r="F18" s="4">
        <f t="shared" si="5"/>
        <v>1089429.4197882253</v>
      </c>
      <c r="G18" s="5">
        <f t="shared" si="0"/>
        <v>8.6110335278797523E-2</v>
      </c>
      <c r="H18" s="4">
        <f t="shared" si="3"/>
        <v>28545576.144921381</v>
      </c>
      <c r="I18" s="5">
        <f t="shared" si="1"/>
        <v>1.1194343586243678</v>
      </c>
      <c r="J18" s="4">
        <f t="shared" si="4"/>
        <v>1097906.7748046685</v>
      </c>
      <c r="K18" s="4">
        <f t="shared" si="2"/>
        <v>971007.76876627759</v>
      </c>
      <c r="L18" s="63" cm="1">
        <f t="array" ref="L18">+_xlfn.IFS(I18&gt;114%,H18*0.02,I18&gt;109%,H18*0.015,I18&gt;104%,H18*0.0125,I18&gt;99%,H18*0.01,I18&lt;99%,H18*0)</f>
        <v>428183.6421738207</v>
      </c>
    </row>
    <row r="19" spans="1:13" ht="15.75" x14ac:dyDescent="0.25">
      <c r="A19" s="141"/>
      <c r="B19" s="19" t="s">
        <v>96</v>
      </c>
      <c r="C19" s="71">
        <v>35200000</v>
      </c>
      <c r="D19" s="4">
        <f>IFERROR(+VLOOKUP(B19,COMISIONES!A:E,5,FALSE),"0")*1</f>
        <v>2509696.9953732048</v>
      </c>
      <c r="E19" s="4">
        <v>1592632.090454902</v>
      </c>
      <c r="F19" s="4">
        <f t="shared" si="5"/>
        <v>917064.90491830278</v>
      </c>
      <c r="G19" s="5">
        <f t="shared" si="0"/>
        <v>7.1298210095829678E-2</v>
      </c>
      <c r="H19" s="4">
        <f t="shared" si="3"/>
        <v>32626060.939851664</v>
      </c>
      <c r="I19" s="5">
        <f t="shared" si="1"/>
        <v>0.92687673124578596</v>
      </c>
      <c r="J19" s="4">
        <f t="shared" si="4"/>
        <v>1254848.4976866024</v>
      </c>
      <c r="K19" s="4">
        <f t="shared" si="2"/>
        <v>1362095.9585261166</v>
      </c>
      <c r="L19" s="63" cm="1">
        <f t="array" ref="L19">+_xlfn.IFS(I19&gt;114%,H19*0.02,I19&gt;109%,H19*0.015,I19&gt;104%,H19*0.0125,I19&gt;99%,H19*0.01,I19&lt;99%,H19*0)</f>
        <v>0</v>
      </c>
    </row>
    <row r="20" spans="1:13" ht="15.75" x14ac:dyDescent="0.25">
      <c r="A20" s="141"/>
      <c r="B20" s="19" t="s">
        <v>98</v>
      </c>
      <c r="C20" s="71">
        <v>26100000</v>
      </c>
      <c r="D20" s="4">
        <f>IFERROR(+VLOOKUP(B20,COMISIONES!A:E,5,FALSE),"0")*1</f>
        <v>2318490.8457977781</v>
      </c>
      <c r="E20" s="4">
        <v>959278.13171796279</v>
      </c>
      <c r="F20" s="4">
        <f t="shared" ref="F20:F22" si="6">+D20-E20</f>
        <v>1359212.7140798154</v>
      </c>
      <c r="G20" s="5">
        <f t="shared" si="0"/>
        <v>8.8831066888803753E-2</v>
      </c>
      <c r="H20" s="4">
        <f t="shared" si="3"/>
        <v>30140380.995371114</v>
      </c>
      <c r="I20" s="5">
        <f t="shared" si="1"/>
        <v>1.1548038695544489</v>
      </c>
      <c r="J20" s="4">
        <f t="shared" si="4"/>
        <v>1159245.4228988891</v>
      </c>
      <c r="K20" s="4">
        <f t="shared" si="2"/>
        <v>990896.21475842595</v>
      </c>
      <c r="L20" s="63" cm="1">
        <f t="array" ref="L20">+_xlfn.IFS(I20&gt;114%,H20*0.02,I20&gt;109%,H20*0.015,I20&gt;104%,H20*0.0125,I20&gt;99%,H20*0.01,I20&lt;99%,H20*0)</f>
        <v>602807.61990742234</v>
      </c>
    </row>
    <row r="21" spans="1:13" ht="15.75" x14ac:dyDescent="0.25">
      <c r="A21" s="141"/>
      <c r="B21" s="19" t="s">
        <v>220</v>
      </c>
      <c r="C21" s="71">
        <v>32600000</v>
      </c>
      <c r="D21" s="4">
        <f>IFERROR(+VLOOKUP(B21,COMISIONES!A:E,5,FALSE),"0")*1</f>
        <v>2857508.3967910991</v>
      </c>
      <c r="E21" s="4">
        <v>928553.2331852389</v>
      </c>
      <c r="F21" s="4">
        <f t="shared" si="6"/>
        <v>1928955.1636058602</v>
      </c>
      <c r="G21" s="5">
        <f t="shared" si="0"/>
        <v>8.7653631803407947E-2</v>
      </c>
      <c r="H21" s="4">
        <f t="shared" si="3"/>
        <v>37147609.158284292</v>
      </c>
      <c r="I21" s="5">
        <f t="shared" si="1"/>
        <v>1.1394972134443033</v>
      </c>
      <c r="J21" s="4">
        <f t="shared" si="4"/>
        <v>1428754.1983955496</v>
      </c>
      <c r="K21" s="4">
        <f t="shared" si="2"/>
        <v>1239270.4834670376</v>
      </c>
      <c r="L21" s="63" cm="1">
        <f t="array" ref="L21">+_xlfn.IFS(I21&gt;114%,H21*0.02,I21&gt;109%,H21*0.015,I21&gt;104%,H21*0.0125,I21&gt;99%,H21*0.01,I21&lt;99%,H21*0)</f>
        <v>557214.1373742643</v>
      </c>
    </row>
    <row r="22" spans="1:13" ht="15.75" x14ac:dyDescent="0.25">
      <c r="A22" s="141"/>
      <c r="B22" s="19" t="s">
        <v>161</v>
      </c>
      <c r="C22" s="71">
        <v>28200000</v>
      </c>
      <c r="D22" s="4">
        <f>IFERROR(+VLOOKUP(B22,COMISIONES!A:E,5,FALSE),"0")*1</f>
        <v>2290915.2239304981</v>
      </c>
      <c r="E22" s="4">
        <v>1211206.3495374783</v>
      </c>
      <c r="F22" s="4">
        <f t="shared" si="6"/>
        <v>1079708.8743930198</v>
      </c>
      <c r="G22" s="5">
        <f t="shared" si="0"/>
        <v>8.123812850817369E-2</v>
      </c>
      <c r="H22" s="4">
        <f t="shared" si="3"/>
        <v>29781897.911096476</v>
      </c>
      <c r="I22" s="5">
        <f t="shared" si="1"/>
        <v>1.0560956706062581</v>
      </c>
      <c r="J22" s="4">
        <f t="shared" si="4"/>
        <v>1145457.6119652491</v>
      </c>
      <c r="K22" s="4">
        <f t="shared" si="2"/>
        <v>1079545.199002896</v>
      </c>
      <c r="L22" s="63" cm="1">
        <f t="array" ref="L22">+_xlfn.IFS(I22&gt;114%,H22*0.02,I22&gt;109%,H22*0.015,I22&gt;104%,H22*0.0125,I22&gt;99%,H22*0.01,I22&lt;99%,H22*0)</f>
        <v>372273.72388870595</v>
      </c>
    </row>
    <row r="23" spans="1:13" ht="15.75" x14ac:dyDescent="0.25">
      <c r="A23" s="141"/>
      <c r="B23" s="19" t="s">
        <v>221</v>
      </c>
      <c r="C23" s="71">
        <v>36600000</v>
      </c>
      <c r="D23" s="4">
        <f>IFERROR(+VLOOKUP(B23,COMISIONES!A:E,5,FALSE),"0")*1</f>
        <v>2921308.9667262044</v>
      </c>
      <c r="E23" s="4">
        <v>859233.11468040221</v>
      </c>
      <c r="F23" s="4">
        <f t="shared" si="5"/>
        <v>2062075.8520458022</v>
      </c>
      <c r="G23" s="5">
        <f t="shared" si="0"/>
        <v>7.9817184883229628E-2</v>
      </c>
      <c r="H23" s="4">
        <f t="shared" si="3"/>
        <v>37977016.567440659</v>
      </c>
      <c r="I23" s="5">
        <f t="shared" si="1"/>
        <v>1.0376234034819851</v>
      </c>
      <c r="J23" s="4">
        <f t="shared" si="4"/>
        <v>1460654.4833631022</v>
      </c>
      <c r="K23" s="4">
        <f t="shared" si="2"/>
        <v>1403278.7930530747</v>
      </c>
      <c r="L23" s="63" cm="1">
        <f t="array" ref="L23">+_xlfn.IFS(I23&gt;114%,H23*0.02,I23&gt;109%,H23*0.015,I23&gt;104%,H23*0.0125,I23&gt;99%,H23*0.01,I23&lt;99%,H23*0)</f>
        <v>379770.16567440657</v>
      </c>
    </row>
    <row r="24" spans="1:13" ht="16.5" thickBot="1" x14ac:dyDescent="0.3">
      <c r="A24" s="142"/>
      <c r="B24" s="72"/>
      <c r="C24" s="67">
        <v>237630000</v>
      </c>
      <c r="D24" s="67">
        <f>+SUM(D16:D23)</f>
        <v>20871196.214006305</v>
      </c>
      <c r="E24" s="65">
        <v>10574291.484831041</v>
      </c>
      <c r="F24" s="67">
        <f>+D24-E24</f>
        <v>10296904.729175264</v>
      </c>
      <c r="G24" s="66">
        <f t="shared" si="0"/>
        <v>8.7830645179507241E-2</v>
      </c>
      <c r="H24" s="64">
        <f t="shared" si="3"/>
        <v>271325550.78208196</v>
      </c>
      <c r="I24" s="66">
        <f t="shared" si="1"/>
        <v>1.1417983873335942</v>
      </c>
      <c r="J24" s="64">
        <f t="shared" si="4"/>
        <v>10435598.107003152</v>
      </c>
      <c r="K24" s="67">
        <f t="shared" si="2"/>
        <v>9031616.8244164046</v>
      </c>
      <c r="L24" s="68"/>
    </row>
    <row r="25" spans="1:13" ht="15.75" x14ac:dyDescent="0.25">
      <c r="A25" s="137" t="s">
        <v>217</v>
      </c>
      <c r="B25" s="57" t="s">
        <v>212</v>
      </c>
      <c r="C25" s="73">
        <v>84027142.5</v>
      </c>
      <c r="D25" s="59">
        <f>IFERROR(+VLOOKUP(B25,COMISIONES!A:E,5,FALSE),"0")*1</f>
        <v>5603368.9906648742</v>
      </c>
      <c r="E25" s="59">
        <v>3206664.5965414383</v>
      </c>
      <c r="F25" s="59">
        <f t="shared" si="5"/>
        <v>2396704.394123436</v>
      </c>
      <c r="G25" s="60">
        <f t="shared" si="0"/>
        <v>6.6685226034728887E-2</v>
      </c>
      <c r="H25" s="59">
        <f t="shared" si="3"/>
        <v>72843796.878643364</v>
      </c>
      <c r="I25" s="60">
        <f t="shared" si="1"/>
        <v>0.86690793845147551</v>
      </c>
      <c r="J25" s="59">
        <f t="shared" si="4"/>
        <v>2801684.4953324371</v>
      </c>
      <c r="K25" s="59">
        <f t="shared" si="2"/>
        <v>3267657.2295556306</v>
      </c>
      <c r="L25" s="61" cm="1">
        <f t="array" ref="L25">+_xlfn.IFS(I25&gt;114%,H25*0.0125,I25&gt;109%,H25*0.01,I25&gt;104%,H25*0.0075,I25&gt;99%,H25*0.005,I25&lt;99%,H25*0)</f>
        <v>0</v>
      </c>
    </row>
    <row r="26" spans="1:13" ht="15.75" x14ac:dyDescent="0.25">
      <c r="A26" s="138"/>
      <c r="B26" s="36" t="s">
        <v>214</v>
      </c>
      <c r="C26" s="74">
        <v>21524999.999999996</v>
      </c>
      <c r="D26" s="4">
        <f>IFERROR(+VLOOKUP(B26,COMISIONES!A:E,5,FALSE),"0")*1</f>
        <v>1210633.5644645579</v>
      </c>
      <c r="E26" s="4">
        <v>613066.82196217531</v>
      </c>
      <c r="F26" s="4">
        <f t="shared" si="5"/>
        <v>597566.74250238261</v>
      </c>
      <c r="G26" s="5">
        <f t="shared" si="0"/>
        <v>5.6243138883370875E-2</v>
      </c>
      <c r="H26" s="4">
        <f t="shared" si="3"/>
        <v>15738236.338039253</v>
      </c>
      <c r="I26" s="5">
        <f t="shared" si="1"/>
        <v>0.73116080548382145</v>
      </c>
      <c r="J26" s="4">
        <f t="shared" si="4"/>
        <v>605316.78223227896</v>
      </c>
      <c r="K26" s="4">
        <f t="shared" si="2"/>
        <v>846431.93481397664</v>
      </c>
      <c r="L26" s="63" cm="1">
        <f t="array" ref="L26">+_xlfn.IFS(I26&gt;114%,H26*0.02,I26&gt;109%,H26*0.015,I26&gt;104%,H26*0.0125,I26&gt;99%,H26*0.01,I26&lt;99%,H26*0)</f>
        <v>0</v>
      </c>
    </row>
    <row r="27" spans="1:13" ht="15.75" x14ac:dyDescent="0.25">
      <c r="A27" s="138"/>
      <c r="B27" s="36" t="s">
        <v>87</v>
      </c>
      <c r="C27" s="74">
        <v>26383192.499999996</v>
      </c>
      <c r="D27" s="4">
        <f>IFERROR(+VLOOKUP(B27,COMISIONES!A:E,5,FALSE),"0")*1</f>
        <v>1470728.8131182878</v>
      </c>
      <c r="E27" s="4">
        <v>988543.0198530968</v>
      </c>
      <c r="F27" s="4">
        <f t="shared" si="5"/>
        <v>482185.79326519102</v>
      </c>
      <c r="G27" s="5">
        <f t="shared" si="0"/>
        <v>5.574491461252417E-2</v>
      </c>
      <c r="H27" s="4">
        <f t="shared" si="3"/>
        <v>19119474.570537742</v>
      </c>
      <c r="I27" s="5">
        <f t="shared" si="1"/>
        <v>0.72468388996281419</v>
      </c>
      <c r="J27" s="4">
        <f t="shared" si="4"/>
        <v>735364.40655914391</v>
      </c>
      <c r="K27" s="4">
        <f t="shared" si="2"/>
        <v>1038019.3202867379</v>
      </c>
      <c r="L27" s="63" cm="1">
        <f t="array" ref="L27">+_xlfn.IFS(I27&gt;114%,H27*0.02,I27&gt;109%,H27*0.015,I27&gt;104%,H27*0.0125,I27&gt;99%,H27*0.01,I27&lt;99%,H27*0)</f>
        <v>0</v>
      </c>
      <c r="M27" s="27"/>
    </row>
    <row r="28" spans="1:13" ht="15.75" x14ac:dyDescent="0.25">
      <c r="A28" s="138"/>
      <c r="B28" s="36" t="s">
        <v>213</v>
      </c>
      <c r="C28" s="74">
        <v>39189035.239928812</v>
      </c>
      <c r="D28" s="4">
        <f>IFERROR(+VLOOKUP(B28,COMISIONES!A:E,5,FALSE),"0")*1</f>
        <v>2156343.838919275</v>
      </c>
      <c r="E28" s="4">
        <v>1302532.0024373976</v>
      </c>
      <c r="F28" s="4">
        <f t="shared" si="5"/>
        <v>853811.83648187737</v>
      </c>
      <c r="G28" s="5">
        <f t="shared" si="0"/>
        <v>5.5024162389234466E-2</v>
      </c>
      <c r="H28" s="4">
        <f t="shared" si="3"/>
        <v>28032469.905950576</v>
      </c>
      <c r="I28" s="5">
        <f t="shared" si="1"/>
        <v>0.71531411106004805</v>
      </c>
      <c r="J28" s="4">
        <f t="shared" si="4"/>
        <v>1078171.9194596375</v>
      </c>
      <c r="K28" s="4">
        <f t="shared" si="2"/>
        <v>1543028.8083753975</v>
      </c>
      <c r="L28" s="63" cm="1">
        <f t="array" ref="L28">+_xlfn.IFS(I28&gt;114%,H28*0.02,I28&gt;109%,H28*0.015,I28&gt;104%,H28*0.0125,I28&gt;99%,H28*0.01,I28&lt;99%,H28*0)</f>
        <v>0</v>
      </c>
      <c r="M28" s="26"/>
    </row>
    <row r="29" spans="1:13" ht="15.75" x14ac:dyDescent="0.25">
      <c r="A29" s="138"/>
      <c r="B29" s="36" t="s">
        <v>99</v>
      </c>
      <c r="C29" s="74">
        <v>26050631.249999996</v>
      </c>
      <c r="D29" s="4">
        <f>IFERROR(+VLOOKUP(B29,COMISIONES!A:E,5,FALSE),"0")*1</f>
        <v>2307023.1532985521</v>
      </c>
      <c r="E29" s="4">
        <v>1114483.5722356094</v>
      </c>
      <c r="F29" s="4">
        <f t="shared" si="5"/>
        <v>1192539.5810629427</v>
      </c>
      <c r="G29" s="5">
        <f t="shared" si="0"/>
        <v>8.8559203466463121E-2</v>
      </c>
      <c r="H29" s="4">
        <f t="shared" si="3"/>
        <v>29991300.992881179</v>
      </c>
      <c r="I29" s="5">
        <f t="shared" si="1"/>
        <v>1.1512696450640205</v>
      </c>
      <c r="J29" s="4">
        <f t="shared" si="4"/>
        <v>1153511.5766492761</v>
      </c>
      <c r="K29" s="4">
        <f t="shared" si="2"/>
        <v>989317.00402922684</v>
      </c>
      <c r="L29" s="63" cm="1">
        <f t="array" ref="L29">+_xlfn.IFS(I29&gt;114%,H29*0.02,I29&gt;109%,H29*0.015,I29&gt;104%,H29*0.0125,I29&gt;99%,H29*0.01,I29&lt;99%,H29*0)</f>
        <v>599826.01985762361</v>
      </c>
      <c r="M29" s="27"/>
    </row>
    <row r="30" spans="1:13" ht="15.75" x14ac:dyDescent="0.25">
      <c r="A30" s="138"/>
      <c r="B30" s="36" t="s">
        <v>211</v>
      </c>
      <c r="C30" s="74">
        <v>25829999.999999996</v>
      </c>
      <c r="D30" s="4">
        <f>IFERROR(+VLOOKUP(B30,COMISIONES!A:E,5,FALSE),"0")*1</f>
        <v>1145490.5930998356</v>
      </c>
      <c r="E30" s="4">
        <v>756625.92063620372</v>
      </c>
      <c r="F30" s="4">
        <f t="shared" si="5"/>
        <v>388864.67246363184</v>
      </c>
      <c r="G30" s="5">
        <f t="shared" si="0"/>
        <v>4.4347293577229413E-2</v>
      </c>
      <c r="H30" s="4">
        <f t="shared" si="3"/>
        <v>14891377.710297862</v>
      </c>
      <c r="I30" s="5">
        <f t="shared" si="1"/>
        <v>0.5765148165039824</v>
      </c>
      <c r="J30" s="4">
        <f t="shared" si="4"/>
        <v>572745.29654991778</v>
      </c>
      <c r="K30" s="4">
        <f t="shared" si="2"/>
        <v>1028521.2252875067</v>
      </c>
      <c r="L30" s="63" cm="1">
        <f t="array" ref="L30">+_xlfn.IFS(I30&gt;114%,H30*0.02,I30&gt;109%,H30*0.015,I30&gt;104%,H30*0.0125,I30&gt;99%,H30*0.01,I30&lt;99%,H30*0)</f>
        <v>0</v>
      </c>
      <c r="M30" s="26"/>
    </row>
    <row r="31" spans="1:13" ht="15.75" x14ac:dyDescent="0.25">
      <c r="A31" s="138"/>
      <c r="B31" s="36" t="s">
        <v>100</v>
      </c>
      <c r="C31" s="74">
        <v>27159168.749999996</v>
      </c>
      <c r="D31" s="4">
        <f>IFERROR(+VLOOKUP(B31,COMISIONES!A:E,5,FALSE),"0")*1</f>
        <v>1606564.9666621478</v>
      </c>
      <c r="E31" s="4">
        <v>895356.64422665036</v>
      </c>
      <c r="F31" s="4">
        <f t="shared" si="5"/>
        <v>711208.32243549742</v>
      </c>
      <c r="G31" s="5">
        <f t="shared" si="0"/>
        <v>5.9153686972181284E-2</v>
      </c>
      <c r="H31" s="4">
        <f t="shared" si="3"/>
        <v>20885344.566607922</v>
      </c>
      <c r="I31" s="5">
        <f t="shared" si="1"/>
        <v>0.76899793063835675</v>
      </c>
      <c r="J31" s="4">
        <f t="shared" si="4"/>
        <v>803282.48333107389</v>
      </c>
      <c r="K31" s="4">
        <f t="shared" si="2"/>
        <v>1064691.8243057437</v>
      </c>
      <c r="L31" s="63" cm="1">
        <f t="array" ref="L31">+_xlfn.IFS(I31&gt;114%,H31*0.02,I31&gt;109%,H31*0.015,I31&gt;104%,H31*0.0125,I31&gt;99%,H31*0.01,I31&lt;99%,H31*0)</f>
        <v>0</v>
      </c>
    </row>
    <row r="32" spans="1:13" ht="15.75" x14ac:dyDescent="0.25">
      <c r="A32" s="138"/>
      <c r="B32" s="36" t="s">
        <v>139</v>
      </c>
      <c r="C32" s="74">
        <v>21524999.999999996</v>
      </c>
      <c r="D32" s="4">
        <f>IFERROR(+VLOOKUP(B32,COMISIONES!A:E,5,FALSE),"0")*1</f>
        <v>1415676.5223384921</v>
      </c>
      <c r="E32" s="4">
        <v>1007466.4301731902</v>
      </c>
      <c r="F32" s="4">
        <f t="shared" si="5"/>
        <v>408210.0921653019</v>
      </c>
      <c r="G32" s="5">
        <f t="shared" si="0"/>
        <v>6.5768944127223797E-2</v>
      </c>
      <c r="H32" s="4">
        <f t="shared" si="3"/>
        <v>18403794.790400397</v>
      </c>
      <c r="I32" s="5">
        <f t="shared" si="1"/>
        <v>0.8549962736539094</v>
      </c>
      <c r="J32" s="4">
        <f t="shared" si="4"/>
        <v>707838.26116924605</v>
      </c>
      <c r="K32" s="4">
        <f t="shared" si="2"/>
        <v>837888.47823589609</v>
      </c>
      <c r="L32" s="63" cm="1">
        <f t="array" ref="L32">+_xlfn.IFS(I32&gt;114%,H32*0.02,I32&gt;109%,H32*0.015,I32&gt;104%,H32*0.0125,I32&gt;99%,H32*0.01,I32&lt;99%,H32*0)</f>
        <v>0</v>
      </c>
    </row>
    <row r="33" spans="1:12" ht="15.75" x14ac:dyDescent="0.25">
      <c r="A33" s="138"/>
      <c r="B33" s="19" t="s">
        <v>104</v>
      </c>
      <c r="C33" s="74">
        <v>25274654.999999996</v>
      </c>
      <c r="D33" s="4">
        <f>IFERROR(+VLOOKUP(B33,COMISIONES!A:E,5,FALSE),"0")*1</f>
        <v>512291.0948258026</v>
      </c>
      <c r="E33" s="4">
        <v>372346.89463145478</v>
      </c>
      <c r="F33" s="4">
        <f t="shared" si="5"/>
        <v>139944.20019434782</v>
      </c>
      <c r="G33" s="5">
        <f t="shared" si="0"/>
        <v>2.0268964890947185E-2</v>
      </c>
      <c r="H33" s="4">
        <f t="shared" si="3"/>
        <v>6659784.2327354336</v>
      </c>
      <c r="I33" s="5">
        <f t="shared" si="1"/>
        <v>0.26349654358231339</v>
      </c>
      <c r="J33" s="4">
        <f t="shared" si="4"/>
        <v>256145.5474129013</v>
      </c>
      <c r="K33" s="4">
        <f t="shared" si="2"/>
        <v>1031765.1627155914</v>
      </c>
      <c r="L33" s="63" cm="1">
        <f t="array" ref="L33">+_xlfn.IFS(I33&gt;114%,H33*0.02,I33&gt;109%,H33*0.015,I33&gt;104%,H33*0.0125,I33&gt;99%,H33*0.01,I33&lt;99%,H33*0)</f>
        <v>0</v>
      </c>
    </row>
    <row r="34" spans="1:12" ht="15.75" x14ac:dyDescent="0.25">
      <c r="A34" s="138"/>
      <c r="B34" s="36" t="s">
        <v>205</v>
      </c>
      <c r="C34" s="74">
        <v>25865874.999999996</v>
      </c>
      <c r="D34" s="4">
        <f>IFERROR(+VLOOKUP(B34,COMISIONES!A:E,5,FALSE),"0")*1</f>
        <v>1843966.5617338859</v>
      </c>
      <c r="E34" s="4">
        <v>929596.91790991055</v>
      </c>
      <c r="F34" s="4">
        <f t="shared" si="5"/>
        <v>914369.64382397535</v>
      </c>
      <c r="G34" s="5">
        <f t="shared" si="0"/>
        <v>7.1289548941757666E-2</v>
      </c>
      <c r="H34" s="4">
        <f t="shared" si="3"/>
        <v>23971565.302540518</v>
      </c>
      <c r="I34" s="5">
        <f t="shared" si="1"/>
        <v>0.92676413624284981</v>
      </c>
      <c r="J34" s="4">
        <f t="shared" si="4"/>
        <v>921983.28086694295</v>
      </c>
      <c r="K34" s="4">
        <f t="shared" si="2"/>
        <v>1000912.8515944212</v>
      </c>
      <c r="L34" s="63" cm="1">
        <f t="array" ref="L34">+_xlfn.IFS(I34&gt;114%,H34*0.02,I34&gt;109%,H34*0.015,I34&gt;104%,H34*0.0125,I34&gt;99%,H34*0.01,I34&lt;99%,H34*0)</f>
        <v>0</v>
      </c>
    </row>
    <row r="35" spans="1:12" ht="15.75" x14ac:dyDescent="0.25">
      <c r="A35" s="138"/>
      <c r="B35" s="36" t="s">
        <v>111</v>
      </c>
      <c r="C35" s="74">
        <v>125062043.74999999</v>
      </c>
      <c r="D35" s="4">
        <f>IFERROR(+VLOOKUP(B35,COMISIONES!A:E,5,FALSE),"0")*1</f>
        <v>9048937.8315500002</v>
      </c>
      <c r="E35" s="4">
        <v>2114567.1280499999</v>
      </c>
      <c r="F35" s="4">
        <f t="shared" si="5"/>
        <v>6934370.7035000008</v>
      </c>
      <c r="G35" s="5">
        <f t="shared" si="0"/>
        <v>7.2355588955821795E-2</v>
      </c>
      <c r="H35" s="4">
        <f t="shared" si="3"/>
        <v>117636191.81015</v>
      </c>
      <c r="I35" s="5">
        <f t="shared" si="1"/>
        <v>0.94062265642568321</v>
      </c>
      <c r="J35" s="4">
        <f t="shared" si="4"/>
        <v>4524468.9157750001</v>
      </c>
      <c r="K35" s="4">
        <f t="shared" si="2"/>
        <v>4833879.4132687496</v>
      </c>
      <c r="L35" s="63" cm="1">
        <f t="array" ref="L35">+_xlfn.IFS(I35&gt;114%,H35*0.0125,I35&gt;109%,H35*0.01,I35&gt;104%,H35*0.0075,I35&gt;99%,H35*0.005,I35&lt;99%,H35*0)</f>
        <v>0</v>
      </c>
    </row>
    <row r="36" spans="1:12" ht="15.75" x14ac:dyDescent="0.25">
      <c r="A36" s="138"/>
      <c r="B36" s="36" t="s">
        <v>215</v>
      </c>
      <c r="C36" s="74">
        <v>36592500</v>
      </c>
      <c r="D36" s="4">
        <f>IFERROR(+VLOOKUP(B36,COMISIONES!A:E,5,FALSE),"0")*1</f>
        <v>941292.30350000004</v>
      </c>
      <c r="E36" s="4">
        <v>100345.7555</v>
      </c>
      <c r="F36" s="4">
        <f t="shared" ref="F36" si="7">+D36-E36</f>
        <v>840946.54800000007</v>
      </c>
      <c r="G36" s="5">
        <f t="shared" si="0"/>
        <v>2.572364018583043E-2</v>
      </c>
      <c r="H36" s="4">
        <f t="shared" si="3"/>
        <v>12236799.945500001</v>
      </c>
      <c r="I36" s="5">
        <f t="shared" si="1"/>
        <v>0.33440732241579563</v>
      </c>
      <c r="J36" s="4">
        <f t="shared" si="4"/>
        <v>470646.15175000002</v>
      </c>
      <c r="K36" s="4">
        <f t="shared" si="2"/>
        <v>1485466.9873541668</v>
      </c>
      <c r="L36" s="63" cm="1">
        <f t="array" ref="L36">+_xlfn.IFS(I36&gt;109%,H36*0.015,I36&gt;104%,H36*0.0125,I36&gt;99%,H36*0.01,I36&lt;99%,H36*0)</f>
        <v>0</v>
      </c>
    </row>
    <row r="37" spans="1:12" ht="15.75" x14ac:dyDescent="0.25">
      <c r="A37" s="138"/>
      <c r="B37" s="36" t="s">
        <v>81</v>
      </c>
      <c r="C37" s="74">
        <v>37270463.432474993</v>
      </c>
      <c r="D37" s="4">
        <f>IFERROR(+VLOOKUP(B37,COMISIONES!A:E,5,FALSE),"0")*1</f>
        <v>3183466.266816447</v>
      </c>
      <c r="E37" s="4">
        <v>1828232.4813768633</v>
      </c>
      <c r="F37" s="4">
        <f t="shared" si="5"/>
        <v>1355233.7854395837</v>
      </c>
      <c r="G37" s="5">
        <f t="shared" si="0"/>
        <v>8.5415258454838189E-2</v>
      </c>
      <c r="H37" s="4">
        <f t="shared" si="3"/>
        <v>41385061.468613811</v>
      </c>
      <c r="I37" s="5">
        <f t="shared" si="1"/>
        <v>1.1103983599128964</v>
      </c>
      <c r="J37" s="4">
        <f t="shared" si="4"/>
        <v>1591733.1334082235</v>
      </c>
      <c r="K37" s="4">
        <f t="shared" si="2"/>
        <v>1420291.5485691063</v>
      </c>
      <c r="L37" s="63" cm="1">
        <f t="array" ref="L37">+_xlfn.IFS(I37&gt;114%,H37*0.02,I37&gt;109%,H37*0.015,I37&gt;104%,H37*0.0125,I37&gt;99%,H37*0.01,I37&lt;99%,H37*0)</f>
        <v>620775.92202920711</v>
      </c>
    </row>
    <row r="38" spans="1:12" ht="16.5" thickBot="1" x14ac:dyDescent="0.3">
      <c r="A38" s="139"/>
      <c r="B38" s="3"/>
      <c r="C38" s="75">
        <v>521754707.42240375</v>
      </c>
      <c r="D38" s="67">
        <f>+SUM(D25:D37)</f>
        <v>32445784.500992164</v>
      </c>
      <c r="E38" s="65">
        <v>15229828.185533991</v>
      </c>
      <c r="F38" s="67">
        <f>+D38-E38</f>
        <v>17215956.315458171</v>
      </c>
      <c r="G38" s="66">
        <f t="shared" si="0"/>
        <v>6.2185897011418065E-2</v>
      </c>
      <c r="H38" s="64">
        <f t="shared" si="3"/>
        <v>421795198.51289815</v>
      </c>
      <c r="I38" s="66">
        <f t="shared" si="1"/>
        <v>0.80841666114843491</v>
      </c>
      <c r="J38" s="64">
        <f t="shared" si="4"/>
        <v>16222892.250496082</v>
      </c>
      <c r="K38" s="67">
        <f t="shared" si="2"/>
        <v>20387871.788392149</v>
      </c>
      <c r="L38" s="68"/>
    </row>
    <row r="39" spans="1:12" ht="15.75" x14ac:dyDescent="0.25">
      <c r="A39" s="137" t="s">
        <v>274</v>
      </c>
      <c r="B39" s="147" t="s">
        <v>145</v>
      </c>
      <c r="C39" s="4">
        <v>35000000</v>
      </c>
      <c r="D39" s="4">
        <f>IFERROR(+VLOOKUP(B39,COMISIONES!A:E,5,FALSE),"0")*1</f>
        <v>0</v>
      </c>
      <c r="E39" s="4">
        <v>0</v>
      </c>
      <c r="F39" s="4">
        <f t="shared" ref="F39:F45" si="8">+D39-E39</f>
        <v>0</v>
      </c>
      <c r="G39" s="5">
        <f t="shared" si="0"/>
        <v>0</v>
      </c>
      <c r="H39" s="4">
        <f t="shared" ref="H39:H46" si="9">+D39/$N$3*$N$4</f>
        <v>0</v>
      </c>
      <c r="I39" s="5">
        <f t="shared" ref="I39:I46" si="10">+H39/C39</f>
        <v>0</v>
      </c>
      <c r="J39" s="4">
        <f t="shared" ref="J39:J46" si="11">+D39/$N$3</f>
        <v>0</v>
      </c>
      <c r="K39" s="4">
        <f t="shared" ref="K39:K46" si="12">+(C39-D39)/$N$2</f>
        <v>1458333.3333333333</v>
      </c>
      <c r="L39" s="63" cm="1">
        <f t="array" ref="L39">+_xlfn.IFS(I39&gt;114%,H39*0.02,I39&gt;109%,H39*0.015,I39&gt;104%,H39*0.0125,I39&gt;99%,H39*0.01,I39&lt;99%,H39*0)</f>
        <v>0</v>
      </c>
    </row>
    <row r="40" spans="1:12" ht="15.75" x14ac:dyDescent="0.25">
      <c r="A40" s="138"/>
      <c r="B40" s="147" t="s">
        <v>146</v>
      </c>
      <c r="C40" s="4">
        <v>30000000</v>
      </c>
      <c r="D40" s="4">
        <f>IFERROR(+VLOOKUP(B40,COMISIONES!A:E,5,FALSE),"0")*1</f>
        <v>0</v>
      </c>
      <c r="E40" s="4">
        <v>0</v>
      </c>
      <c r="F40" s="4">
        <f t="shared" si="8"/>
        <v>0</v>
      </c>
      <c r="G40" s="5">
        <f t="shared" si="0"/>
        <v>0</v>
      </c>
      <c r="H40" s="4">
        <f t="shared" si="9"/>
        <v>0</v>
      </c>
      <c r="I40" s="5">
        <f t="shared" si="10"/>
        <v>0</v>
      </c>
      <c r="J40" s="4">
        <f t="shared" si="11"/>
        <v>0</v>
      </c>
      <c r="K40" s="4">
        <f t="shared" si="12"/>
        <v>1250000</v>
      </c>
      <c r="L40" s="63" cm="1">
        <f t="array" ref="L40">+_xlfn.IFS(I40&gt;114%,H40*0.02,I40&gt;109%,H40*0.015,I40&gt;104%,H40*0.0125,I40&gt;99%,H40*0.01,I40&lt;99%,H40*0)</f>
        <v>0</v>
      </c>
    </row>
    <row r="41" spans="1:12" ht="15.75" x14ac:dyDescent="0.25">
      <c r="A41" s="138"/>
      <c r="B41" s="147" t="s">
        <v>107</v>
      </c>
      <c r="C41" s="4">
        <v>32421674.968781177</v>
      </c>
      <c r="D41" s="4">
        <f>IFERROR(+VLOOKUP(B41,COMISIONES!A:E,5,FALSE),"0")*1</f>
        <v>-140371.8553</v>
      </c>
      <c r="E41" s="4">
        <v>0</v>
      </c>
      <c r="F41" s="4">
        <f t="shared" si="8"/>
        <v>-140371.8553</v>
      </c>
      <c r="G41" s="5">
        <f t="shared" si="0"/>
        <v>-4.3295682729274174E-3</v>
      </c>
      <c r="H41" s="4">
        <f t="shared" si="9"/>
        <v>-1824834.1188999999</v>
      </c>
      <c r="I41" s="5">
        <f t="shared" si="10"/>
        <v>-5.6284387548056425E-2</v>
      </c>
      <c r="J41" s="4">
        <f t="shared" si="11"/>
        <v>-70185.927649999998</v>
      </c>
      <c r="K41" s="4">
        <f t="shared" si="12"/>
        <v>1356751.9510033824</v>
      </c>
      <c r="L41" s="63" cm="1">
        <f t="array" ref="L41">+_xlfn.IFS(I41&gt;114%,H41*0.02,I41&gt;109%,H41*0.015,I41&gt;104%,H41*0.0125,I41&gt;99%,H41*0.01,I41&lt;99%,H41*0)</f>
        <v>0</v>
      </c>
    </row>
    <row r="42" spans="1:12" ht="15.75" x14ac:dyDescent="0.25">
      <c r="A42" s="138"/>
      <c r="B42" s="148" t="s">
        <v>140</v>
      </c>
      <c r="C42" s="4">
        <v>55416576.686625004</v>
      </c>
      <c r="D42" s="4">
        <f>IFERROR(+VLOOKUP(B42,COMISIONES!A:E,5,FALSE),"0")*1</f>
        <v>8973346.7586207036</v>
      </c>
      <c r="E42" s="4">
        <v>8887977.6236097589</v>
      </c>
      <c r="F42" s="4">
        <f t="shared" si="8"/>
        <v>85369.135010944679</v>
      </c>
      <c r="G42" s="5">
        <f t="shared" si="0"/>
        <v>0.16192531720903747</v>
      </c>
      <c r="H42" s="4">
        <f t="shared" si="9"/>
        <v>116653507.86206914</v>
      </c>
      <c r="I42" s="5">
        <f t="shared" si="10"/>
        <v>2.105029123717487</v>
      </c>
      <c r="J42" s="4">
        <f t="shared" si="11"/>
        <v>4486673.3793103518</v>
      </c>
      <c r="K42" s="4">
        <f t="shared" si="12"/>
        <v>1935134.5803335125</v>
      </c>
      <c r="L42" s="63" cm="1">
        <f t="array" ref="L42">+_xlfn.IFS(I42&gt;114%,H42*0.02,I42&gt;109%,H42*0.015,I42&gt;104%,H42*0.0125,I42&gt;99%,H42*0.01,I42&lt;99%,H42*0)</f>
        <v>2333070.1572413831</v>
      </c>
    </row>
    <row r="43" spans="1:12" ht="15.75" x14ac:dyDescent="0.25">
      <c r="A43" s="138"/>
      <c r="B43" s="149" t="s">
        <v>275</v>
      </c>
      <c r="C43" s="4">
        <v>100000000</v>
      </c>
      <c r="D43" s="4">
        <f>IFERROR(+VLOOKUP(B43,COMISIONES!A:E,5,FALSE),"0")*1</f>
        <v>-170283.8252251072</v>
      </c>
      <c r="E43" s="4">
        <v>0</v>
      </c>
      <c r="F43" s="4">
        <f t="shared" si="8"/>
        <v>-170283.8252251072</v>
      </c>
      <c r="G43" s="5">
        <f t="shared" si="0"/>
        <v>-1.7028382522510719E-3</v>
      </c>
      <c r="H43" s="4">
        <f t="shared" si="9"/>
        <v>-2213689.7279263935</v>
      </c>
      <c r="I43" s="5">
        <f t="shared" si="10"/>
        <v>-2.2136897279263934E-2</v>
      </c>
      <c r="J43" s="4">
        <f t="shared" si="11"/>
        <v>-85141.912612553599</v>
      </c>
      <c r="K43" s="4">
        <f t="shared" si="12"/>
        <v>4173761.8260510457</v>
      </c>
      <c r="L43" s="63" cm="1">
        <f t="array" ref="L43">+_xlfn.IFS(I43&gt;114%,H43*0.02,I43&gt;109%,H43*0.015,I43&gt;104%,H43*0.0125,I43&gt;99%,H43*0.01,I43&lt;99%,H43*0)</f>
        <v>0</v>
      </c>
    </row>
    <row r="44" spans="1:12" ht="15.75" x14ac:dyDescent="0.25">
      <c r="A44" s="138"/>
      <c r="B44" s="149" t="s">
        <v>276</v>
      </c>
      <c r="C44" s="4">
        <v>100000000</v>
      </c>
      <c r="D44" s="4">
        <f>IFERROR(+VLOOKUP(B44,COMISIONES!A:E,5,FALSE),"0")*1</f>
        <v>26974110.981855042</v>
      </c>
      <c r="E44" s="4">
        <v>0</v>
      </c>
      <c r="F44" s="4">
        <f t="shared" si="8"/>
        <v>26974110.981855042</v>
      </c>
      <c r="G44" s="5">
        <f t="shared" si="0"/>
        <v>0.26974110981855043</v>
      </c>
      <c r="H44" s="4">
        <f t="shared" si="9"/>
        <v>350663442.76411557</v>
      </c>
      <c r="I44" s="5">
        <f t="shared" si="10"/>
        <v>3.5066344276411558</v>
      </c>
      <c r="J44" s="4">
        <f t="shared" si="11"/>
        <v>13487055.490927521</v>
      </c>
      <c r="K44" s="4">
        <f t="shared" si="12"/>
        <v>3042745.3757560402</v>
      </c>
      <c r="L44" s="63" cm="1">
        <f t="array" ref="L44">+_xlfn.IFS(I44&gt;114%,H44*0.02,I44&gt;109%,H44*0.015,I44&gt;104%,H44*0.0125,I44&gt;99%,H44*0.01,I44&lt;99%,H44*0)</f>
        <v>7013268.8552823113</v>
      </c>
    </row>
    <row r="45" spans="1:12" ht="15.75" x14ac:dyDescent="0.25">
      <c r="A45" s="138"/>
      <c r="B45" s="149" t="s">
        <v>277</v>
      </c>
      <c r="C45" s="4">
        <v>100000000</v>
      </c>
      <c r="D45" s="4">
        <f>IFERROR(+VLOOKUP(B45,COMISIONES!A:E,5,FALSE),"0")*1</f>
        <v>0</v>
      </c>
      <c r="E45" s="4">
        <v>0</v>
      </c>
      <c r="F45" s="4">
        <f t="shared" si="8"/>
        <v>0</v>
      </c>
      <c r="G45" s="5">
        <f t="shared" si="0"/>
        <v>0</v>
      </c>
      <c r="H45" s="4">
        <f t="shared" si="9"/>
        <v>0</v>
      </c>
      <c r="I45" s="5">
        <f t="shared" si="10"/>
        <v>0</v>
      </c>
      <c r="J45" s="4">
        <f t="shared" si="11"/>
        <v>0</v>
      </c>
      <c r="K45" s="4">
        <f t="shared" si="12"/>
        <v>4166666.6666666665</v>
      </c>
      <c r="L45" s="63" cm="1">
        <f t="array" ref="L45">+_xlfn.IFS(I45&gt;114%,H45*0.02,I45&gt;109%,H45*0.015,I45&gt;104%,H45*0.0125,I45&gt;99%,H45*0.01,I45&lt;99%,H45*0)</f>
        <v>0</v>
      </c>
    </row>
    <row r="46" spans="1:12" ht="16.5" thickBot="1" x14ac:dyDescent="0.3">
      <c r="A46" s="139"/>
      <c r="B46" s="146"/>
      <c r="C46" s="67">
        <v>455695855.27356702</v>
      </c>
      <c r="D46" s="67">
        <f>SUM(D39:D45)</f>
        <v>35636802.059950635</v>
      </c>
      <c r="E46" s="67">
        <v>8887977.6236097589</v>
      </c>
      <c r="F46" s="67">
        <f>+SUM(F39:F45)</f>
        <v>26748824.43634088</v>
      </c>
      <c r="G46" s="66">
        <f t="shared" si="0"/>
        <v>7.8203041891958536E-2</v>
      </c>
      <c r="H46" s="64">
        <f t="shared" si="9"/>
        <v>463278426.77935827</v>
      </c>
      <c r="I46" s="66">
        <f t="shared" si="10"/>
        <v>1.016639544595461</v>
      </c>
      <c r="J46" s="64">
        <f t="shared" si="11"/>
        <v>17818401.029975317</v>
      </c>
      <c r="K46" s="67">
        <f t="shared" si="12"/>
        <v>17502460.550567348</v>
      </c>
      <c r="L46" s="68"/>
    </row>
    <row r="47" spans="1:12" ht="16.5" thickBot="1" x14ac:dyDescent="0.3">
      <c r="A47" s="76" t="s">
        <v>42</v>
      </c>
      <c r="B47" s="77"/>
      <c r="C47" s="78">
        <v>1379767147.0931361</v>
      </c>
      <c r="D47" s="78">
        <f>+D38+D24+D10+D15</f>
        <v>93964626.698306695</v>
      </c>
      <c r="E47" s="79">
        <v>42360452.775208667</v>
      </c>
      <c r="F47" s="78">
        <f>+D47-E47</f>
        <v>51604173.923098028</v>
      </c>
      <c r="G47" s="80">
        <f t="shared" si="0"/>
        <v>6.8101800290193429E-2</v>
      </c>
      <c r="H47" s="78">
        <f t="shared" si="3"/>
        <v>1221540147.077987</v>
      </c>
      <c r="I47" s="136">
        <f t="shared" si="1"/>
        <v>0.88532340377251451</v>
      </c>
      <c r="J47" s="78">
        <f t="shared" si="4"/>
        <v>46982313.349153347</v>
      </c>
      <c r="K47" s="78">
        <f t="shared" si="2"/>
        <v>53575105.016451217</v>
      </c>
      <c r="L47" s="81"/>
    </row>
  </sheetData>
  <mergeCells count="5">
    <mergeCell ref="A2:A10"/>
    <mergeCell ref="A11:A15"/>
    <mergeCell ref="A16:A24"/>
    <mergeCell ref="A25:A38"/>
    <mergeCell ref="A39:A46"/>
  </mergeCells>
  <conditionalFormatting sqref="G25:G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9 G11:G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L12 L3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U48"/>
  <sheetViews>
    <sheetView topLeftCell="A18" workbookViewId="0">
      <selection activeCell="A49" sqref="A49:XFD50"/>
    </sheetView>
  </sheetViews>
  <sheetFormatPr baseColWidth="10" defaultRowHeight="15" x14ac:dyDescent="0.25"/>
  <cols>
    <col min="1" max="1" width="23.5703125" bestFit="1" customWidth="1"/>
    <col min="2" max="2" width="3" hidden="1" customWidth="1"/>
    <col min="3" max="3" width="34" bestFit="1" customWidth="1"/>
    <col min="4" max="4" width="19.7109375" style="25" bestFit="1" customWidth="1"/>
    <col min="5" max="5" width="16.7109375" style="1" hidden="1" customWidth="1"/>
    <col min="6" max="6" width="18.28515625" hidden="1" customWidth="1"/>
    <col min="7" max="7" width="16.85546875" bestFit="1" customWidth="1"/>
    <col min="8" max="8" width="6.7109375" bestFit="1" customWidth="1"/>
    <col min="9" max="9" width="19.85546875" bestFit="1" customWidth="1"/>
    <col min="10" max="10" width="0" hidden="1" customWidth="1"/>
    <col min="11" max="11" width="17.28515625" hidden="1" customWidth="1"/>
    <col min="12" max="12" width="16.28515625" customWidth="1"/>
    <col min="16" max="16" width="8.7109375" bestFit="1" customWidth="1"/>
    <col min="17" max="17" width="19.42578125" hidden="1" customWidth="1"/>
    <col min="18" max="18" width="34.85546875" bestFit="1" customWidth="1"/>
    <col min="19" max="19" width="4.42578125" bestFit="1" customWidth="1"/>
    <col min="20" max="20" width="14.5703125" bestFit="1" customWidth="1"/>
    <col min="21" max="21" width="13.5703125" bestFit="1" customWidth="1"/>
  </cols>
  <sheetData>
    <row r="1" spans="1:21" ht="15.75" thickBot="1" x14ac:dyDescent="0.3">
      <c r="A1" s="82" t="s">
        <v>206</v>
      </c>
      <c r="C1" s="83" t="s">
        <v>76</v>
      </c>
      <c r="D1" s="21" t="s">
        <v>43</v>
      </c>
      <c r="E1" s="15" t="s">
        <v>50</v>
      </c>
      <c r="F1" s="7" t="s">
        <v>44</v>
      </c>
      <c r="G1" s="7" t="s">
        <v>48</v>
      </c>
      <c r="H1" s="7" t="s">
        <v>49</v>
      </c>
      <c r="I1" s="7" t="s">
        <v>54</v>
      </c>
      <c r="P1" t="s">
        <v>115</v>
      </c>
      <c r="R1" s="40" t="s">
        <v>114</v>
      </c>
    </row>
    <row r="2" spans="1:21" ht="15.75" thickBot="1" x14ac:dyDescent="0.3">
      <c r="A2" s="143" t="s">
        <v>37</v>
      </c>
      <c r="B2">
        <v>22</v>
      </c>
      <c r="C2" s="12" t="str">
        <f>+AVANCE!B11</f>
        <v>22 - ALMIRON NICOLAS</v>
      </c>
      <c r="D2" s="22">
        <f>H2/G2</f>
        <v>0.12</v>
      </c>
      <c r="E2" s="13">
        <v>33</v>
      </c>
      <c r="F2" s="12">
        <f>+H2-E2</f>
        <v>-24</v>
      </c>
      <c r="G2" s="13">
        <f>VLOOKUP(B2,'Base Cobertura'!$A:$C,3,FALSE)</f>
        <v>75</v>
      </c>
      <c r="H2" s="13">
        <f>VLOOKUP(B2,'Base Cobertura'!$A:$C,2,FALSE)</f>
        <v>9</v>
      </c>
      <c r="I2" s="17">
        <f>(+G2*$M$2)-H2</f>
        <v>54.75</v>
      </c>
      <c r="J2" t="s">
        <v>55</v>
      </c>
      <c r="K2" t="s">
        <v>55</v>
      </c>
      <c r="L2" t="s">
        <v>31</v>
      </c>
      <c r="M2" s="1">
        <v>0.85</v>
      </c>
      <c r="P2" s="38">
        <v>25</v>
      </c>
      <c r="Q2" s="39" t="str">
        <f>VLOOKUP(P2,$B:$C,2,FALSE)</f>
        <v>25 - KALATAKI GUSTAVO</v>
      </c>
      <c r="R2" s="42" t="str">
        <f>VLOOKUP(P2,$B:$C,2,FALSE)</f>
        <v>25 - KALATAKI GUSTAVO</v>
      </c>
      <c r="S2" s="7" t="s">
        <v>49</v>
      </c>
      <c r="T2" s="7" t="s">
        <v>48</v>
      </c>
      <c r="U2" s="7" t="s">
        <v>116</v>
      </c>
    </row>
    <row r="3" spans="1:21" x14ac:dyDescent="0.25">
      <c r="A3" s="143"/>
      <c r="B3">
        <v>49</v>
      </c>
      <c r="C3" s="13" t="e">
        <f>+AVANCE!#REF!</f>
        <v>#REF!</v>
      </c>
      <c r="D3" s="22">
        <f t="shared" ref="D3:D38" si="0">H3/G3</f>
        <v>0</v>
      </c>
      <c r="E3" s="13">
        <v>1</v>
      </c>
      <c r="F3" s="12">
        <f t="shared" ref="F3:F38" si="1">+H3-E3</f>
        <v>-1</v>
      </c>
      <c r="G3" s="13">
        <f>VLOOKUP(B3,'Base Cobertura'!$A:$C,3,FALSE)</f>
        <v>243</v>
      </c>
      <c r="H3" s="13">
        <f>VLOOKUP(B3,'Base Cobertura'!$A:$C,2,FALSE)</f>
        <v>0</v>
      </c>
      <c r="I3" s="17">
        <f t="shared" ref="I3:I38" si="2">(+G3*$M$2)-H3</f>
        <v>206.54999999999998</v>
      </c>
      <c r="J3" t="s">
        <v>56</v>
      </c>
      <c r="K3" t="s">
        <v>63</v>
      </c>
      <c r="P3" s="12" cm="1">
        <f t="array" ref="P3:T11">+_xlfn._xlws.FILTER('Base Cobertura'!E:I,'Base Cobertura'!E:E=COBERTURA!P2)</f>
        <v>25</v>
      </c>
      <c r="Q3" s="12">
        <v>25</v>
      </c>
      <c r="R3" s="12" t="str">
        <v>147 - ALMACEN</v>
      </c>
      <c r="S3" s="12">
        <v>0</v>
      </c>
      <c r="T3" s="12">
        <v>172</v>
      </c>
      <c r="U3" s="41">
        <f>+S3/T3</f>
        <v>0</v>
      </c>
    </row>
    <row r="4" spans="1:21" x14ac:dyDescent="0.25">
      <c r="A4" s="143"/>
      <c r="B4">
        <v>20</v>
      </c>
      <c r="C4" s="13" t="str">
        <f>+AVANCE!B2</f>
        <v>20 - FLORES JAVIER</v>
      </c>
      <c r="D4" s="22">
        <f t="shared" si="0"/>
        <v>0.1277533039647577</v>
      </c>
      <c r="E4" s="13">
        <v>126</v>
      </c>
      <c r="F4" s="12">
        <f t="shared" si="1"/>
        <v>-97</v>
      </c>
      <c r="G4" s="13">
        <f>VLOOKUP(B4,'Base Cobertura'!$A:$C,3,FALSE)</f>
        <v>227</v>
      </c>
      <c r="H4" s="13">
        <f>VLOOKUP(B4,'Base Cobertura'!$A:$C,2,FALSE)</f>
        <v>29</v>
      </c>
      <c r="I4" s="17">
        <f t="shared" si="2"/>
        <v>163.95</v>
      </c>
      <c r="J4" t="s">
        <v>57</v>
      </c>
      <c r="K4" t="s">
        <v>64</v>
      </c>
      <c r="P4" s="13">
        <v>25</v>
      </c>
      <c r="Q4" s="13">
        <v>0</v>
      </c>
      <c r="R4" s="13" t="str">
        <v>147 - Articulos Sin Asociar Agrupacion</v>
      </c>
      <c r="S4" s="13">
        <v>0</v>
      </c>
      <c r="T4" s="13">
        <v>172</v>
      </c>
      <c r="U4" s="5">
        <f t="shared" ref="U4:U11" si="3">+S4/T4</f>
        <v>0</v>
      </c>
    </row>
    <row r="5" spans="1:21" x14ac:dyDescent="0.25">
      <c r="A5" s="143"/>
      <c r="B5">
        <v>15</v>
      </c>
      <c r="C5" s="13" t="str">
        <f>+AVANCE!B12</f>
        <v>15 - GALARZA GERARDO</v>
      </c>
      <c r="D5" s="22">
        <f t="shared" si="0"/>
        <v>6.1538461538461542E-2</v>
      </c>
      <c r="E5" s="13">
        <v>21</v>
      </c>
      <c r="F5" s="12">
        <f t="shared" si="1"/>
        <v>-17</v>
      </c>
      <c r="G5" s="13">
        <f>VLOOKUP(B5,'Base Cobertura'!$A:$C,3,FALSE)</f>
        <v>65</v>
      </c>
      <c r="H5" s="13">
        <f>VLOOKUP(B5,'Base Cobertura'!$A:$C,2,FALSE)</f>
        <v>4</v>
      </c>
      <c r="I5" s="17">
        <f t="shared" si="2"/>
        <v>51.25</v>
      </c>
      <c r="K5" t="s">
        <v>64</v>
      </c>
      <c r="P5" s="13">
        <v>25</v>
      </c>
      <c r="Q5" s="13">
        <v>0</v>
      </c>
      <c r="R5" s="13" t="str">
        <v>147 - BEBIDAS</v>
      </c>
      <c r="S5" s="13">
        <v>0</v>
      </c>
      <c r="T5" s="13">
        <v>172</v>
      </c>
      <c r="U5" s="5">
        <f t="shared" si="3"/>
        <v>0</v>
      </c>
    </row>
    <row r="6" spans="1:21" x14ac:dyDescent="0.25">
      <c r="A6" s="143"/>
      <c r="B6">
        <v>19</v>
      </c>
      <c r="C6" s="13" t="str">
        <f>+AVANCE!B3</f>
        <v>19 - GONZALEZ MARCELO</v>
      </c>
      <c r="D6" s="22">
        <f t="shared" si="0"/>
        <v>0.11057692307692307</v>
      </c>
      <c r="E6" s="13">
        <v>100</v>
      </c>
      <c r="F6" s="12">
        <f t="shared" si="1"/>
        <v>-77</v>
      </c>
      <c r="G6" s="13">
        <f>VLOOKUP(B6,'Base Cobertura'!$A:$C,3,FALSE)</f>
        <v>208</v>
      </c>
      <c r="H6" s="13">
        <f>VLOOKUP(B6,'Base Cobertura'!$A:$C,2,FALSE)</f>
        <v>23</v>
      </c>
      <c r="I6" s="17">
        <f t="shared" si="2"/>
        <v>153.79999999999998</v>
      </c>
      <c r="J6" t="s">
        <v>58</v>
      </c>
      <c r="K6" t="s">
        <v>58</v>
      </c>
      <c r="P6" s="13">
        <v>25</v>
      </c>
      <c r="Q6" s="13">
        <v>0</v>
      </c>
      <c r="R6" s="13" t="str">
        <v>147 - CHOCOLATE</v>
      </c>
      <c r="S6" s="13">
        <v>0</v>
      </c>
      <c r="T6" s="13">
        <v>172</v>
      </c>
      <c r="U6" s="5">
        <f t="shared" si="3"/>
        <v>0</v>
      </c>
    </row>
    <row r="7" spans="1:21" x14ac:dyDescent="0.25">
      <c r="A7" s="143"/>
      <c r="B7">
        <v>16</v>
      </c>
      <c r="C7" s="13" t="str">
        <f>+AVANCE!B4</f>
        <v>16 - GOMEZ MATÍAS</v>
      </c>
      <c r="D7" s="22">
        <f t="shared" si="0"/>
        <v>0.11055276381909548</v>
      </c>
      <c r="E7" s="13">
        <v>81</v>
      </c>
      <c r="F7" s="12">
        <f t="shared" si="1"/>
        <v>-59</v>
      </c>
      <c r="G7" s="13">
        <f>VLOOKUP(B7,'Base Cobertura'!$A:$C,3,FALSE)</f>
        <v>199</v>
      </c>
      <c r="H7" s="13">
        <f>VLOOKUP(B7,'Base Cobertura'!$A:$C,2,FALSE)</f>
        <v>22</v>
      </c>
      <c r="I7" s="17">
        <f t="shared" si="2"/>
        <v>147.15</v>
      </c>
      <c r="J7" t="s">
        <v>58</v>
      </c>
      <c r="K7" t="s">
        <v>58</v>
      </c>
      <c r="P7" s="13">
        <v>25</v>
      </c>
      <c r="Q7" s="13">
        <v>0</v>
      </c>
      <c r="R7" s="13" t="str">
        <v>147 - GALLETITAS</v>
      </c>
      <c r="S7" s="13">
        <v>0</v>
      </c>
      <c r="T7" s="13">
        <v>172</v>
      </c>
      <c r="U7" s="5">
        <f t="shared" si="3"/>
        <v>0</v>
      </c>
    </row>
    <row r="8" spans="1:21" x14ac:dyDescent="0.25">
      <c r="A8" s="143"/>
      <c r="B8">
        <v>12</v>
      </c>
      <c r="C8" s="13" t="str">
        <f>+AVANCE!B5</f>
        <v>12 - GUTIERREZ MARCOS DAVID</v>
      </c>
      <c r="D8" s="22">
        <f t="shared" si="0"/>
        <v>0.11214953271028037</v>
      </c>
      <c r="E8" s="13">
        <v>89</v>
      </c>
      <c r="F8" s="12">
        <f t="shared" si="1"/>
        <v>-65</v>
      </c>
      <c r="G8" s="13">
        <f>VLOOKUP(B8,'Base Cobertura'!$A:$C,3,FALSE)</f>
        <v>214</v>
      </c>
      <c r="H8" s="13">
        <f>VLOOKUP(B8,'Base Cobertura'!$A:$C,2,FALSE)</f>
        <v>24</v>
      </c>
      <c r="I8" s="17">
        <f t="shared" si="2"/>
        <v>157.9</v>
      </c>
      <c r="J8" t="s">
        <v>55</v>
      </c>
      <c r="K8" t="s">
        <v>58</v>
      </c>
      <c r="N8" s="29"/>
      <c r="P8" s="13">
        <v>25</v>
      </c>
      <c r="Q8" s="13">
        <v>0</v>
      </c>
      <c r="R8" s="13" t="str">
        <v>147 - GOLOSINAS</v>
      </c>
      <c r="S8" s="13">
        <v>0</v>
      </c>
      <c r="T8" s="13">
        <v>172</v>
      </c>
      <c r="U8" s="5">
        <f t="shared" si="3"/>
        <v>0</v>
      </c>
    </row>
    <row r="9" spans="1:21" x14ac:dyDescent="0.25">
      <c r="A9" s="143"/>
      <c r="B9">
        <v>11</v>
      </c>
      <c r="C9" s="30" t="str">
        <f>+AVANCE!B6</f>
        <v>11 - SANCHEZ RICARDO</v>
      </c>
      <c r="D9" s="22">
        <f>H9/G9</f>
        <v>0.1893491124260355</v>
      </c>
      <c r="E9" s="13">
        <v>92</v>
      </c>
      <c r="F9" s="12">
        <f t="shared" si="1"/>
        <v>-60</v>
      </c>
      <c r="G9" s="13">
        <f>VLOOKUP(B9,'Base Cobertura'!$A:$C,3,FALSE)</f>
        <v>169</v>
      </c>
      <c r="H9" s="13">
        <f>VLOOKUP(B9,'Base Cobertura'!$A:$C,2,FALSE)</f>
        <v>32</v>
      </c>
      <c r="I9" s="17">
        <f t="shared" si="2"/>
        <v>111.65</v>
      </c>
      <c r="J9" t="s">
        <v>55</v>
      </c>
      <c r="K9" t="s">
        <v>65</v>
      </c>
      <c r="P9" s="13">
        <v>25</v>
      </c>
      <c r="Q9" s="13">
        <v>0</v>
      </c>
      <c r="R9" s="13" t="str">
        <v>147 - MASCOTAS</v>
      </c>
      <c r="S9" s="13">
        <v>0</v>
      </c>
      <c r="T9" s="13">
        <v>172</v>
      </c>
      <c r="U9" s="5">
        <f t="shared" si="3"/>
        <v>0</v>
      </c>
    </row>
    <row r="10" spans="1:21" x14ac:dyDescent="0.25">
      <c r="A10" s="143"/>
      <c r="B10">
        <v>8</v>
      </c>
      <c r="C10" s="13" t="str">
        <f>+AVANCE!B7</f>
        <v>8 - RAVAROTTO EMANUEL</v>
      </c>
      <c r="D10" s="22">
        <f t="shared" si="0"/>
        <v>4.1025641025641026E-2</v>
      </c>
      <c r="E10" s="13">
        <v>64</v>
      </c>
      <c r="F10" s="12">
        <f t="shared" si="1"/>
        <v>-56</v>
      </c>
      <c r="G10" s="13">
        <f>VLOOKUP(B10,'Base Cobertura'!$A:$C,3,FALSE)</f>
        <v>195</v>
      </c>
      <c r="H10" s="13">
        <f>VLOOKUP(B10,'Base Cobertura'!$A:$C,2,FALSE)</f>
        <v>8</v>
      </c>
      <c r="I10" s="17">
        <f t="shared" si="2"/>
        <v>157.75</v>
      </c>
      <c r="J10" t="s">
        <v>58</v>
      </c>
      <c r="K10" t="s">
        <v>58</v>
      </c>
      <c r="P10" s="13">
        <v>25</v>
      </c>
      <c r="Q10" s="13">
        <v>0</v>
      </c>
      <c r="R10" s="13" t="str">
        <v>147 - NO PERECEDEROS</v>
      </c>
      <c r="S10" s="13">
        <v>0</v>
      </c>
      <c r="T10" s="13">
        <v>172</v>
      </c>
      <c r="U10" s="5">
        <f t="shared" si="3"/>
        <v>0</v>
      </c>
    </row>
    <row r="11" spans="1:21" x14ac:dyDescent="0.25">
      <c r="A11" s="143"/>
      <c r="B11">
        <v>52</v>
      </c>
      <c r="C11" s="31" t="str">
        <f>+AVANCE!B13</f>
        <v>52 - MARSALL NICOLAS</v>
      </c>
      <c r="D11" s="32">
        <f t="shared" si="0"/>
        <v>1.9607843137254902E-2</v>
      </c>
      <c r="E11" s="31">
        <v>19</v>
      </c>
      <c r="F11" s="33">
        <f t="shared" si="1"/>
        <v>-17</v>
      </c>
      <c r="G11" s="13">
        <f>VLOOKUP(B11,'Base Cobertura'!$A:$C,3,FALSE)</f>
        <v>102</v>
      </c>
      <c r="H11" s="13">
        <f>VLOOKUP(B11,'Base Cobertura'!$A:$C,2,FALSE)</f>
        <v>2</v>
      </c>
      <c r="I11" s="34">
        <f t="shared" si="2"/>
        <v>84.7</v>
      </c>
      <c r="J11" t="s">
        <v>59</v>
      </c>
      <c r="P11" s="13">
        <v>25</v>
      </c>
      <c r="Q11" s="13">
        <v>0</v>
      </c>
      <c r="R11" s="13" t="str">
        <v>147 - PILAS</v>
      </c>
      <c r="S11" s="13">
        <v>0</v>
      </c>
      <c r="T11" s="13">
        <v>172</v>
      </c>
      <c r="U11" s="5">
        <f t="shared" si="3"/>
        <v>0</v>
      </c>
    </row>
    <row r="12" spans="1:21" x14ac:dyDescent="0.25">
      <c r="A12" s="143"/>
      <c r="B12">
        <v>53</v>
      </c>
      <c r="C12" s="31" t="str">
        <f>+AVANCE!B14</f>
        <v>53 - SANDOVAL RODRIGO</v>
      </c>
      <c r="D12" s="32">
        <f t="shared" si="0"/>
        <v>4.7619047619047616E-2</v>
      </c>
      <c r="E12" s="31">
        <v>24</v>
      </c>
      <c r="F12" s="33">
        <f t="shared" si="1"/>
        <v>-19</v>
      </c>
      <c r="G12" s="13">
        <f>VLOOKUP(B12,'Base Cobertura'!$A:$C,3,FALSE)</f>
        <v>105</v>
      </c>
      <c r="H12" s="13">
        <f>VLOOKUP(B12,'Base Cobertura'!$A:$C,2,FALSE)</f>
        <v>5</v>
      </c>
      <c r="I12" s="34">
        <f t="shared" si="2"/>
        <v>84.25</v>
      </c>
      <c r="J12" t="s">
        <v>59</v>
      </c>
    </row>
    <row r="13" spans="1:21" x14ac:dyDescent="0.25">
      <c r="A13" s="143"/>
      <c r="B13">
        <v>5</v>
      </c>
      <c r="C13" s="13" t="str">
        <f>+AVANCE!B8</f>
        <v>5 - SCHELOVER RAUL</v>
      </c>
      <c r="D13" s="22">
        <f t="shared" si="0"/>
        <v>0.13793103448275862</v>
      </c>
      <c r="E13" s="13">
        <v>144</v>
      </c>
      <c r="F13" s="12">
        <f t="shared" si="1"/>
        <v>-108</v>
      </c>
      <c r="G13" s="13">
        <f>VLOOKUP(B13,'Base Cobertura'!$A:$C,3,FALSE)</f>
        <v>261</v>
      </c>
      <c r="H13" s="13">
        <f>VLOOKUP(B13,'Base Cobertura'!$A:$C,2,FALSE)</f>
        <v>36</v>
      </c>
      <c r="I13" s="17">
        <f t="shared" si="2"/>
        <v>185.85</v>
      </c>
      <c r="J13" t="s">
        <v>57</v>
      </c>
      <c r="K13" t="s">
        <v>64</v>
      </c>
    </row>
    <row r="14" spans="1:21" ht="15.75" thickBot="1" x14ac:dyDescent="0.3">
      <c r="A14" s="143"/>
      <c r="B14">
        <v>4</v>
      </c>
      <c r="C14" s="10" t="str">
        <f>+AVANCE!B9</f>
        <v>4 - TUR SPRINGER FERNANDO</v>
      </c>
      <c r="D14" s="22">
        <f t="shared" si="0"/>
        <v>0.1043956043956044</v>
      </c>
      <c r="E14" s="13">
        <v>85</v>
      </c>
      <c r="F14" s="12">
        <f t="shared" si="1"/>
        <v>-66</v>
      </c>
      <c r="G14" s="13">
        <f>VLOOKUP(B14,'Base Cobertura'!$A:$C,3,FALSE)</f>
        <v>182</v>
      </c>
      <c r="H14" s="13">
        <f>VLOOKUP(B14,'Base Cobertura'!$A:$C,2,FALSE)</f>
        <v>19</v>
      </c>
      <c r="I14" s="17">
        <f t="shared" si="2"/>
        <v>135.69999999999999</v>
      </c>
      <c r="J14" t="s">
        <v>55</v>
      </c>
      <c r="K14" t="s">
        <v>64</v>
      </c>
    </row>
    <row r="15" spans="1:21" ht="15.75" thickBot="1" x14ac:dyDescent="0.3">
      <c r="A15" s="144"/>
      <c r="C15" s="9"/>
      <c r="D15" s="23"/>
      <c r="E15" s="14"/>
      <c r="F15" s="16">
        <f>+SUM(F2:F14)</f>
        <v>-666</v>
      </c>
      <c r="G15" s="8">
        <f>+SUM(G2:G14)</f>
        <v>2245</v>
      </c>
      <c r="H15" s="8">
        <f>+SUM(H2:H14)</f>
        <v>213</v>
      </c>
      <c r="I15" s="8"/>
    </row>
    <row r="16" spans="1:21" x14ac:dyDescent="0.25">
      <c r="A16" s="145" t="s">
        <v>38</v>
      </c>
      <c r="B16">
        <v>31</v>
      </c>
      <c r="C16" s="12" t="str">
        <f>+AVANCE!B21</f>
        <v>31 - RENZO RAMOS</v>
      </c>
      <c r="D16" s="22">
        <f t="shared" si="0"/>
        <v>0.10559006211180125</v>
      </c>
      <c r="E16" s="13">
        <v>90</v>
      </c>
      <c r="F16" s="12">
        <f t="shared" si="1"/>
        <v>-73</v>
      </c>
      <c r="G16" s="13">
        <f>VLOOKUP(B16,'Base Cobertura'!$A:$C,3,FALSE)</f>
        <v>161</v>
      </c>
      <c r="H16" s="13">
        <f>VLOOKUP(B16,'Base Cobertura'!$A:$C,2,FALSE)</f>
        <v>17</v>
      </c>
      <c r="I16" s="17">
        <f t="shared" si="2"/>
        <v>119.85</v>
      </c>
      <c r="J16" t="s">
        <v>55</v>
      </c>
      <c r="K16" t="s">
        <v>55</v>
      </c>
    </row>
    <row r="17" spans="1:11" x14ac:dyDescent="0.25">
      <c r="A17" s="143"/>
      <c r="B17">
        <v>54</v>
      </c>
      <c r="C17" s="13" t="str">
        <f>+AVANCE!B23</f>
        <v>54 - BARTSCHAT EMILIANO NAHUEL</v>
      </c>
      <c r="D17" s="22">
        <f t="shared" si="0"/>
        <v>6.0913705583756347E-2</v>
      </c>
      <c r="E17" s="13">
        <v>92</v>
      </c>
      <c r="F17" s="12">
        <f t="shared" si="1"/>
        <v>-80</v>
      </c>
      <c r="G17" s="13">
        <f>VLOOKUP(B17,'Base Cobertura'!$A:$C,3,FALSE)</f>
        <v>197</v>
      </c>
      <c r="H17" s="13">
        <f>VLOOKUP(B17,'Base Cobertura'!$A:$C,2,FALSE)</f>
        <v>12</v>
      </c>
      <c r="I17" s="17">
        <f t="shared" si="2"/>
        <v>155.44999999999999</v>
      </c>
      <c r="J17" t="s">
        <v>55</v>
      </c>
      <c r="K17" t="s">
        <v>63</v>
      </c>
    </row>
    <row r="18" spans="1:11" x14ac:dyDescent="0.25">
      <c r="A18" s="143"/>
      <c r="B18">
        <v>21</v>
      </c>
      <c r="C18" s="13" t="str">
        <f>+AVANCE!B19</f>
        <v>21 - CATAN MATIAS</v>
      </c>
      <c r="D18" s="22">
        <f t="shared" si="0"/>
        <v>0.11695906432748537</v>
      </c>
      <c r="E18" s="13">
        <v>88</v>
      </c>
      <c r="F18" s="12">
        <f t="shared" si="1"/>
        <v>-68</v>
      </c>
      <c r="G18" s="13">
        <f>VLOOKUP(B18,'Base Cobertura'!$A:$C,3,FALSE)</f>
        <v>171</v>
      </c>
      <c r="H18" s="13">
        <f>VLOOKUP(B18,'Base Cobertura'!$A:$C,2,FALSE)</f>
        <v>20</v>
      </c>
      <c r="I18" s="17">
        <f t="shared" si="2"/>
        <v>125.35</v>
      </c>
      <c r="J18" t="s">
        <v>58</v>
      </c>
      <c r="K18" t="s">
        <v>55</v>
      </c>
    </row>
    <row r="19" spans="1:11" x14ac:dyDescent="0.25">
      <c r="A19" s="143"/>
      <c r="B19">
        <v>23</v>
      </c>
      <c r="C19" s="13" t="str">
        <f>+AVANCE!B20</f>
        <v>23 - DELGADO JOSÉ</v>
      </c>
      <c r="D19" s="22">
        <f t="shared" si="0"/>
        <v>0.17532467532467533</v>
      </c>
      <c r="E19" s="13">
        <v>95</v>
      </c>
      <c r="F19" s="12">
        <f t="shared" si="1"/>
        <v>-68</v>
      </c>
      <c r="G19" s="13">
        <f>VLOOKUP(B19,'Base Cobertura'!$A:$C,3,FALSE)</f>
        <v>154</v>
      </c>
      <c r="H19" s="13">
        <f>VLOOKUP(B19,'Base Cobertura'!$A:$C,2,FALSE)</f>
        <v>27</v>
      </c>
      <c r="I19" s="17">
        <f t="shared" si="2"/>
        <v>103.9</v>
      </c>
      <c r="J19" t="s">
        <v>58</v>
      </c>
      <c r="K19" t="s">
        <v>64</v>
      </c>
    </row>
    <row r="20" spans="1:11" x14ac:dyDescent="0.25">
      <c r="A20" s="143"/>
      <c r="B20">
        <v>18</v>
      </c>
      <c r="C20" s="13" t="str">
        <f>+AVANCE!B18</f>
        <v>18 - HERRERA PABLO</v>
      </c>
      <c r="D20" s="22">
        <f t="shared" si="0"/>
        <v>0.12777777777777777</v>
      </c>
      <c r="E20" s="13">
        <v>83</v>
      </c>
      <c r="F20" s="12">
        <f t="shared" si="1"/>
        <v>-60</v>
      </c>
      <c r="G20" s="13">
        <f>VLOOKUP(B20,'Base Cobertura'!$A:$C,3,FALSE)</f>
        <v>180</v>
      </c>
      <c r="H20" s="13">
        <f>VLOOKUP(B20,'Base Cobertura'!$A:$C,2,FALSE)</f>
        <v>23</v>
      </c>
      <c r="I20" s="17">
        <f t="shared" si="2"/>
        <v>130</v>
      </c>
      <c r="J20" t="s">
        <v>55</v>
      </c>
      <c r="K20" t="s">
        <v>55</v>
      </c>
    </row>
    <row r="21" spans="1:11" x14ac:dyDescent="0.25">
      <c r="A21" s="143"/>
      <c r="B21">
        <v>44</v>
      </c>
      <c r="C21" s="13" t="str">
        <f>+AVANCE!B22</f>
        <v>44 - MONGES CESAR LUIS</v>
      </c>
      <c r="D21" s="22">
        <f t="shared" si="0"/>
        <v>0.11627906976744186</v>
      </c>
      <c r="E21" s="13">
        <v>64</v>
      </c>
      <c r="F21" s="12">
        <f t="shared" si="1"/>
        <v>-44</v>
      </c>
      <c r="G21" s="13">
        <f>VLOOKUP(B21,'Base Cobertura'!$A:$C,3,FALSE)</f>
        <v>172</v>
      </c>
      <c r="H21" s="13">
        <f>VLOOKUP(B21,'Base Cobertura'!$A:$C,2,FALSE)</f>
        <v>20</v>
      </c>
      <c r="I21" s="17">
        <f t="shared" si="2"/>
        <v>126.19999999999999</v>
      </c>
      <c r="J21" t="s">
        <v>58</v>
      </c>
      <c r="K21" t="s">
        <v>64</v>
      </c>
    </row>
    <row r="22" spans="1:11" x14ac:dyDescent="0.25">
      <c r="A22" s="143"/>
      <c r="B22">
        <v>56</v>
      </c>
      <c r="C22" s="13" t="str">
        <f>+AVANCE!B42</f>
        <v>56 - JUAN ANDRES SANCHEZ</v>
      </c>
      <c r="D22" s="22">
        <f t="shared" si="0"/>
        <v>0.19289340101522842</v>
      </c>
      <c r="E22" s="13">
        <v>66</v>
      </c>
      <c r="F22" s="12">
        <f t="shared" si="1"/>
        <v>-28</v>
      </c>
      <c r="G22" s="13">
        <f>VLOOKUP(B22,'Base Cobertura'!$A:$C,3,FALSE)</f>
        <v>197</v>
      </c>
      <c r="H22" s="13">
        <f>VLOOKUP(B22,'Base Cobertura'!$A:$C,2,FALSE)</f>
        <v>38</v>
      </c>
      <c r="I22" s="17">
        <f t="shared" si="2"/>
        <v>129.44999999999999</v>
      </c>
      <c r="J22" t="s">
        <v>58</v>
      </c>
      <c r="K22" t="s">
        <v>66</v>
      </c>
    </row>
    <row r="23" spans="1:11" x14ac:dyDescent="0.25">
      <c r="A23" s="143"/>
      <c r="B23">
        <v>2</v>
      </c>
      <c r="C23" s="13" t="str">
        <f>+AVANCE!B16</f>
        <v>2 - OJEDA NORBERTO</v>
      </c>
      <c r="D23" s="22">
        <f t="shared" si="0"/>
        <v>0.1864406779661017</v>
      </c>
      <c r="E23" s="13">
        <v>70</v>
      </c>
      <c r="F23" s="12">
        <f t="shared" si="1"/>
        <v>-48</v>
      </c>
      <c r="G23" s="13">
        <f>VLOOKUP(B23,'Base Cobertura'!$A:$C,3,FALSE)</f>
        <v>118</v>
      </c>
      <c r="H23" s="13">
        <f>VLOOKUP(B23,'Base Cobertura'!$A:$C,2,FALSE)</f>
        <v>22</v>
      </c>
      <c r="I23" s="17">
        <f t="shared" si="2"/>
        <v>78.3</v>
      </c>
      <c r="J23" t="s">
        <v>58</v>
      </c>
      <c r="K23" t="s">
        <v>67</v>
      </c>
    </row>
    <row r="24" spans="1:11" ht="15.75" thickBot="1" x14ac:dyDescent="0.3">
      <c r="A24" s="143"/>
      <c r="B24">
        <v>3</v>
      </c>
      <c r="C24" s="10" t="str">
        <f>+AVANCE!B17</f>
        <v>3 - VIDAL NAHUEL</v>
      </c>
      <c r="D24" s="22">
        <f t="shared" si="0"/>
        <v>0.17647058823529413</v>
      </c>
      <c r="E24" s="13">
        <v>79</v>
      </c>
      <c r="F24" s="12">
        <f t="shared" si="1"/>
        <v>-49</v>
      </c>
      <c r="G24" s="13">
        <f>VLOOKUP(B24,'Base Cobertura'!$A:$C,3,FALSE)</f>
        <v>170</v>
      </c>
      <c r="H24" s="13">
        <f>VLOOKUP(B24,'Base Cobertura'!$A:$C,2,FALSE)</f>
        <v>30</v>
      </c>
      <c r="I24" s="17">
        <f t="shared" si="2"/>
        <v>114.5</v>
      </c>
      <c r="J24" t="s">
        <v>60</v>
      </c>
      <c r="K24" t="s">
        <v>64</v>
      </c>
    </row>
    <row r="25" spans="1:11" ht="15.75" thickBot="1" x14ac:dyDescent="0.3">
      <c r="A25" s="144"/>
      <c r="C25" s="9"/>
      <c r="D25" s="23"/>
      <c r="E25" s="14"/>
      <c r="F25" s="16">
        <f>+SUM(F16:F24)</f>
        <v>-518</v>
      </c>
      <c r="G25" s="8">
        <f>+SUM(G16:G24)</f>
        <v>1520</v>
      </c>
      <c r="H25" s="8">
        <f>+SUM(H16:H24)</f>
        <v>209</v>
      </c>
      <c r="I25" s="8"/>
    </row>
    <row r="26" spans="1:11" x14ac:dyDescent="0.25">
      <c r="A26" s="145" t="s">
        <v>216</v>
      </c>
      <c r="B26">
        <v>32</v>
      </c>
      <c r="C26" s="12" t="str">
        <f>+AVANCE!B25</f>
        <v>32 - CABRAL GONZALO</v>
      </c>
      <c r="D26" s="22">
        <f t="shared" si="0"/>
        <v>3.4482758620689655E-2</v>
      </c>
      <c r="E26" s="13">
        <v>20</v>
      </c>
      <c r="F26" s="12">
        <f>+H26-E26</f>
        <v>-18</v>
      </c>
      <c r="G26" s="13">
        <f>VLOOKUP(B26,'Base Cobertura'!$A:$C,3,FALSE)</f>
        <v>58</v>
      </c>
      <c r="H26" s="13">
        <f>VLOOKUP(B26,'Base Cobertura'!$A:$C,2,FALSE)</f>
        <v>2</v>
      </c>
      <c r="I26" s="17">
        <f t="shared" si="2"/>
        <v>47.3</v>
      </c>
      <c r="J26" t="s">
        <v>55</v>
      </c>
      <c r="K26" t="s">
        <v>67</v>
      </c>
    </row>
    <row r="27" spans="1:11" x14ac:dyDescent="0.25">
      <c r="A27" s="143"/>
      <c r="B27">
        <v>36</v>
      </c>
      <c r="C27" s="12" t="str">
        <f>+AVANCE!B26</f>
        <v>36 - COSARINSKI DIEGO</v>
      </c>
      <c r="D27" s="22">
        <f t="shared" si="0"/>
        <v>8.1250000000000003E-2</v>
      </c>
      <c r="E27" s="13">
        <v>68</v>
      </c>
      <c r="F27" s="12">
        <f t="shared" si="1"/>
        <v>-55</v>
      </c>
      <c r="G27" s="13">
        <f>VLOOKUP(B27,'Base Cobertura'!$A:$C,3,FALSE)</f>
        <v>160</v>
      </c>
      <c r="H27" s="13">
        <f>VLOOKUP(B27,'Base Cobertura'!$A:$C,2,FALSE)</f>
        <v>13</v>
      </c>
      <c r="I27" s="17">
        <f t="shared" si="2"/>
        <v>123</v>
      </c>
      <c r="J27" t="s">
        <v>58</v>
      </c>
      <c r="K27" t="s">
        <v>67</v>
      </c>
    </row>
    <row r="28" spans="1:11" x14ac:dyDescent="0.25">
      <c r="A28" s="143"/>
      <c r="B28">
        <v>9</v>
      </c>
      <c r="C28" s="12" t="str">
        <f>+AVANCE!B27</f>
        <v>9 - ESTIGARRIBIA DAVID</v>
      </c>
      <c r="D28" s="22">
        <f t="shared" si="0"/>
        <v>0.10256410256410256</v>
      </c>
      <c r="E28" s="13">
        <v>80</v>
      </c>
      <c r="F28" s="12">
        <f t="shared" si="1"/>
        <v>-64</v>
      </c>
      <c r="G28" s="13">
        <f>VLOOKUP(B28,'Base Cobertura'!$A:$C,3,FALSE)</f>
        <v>156</v>
      </c>
      <c r="H28" s="13">
        <f>VLOOKUP(B28,'Base Cobertura'!$A:$C,2,FALSE)</f>
        <v>16</v>
      </c>
      <c r="I28" s="17">
        <f t="shared" si="2"/>
        <v>116.6</v>
      </c>
      <c r="J28" t="s">
        <v>58</v>
      </c>
      <c r="K28" t="s">
        <v>55</v>
      </c>
    </row>
    <row r="29" spans="1:11" x14ac:dyDescent="0.25">
      <c r="A29" s="143"/>
      <c r="B29">
        <v>40</v>
      </c>
      <c r="C29" s="12" t="str">
        <f>+AVANCE!B28</f>
        <v>40 - IBARROLA JORGE</v>
      </c>
      <c r="D29" s="22">
        <f t="shared" si="0"/>
        <v>6.4000000000000001E-2</v>
      </c>
      <c r="E29" s="13">
        <v>68</v>
      </c>
      <c r="F29" s="12">
        <f t="shared" si="1"/>
        <v>-52</v>
      </c>
      <c r="G29" s="13">
        <f>VLOOKUP(B29,'Base Cobertura'!$A:$C,3,FALSE)</f>
        <v>250</v>
      </c>
      <c r="H29" s="13">
        <f>VLOOKUP(B29,'Base Cobertura'!$A:$C,2,FALSE)</f>
        <v>16</v>
      </c>
      <c r="I29" s="17">
        <f t="shared" si="2"/>
        <v>196.5</v>
      </c>
      <c r="J29" t="s">
        <v>58</v>
      </c>
      <c r="K29" t="s">
        <v>67</v>
      </c>
    </row>
    <row r="30" spans="1:11" x14ac:dyDescent="0.25">
      <c r="A30" s="143"/>
      <c r="B30">
        <v>27</v>
      </c>
      <c r="C30" s="12" t="str">
        <f>+AVANCE!B29</f>
        <v>27 - GOMEZ ADRIÁN</v>
      </c>
      <c r="D30" s="22">
        <f t="shared" si="0"/>
        <v>0.17293233082706766</v>
      </c>
      <c r="E30" s="13">
        <v>73</v>
      </c>
      <c r="F30" s="12">
        <f t="shared" si="1"/>
        <v>-50</v>
      </c>
      <c r="G30" s="13">
        <f>VLOOKUP(B30,'Base Cobertura'!$A:$C,3,FALSE)</f>
        <v>133</v>
      </c>
      <c r="H30" s="13">
        <f>VLOOKUP(B30,'Base Cobertura'!$A:$C,2,FALSE)</f>
        <v>23</v>
      </c>
      <c r="I30" s="17">
        <f t="shared" si="2"/>
        <v>90.05</v>
      </c>
      <c r="J30" t="s">
        <v>55</v>
      </c>
      <c r="K30" t="s">
        <v>67</v>
      </c>
    </row>
    <row r="31" spans="1:11" x14ac:dyDescent="0.25">
      <c r="A31" s="143"/>
      <c r="B31">
        <v>10</v>
      </c>
      <c r="C31" s="12" t="str">
        <f>+AVANCE!B30</f>
        <v>10 - BRITEZ EMMANUEL</v>
      </c>
      <c r="D31" s="22">
        <f t="shared" si="0"/>
        <v>0.10382513661202186</v>
      </c>
      <c r="E31" s="13">
        <v>40</v>
      </c>
      <c r="F31" s="12">
        <f t="shared" si="1"/>
        <v>-21</v>
      </c>
      <c r="G31" s="13">
        <f>VLOOKUP(B31,'Base Cobertura'!$A:$C,3,FALSE)</f>
        <v>183</v>
      </c>
      <c r="H31" s="13">
        <f>VLOOKUP(B31,'Base Cobertura'!$A:$C,2,FALSE)</f>
        <v>19</v>
      </c>
      <c r="I31" s="17">
        <f t="shared" si="2"/>
        <v>136.54999999999998</v>
      </c>
      <c r="J31" t="s">
        <v>58</v>
      </c>
      <c r="K31" t="s">
        <v>67</v>
      </c>
    </row>
    <row r="32" spans="1:11" x14ac:dyDescent="0.25">
      <c r="A32" s="143"/>
      <c r="B32">
        <v>28</v>
      </c>
      <c r="C32" s="12" t="str">
        <f>+AVANCE!B31</f>
        <v>28 - GOMEZ PABLO</v>
      </c>
      <c r="D32" s="22">
        <f t="shared" si="0"/>
        <v>0.1130952380952381</v>
      </c>
      <c r="E32" s="13">
        <v>67</v>
      </c>
      <c r="F32" s="12">
        <f t="shared" si="1"/>
        <v>-48</v>
      </c>
      <c r="G32" s="13">
        <f>VLOOKUP(B32,'Base Cobertura'!$A:$C,3,FALSE)</f>
        <v>168</v>
      </c>
      <c r="H32" s="13">
        <f>VLOOKUP(B32,'Base Cobertura'!$A:$C,2,FALSE)</f>
        <v>19</v>
      </c>
      <c r="I32" s="17">
        <f t="shared" si="2"/>
        <v>123.79999999999998</v>
      </c>
      <c r="J32" t="s">
        <v>58</v>
      </c>
      <c r="K32" t="s">
        <v>67</v>
      </c>
    </row>
    <row r="33" spans="1:12" x14ac:dyDescent="0.25">
      <c r="A33" s="143"/>
      <c r="B33">
        <v>33</v>
      </c>
      <c r="C33" s="12" t="str">
        <f>+AVANCE!B32</f>
        <v>33 - NICOLAS AZULA</v>
      </c>
      <c r="D33" s="22">
        <f t="shared" si="0"/>
        <v>0.17365269461077845</v>
      </c>
      <c r="E33" s="13">
        <v>66</v>
      </c>
      <c r="F33" s="12">
        <f t="shared" si="1"/>
        <v>-37</v>
      </c>
      <c r="G33" s="13">
        <f>VLOOKUP(B33,'Base Cobertura'!$A:$C,3,FALSE)</f>
        <v>167</v>
      </c>
      <c r="H33" s="13">
        <f>VLOOKUP(B33,'Base Cobertura'!$A:$C,2,FALSE)</f>
        <v>29</v>
      </c>
      <c r="I33" s="17">
        <f t="shared" si="2"/>
        <v>112.94999999999999</v>
      </c>
      <c r="J33" t="s">
        <v>58</v>
      </c>
      <c r="K33" t="s">
        <v>67</v>
      </c>
    </row>
    <row r="34" spans="1:12" x14ac:dyDescent="0.25">
      <c r="A34" s="143"/>
      <c r="B34">
        <v>37</v>
      </c>
      <c r="C34" s="12" t="str">
        <f>+AVANCE!B33</f>
        <v>37 - PEREZ ESQUIVEL BRUNO NICOLAS</v>
      </c>
      <c r="D34" s="22">
        <f t="shared" si="0"/>
        <v>5.6338028169014086E-2</v>
      </c>
      <c r="E34" s="13">
        <v>82</v>
      </c>
      <c r="F34" s="12">
        <f t="shared" si="1"/>
        <v>-74</v>
      </c>
      <c r="G34" s="13">
        <f>VLOOKUP(B34,'Base Cobertura'!$A:$C,3,FALSE)</f>
        <v>142</v>
      </c>
      <c r="H34" s="13">
        <f>VLOOKUP(B34,'Base Cobertura'!$A:$C,2,FALSE)</f>
        <v>8</v>
      </c>
      <c r="I34" s="17">
        <f t="shared" si="2"/>
        <v>112.7</v>
      </c>
      <c r="J34" t="s">
        <v>55</v>
      </c>
      <c r="K34" t="s">
        <v>67</v>
      </c>
    </row>
    <row r="35" spans="1:12" x14ac:dyDescent="0.25">
      <c r="A35" s="143"/>
      <c r="B35">
        <v>24</v>
      </c>
      <c r="C35" s="12" t="str">
        <f>+AVANCE!B34</f>
        <v>24 - MARTINEZ JORGE NICOLAS</v>
      </c>
      <c r="D35" s="22">
        <f t="shared" si="0"/>
        <v>8.98876404494382E-2</v>
      </c>
      <c r="E35" s="13">
        <v>81</v>
      </c>
      <c r="F35" s="12">
        <f t="shared" si="1"/>
        <v>-65</v>
      </c>
      <c r="G35" s="13">
        <f>VLOOKUP(B35,'Base Cobertura'!$A:$C,3,FALSE)</f>
        <v>178</v>
      </c>
      <c r="H35" s="13">
        <f>VLOOKUP(B35,'Base Cobertura'!$A:$C,2,FALSE)</f>
        <v>16</v>
      </c>
      <c r="I35" s="17">
        <f t="shared" si="2"/>
        <v>135.29999999999998</v>
      </c>
      <c r="J35" t="s">
        <v>58</v>
      </c>
      <c r="K35" t="s">
        <v>67</v>
      </c>
    </row>
    <row r="36" spans="1:12" x14ac:dyDescent="0.25">
      <c r="A36" s="143"/>
      <c r="B36">
        <v>7</v>
      </c>
      <c r="C36" s="12" t="str">
        <f>+AVANCE!B35</f>
        <v>7 - VALLEJOS EDUARDO</v>
      </c>
      <c r="D36" s="22">
        <f t="shared" si="0"/>
        <v>1.7391304347826087E-2</v>
      </c>
      <c r="E36" s="13">
        <v>0</v>
      </c>
      <c r="F36" s="12">
        <f t="shared" si="1"/>
        <v>2</v>
      </c>
      <c r="G36" s="13">
        <f>VLOOKUP(B36,'Base Cobertura'!$A:$C,3,FALSE)</f>
        <v>115</v>
      </c>
      <c r="H36" s="13">
        <f>VLOOKUP(B36,'Base Cobertura'!$A:$C,2,FALSE)</f>
        <v>2</v>
      </c>
      <c r="I36" s="17">
        <f t="shared" si="2"/>
        <v>95.75</v>
      </c>
      <c r="J36" t="s">
        <v>58</v>
      </c>
    </row>
    <row r="37" spans="1:12" x14ac:dyDescent="0.25">
      <c r="A37" s="143"/>
      <c r="B37">
        <v>57</v>
      </c>
      <c r="C37" s="12" t="str">
        <f>+AVANCE!B36</f>
        <v>57 - ROUBINEAU SEBASTIAN</v>
      </c>
      <c r="D37" s="22">
        <f t="shared" si="0"/>
        <v>9.5238095238095247E-3</v>
      </c>
      <c r="E37" s="13">
        <v>17</v>
      </c>
      <c r="F37" s="12">
        <f t="shared" si="1"/>
        <v>-16</v>
      </c>
      <c r="G37" s="13">
        <f>VLOOKUP(B37,'Base Cobertura'!$A:$C,3,FALSE)</f>
        <v>105</v>
      </c>
      <c r="H37" s="13">
        <f>VLOOKUP(B37,'Base Cobertura'!$A:$C,2,FALSE)</f>
        <v>1</v>
      </c>
      <c r="I37" s="17">
        <f t="shared" si="2"/>
        <v>88.25</v>
      </c>
      <c r="J37" t="s">
        <v>59</v>
      </c>
    </row>
    <row r="38" spans="1:12" ht="15.75" thickBot="1" x14ac:dyDescent="0.3">
      <c r="A38" s="143"/>
      <c r="B38">
        <v>1</v>
      </c>
      <c r="C38" s="12" t="str">
        <f>+AVANCE!B37</f>
        <v>1 - VERA ERNESTO</v>
      </c>
      <c r="D38" s="22">
        <f t="shared" si="0"/>
        <v>0.13385826771653545</v>
      </c>
      <c r="E38" s="13">
        <v>60</v>
      </c>
      <c r="F38" s="12">
        <f t="shared" si="1"/>
        <v>-43</v>
      </c>
      <c r="G38" s="13">
        <f>VLOOKUP(B38,'Base Cobertura'!$A:$C,3,FALSE)</f>
        <v>127</v>
      </c>
      <c r="H38" s="13">
        <f>VLOOKUP(B38,'Base Cobertura'!$A:$C,2,FALSE)</f>
        <v>17</v>
      </c>
      <c r="I38" s="17">
        <f t="shared" si="2"/>
        <v>90.95</v>
      </c>
      <c r="J38" t="s">
        <v>55</v>
      </c>
      <c r="K38" t="s">
        <v>55</v>
      </c>
    </row>
    <row r="39" spans="1:12" ht="15.75" thickBot="1" x14ac:dyDescent="0.3">
      <c r="A39" s="144"/>
      <c r="C39" s="9"/>
      <c r="D39" s="23"/>
      <c r="E39" s="14"/>
      <c r="F39" s="8">
        <f>+SUM(F26:F38)</f>
        <v>-541</v>
      </c>
      <c r="G39" s="8">
        <f>+SUM(G26:G38)</f>
        <v>1942</v>
      </c>
      <c r="H39" s="8">
        <f>+SUM(H26:H38)</f>
        <v>181</v>
      </c>
      <c r="I39" s="8"/>
    </row>
    <row r="40" spans="1:12" x14ac:dyDescent="0.25">
      <c r="A40" s="145" t="s">
        <v>278</v>
      </c>
      <c r="B40">
        <v>58</v>
      </c>
      <c r="C40" s="151" t="s">
        <v>145</v>
      </c>
      <c r="D40" s="22">
        <f t="shared" ref="D40:D46" si="4">H40/G40</f>
        <v>0</v>
      </c>
      <c r="E40" s="13">
        <v>60</v>
      </c>
      <c r="F40" s="12">
        <f t="shared" ref="F40:F46" si="5">+H40-E40</f>
        <v>-60</v>
      </c>
      <c r="G40" s="13">
        <f>VLOOKUP(B40,'Base Cobertura'!$A:$C,3,FALSE)</f>
        <v>122</v>
      </c>
      <c r="H40" s="13">
        <f>VLOOKUP(B40,'Base Cobertura'!$A:$C,2,FALSE)</f>
        <v>0</v>
      </c>
      <c r="I40" s="17">
        <f t="shared" ref="I40:I46" si="6">(+G40*$M$2)-H40</f>
        <v>103.7</v>
      </c>
    </row>
    <row r="41" spans="1:12" x14ac:dyDescent="0.25">
      <c r="A41" s="152"/>
      <c r="B41">
        <v>59</v>
      </c>
      <c r="C41" s="151" t="s">
        <v>146</v>
      </c>
      <c r="D41" s="22">
        <f t="shared" si="4"/>
        <v>0</v>
      </c>
      <c r="E41" s="13">
        <v>60</v>
      </c>
      <c r="F41" s="12">
        <f t="shared" si="5"/>
        <v>-60</v>
      </c>
      <c r="G41" s="13">
        <f>VLOOKUP(B41,'Base Cobertura'!$A:$C,3,FALSE)</f>
        <v>124</v>
      </c>
      <c r="H41" s="13">
        <f>VLOOKUP(B41,'Base Cobertura'!$A:$C,2,FALSE)</f>
        <v>0</v>
      </c>
      <c r="I41" s="17">
        <f t="shared" si="6"/>
        <v>105.39999999999999</v>
      </c>
    </row>
    <row r="42" spans="1:12" x14ac:dyDescent="0.25">
      <c r="A42" s="152"/>
      <c r="B42">
        <v>49</v>
      </c>
      <c r="C42" s="151" t="s">
        <v>107</v>
      </c>
      <c r="D42" s="22">
        <f t="shared" si="4"/>
        <v>0</v>
      </c>
      <c r="E42" s="13">
        <v>60</v>
      </c>
      <c r="F42" s="12">
        <f t="shared" si="5"/>
        <v>-60</v>
      </c>
      <c r="G42" s="13">
        <f>VLOOKUP(B42,'Base Cobertura'!$A:$C,3,FALSE)</f>
        <v>243</v>
      </c>
      <c r="H42" s="13">
        <f>VLOOKUP(B42,'Base Cobertura'!$A:$C,2,FALSE)</f>
        <v>0</v>
      </c>
      <c r="I42" s="17">
        <f t="shared" si="6"/>
        <v>206.54999999999998</v>
      </c>
    </row>
    <row r="43" spans="1:12" x14ac:dyDescent="0.25">
      <c r="A43" s="152"/>
      <c r="B43">
        <v>56</v>
      </c>
      <c r="C43" s="151" t="s">
        <v>140</v>
      </c>
      <c r="D43" s="22">
        <f t="shared" si="4"/>
        <v>0.19289340101522842</v>
      </c>
      <c r="E43" s="13">
        <v>60</v>
      </c>
      <c r="F43" s="12">
        <f t="shared" si="5"/>
        <v>-22</v>
      </c>
      <c r="G43" s="13">
        <f>VLOOKUP(B43,'Base Cobertura'!$A:$C,3,FALSE)</f>
        <v>197</v>
      </c>
      <c r="H43" s="13">
        <f>VLOOKUP(B43,'Base Cobertura'!$A:$C,2,FALSE)</f>
        <v>38</v>
      </c>
      <c r="I43" s="17">
        <f t="shared" si="6"/>
        <v>129.44999999999999</v>
      </c>
    </row>
    <row r="44" spans="1:12" x14ac:dyDescent="0.25">
      <c r="A44" s="152"/>
      <c r="B44">
        <v>26</v>
      </c>
      <c r="C44" s="151" t="s">
        <v>275</v>
      </c>
      <c r="D44" s="22">
        <f t="shared" si="4"/>
        <v>0</v>
      </c>
      <c r="E44" s="13">
        <v>60</v>
      </c>
      <c r="F44" s="12">
        <f t="shared" si="5"/>
        <v>-60</v>
      </c>
      <c r="G44" s="13">
        <f>VLOOKUP(B44,'Base Cobertura'!$A:$C,3,FALSE)</f>
        <v>166</v>
      </c>
      <c r="H44" s="13">
        <f>VLOOKUP(B44,'Base Cobertura'!$A:$C,2,FALSE)</f>
        <v>0</v>
      </c>
      <c r="I44" s="17">
        <f t="shared" si="6"/>
        <v>141.1</v>
      </c>
    </row>
    <row r="45" spans="1:12" x14ac:dyDescent="0.25">
      <c r="A45" s="152"/>
      <c r="B45">
        <v>25</v>
      </c>
      <c r="C45" s="151" t="s">
        <v>276</v>
      </c>
      <c r="D45" s="22">
        <f t="shared" si="4"/>
        <v>0</v>
      </c>
      <c r="E45" s="13">
        <v>60</v>
      </c>
      <c r="F45" s="12">
        <f t="shared" si="5"/>
        <v>-60</v>
      </c>
      <c r="G45" s="13">
        <f>VLOOKUP(B45,'Base Cobertura'!$A:$C,3,FALSE)</f>
        <v>172</v>
      </c>
      <c r="H45" s="13">
        <f>VLOOKUP(B45,'Base Cobertura'!$A:$C,2,FALSE)</f>
        <v>0</v>
      </c>
      <c r="I45" s="17">
        <f t="shared" si="6"/>
        <v>146.19999999999999</v>
      </c>
    </row>
    <row r="46" spans="1:12" ht="15.75" thickBot="1" x14ac:dyDescent="0.3">
      <c r="A46" s="152"/>
      <c r="B46">
        <v>43</v>
      </c>
      <c r="C46" s="151" t="s">
        <v>277</v>
      </c>
      <c r="D46" s="22">
        <f t="shared" si="4"/>
        <v>0</v>
      </c>
      <c r="E46" s="13">
        <v>60</v>
      </c>
      <c r="F46" s="12">
        <f t="shared" si="5"/>
        <v>-60</v>
      </c>
      <c r="G46" s="13">
        <f>VLOOKUP(B46,'Base Cobertura'!$A:$C,3,FALSE)</f>
        <v>93</v>
      </c>
      <c r="H46" s="13">
        <f>VLOOKUP(B46,'Base Cobertura'!$A:$C,2,FALSE)</f>
        <v>0</v>
      </c>
      <c r="I46" s="17">
        <f t="shared" si="6"/>
        <v>79.05</v>
      </c>
    </row>
    <row r="47" spans="1:12" ht="15.75" thickBot="1" x14ac:dyDescent="0.3">
      <c r="A47" s="150"/>
      <c r="C47" s="9"/>
      <c r="D47" s="23"/>
      <c r="E47" s="13"/>
      <c r="F47" s="12"/>
      <c r="G47" s="8">
        <f>+SUM(G34:G46)</f>
        <v>3726</v>
      </c>
      <c r="H47" s="8">
        <f>+SUM(H34:H46)</f>
        <v>263</v>
      </c>
      <c r="I47" s="8"/>
      <c r="L47" t="s">
        <v>68</v>
      </c>
    </row>
    <row r="48" spans="1:12" x14ac:dyDescent="0.25">
      <c r="A48" s="11" t="s">
        <v>42</v>
      </c>
      <c r="C48" s="11"/>
      <c r="D48" s="24"/>
      <c r="E48" s="6"/>
      <c r="F48" s="8">
        <f>+SUM(F39+F25+F15)</f>
        <v>-1725</v>
      </c>
      <c r="G48" s="8">
        <f>+G15+G25+G39</f>
        <v>5707</v>
      </c>
      <c r="H48" s="8">
        <f>+H15+H25+H39</f>
        <v>603</v>
      </c>
      <c r="I48" s="8"/>
      <c r="L48" s="1">
        <f>+H48/G48</f>
        <v>0.10565971613807605</v>
      </c>
    </row>
  </sheetData>
  <autoFilter ref="C1:N48" xr:uid="{00000000-0001-0000-0500-000000000000}"/>
  <mergeCells count="4">
    <mergeCell ref="A2:A15"/>
    <mergeCell ref="A16:A25"/>
    <mergeCell ref="A26:A39"/>
    <mergeCell ref="A40:A46"/>
  </mergeCells>
  <conditionalFormatting sqref="D2:D14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D16:D2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26:D38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40:D46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P2" xr:uid="{5194BFE1-80DD-4D0E-B7F8-7B3CCE97CF1A}">
      <formula1>$B:$B</formula1>
    </dataValidation>
  </dataValidations>
  <pageMargins left="0.7" right="0.7" top="0.75" bottom="0.75" header="0.3" footer="0.3"/>
  <pageSetup orientation="portrait" r:id="rId1"/>
  <ignoredErrors>
    <ignoredError sqref="F15 F2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66A7-E820-4ED8-B174-FEA4C003CCEA}">
  <dimension ref="A1:C41"/>
  <sheetViews>
    <sheetView topLeftCell="B1" zoomScale="80" zoomScaleNormal="80" workbookViewId="0">
      <selection activeCell="B39" sqref="B39"/>
    </sheetView>
  </sheetViews>
  <sheetFormatPr baseColWidth="10" defaultRowHeight="15" x14ac:dyDescent="0.25"/>
  <cols>
    <col min="1" max="1" width="0" hidden="1" customWidth="1"/>
    <col min="2" max="2" width="47.85546875" bestFit="1" customWidth="1"/>
    <col min="3" max="3" width="29.7109375" style="45" bestFit="1" customWidth="1"/>
  </cols>
  <sheetData>
    <row r="1" spans="1:3" ht="15.75" thickBot="1" x14ac:dyDescent="0.3">
      <c r="B1" s="43" t="s">
        <v>30</v>
      </c>
      <c r="C1" s="49" t="s">
        <v>138</v>
      </c>
    </row>
    <row r="2" spans="1:3" ht="16.5" thickBot="1" x14ac:dyDescent="0.3">
      <c r="A2">
        <v>20</v>
      </c>
      <c r="B2" s="36" t="s">
        <v>95</v>
      </c>
      <c r="C2" s="46">
        <f>IFERROR(VLOOKUP(A2,'Base venta C'!$E:$P,12,FALSE),"0")*1</f>
        <v>343887.46</v>
      </c>
    </row>
    <row r="3" spans="1:3" ht="16.5" thickBot="1" x14ac:dyDescent="0.3">
      <c r="A3">
        <v>19</v>
      </c>
      <c r="B3" s="36" t="s">
        <v>94</v>
      </c>
      <c r="C3" s="46">
        <f>IFERROR(VLOOKUP(A3,'Base venta C'!$E:$P,12,FALSE),"0")*1</f>
        <v>365262.82</v>
      </c>
    </row>
    <row r="4" spans="1:3" ht="16.5" thickBot="1" x14ac:dyDescent="0.3">
      <c r="A4">
        <v>16</v>
      </c>
      <c r="B4" s="36" t="s">
        <v>92</v>
      </c>
      <c r="C4" s="46">
        <f>IFERROR(VLOOKUP(A4,'Base venta C'!$E:$P,12,FALSE),"0")*1</f>
        <v>271002.40000000002</v>
      </c>
    </row>
    <row r="5" spans="1:3" ht="16.5" thickBot="1" x14ac:dyDescent="0.3">
      <c r="A5">
        <v>12</v>
      </c>
      <c r="B5" s="36" t="s">
        <v>90</v>
      </c>
      <c r="C5" s="46">
        <f>IFERROR(VLOOKUP(A5,'Base venta C'!$E:$P,12,FALSE),"0")*1</f>
        <v>284624.48</v>
      </c>
    </row>
    <row r="6" spans="1:3" ht="16.5" thickBot="1" x14ac:dyDescent="0.3">
      <c r="A6">
        <v>11</v>
      </c>
      <c r="B6" s="36" t="s">
        <v>89</v>
      </c>
      <c r="C6" s="46">
        <f>IFERROR(VLOOKUP(A6,'Base venta C'!$E:$P,12,FALSE),"0")*1</f>
        <v>166886.04999999999</v>
      </c>
    </row>
    <row r="7" spans="1:3" ht="16.5" thickBot="1" x14ac:dyDescent="0.3">
      <c r="A7">
        <v>8</v>
      </c>
      <c r="B7" s="36" t="s">
        <v>86</v>
      </c>
      <c r="C7" s="46">
        <f>IFERROR(VLOOKUP(A7,'Base venta C'!$E:$P,12,FALSE),"0")*1</f>
        <v>284846.64</v>
      </c>
    </row>
    <row r="8" spans="1:3" ht="16.5" thickBot="1" x14ac:dyDescent="0.3">
      <c r="A8">
        <v>5</v>
      </c>
      <c r="B8" s="36" t="s">
        <v>85</v>
      </c>
      <c r="C8" s="46">
        <f>IFERROR(VLOOKUP(A8,'Base venta C'!$E:$P,12,FALSE),"0")*1</f>
        <v>322216.7</v>
      </c>
    </row>
    <row r="9" spans="1:3" ht="15.75" x14ac:dyDescent="0.25">
      <c r="A9">
        <v>4</v>
      </c>
      <c r="B9" s="36" t="s">
        <v>84</v>
      </c>
      <c r="C9" s="46">
        <f>IFERROR(VLOOKUP(A9,'Base venta C'!$E:$P,12,FALSE),"0")*1</f>
        <v>875228.78</v>
      </c>
    </row>
    <row r="10" spans="1:3" ht="16.5" thickBot="1" x14ac:dyDescent="0.3">
      <c r="B10" s="18" t="s">
        <v>51</v>
      </c>
      <c r="C10" s="50"/>
    </row>
    <row r="11" spans="1:3" ht="16.5" thickBot="1" x14ac:dyDescent="0.3">
      <c r="A11">
        <v>22</v>
      </c>
      <c r="B11" s="36" t="s">
        <v>97</v>
      </c>
      <c r="C11" s="46">
        <f>IFERROR(VLOOKUP(A11,'Base venta C'!$E:$P,12,FALSE),"0")*1</f>
        <v>270784.37</v>
      </c>
    </row>
    <row r="12" spans="1:3" ht="16.5" thickBot="1" x14ac:dyDescent="0.3">
      <c r="A12">
        <v>49</v>
      </c>
      <c r="B12" s="36" t="s">
        <v>107</v>
      </c>
      <c r="C12" s="46">
        <f>IFERROR(VLOOKUP(A12,'Base venta C'!$E:$P,12,FALSE),"0")*1</f>
        <v>76349.440000000002</v>
      </c>
    </row>
    <row r="13" spans="1:3" ht="16.5" thickBot="1" x14ac:dyDescent="0.3">
      <c r="A13">
        <v>15</v>
      </c>
      <c r="B13" s="36" t="s">
        <v>91</v>
      </c>
      <c r="C13" s="46">
        <f>IFERROR(VLOOKUP(A13,'Base venta C'!$E:$P,12,FALSE),"0")*1</f>
        <v>1329007.27</v>
      </c>
    </row>
    <row r="14" spans="1:3" ht="16.5" thickBot="1" x14ac:dyDescent="0.3">
      <c r="A14">
        <v>52</v>
      </c>
      <c r="B14" s="36" t="s">
        <v>112</v>
      </c>
      <c r="C14" s="46">
        <f>IFERROR(VLOOKUP(A14,'Base venta C'!$E:$P,12,FALSE),"0")*1</f>
        <v>155315.73000000001</v>
      </c>
    </row>
    <row r="15" spans="1:3" ht="15.75" x14ac:dyDescent="0.25">
      <c r="A15">
        <v>53</v>
      </c>
      <c r="B15" s="36" t="s">
        <v>108</v>
      </c>
      <c r="C15" s="46">
        <f>IFERROR(VLOOKUP(A15,'Base venta C'!$E:$P,12,FALSE),"0")*1</f>
        <v>833691.44</v>
      </c>
    </row>
    <row r="16" spans="1:3" ht="16.5" thickBot="1" x14ac:dyDescent="0.3">
      <c r="B16" s="18" t="s">
        <v>52</v>
      </c>
      <c r="C16" s="50"/>
    </row>
    <row r="17" spans="1:3" ht="16.5" thickBot="1" x14ac:dyDescent="0.3">
      <c r="A17">
        <v>2</v>
      </c>
      <c r="B17" s="19" t="s">
        <v>82</v>
      </c>
      <c r="C17" s="46">
        <f>IFERROR(VLOOKUP(A17,'Base venta C'!$E:$P,12,FALSE),"0")*1</f>
        <v>355809.05</v>
      </c>
    </row>
    <row r="18" spans="1:3" ht="16.5" thickBot="1" x14ac:dyDescent="0.3">
      <c r="A18">
        <v>3</v>
      </c>
      <c r="B18" s="19" t="s">
        <v>83</v>
      </c>
      <c r="C18" s="46">
        <f>IFERROR(VLOOKUP(A18,'Base venta C'!$E:$P,12,FALSE),"0")*1</f>
        <v>461503.95</v>
      </c>
    </row>
    <row r="19" spans="1:3" ht="16.5" thickBot="1" x14ac:dyDescent="0.3">
      <c r="A19">
        <v>18</v>
      </c>
      <c r="B19" s="19" t="s">
        <v>93</v>
      </c>
      <c r="C19" s="46">
        <f>IFERROR(VLOOKUP(A19,'Base venta C'!$E:$P,12,FALSE),"0")*1</f>
        <v>465462.81</v>
      </c>
    </row>
    <row r="20" spans="1:3" ht="16.5" thickBot="1" x14ac:dyDescent="0.3">
      <c r="A20">
        <v>21</v>
      </c>
      <c r="B20" s="19" t="s">
        <v>96</v>
      </c>
      <c r="C20" s="46">
        <f>IFERROR(VLOOKUP(A20,'Base venta C'!$E:$P,12,FALSE),"0")*1</f>
        <v>300786.17</v>
      </c>
    </row>
    <row r="21" spans="1:3" ht="16.5" thickBot="1" x14ac:dyDescent="0.3">
      <c r="A21">
        <v>23</v>
      </c>
      <c r="B21" s="19" t="s">
        <v>98</v>
      </c>
      <c r="C21" s="46">
        <f>IFERROR(VLOOKUP(A21,'Base venta C'!$E:$P,12,FALSE),"0")*1</f>
        <v>517438.51</v>
      </c>
    </row>
    <row r="22" spans="1:3" ht="16.5" thickBot="1" x14ac:dyDescent="0.3">
      <c r="A22">
        <v>31</v>
      </c>
      <c r="B22" s="19" t="s">
        <v>101</v>
      </c>
      <c r="C22" s="46">
        <f>IFERROR(VLOOKUP(A22,'Base venta C'!$E:$P,12,FALSE),"0")*1</f>
        <v>346898.23</v>
      </c>
    </row>
    <row r="23" spans="1:3" ht="16.5" thickBot="1" x14ac:dyDescent="0.3">
      <c r="A23">
        <v>44</v>
      </c>
      <c r="B23" s="19" t="s">
        <v>106</v>
      </c>
      <c r="C23" s="46">
        <f>IFERROR(VLOOKUP(A23,'Base venta C'!$E:$P,12,FALSE),"0")*1</f>
        <v>475747.4</v>
      </c>
    </row>
    <row r="24" spans="1:3" ht="16.5" thickBot="1" x14ac:dyDescent="0.3">
      <c r="A24">
        <v>54</v>
      </c>
      <c r="B24" s="19" t="s">
        <v>109</v>
      </c>
      <c r="C24" s="46">
        <f>IFERROR(VLOOKUP(A24,'Base venta C'!$E:$P,12,FALSE),"0")*1</f>
        <v>394891.73</v>
      </c>
    </row>
    <row r="25" spans="1:3" ht="15.75" x14ac:dyDescent="0.25">
      <c r="A25">
        <v>56</v>
      </c>
      <c r="B25" s="19" t="s">
        <v>140</v>
      </c>
      <c r="C25" s="46">
        <f>IFERROR(VLOOKUP(A25,'Base venta C'!$E:$P,12,FALSE),"0")*1</f>
        <v>254599.35</v>
      </c>
    </row>
    <row r="26" spans="1:3" ht="16.5" thickBot="1" x14ac:dyDescent="0.3">
      <c r="B26" s="20" t="s">
        <v>38</v>
      </c>
      <c r="C26" s="50"/>
    </row>
    <row r="27" spans="1:3" ht="16.5" thickBot="1" x14ac:dyDescent="0.3">
      <c r="A27">
        <v>32</v>
      </c>
      <c r="B27" s="37" t="s">
        <v>102</v>
      </c>
      <c r="C27" s="46">
        <f>IFERROR(VLOOKUP(A27,'Base venta C'!$E:$P,12,FALSE),"0")*1</f>
        <v>357064.39</v>
      </c>
    </row>
    <row r="28" spans="1:3" ht="16.5" thickBot="1" x14ac:dyDescent="0.3">
      <c r="A28">
        <v>36</v>
      </c>
      <c r="B28" s="36" t="s">
        <v>103</v>
      </c>
      <c r="C28" s="46">
        <f>IFERROR(VLOOKUP(A28,'Base venta C'!$E:$P,12,FALSE),"0")*1</f>
        <v>228911.14</v>
      </c>
    </row>
    <row r="29" spans="1:3" ht="16.5" thickBot="1" x14ac:dyDescent="0.3">
      <c r="A29">
        <v>9</v>
      </c>
      <c r="B29" s="36" t="s">
        <v>87</v>
      </c>
      <c r="C29" s="46">
        <f>IFERROR(VLOOKUP(A29,'Base venta C'!$E:$P,12,FALSE),"0")*1</f>
        <v>449396.93</v>
      </c>
    </row>
    <row r="30" spans="1:3" ht="16.5" thickBot="1" x14ac:dyDescent="0.3">
      <c r="A30">
        <v>40</v>
      </c>
      <c r="B30" s="36" t="s">
        <v>105</v>
      </c>
      <c r="C30" s="46">
        <f>IFERROR(VLOOKUP(A30,'Base venta C'!$E:$P,12,FALSE),"0")*1</f>
        <v>259074.86</v>
      </c>
    </row>
    <row r="31" spans="1:3" ht="16.5" thickBot="1" x14ac:dyDescent="0.3">
      <c r="A31">
        <v>27</v>
      </c>
      <c r="B31" s="36" t="s">
        <v>99</v>
      </c>
      <c r="C31" s="46">
        <f>IFERROR(VLOOKUP(A31,'Base venta C'!$E:$P,12,FALSE),"0")*1</f>
        <v>315929.46999999997</v>
      </c>
    </row>
    <row r="32" spans="1:3" ht="16.5" thickBot="1" x14ac:dyDescent="0.3">
      <c r="A32">
        <v>10</v>
      </c>
      <c r="B32" s="36" t="s">
        <v>88</v>
      </c>
      <c r="C32" s="46">
        <f>IFERROR(VLOOKUP(A32,'Base venta C'!$E:$P,12,FALSE),"0")*1</f>
        <v>385757.33</v>
      </c>
    </row>
    <row r="33" spans="1:3" ht="16.5" thickBot="1" x14ac:dyDescent="0.3">
      <c r="A33">
        <v>28</v>
      </c>
      <c r="B33" s="36" t="s">
        <v>100</v>
      </c>
      <c r="C33" s="46">
        <f>IFERROR(VLOOKUP(A33,'Base venta C'!$E:$P,12,FALSE),"0")*1</f>
        <v>216785.26</v>
      </c>
    </row>
    <row r="34" spans="1:3" ht="16.5" thickBot="1" x14ac:dyDescent="0.3">
      <c r="A34">
        <v>33</v>
      </c>
      <c r="B34" s="36" t="s">
        <v>139</v>
      </c>
      <c r="C34" s="46">
        <f>IFERROR(VLOOKUP(A34,'Base venta C'!$E:$P,12,FALSE),"0")*1</f>
        <v>218111.24</v>
      </c>
    </row>
    <row r="35" spans="1:3" ht="16.5" thickBot="1" x14ac:dyDescent="0.3">
      <c r="A35">
        <v>37</v>
      </c>
      <c r="B35" s="19" t="s">
        <v>104</v>
      </c>
      <c r="C35" s="46">
        <f>IFERROR(VLOOKUP(A35,'Base venta C'!$E:$P,12,FALSE),"0")*1</f>
        <v>160532.76</v>
      </c>
    </row>
    <row r="36" spans="1:3" ht="16.5" thickBot="1" x14ac:dyDescent="0.3">
      <c r="A36">
        <v>24</v>
      </c>
      <c r="B36" s="36" t="s">
        <v>113</v>
      </c>
      <c r="C36" s="46">
        <f>IFERROR(VLOOKUP(A36,'Base venta C'!$E:$P,12,FALSE),"0")*1</f>
        <v>294217.65999999997</v>
      </c>
    </row>
    <row r="37" spans="1:3" ht="16.5" thickBot="1" x14ac:dyDescent="0.3">
      <c r="A37">
        <v>7</v>
      </c>
      <c r="B37" s="36" t="s">
        <v>111</v>
      </c>
      <c r="C37" s="46">
        <f>IFERROR(VLOOKUP(A37,'Base venta C'!$E:$P,12,FALSE),"0")*1</f>
        <v>264122.84999999998</v>
      </c>
    </row>
    <row r="38" spans="1:3" ht="16.5" thickBot="1" x14ac:dyDescent="0.3">
      <c r="A38">
        <v>57</v>
      </c>
      <c r="B38" s="36" t="s">
        <v>110</v>
      </c>
      <c r="C38" s="46">
        <f>IFERROR(VLOOKUP(A38,'Base venta C'!$E:$P,12,FALSE),"0")*1</f>
        <v>62179.29</v>
      </c>
    </row>
    <row r="39" spans="1:3" ht="15.75" x14ac:dyDescent="0.25">
      <c r="A39">
        <v>1</v>
      </c>
      <c r="B39" s="36" t="s">
        <v>81</v>
      </c>
      <c r="C39" s="46">
        <f>IFERROR(VLOOKUP(A39,'Base venta C'!$E:$P,12,FALSE),"0")*1</f>
        <v>1671221.44</v>
      </c>
    </row>
    <row r="40" spans="1:3" ht="16.5" thickBot="1" x14ac:dyDescent="0.3">
      <c r="B40" s="3" t="s">
        <v>216</v>
      </c>
      <c r="C40" s="44"/>
    </row>
    <row r="41" spans="1:3" ht="15.75" x14ac:dyDescent="0.25">
      <c r="B41" s="48" t="s">
        <v>42</v>
      </c>
      <c r="C41" s="4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D482-9307-4314-B956-19CB7F4A5E07}">
  <dimension ref="A1:I407"/>
  <sheetViews>
    <sheetView workbookViewId="0">
      <selection activeCell="F2" sqref="F2:I407"/>
    </sheetView>
  </sheetViews>
  <sheetFormatPr baseColWidth="10" defaultRowHeight="15" x14ac:dyDescent="0.25"/>
  <cols>
    <col min="1" max="1" width="23.7109375" bestFit="1" customWidth="1"/>
    <col min="6" max="6" width="29.42578125" bestFit="1" customWidth="1"/>
  </cols>
  <sheetData>
    <row r="1" spans="1:9" x14ac:dyDescent="0.25">
      <c r="A1" t="s">
        <v>141</v>
      </c>
      <c r="F1" t="s">
        <v>142</v>
      </c>
    </row>
    <row r="2" spans="1:9" x14ac:dyDescent="0.25">
      <c r="A2" t="s">
        <v>77</v>
      </c>
      <c r="B2" t="s">
        <v>78</v>
      </c>
      <c r="C2" t="s">
        <v>79</v>
      </c>
      <c r="F2" t="s">
        <v>77</v>
      </c>
      <c r="G2" t="s">
        <v>74</v>
      </c>
      <c r="H2" t="s">
        <v>78</v>
      </c>
      <c r="I2" t="s">
        <v>79</v>
      </c>
    </row>
    <row r="3" spans="1:9" x14ac:dyDescent="0.25">
      <c r="B3" s="51">
        <v>1</v>
      </c>
      <c r="C3" s="51">
        <v>3478</v>
      </c>
      <c r="G3" t="s">
        <v>280</v>
      </c>
      <c r="H3" s="51">
        <v>1</v>
      </c>
      <c r="I3" s="51">
        <v>3478</v>
      </c>
    </row>
    <row r="4" spans="1:9" x14ac:dyDescent="0.25">
      <c r="A4">
        <v>1</v>
      </c>
      <c r="B4" s="51">
        <v>17</v>
      </c>
      <c r="C4" s="51">
        <v>127</v>
      </c>
      <c r="G4" t="s">
        <v>281</v>
      </c>
      <c r="I4" s="51">
        <v>3478</v>
      </c>
    </row>
    <row r="5" spans="1:9" x14ac:dyDescent="0.25">
      <c r="A5">
        <v>10</v>
      </c>
      <c r="B5" s="51">
        <v>19</v>
      </c>
      <c r="C5" s="51">
        <v>183</v>
      </c>
      <c r="G5" t="s">
        <v>282</v>
      </c>
      <c r="H5" s="51"/>
      <c r="I5" s="51">
        <v>3478</v>
      </c>
    </row>
    <row r="6" spans="1:9" x14ac:dyDescent="0.25">
      <c r="A6">
        <v>100</v>
      </c>
      <c r="B6" s="51">
        <v>14</v>
      </c>
      <c r="C6" s="51">
        <v>2030</v>
      </c>
      <c r="G6" t="s">
        <v>283</v>
      </c>
      <c r="H6" s="51"/>
      <c r="I6" s="51">
        <v>3478</v>
      </c>
    </row>
    <row r="7" spans="1:9" x14ac:dyDescent="0.25">
      <c r="A7">
        <v>11</v>
      </c>
      <c r="B7" s="51">
        <v>32</v>
      </c>
      <c r="C7" s="51">
        <v>169</v>
      </c>
      <c r="G7" t="s">
        <v>284</v>
      </c>
      <c r="H7" s="51"/>
      <c r="I7" s="51">
        <v>3478</v>
      </c>
    </row>
    <row r="8" spans="1:9" x14ac:dyDescent="0.25">
      <c r="A8">
        <v>12</v>
      </c>
      <c r="B8" s="51">
        <v>24</v>
      </c>
      <c r="C8" s="51">
        <v>214</v>
      </c>
      <c r="G8" t="s">
        <v>285</v>
      </c>
      <c r="H8" s="51">
        <v>1</v>
      </c>
      <c r="I8" s="51">
        <v>3478</v>
      </c>
    </row>
    <row r="9" spans="1:9" x14ac:dyDescent="0.25">
      <c r="A9">
        <v>123</v>
      </c>
      <c r="B9" s="51">
        <v>16</v>
      </c>
      <c r="C9" s="51">
        <v>491</v>
      </c>
      <c r="G9" t="s">
        <v>286</v>
      </c>
      <c r="H9" s="51">
        <v>1</v>
      </c>
      <c r="I9" s="51">
        <v>3478</v>
      </c>
    </row>
    <row r="10" spans="1:9" x14ac:dyDescent="0.25">
      <c r="A10">
        <v>15</v>
      </c>
      <c r="B10" s="51">
        <v>4</v>
      </c>
      <c r="C10" s="51">
        <v>65</v>
      </c>
      <c r="G10" t="s">
        <v>287</v>
      </c>
      <c r="I10" s="51">
        <v>3478</v>
      </c>
    </row>
    <row r="11" spans="1:9" x14ac:dyDescent="0.25">
      <c r="A11">
        <v>16</v>
      </c>
      <c r="B11" s="51">
        <v>22</v>
      </c>
      <c r="C11" s="51">
        <v>199</v>
      </c>
      <c r="G11" t="s">
        <v>288</v>
      </c>
      <c r="H11" s="51"/>
      <c r="I11" s="51">
        <v>3478</v>
      </c>
    </row>
    <row r="12" spans="1:9" x14ac:dyDescent="0.25">
      <c r="A12">
        <v>18</v>
      </c>
      <c r="B12" s="51">
        <v>23</v>
      </c>
      <c r="C12" s="51">
        <v>180</v>
      </c>
      <c r="E12">
        <f>+F12</f>
        <v>1</v>
      </c>
      <c r="F12">
        <v>1</v>
      </c>
      <c r="G12" t="s">
        <v>280</v>
      </c>
      <c r="H12">
        <v>5</v>
      </c>
      <c r="I12" s="51">
        <v>127</v>
      </c>
    </row>
    <row r="13" spans="1:9" x14ac:dyDescent="0.25">
      <c r="A13">
        <v>19</v>
      </c>
      <c r="B13" s="51">
        <v>23</v>
      </c>
      <c r="C13" s="51">
        <v>208</v>
      </c>
      <c r="E13">
        <f>+$E$12</f>
        <v>1</v>
      </c>
      <c r="G13" t="s">
        <v>281</v>
      </c>
      <c r="H13" s="51">
        <v>6</v>
      </c>
      <c r="I13" s="51">
        <v>127</v>
      </c>
    </row>
    <row r="14" spans="1:9" x14ac:dyDescent="0.25">
      <c r="A14">
        <v>2</v>
      </c>
      <c r="B14" s="51">
        <v>22</v>
      </c>
      <c r="C14" s="51">
        <v>118</v>
      </c>
      <c r="E14">
        <f t="shared" ref="E14:E20" si="0">+$E$12</f>
        <v>1</v>
      </c>
      <c r="G14" t="s">
        <v>282</v>
      </c>
      <c r="H14" s="51">
        <v>8</v>
      </c>
      <c r="I14" s="51">
        <v>127</v>
      </c>
    </row>
    <row r="15" spans="1:9" x14ac:dyDescent="0.25">
      <c r="A15">
        <v>20</v>
      </c>
      <c r="B15" s="51">
        <v>29</v>
      </c>
      <c r="C15" s="51">
        <v>227</v>
      </c>
      <c r="E15">
        <f t="shared" si="0"/>
        <v>1</v>
      </c>
      <c r="G15" t="s">
        <v>283</v>
      </c>
      <c r="H15" s="51">
        <v>8</v>
      </c>
      <c r="I15" s="51">
        <v>127</v>
      </c>
    </row>
    <row r="16" spans="1:9" x14ac:dyDescent="0.25">
      <c r="A16">
        <v>21</v>
      </c>
      <c r="B16" s="51">
        <v>20</v>
      </c>
      <c r="C16" s="51">
        <v>171</v>
      </c>
      <c r="E16">
        <f t="shared" si="0"/>
        <v>1</v>
      </c>
      <c r="G16" t="s">
        <v>284</v>
      </c>
      <c r="H16" s="51">
        <v>9</v>
      </c>
      <c r="I16" s="51">
        <v>127</v>
      </c>
    </row>
    <row r="17" spans="1:9" x14ac:dyDescent="0.25">
      <c r="A17">
        <v>22</v>
      </c>
      <c r="B17" s="51">
        <v>9</v>
      </c>
      <c r="C17" s="51">
        <v>75</v>
      </c>
      <c r="E17">
        <f t="shared" si="0"/>
        <v>1</v>
      </c>
      <c r="G17" t="s">
        <v>285</v>
      </c>
      <c r="H17" s="51">
        <v>11</v>
      </c>
      <c r="I17" s="51">
        <v>127</v>
      </c>
    </row>
    <row r="18" spans="1:9" x14ac:dyDescent="0.25">
      <c r="A18">
        <v>23</v>
      </c>
      <c r="B18" s="51">
        <v>27</v>
      </c>
      <c r="C18" s="51">
        <v>154</v>
      </c>
      <c r="E18">
        <f t="shared" si="0"/>
        <v>1</v>
      </c>
      <c r="G18" t="s">
        <v>286</v>
      </c>
      <c r="H18" s="51">
        <v>3</v>
      </c>
      <c r="I18" s="51">
        <v>127</v>
      </c>
    </row>
    <row r="19" spans="1:9" x14ac:dyDescent="0.25">
      <c r="A19">
        <v>24</v>
      </c>
      <c r="B19" s="51">
        <v>16</v>
      </c>
      <c r="C19" s="51">
        <v>178</v>
      </c>
      <c r="E19">
        <f t="shared" si="0"/>
        <v>1</v>
      </c>
      <c r="G19" t="s">
        <v>287</v>
      </c>
      <c r="H19" s="51">
        <v>4</v>
      </c>
      <c r="I19" s="51">
        <v>127</v>
      </c>
    </row>
    <row r="20" spans="1:9" x14ac:dyDescent="0.25">
      <c r="A20">
        <v>25</v>
      </c>
      <c r="B20" s="51"/>
      <c r="C20" s="51">
        <v>172</v>
      </c>
      <c r="E20">
        <f t="shared" si="0"/>
        <v>1</v>
      </c>
      <c r="G20" t="s">
        <v>288</v>
      </c>
      <c r="H20">
        <v>5</v>
      </c>
      <c r="I20" s="51">
        <v>127</v>
      </c>
    </row>
    <row r="21" spans="1:9" x14ac:dyDescent="0.25">
      <c r="A21">
        <v>26</v>
      </c>
      <c r="B21" s="51"/>
      <c r="C21" s="51">
        <v>166</v>
      </c>
      <c r="E21">
        <f>+$F$21</f>
        <v>10</v>
      </c>
      <c r="F21">
        <v>10</v>
      </c>
      <c r="G21" t="s">
        <v>280</v>
      </c>
      <c r="H21" s="51">
        <v>2</v>
      </c>
      <c r="I21" s="51">
        <v>183</v>
      </c>
    </row>
    <row r="22" spans="1:9" x14ac:dyDescent="0.25">
      <c r="A22">
        <v>27</v>
      </c>
      <c r="B22" s="51">
        <v>23</v>
      </c>
      <c r="C22" s="51">
        <v>133</v>
      </c>
      <c r="E22">
        <f t="shared" ref="E22:E29" si="1">+$F$21</f>
        <v>10</v>
      </c>
      <c r="G22" t="s">
        <v>281</v>
      </c>
      <c r="H22" s="51">
        <v>2</v>
      </c>
      <c r="I22" s="51">
        <v>183</v>
      </c>
    </row>
    <row r="23" spans="1:9" x14ac:dyDescent="0.25">
      <c r="A23">
        <v>28</v>
      </c>
      <c r="B23" s="51">
        <v>19</v>
      </c>
      <c r="C23" s="51">
        <v>168</v>
      </c>
      <c r="E23">
        <f t="shared" si="1"/>
        <v>10</v>
      </c>
      <c r="G23" t="s">
        <v>282</v>
      </c>
      <c r="H23" s="51">
        <v>6</v>
      </c>
      <c r="I23" s="51">
        <v>183</v>
      </c>
    </row>
    <row r="24" spans="1:9" x14ac:dyDescent="0.25">
      <c r="A24">
        <v>3</v>
      </c>
      <c r="B24" s="51">
        <v>30</v>
      </c>
      <c r="C24" s="51">
        <v>170</v>
      </c>
      <c r="E24">
        <f t="shared" si="1"/>
        <v>10</v>
      </c>
      <c r="G24" t="s">
        <v>283</v>
      </c>
      <c r="H24" s="51">
        <v>9</v>
      </c>
      <c r="I24" s="51">
        <v>183</v>
      </c>
    </row>
    <row r="25" spans="1:9" x14ac:dyDescent="0.25">
      <c r="A25">
        <v>30</v>
      </c>
      <c r="B25" s="51">
        <v>5</v>
      </c>
      <c r="C25" s="51">
        <v>139</v>
      </c>
      <c r="E25">
        <f t="shared" si="1"/>
        <v>10</v>
      </c>
      <c r="G25" t="s">
        <v>284</v>
      </c>
      <c r="H25" s="51">
        <v>10</v>
      </c>
      <c r="I25" s="51">
        <v>183</v>
      </c>
    </row>
    <row r="26" spans="1:9" x14ac:dyDescent="0.25">
      <c r="A26">
        <v>31</v>
      </c>
      <c r="B26" s="51">
        <v>17</v>
      </c>
      <c r="C26" s="51">
        <v>161</v>
      </c>
      <c r="E26">
        <f t="shared" si="1"/>
        <v>10</v>
      </c>
      <c r="G26" t="s">
        <v>285</v>
      </c>
      <c r="H26" s="51">
        <v>5</v>
      </c>
      <c r="I26" s="51">
        <v>183</v>
      </c>
    </row>
    <row r="27" spans="1:9" x14ac:dyDescent="0.25">
      <c r="A27">
        <v>32</v>
      </c>
      <c r="B27" s="51">
        <v>2</v>
      </c>
      <c r="C27" s="51">
        <v>58</v>
      </c>
      <c r="E27">
        <f t="shared" si="1"/>
        <v>10</v>
      </c>
      <c r="G27" t="s">
        <v>286</v>
      </c>
      <c r="H27" s="51">
        <v>3</v>
      </c>
      <c r="I27" s="51">
        <v>183</v>
      </c>
    </row>
    <row r="28" spans="1:9" x14ac:dyDescent="0.25">
      <c r="A28">
        <v>33</v>
      </c>
      <c r="B28" s="51">
        <v>29</v>
      </c>
      <c r="C28" s="51">
        <v>167</v>
      </c>
      <c r="E28">
        <f t="shared" si="1"/>
        <v>10</v>
      </c>
      <c r="G28" t="s">
        <v>287</v>
      </c>
      <c r="H28" s="51">
        <v>1</v>
      </c>
      <c r="I28" s="51">
        <v>183</v>
      </c>
    </row>
    <row r="29" spans="1:9" x14ac:dyDescent="0.25">
      <c r="A29">
        <v>36</v>
      </c>
      <c r="B29" s="51">
        <v>13</v>
      </c>
      <c r="C29" s="51">
        <v>160</v>
      </c>
      <c r="E29">
        <f t="shared" si="1"/>
        <v>10</v>
      </c>
      <c r="G29" t="s">
        <v>288</v>
      </c>
      <c r="H29" s="51">
        <v>1</v>
      </c>
      <c r="I29" s="51">
        <v>183</v>
      </c>
    </row>
    <row r="30" spans="1:9" x14ac:dyDescent="0.25">
      <c r="A30">
        <v>37</v>
      </c>
      <c r="B30" s="51">
        <v>8</v>
      </c>
      <c r="C30" s="51">
        <v>142</v>
      </c>
      <c r="E30">
        <f>+$F$30</f>
        <v>100</v>
      </c>
      <c r="F30">
        <v>100</v>
      </c>
      <c r="G30" t="s">
        <v>280</v>
      </c>
      <c r="H30" s="51">
        <v>5</v>
      </c>
      <c r="I30" s="51">
        <v>2030</v>
      </c>
    </row>
    <row r="31" spans="1:9" x14ac:dyDescent="0.25">
      <c r="A31">
        <v>4</v>
      </c>
      <c r="B31" s="51">
        <v>19</v>
      </c>
      <c r="C31" s="51">
        <v>182</v>
      </c>
      <c r="E31">
        <f t="shared" ref="E31:E38" si="2">+$F$30</f>
        <v>100</v>
      </c>
      <c r="G31" t="s">
        <v>281</v>
      </c>
      <c r="H31" s="51">
        <v>3</v>
      </c>
      <c r="I31" s="51">
        <v>2030</v>
      </c>
    </row>
    <row r="32" spans="1:9" x14ac:dyDescent="0.25">
      <c r="A32">
        <v>40</v>
      </c>
      <c r="B32" s="51">
        <v>16</v>
      </c>
      <c r="C32" s="51">
        <v>250</v>
      </c>
      <c r="E32">
        <f t="shared" si="2"/>
        <v>100</v>
      </c>
      <c r="G32" t="s">
        <v>282</v>
      </c>
      <c r="H32" s="51">
        <v>2</v>
      </c>
      <c r="I32" s="51">
        <v>2030</v>
      </c>
    </row>
    <row r="33" spans="1:9" x14ac:dyDescent="0.25">
      <c r="A33">
        <v>42</v>
      </c>
      <c r="B33" s="51"/>
      <c r="C33" s="51">
        <v>52</v>
      </c>
      <c r="E33">
        <f t="shared" si="2"/>
        <v>100</v>
      </c>
      <c r="G33" t="s">
        <v>283</v>
      </c>
      <c r="H33" s="51">
        <v>4</v>
      </c>
      <c r="I33" s="51">
        <v>2030</v>
      </c>
    </row>
    <row r="34" spans="1:9" x14ac:dyDescent="0.25">
      <c r="A34">
        <v>43</v>
      </c>
      <c r="B34" s="51"/>
      <c r="C34" s="51">
        <v>93</v>
      </c>
      <c r="E34">
        <f t="shared" si="2"/>
        <v>100</v>
      </c>
      <c r="G34" t="s">
        <v>284</v>
      </c>
      <c r="H34" s="51">
        <v>7</v>
      </c>
      <c r="I34" s="51">
        <v>2030</v>
      </c>
    </row>
    <row r="35" spans="1:9" x14ac:dyDescent="0.25">
      <c r="A35">
        <v>44</v>
      </c>
      <c r="B35" s="51">
        <v>20</v>
      </c>
      <c r="C35" s="51">
        <v>172</v>
      </c>
      <c r="E35">
        <f t="shared" si="2"/>
        <v>100</v>
      </c>
      <c r="G35" t="s">
        <v>285</v>
      </c>
      <c r="H35" s="51">
        <v>5</v>
      </c>
      <c r="I35" s="51">
        <v>2030</v>
      </c>
    </row>
    <row r="36" spans="1:9" x14ac:dyDescent="0.25">
      <c r="A36">
        <v>49</v>
      </c>
      <c r="B36" s="51"/>
      <c r="C36" s="51">
        <v>243</v>
      </c>
      <c r="E36">
        <f t="shared" si="2"/>
        <v>100</v>
      </c>
      <c r="G36" t="s">
        <v>286</v>
      </c>
      <c r="H36" s="51">
        <v>2</v>
      </c>
      <c r="I36" s="51">
        <v>2030</v>
      </c>
    </row>
    <row r="37" spans="1:9" x14ac:dyDescent="0.25">
      <c r="A37">
        <v>5</v>
      </c>
      <c r="B37" s="51">
        <v>36</v>
      </c>
      <c r="C37" s="51">
        <v>261</v>
      </c>
      <c r="E37">
        <f t="shared" si="2"/>
        <v>100</v>
      </c>
      <c r="G37" t="s">
        <v>287</v>
      </c>
      <c r="H37" s="51">
        <v>1</v>
      </c>
      <c r="I37" s="51">
        <v>2030</v>
      </c>
    </row>
    <row r="38" spans="1:9" x14ac:dyDescent="0.25">
      <c r="A38">
        <v>52</v>
      </c>
      <c r="B38" s="51">
        <v>2</v>
      </c>
      <c r="C38" s="51">
        <v>102</v>
      </c>
      <c r="E38">
        <f t="shared" si="2"/>
        <v>100</v>
      </c>
      <c r="G38" t="s">
        <v>288</v>
      </c>
      <c r="H38" s="51">
        <v>1</v>
      </c>
      <c r="I38" s="51">
        <v>2030</v>
      </c>
    </row>
    <row r="39" spans="1:9" x14ac:dyDescent="0.25">
      <c r="A39">
        <v>53</v>
      </c>
      <c r="B39" s="51">
        <v>5</v>
      </c>
      <c r="C39" s="51">
        <v>105</v>
      </c>
      <c r="E39">
        <f>+$F$39</f>
        <v>11</v>
      </c>
      <c r="F39">
        <v>11</v>
      </c>
      <c r="G39" t="s">
        <v>280</v>
      </c>
      <c r="H39" s="51">
        <v>5</v>
      </c>
      <c r="I39" s="51">
        <v>169</v>
      </c>
    </row>
    <row r="40" spans="1:9" x14ac:dyDescent="0.25">
      <c r="A40">
        <v>54</v>
      </c>
      <c r="B40" s="51">
        <v>12</v>
      </c>
      <c r="C40" s="51">
        <v>197</v>
      </c>
      <c r="E40">
        <f t="shared" ref="E40:E47" si="3">+$F$39</f>
        <v>11</v>
      </c>
      <c r="G40" t="s">
        <v>281</v>
      </c>
      <c r="H40" s="51">
        <v>5</v>
      </c>
      <c r="I40" s="51">
        <v>169</v>
      </c>
    </row>
    <row r="41" spans="1:9" x14ac:dyDescent="0.25">
      <c r="A41">
        <v>56</v>
      </c>
      <c r="B41">
        <v>38</v>
      </c>
      <c r="C41" s="51">
        <v>197</v>
      </c>
      <c r="E41">
        <f t="shared" si="3"/>
        <v>11</v>
      </c>
      <c r="G41" t="s">
        <v>282</v>
      </c>
      <c r="H41" s="51">
        <v>15</v>
      </c>
      <c r="I41" s="51">
        <v>169</v>
      </c>
    </row>
    <row r="42" spans="1:9" x14ac:dyDescent="0.25">
      <c r="A42">
        <v>57</v>
      </c>
      <c r="B42" s="51">
        <v>1</v>
      </c>
      <c r="C42" s="51">
        <v>105</v>
      </c>
      <c r="E42">
        <f t="shared" si="3"/>
        <v>11</v>
      </c>
      <c r="G42" t="s">
        <v>283</v>
      </c>
      <c r="H42" s="51">
        <v>13</v>
      </c>
      <c r="I42" s="51">
        <v>169</v>
      </c>
    </row>
    <row r="43" spans="1:9" x14ac:dyDescent="0.25">
      <c r="A43">
        <v>58</v>
      </c>
      <c r="B43" s="51"/>
      <c r="C43" s="51">
        <v>122</v>
      </c>
      <c r="E43">
        <f t="shared" si="3"/>
        <v>11</v>
      </c>
      <c r="G43" t="s">
        <v>284</v>
      </c>
      <c r="H43" s="51">
        <v>11</v>
      </c>
      <c r="I43" s="51">
        <v>169</v>
      </c>
    </row>
    <row r="44" spans="1:9" x14ac:dyDescent="0.25">
      <c r="A44">
        <v>59</v>
      </c>
      <c r="B44" s="51"/>
      <c r="C44" s="51">
        <v>124</v>
      </c>
      <c r="E44">
        <f t="shared" si="3"/>
        <v>11</v>
      </c>
      <c r="G44" t="s">
        <v>285</v>
      </c>
      <c r="H44" s="51">
        <v>17</v>
      </c>
      <c r="I44" s="51">
        <v>169</v>
      </c>
    </row>
    <row r="45" spans="1:9" x14ac:dyDescent="0.25">
      <c r="A45">
        <v>7</v>
      </c>
      <c r="B45" s="51">
        <v>2</v>
      </c>
      <c r="C45" s="51">
        <v>115</v>
      </c>
      <c r="E45">
        <f t="shared" si="3"/>
        <v>11</v>
      </c>
      <c r="G45" t="s">
        <v>286</v>
      </c>
      <c r="H45" s="51">
        <v>5</v>
      </c>
      <c r="I45" s="51">
        <v>169</v>
      </c>
    </row>
    <row r="46" spans="1:9" x14ac:dyDescent="0.25">
      <c r="A46">
        <v>8</v>
      </c>
      <c r="B46" s="51">
        <v>8</v>
      </c>
      <c r="C46" s="51">
        <v>195</v>
      </c>
      <c r="E46">
        <f t="shared" si="3"/>
        <v>11</v>
      </c>
      <c r="G46" t="s">
        <v>287</v>
      </c>
      <c r="H46" s="51">
        <v>1</v>
      </c>
      <c r="I46" s="51">
        <v>169</v>
      </c>
    </row>
    <row r="47" spans="1:9" x14ac:dyDescent="0.25">
      <c r="A47">
        <v>9</v>
      </c>
      <c r="B47" s="51">
        <v>16</v>
      </c>
      <c r="C47" s="51">
        <v>156</v>
      </c>
      <c r="E47">
        <f t="shared" si="3"/>
        <v>11</v>
      </c>
      <c r="G47" t="s">
        <v>288</v>
      </c>
      <c r="H47" s="51"/>
      <c r="I47" s="51">
        <v>169</v>
      </c>
    </row>
    <row r="48" spans="1:9" x14ac:dyDescent="0.25">
      <c r="B48" s="51"/>
      <c r="C48" s="51"/>
      <c r="E48">
        <f>+$F$48</f>
        <v>12</v>
      </c>
      <c r="F48">
        <v>12</v>
      </c>
      <c r="G48" t="s">
        <v>280</v>
      </c>
      <c r="H48" s="51">
        <v>4</v>
      </c>
      <c r="I48" s="51">
        <v>214</v>
      </c>
    </row>
    <row r="49" spans="2:9" x14ac:dyDescent="0.25">
      <c r="B49" s="35"/>
      <c r="C49" s="35"/>
      <c r="E49">
        <f t="shared" ref="E49:E56" si="4">+$F$48</f>
        <v>12</v>
      </c>
      <c r="G49" t="s">
        <v>281</v>
      </c>
      <c r="H49" s="51">
        <v>3</v>
      </c>
      <c r="I49" s="51">
        <v>214</v>
      </c>
    </row>
    <row r="50" spans="2:9" x14ac:dyDescent="0.25">
      <c r="E50">
        <f t="shared" si="4"/>
        <v>12</v>
      </c>
      <c r="G50" t="s">
        <v>282</v>
      </c>
      <c r="H50" s="51">
        <v>2</v>
      </c>
      <c r="I50" s="51">
        <v>214</v>
      </c>
    </row>
    <row r="51" spans="2:9" x14ac:dyDescent="0.25">
      <c r="E51">
        <f t="shared" si="4"/>
        <v>12</v>
      </c>
      <c r="G51" t="s">
        <v>283</v>
      </c>
      <c r="H51" s="51">
        <v>5</v>
      </c>
      <c r="I51" s="51">
        <v>214</v>
      </c>
    </row>
    <row r="52" spans="2:9" x14ac:dyDescent="0.25">
      <c r="E52">
        <f t="shared" si="4"/>
        <v>12</v>
      </c>
      <c r="G52" t="s">
        <v>284</v>
      </c>
      <c r="H52" s="51">
        <v>7</v>
      </c>
      <c r="I52" s="51">
        <v>214</v>
      </c>
    </row>
    <row r="53" spans="2:9" x14ac:dyDescent="0.25">
      <c r="E53">
        <f t="shared" si="4"/>
        <v>12</v>
      </c>
      <c r="G53" t="s">
        <v>285</v>
      </c>
      <c r="H53" s="51">
        <v>9</v>
      </c>
      <c r="I53" s="51">
        <v>214</v>
      </c>
    </row>
    <row r="54" spans="2:9" x14ac:dyDescent="0.25">
      <c r="E54">
        <f t="shared" si="4"/>
        <v>12</v>
      </c>
      <c r="G54" t="s">
        <v>286</v>
      </c>
      <c r="H54" s="51"/>
      <c r="I54" s="51">
        <v>214</v>
      </c>
    </row>
    <row r="55" spans="2:9" x14ac:dyDescent="0.25">
      <c r="E55">
        <f t="shared" si="4"/>
        <v>12</v>
      </c>
      <c r="G55" t="s">
        <v>287</v>
      </c>
      <c r="H55" s="51"/>
      <c r="I55" s="51">
        <v>214</v>
      </c>
    </row>
    <row r="56" spans="2:9" x14ac:dyDescent="0.25">
      <c r="E56">
        <f t="shared" si="4"/>
        <v>12</v>
      </c>
      <c r="G56" t="s">
        <v>288</v>
      </c>
      <c r="H56" s="51">
        <v>1</v>
      </c>
      <c r="I56" s="51">
        <v>214</v>
      </c>
    </row>
    <row r="57" spans="2:9" x14ac:dyDescent="0.25">
      <c r="E57">
        <f>+$F$57</f>
        <v>123</v>
      </c>
      <c r="F57">
        <v>123</v>
      </c>
      <c r="G57" t="s">
        <v>280</v>
      </c>
      <c r="H57" s="51">
        <v>6</v>
      </c>
      <c r="I57" s="51">
        <v>491</v>
      </c>
    </row>
    <row r="58" spans="2:9" x14ac:dyDescent="0.25">
      <c r="E58">
        <f t="shared" ref="E58:E65" si="5">+$F$57</f>
        <v>123</v>
      </c>
      <c r="G58" t="s">
        <v>281</v>
      </c>
      <c r="H58" s="51">
        <v>3</v>
      </c>
      <c r="I58" s="51">
        <v>491</v>
      </c>
    </row>
    <row r="59" spans="2:9" x14ac:dyDescent="0.25">
      <c r="E59">
        <f t="shared" si="5"/>
        <v>123</v>
      </c>
      <c r="G59" t="s">
        <v>282</v>
      </c>
      <c r="H59" s="51">
        <v>4</v>
      </c>
      <c r="I59" s="51">
        <v>491</v>
      </c>
    </row>
    <row r="60" spans="2:9" x14ac:dyDescent="0.25">
      <c r="E60">
        <f t="shared" si="5"/>
        <v>123</v>
      </c>
      <c r="G60" t="s">
        <v>283</v>
      </c>
      <c r="H60" s="51">
        <v>3</v>
      </c>
      <c r="I60" s="51">
        <v>491</v>
      </c>
    </row>
    <row r="61" spans="2:9" x14ac:dyDescent="0.25">
      <c r="E61">
        <f t="shared" si="5"/>
        <v>123</v>
      </c>
      <c r="G61" t="s">
        <v>284</v>
      </c>
      <c r="H61" s="51">
        <v>8</v>
      </c>
      <c r="I61" s="51">
        <v>491</v>
      </c>
    </row>
    <row r="62" spans="2:9" x14ac:dyDescent="0.25">
      <c r="E62">
        <f t="shared" si="5"/>
        <v>123</v>
      </c>
      <c r="G62" t="s">
        <v>285</v>
      </c>
      <c r="H62" s="51">
        <v>4</v>
      </c>
      <c r="I62" s="51">
        <v>491</v>
      </c>
    </row>
    <row r="63" spans="2:9" x14ac:dyDescent="0.25">
      <c r="E63">
        <f t="shared" si="5"/>
        <v>123</v>
      </c>
      <c r="G63" t="s">
        <v>286</v>
      </c>
      <c r="H63" s="51">
        <v>2</v>
      </c>
      <c r="I63" s="51">
        <v>491</v>
      </c>
    </row>
    <row r="64" spans="2:9" x14ac:dyDescent="0.25">
      <c r="E64">
        <f t="shared" si="5"/>
        <v>123</v>
      </c>
      <c r="G64" t="s">
        <v>287</v>
      </c>
      <c r="H64" s="51">
        <v>1</v>
      </c>
      <c r="I64" s="51">
        <v>491</v>
      </c>
    </row>
    <row r="65" spans="5:9" x14ac:dyDescent="0.25">
      <c r="E65">
        <f t="shared" si="5"/>
        <v>123</v>
      </c>
      <c r="G65" t="s">
        <v>288</v>
      </c>
      <c r="H65" s="51">
        <v>1</v>
      </c>
      <c r="I65" s="51">
        <v>491</v>
      </c>
    </row>
    <row r="66" spans="5:9" x14ac:dyDescent="0.25">
      <c r="E66">
        <f>+$F$66</f>
        <v>15</v>
      </c>
      <c r="F66">
        <v>15</v>
      </c>
      <c r="G66" t="s">
        <v>280</v>
      </c>
      <c r="H66" s="51">
        <v>2</v>
      </c>
      <c r="I66" s="51">
        <v>65</v>
      </c>
    </row>
    <row r="67" spans="5:9" x14ac:dyDescent="0.25">
      <c r="E67">
        <f t="shared" ref="E67:E74" si="6">+$F$66</f>
        <v>15</v>
      </c>
      <c r="G67" t="s">
        <v>281</v>
      </c>
      <c r="H67" s="51"/>
      <c r="I67" s="51">
        <v>65</v>
      </c>
    </row>
    <row r="68" spans="5:9" x14ac:dyDescent="0.25">
      <c r="E68">
        <f t="shared" si="6"/>
        <v>15</v>
      </c>
      <c r="G68" t="s">
        <v>282</v>
      </c>
      <c r="H68" s="51">
        <v>2</v>
      </c>
      <c r="I68" s="51">
        <v>65</v>
      </c>
    </row>
    <row r="69" spans="5:9" x14ac:dyDescent="0.25">
      <c r="E69">
        <f t="shared" si="6"/>
        <v>15</v>
      </c>
      <c r="G69" t="s">
        <v>283</v>
      </c>
      <c r="H69" s="51">
        <v>2</v>
      </c>
      <c r="I69" s="51">
        <v>65</v>
      </c>
    </row>
    <row r="70" spans="5:9" x14ac:dyDescent="0.25">
      <c r="E70">
        <f t="shared" si="6"/>
        <v>15</v>
      </c>
      <c r="G70" t="s">
        <v>284</v>
      </c>
      <c r="H70" s="51">
        <v>2</v>
      </c>
      <c r="I70" s="51">
        <v>65</v>
      </c>
    </row>
    <row r="71" spans="5:9" x14ac:dyDescent="0.25">
      <c r="E71">
        <f t="shared" si="6"/>
        <v>15</v>
      </c>
      <c r="G71" t="s">
        <v>285</v>
      </c>
      <c r="H71" s="51">
        <v>1</v>
      </c>
      <c r="I71" s="51">
        <v>65</v>
      </c>
    </row>
    <row r="72" spans="5:9" x14ac:dyDescent="0.25">
      <c r="E72">
        <f t="shared" si="6"/>
        <v>15</v>
      </c>
      <c r="G72" t="s">
        <v>286</v>
      </c>
      <c r="H72" s="51"/>
      <c r="I72" s="51">
        <v>65</v>
      </c>
    </row>
    <row r="73" spans="5:9" x14ac:dyDescent="0.25">
      <c r="E73">
        <f t="shared" si="6"/>
        <v>15</v>
      </c>
      <c r="G73" t="s">
        <v>287</v>
      </c>
      <c r="H73" s="51">
        <v>1</v>
      </c>
      <c r="I73" s="51">
        <v>65</v>
      </c>
    </row>
    <row r="74" spans="5:9" x14ac:dyDescent="0.25">
      <c r="E74">
        <f t="shared" si="6"/>
        <v>15</v>
      </c>
      <c r="G74" t="s">
        <v>288</v>
      </c>
      <c r="H74" s="51"/>
      <c r="I74" s="51">
        <v>65</v>
      </c>
    </row>
    <row r="75" spans="5:9" x14ac:dyDescent="0.25">
      <c r="E75">
        <f>+$F$75</f>
        <v>16</v>
      </c>
      <c r="F75">
        <v>16</v>
      </c>
      <c r="G75" t="s">
        <v>280</v>
      </c>
      <c r="H75" s="51">
        <v>3</v>
      </c>
      <c r="I75" s="51">
        <v>199</v>
      </c>
    </row>
    <row r="76" spans="5:9" x14ac:dyDescent="0.25">
      <c r="E76">
        <f t="shared" ref="E76:E83" si="7">+$F$75</f>
        <v>16</v>
      </c>
      <c r="G76" t="s">
        <v>281</v>
      </c>
      <c r="H76">
        <v>2</v>
      </c>
      <c r="I76" s="51">
        <v>199</v>
      </c>
    </row>
    <row r="77" spans="5:9" x14ac:dyDescent="0.25">
      <c r="E77">
        <f t="shared" si="7"/>
        <v>16</v>
      </c>
      <c r="G77" t="s">
        <v>282</v>
      </c>
      <c r="H77" s="51">
        <v>8</v>
      </c>
      <c r="I77" s="51">
        <v>199</v>
      </c>
    </row>
    <row r="78" spans="5:9" x14ac:dyDescent="0.25">
      <c r="E78">
        <f t="shared" si="7"/>
        <v>16</v>
      </c>
      <c r="G78" t="s">
        <v>283</v>
      </c>
      <c r="H78" s="51">
        <v>9</v>
      </c>
      <c r="I78" s="51">
        <v>199</v>
      </c>
    </row>
    <row r="79" spans="5:9" x14ac:dyDescent="0.25">
      <c r="E79">
        <f t="shared" si="7"/>
        <v>16</v>
      </c>
      <c r="G79" t="s">
        <v>284</v>
      </c>
      <c r="H79" s="51">
        <v>8</v>
      </c>
      <c r="I79" s="51">
        <v>199</v>
      </c>
    </row>
    <row r="80" spans="5:9" x14ac:dyDescent="0.25">
      <c r="E80">
        <f t="shared" si="7"/>
        <v>16</v>
      </c>
      <c r="G80" t="s">
        <v>285</v>
      </c>
      <c r="H80" s="51">
        <v>8</v>
      </c>
      <c r="I80" s="51">
        <v>199</v>
      </c>
    </row>
    <row r="81" spans="5:9" x14ac:dyDescent="0.25">
      <c r="E81">
        <f t="shared" si="7"/>
        <v>16</v>
      </c>
      <c r="G81" t="s">
        <v>286</v>
      </c>
      <c r="H81" s="51"/>
      <c r="I81" s="51">
        <v>199</v>
      </c>
    </row>
    <row r="82" spans="5:9" x14ac:dyDescent="0.25">
      <c r="E82">
        <f t="shared" si="7"/>
        <v>16</v>
      </c>
      <c r="G82" t="s">
        <v>287</v>
      </c>
      <c r="H82" s="51">
        <v>6</v>
      </c>
      <c r="I82" s="51">
        <v>199</v>
      </c>
    </row>
    <row r="83" spans="5:9" x14ac:dyDescent="0.25">
      <c r="E83">
        <f t="shared" si="7"/>
        <v>16</v>
      </c>
      <c r="G83" t="s">
        <v>288</v>
      </c>
      <c r="H83" s="51">
        <v>3</v>
      </c>
      <c r="I83" s="51">
        <v>199</v>
      </c>
    </row>
    <row r="84" spans="5:9" x14ac:dyDescent="0.25">
      <c r="E84">
        <f>+$F$84</f>
        <v>18</v>
      </c>
      <c r="F84">
        <v>18</v>
      </c>
      <c r="G84" t="s">
        <v>280</v>
      </c>
      <c r="H84" s="51">
        <v>6</v>
      </c>
      <c r="I84" s="51">
        <v>180</v>
      </c>
    </row>
    <row r="85" spans="5:9" x14ac:dyDescent="0.25">
      <c r="E85">
        <f t="shared" ref="E85:E92" si="8">+$F$84</f>
        <v>18</v>
      </c>
      <c r="G85" t="s">
        <v>281</v>
      </c>
      <c r="H85" s="51">
        <v>4</v>
      </c>
      <c r="I85" s="51">
        <v>180</v>
      </c>
    </row>
    <row r="86" spans="5:9" x14ac:dyDescent="0.25">
      <c r="E86">
        <f t="shared" si="8"/>
        <v>18</v>
      </c>
      <c r="G86" t="s">
        <v>282</v>
      </c>
      <c r="H86" s="51">
        <v>3</v>
      </c>
      <c r="I86" s="51">
        <v>180</v>
      </c>
    </row>
    <row r="87" spans="5:9" x14ac:dyDescent="0.25">
      <c r="E87">
        <f t="shared" si="8"/>
        <v>18</v>
      </c>
      <c r="G87" t="s">
        <v>283</v>
      </c>
      <c r="H87" s="51">
        <v>11</v>
      </c>
      <c r="I87" s="51">
        <v>180</v>
      </c>
    </row>
    <row r="88" spans="5:9" x14ac:dyDescent="0.25">
      <c r="E88">
        <f t="shared" si="8"/>
        <v>18</v>
      </c>
      <c r="G88" t="s">
        <v>284</v>
      </c>
      <c r="H88" s="51">
        <v>12</v>
      </c>
      <c r="I88" s="51">
        <v>180</v>
      </c>
    </row>
    <row r="89" spans="5:9" x14ac:dyDescent="0.25">
      <c r="E89">
        <f t="shared" si="8"/>
        <v>18</v>
      </c>
      <c r="G89" t="s">
        <v>285</v>
      </c>
      <c r="H89" s="51">
        <v>11</v>
      </c>
      <c r="I89" s="51">
        <v>180</v>
      </c>
    </row>
    <row r="90" spans="5:9" x14ac:dyDescent="0.25">
      <c r="E90">
        <f t="shared" si="8"/>
        <v>18</v>
      </c>
      <c r="G90" t="s">
        <v>286</v>
      </c>
      <c r="H90" s="51">
        <v>3</v>
      </c>
      <c r="I90" s="51">
        <v>180</v>
      </c>
    </row>
    <row r="91" spans="5:9" x14ac:dyDescent="0.25">
      <c r="E91">
        <f t="shared" si="8"/>
        <v>18</v>
      </c>
      <c r="G91" t="s">
        <v>287</v>
      </c>
      <c r="H91" s="51">
        <v>2</v>
      </c>
      <c r="I91" s="51">
        <v>180</v>
      </c>
    </row>
    <row r="92" spans="5:9" x14ac:dyDescent="0.25">
      <c r="E92">
        <f t="shared" si="8"/>
        <v>18</v>
      </c>
      <c r="G92" t="s">
        <v>288</v>
      </c>
      <c r="H92" s="51">
        <v>3</v>
      </c>
      <c r="I92" s="51">
        <v>180</v>
      </c>
    </row>
    <row r="93" spans="5:9" x14ac:dyDescent="0.25">
      <c r="E93">
        <f>+$F$93</f>
        <v>19</v>
      </c>
      <c r="F93">
        <v>19</v>
      </c>
      <c r="G93" t="s">
        <v>280</v>
      </c>
      <c r="H93" s="51">
        <v>5</v>
      </c>
      <c r="I93" s="51">
        <v>208</v>
      </c>
    </row>
    <row r="94" spans="5:9" x14ac:dyDescent="0.25">
      <c r="E94">
        <f t="shared" ref="E94:E101" si="9">+$F$93</f>
        <v>19</v>
      </c>
      <c r="G94" t="s">
        <v>281</v>
      </c>
      <c r="H94" s="51">
        <v>7</v>
      </c>
      <c r="I94" s="51">
        <v>208</v>
      </c>
    </row>
    <row r="95" spans="5:9" x14ac:dyDescent="0.25">
      <c r="E95">
        <f t="shared" si="9"/>
        <v>19</v>
      </c>
      <c r="G95" t="s">
        <v>282</v>
      </c>
      <c r="H95" s="51">
        <v>13</v>
      </c>
      <c r="I95" s="51">
        <v>208</v>
      </c>
    </row>
    <row r="96" spans="5:9" x14ac:dyDescent="0.25">
      <c r="E96">
        <f t="shared" si="9"/>
        <v>19</v>
      </c>
      <c r="G96" t="s">
        <v>283</v>
      </c>
      <c r="H96" s="51">
        <v>6</v>
      </c>
      <c r="I96" s="51">
        <v>208</v>
      </c>
    </row>
    <row r="97" spans="5:9" x14ac:dyDescent="0.25">
      <c r="E97">
        <f t="shared" si="9"/>
        <v>19</v>
      </c>
      <c r="G97" t="s">
        <v>284</v>
      </c>
      <c r="H97" s="51">
        <v>13</v>
      </c>
      <c r="I97" s="51">
        <v>208</v>
      </c>
    </row>
    <row r="98" spans="5:9" x14ac:dyDescent="0.25">
      <c r="E98">
        <f t="shared" si="9"/>
        <v>19</v>
      </c>
      <c r="G98" t="s">
        <v>285</v>
      </c>
      <c r="H98" s="51">
        <v>8</v>
      </c>
      <c r="I98" s="51">
        <v>208</v>
      </c>
    </row>
    <row r="99" spans="5:9" x14ac:dyDescent="0.25">
      <c r="E99">
        <f t="shared" si="9"/>
        <v>19</v>
      </c>
      <c r="G99" t="s">
        <v>286</v>
      </c>
      <c r="H99" s="51">
        <v>3</v>
      </c>
      <c r="I99" s="51">
        <v>208</v>
      </c>
    </row>
    <row r="100" spans="5:9" x14ac:dyDescent="0.25">
      <c r="E100">
        <f t="shared" si="9"/>
        <v>19</v>
      </c>
      <c r="G100" t="s">
        <v>287</v>
      </c>
      <c r="H100" s="51">
        <v>5</v>
      </c>
      <c r="I100" s="51">
        <v>208</v>
      </c>
    </row>
    <row r="101" spans="5:9" x14ac:dyDescent="0.25">
      <c r="E101">
        <f t="shared" si="9"/>
        <v>19</v>
      </c>
      <c r="G101" t="s">
        <v>288</v>
      </c>
      <c r="H101" s="51">
        <v>5</v>
      </c>
      <c r="I101" s="51">
        <v>208</v>
      </c>
    </row>
    <row r="102" spans="5:9" x14ac:dyDescent="0.25">
      <c r="E102">
        <f>+$F$102</f>
        <v>2</v>
      </c>
      <c r="F102">
        <v>2</v>
      </c>
      <c r="G102" t="s">
        <v>280</v>
      </c>
      <c r="H102" s="51">
        <v>2</v>
      </c>
      <c r="I102" s="51">
        <v>118</v>
      </c>
    </row>
    <row r="103" spans="5:9" x14ac:dyDescent="0.25">
      <c r="E103">
        <f t="shared" ref="E103:E110" si="10">+$F$102</f>
        <v>2</v>
      </c>
      <c r="G103" t="s">
        <v>281</v>
      </c>
      <c r="H103" s="51">
        <v>3</v>
      </c>
      <c r="I103" s="51">
        <v>118</v>
      </c>
    </row>
    <row r="104" spans="5:9" x14ac:dyDescent="0.25">
      <c r="E104">
        <f t="shared" si="10"/>
        <v>2</v>
      </c>
      <c r="G104" t="s">
        <v>282</v>
      </c>
      <c r="H104" s="51">
        <v>7</v>
      </c>
      <c r="I104" s="51">
        <v>118</v>
      </c>
    </row>
    <row r="105" spans="5:9" x14ac:dyDescent="0.25">
      <c r="E105">
        <f t="shared" si="10"/>
        <v>2</v>
      </c>
      <c r="G105" t="s">
        <v>283</v>
      </c>
      <c r="H105" s="51">
        <v>6</v>
      </c>
      <c r="I105" s="51">
        <v>118</v>
      </c>
    </row>
    <row r="106" spans="5:9" x14ac:dyDescent="0.25">
      <c r="E106">
        <f t="shared" si="10"/>
        <v>2</v>
      </c>
      <c r="G106" t="s">
        <v>284</v>
      </c>
      <c r="H106" s="51">
        <v>10</v>
      </c>
      <c r="I106" s="51">
        <v>118</v>
      </c>
    </row>
    <row r="107" spans="5:9" x14ac:dyDescent="0.25">
      <c r="E107">
        <f t="shared" si="10"/>
        <v>2</v>
      </c>
      <c r="G107" t="s">
        <v>285</v>
      </c>
      <c r="H107" s="51">
        <v>4</v>
      </c>
      <c r="I107" s="51">
        <v>118</v>
      </c>
    </row>
    <row r="108" spans="5:9" x14ac:dyDescent="0.25">
      <c r="E108">
        <f t="shared" si="10"/>
        <v>2</v>
      </c>
      <c r="G108" t="s">
        <v>286</v>
      </c>
      <c r="H108" s="51"/>
      <c r="I108" s="51">
        <v>118</v>
      </c>
    </row>
    <row r="109" spans="5:9" x14ac:dyDescent="0.25">
      <c r="E109">
        <f t="shared" si="10"/>
        <v>2</v>
      </c>
      <c r="G109" t="s">
        <v>287</v>
      </c>
      <c r="H109" s="51">
        <v>1</v>
      </c>
      <c r="I109" s="51">
        <v>118</v>
      </c>
    </row>
    <row r="110" spans="5:9" x14ac:dyDescent="0.25">
      <c r="E110">
        <f t="shared" si="10"/>
        <v>2</v>
      </c>
      <c r="G110" t="s">
        <v>288</v>
      </c>
      <c r="H110" s="51">
        <v>4</v>
      </c>
      <c r="I110" s="51">
        <v>118</v>
      </c>
    </row>
    <row r="111" spans="5:9" x14ac:dyDescent="0.25">
      <c r="E111">
        <f>+$F$111</f>
        <v>20</v>
      </c>
      <c r="F111">
        <v>20</v>
      </c>
      <c r="G111" t="s">
        <v>280</v>
      </c>
      <c r="H111" s="51">
        <v>7</v>
      </c>
      <c r="I111" s="51">
        <v>227</v>
      </c>
    </row>
    <row r="112" spans="5:9" x14ac:dyDescent="0.25">
      <c r="E112">
        <f t="shared" ref="E112:E119" si="11">+$F$111</f>
        <v>20</v>
      </c>
      <c r="G112" t="s">
        <v>281</v>
      </c>
      <c r="H112" s="51">
        <v>5</v>
      </c>
      <c r="I112" s="51">
        <v>227</v>
      </c>
    </row>
    <row r="113" spans="5:9" x14ac:dyDescent="0.25">
      <c r="E113">
        <f t="shared" si="11"/>
        <v>20</v>
      </c>
      <c r="G113" t="s">
        <v>282</v>
      </c>
      <c r="H113" s="51">
        <v>14</v>
      </c>
      <c r="I113" s="51">
        <v>227</v>
      </c>
    </row>
    <row r="114" spans="5:9" x14ac:dyDescent="0.25">
      <c r="E114">
        <f t="shared" si="11"/>
        <v>20</v>
      </c>
      <c r="G114" t="s">
        <v>283</v>
      </c>
      <c r="H114" s="51">
        <v>8</v>
      </c>
      <c r="I114" s="51">
        <v>227</v>
      </c>
    </row>
    <row r="115" spans="5:9" x14ac:dyDescent="0.25">
      <c r="E115">
        <f t="shared" si="11"/>
        <v>20</v>
      </c>
      <c r="G115" t="s">
        <v>284</v>
      </c>
      <c r="H115" s="51">
        <v>14</v>
      </c>
      <c r="I115" s="51">
        <v>227</v>
      </c>
    </row>
    <row r="116" spans="5:9" x14ac:dyDescent="0.25">
      <c r="E116">
        <f t="shared" si="11"/>
        <v>20</v>
      </c>
      <c r="G116" t="s">
        <v>285</v>
      </c>
      <c r="H116">
        <v>11</v>
      </c>
      <c r="I116" s="51">
        <v>227</v>
      </c>
    </row>
    <row r="117" spans="5:9" x14ac:dyDescent="0.25">
      <c r="E117">
        <f t="shared" si="11"/>
        <v>20</v>
      </c>
      <c r="G117" t="s">
        <v>286</v>
      </c>
      <c r="H117" s="51">
        <v>1</v>
      </c>
      <c r="I117" s="51">
        <v>227</v>
      </c>
    </row>
    <row r="118" spans="5:9" x14ac:dyDescent="0.25">
      <c r="E118">
        <f t="shared" si="11"/>
        <v>20</v>
      </c>
      <c r="G118" t="s">
        <v>287</v>
      </c>
      <c r="H118" s="51">
        <v>5</v>
      </c>
      <c r="I118" s="51">
        <v>227</v>
      </c>
    </row>
    <row r="119" spans="5:9" x14ac:dyDescent="0.25">
      <c r="E119">
        <f t="shared" si="11"/>
        <v>20</v>
      </c>
      <c r="G119" t="s">
        <v>288</v>
      </c>
      <c r="H119" s="51">
        <v>1</v>
      </c>
      <c r="I119" s="51">
        <v>227</v>
      </c>
    </row>
    <row r="120" spans="5:9" x14ac:dyDescent="0.25">
      <c r="E120">
        <f>+$F$120</f>
        <v>21</v>
      </c>
      <c r="F120">
        <v>21</v>
      </c>
      <c r="G120" t="s">
        <v>280</v>
      </c>
      <c r="H120" s="51">
        <v>8</v>
      </c>
      <c r="I120" s="51">
        <v>171</v>
      </c>
    </row>
    <row r="121" spans="5:9" x14ac:dyDescent="0.25">
      <c r="E121">
        <f t="shared" ref="E121:E128" si="12">+$F$120</f>
        <v>21</v>
      </c>
      <c r="G121" t="s">
        <v>281</v>
      </c>
      <c r="H121" s="51">
        <v>2</v>
      </c>
      <c r="I121" s="51">
        <v>171</v>
      </c>
    </row>
    <row r="122" spans="5:9" x14ac:dyDescent="0.25">
      <c r="E122">
        <f t="shared" si="12"/>
        <v>21</v>
      </c>
      <c r="G122" t="s">
        <v>282</v>
      </c>
      <c r="H122" s="51">
        <v>9</v>
      </c>
      <c r="I122" s="51">
        <v>171</v>
      </c>
    </row>
    <row r="123" spans="5:9" x14ac:dyDescent="0.25">
      <c r="E123">
        <f t="shared" si="12"/>
        <v>21</v>
      </c>
      <c r="G123" t="s">
        <v>283</v>
      </c>
      <c r="H123" s="51">
        <v>12</v>
      </c>
      <c r="I123" s="51">
        <v>171</v>
      </c>
    </row>
    <row r="124" spans="5:9" x14ac:dyDescent="0.25">
      <c r="E124">
        <f t="shared" si="12"/>
        <v>21</v>
      </c>
      <c r="G124" t="s">
        <v>284</v>
      </c>
      <c r="H124">
        <v>17</v>
      </c>
      <c r="I124" s="51">
        <v>171</v>
      </c>
    </row>
    <row r="125" spans="5:9" x14ac:dyDescent="0.25">
      <c r="E125">
        <f t="shared" si="12"/>
        <v>21</v>
      </c>
      <c r="G125" t="s">
        <v>285</v>
      </c>
      <c r="H125" s="51">
        <v>11</v>
      </c>
      <c r="I125" s="51">
        <v>171</v>
      </c>
    </row>
    <row r="126" spans="5:9" x14ac:dyDescent="0.25">
      <c r="E126">
        <f t="shared" si="12"/>
        <v>21</v>
      </c>
      <c r="G126" t="s">
        <v>286</v>
      </c>
      <c r="H126" s="51">
        <v>4</v>
      </c>
      <c r="I126" s="51">
        <v>171</v>
      </c>
    </row>
    <row r="127" spans="5:9" x14ac:dyDescent="0.25">
      <c r="E127">
        <f t="shared" si="12"/>
        <v>21</v>
      </c>
      <c r="G127" t="s">
        <v>287</v>
      </c>
      <c r="H127" s="51">
        <v>4</v>
      </c>
      <c r="I127" s="51">
        <v>171</v>
      </c>
    </row>
    <row r="128" spans="5:9" x14ac:dyDescent="0.25">
      <c r="E128">
        <f t="shared" si="12"/>
        <v>21</v>
      </c>
      <c r="G128" t="s">
        <v>288</v>
      </c>
      <c r="H128" s="51">
        <v>3</v>
      </c>
      <c r="I128" s="51">
        <v>171</v>
      </c>
    </row>
    <row r="129" spans="5:9" x14ac:dyDescent="0.25">
      <c r="E129">
        <f>+$F$129</f>
        <v>22</v>
      </c>
      <c r="F129">
        <v>22</v>
      </c>
      <c r="G129" t="s">
        <v>280</v>
      </c>
      <c r="H129" s="51">
        <v>6</v>
      </c>
      <c r="I129" s="51">
        <v>75</v>
      </c>
    </row>
    <row r="130" spans="5:9" x14ac:dyDescent="0.25">
      <c r="E130">
        <f t="shared" ref="E130:E137" si="13">+$F$129</f>
        <v>22</v>
      </c>
      <c r="G130" t="s">
        <v>281</v>
      </c>
      <c r="H130" s="51">
        <v>3</v>
      </c>
      <c r="I130" s="51">
        <v>75</v>
      </c>
    </row>
    <row r="131" spans="5:9" x14ac:dyDescent="0.25">
      <c r="E131">
        <f t="shared" si="13"/>
        <v>22</v>
      </c>
      <c r="G131" t="s">
        <v>282</v>
      </c>
      <c r="H131" s="51">
        <v>3</v>
      </c>
      <c r="I131" s="51">
        <v>75</v>
      </c>
    </row>
    <row r="132" spans="5:9" x14ac:dyDescent="0.25">
      <c r="E132">
        <f t="shared" si="13"/>
        <v>22</v>
      </c>
      <c r="G132" t="s">
        <v>283</v>
      </c>
      <c r="H132" s="51">
        <v>2</v>
      </c>
      <c r="I132" s="51">
        <v>75</v>
      </c>
    </row>
    <row r="133" spans="5:9" x14ac:dyDescent="0.25">
      <c r="E133">
        <f t="shared" si="13"/>
        <v>22</v>
      </c>
      <c r="G133" t="s">
        <v>284</v>
      </c>
      <c r="H133" s="51">
        <v>4</v>
      </c>
      <c r="I133" s="51">
        <v>75</v>
      </c>
    </row>
    <row r="134" spans="5:9" x14ac:dyDescent="0.25">
      <c r="E134">
        <f t="shared" si="13"/>
        <v>22</v>
      </c>
      <c r="G134" t="s">
        <v>285</v>
      </c>
      <c r="H134" s="51">
        <v>4</v>
      </c>
      <c r="I134" s="51">
        <v>75</v>
      </c>
    </row>
    <row r="135" spans="5:9" x14ac:dyDescent="0.25">
      <c r="E135">
        <f t="shared" si="13"/>
        <v>22</v>
      </c>
      <c r="G135" t="s">
        <v>286</v>
      </c>
      <c r="H135" s="51">
        <v>5</v>
      </c>
      <c r="I135" s="51">
        <v>75</v>
      </c>
    </row>
    <row r="136" spans="5:9" x14ac:dyDescent="0.25">
      <c r="E136">
        <f t="shared" si="13"/>
        <v>22</v>
      </c>
      <c r="G136" t="s">
        <v>287</v>
      </c>
      <c r="H136" s="51">
        <v>1</v>
      </c>
      <c r="I136" s="51">
        <v>75</v>
      </c>
    </row>
    <row r="137" spans="5:9" x14ac:dyDescent="0.25">
      <c r="E137">
        <f t="shared" si="13"/>
        <v>22</v>
      </c>
      <c r="G137" t="s">
        <v>288</v>
      </c>
      <c r="H137" s="51">
        <v>1</v>
      </c>
      <c r="I137" s="51">
        <v>75</v>
      </c>
    </row>
    <row r="138" spans="5:9" x14ac:dyDescent="0.25">
      <c r="E138">
        <f>+$F$138</f>
        <v>23</v>
      </c>
      <c r="F138">
        <v>23</v>
      </c>
      <c r="G138" t="s">
        <v>280</v>
      </c>
      <c r="H138" s="51">
        <v>9</v>
      </c>
      <c r="I138" s="51">
        <v>154</v>
      </c>
    </row>
    <row r="139" spans="5:9" x14ac:dyDescent="0.25">
      <c r="E139">
        <f t="shared" ref="E139:E146" si="14">+$F$138</f>
        <v>23</v>
      </c>
      <c r="G139" t="s">
        <v>281</v>
      </c>
      <c r="H139" s="51">
        <v>2</v>
      </c>
      <c r="I139" s="51">
        <v>154</v>
      </c>
    </row>
    <row r="140" spans="5:9" x14ac:dyDescent="0.25">
      <c r="E140">
        <f t="shared" si="14"/>
        <v>23</v>
      </c>
      <c r="G140" t="s">
        <v>282</v>
      </c>
      <c r="H140">
        <v>8</v>
      </c>
      <c r="I140" s="51">
        <v>154</v>
      </c>
    </row>
    <row r="141" spans="5:9" x14ac:dyDescent="0.25">
      <c r="E141">
        <f t="shared" si="14"/>
        <v>23</v>
      </c>
      <c r="G141" t="s">
        <v>283</v>
      </c>
      <c r="H141" s="51">
        <v>13</v>
      </c>
      <c r="I141" s="51">
        <v>154</v>
      </c>
    </row>
    <row r="142" spans="5:9" x14ac:dyDescent="0.25">
      <c r="E142">
        <f t="shared" si="14"/>
        <v>23</v>
      </c>
      <c r="G142" t="s">
        <v>284</v>
      </c>
      <c r="H142" s="51">
        <v>19</v>
      </c>
      <c r="I142" s="51">
        <v>154</v>
      </c>
    </row>
    <row r="143" spans="5:9" x14ac:dyDescent="0.25">
      <c r="E143">
        <f t="shared" si="14"/>
        <v>23</v>
      </c>
      <c r="G143" t="s">
        <v>285</v>
      </c>
      <c r="H143" s="51">
        <v>12</v>
      </c>
      <c r="I143" s="51">
        <v>154</v>
      </c>
    </row>
    <row r="144" spans="5:9" x14ac:dyDescent="0.25">
      <c r="E144">
        <f t="shared" si="14"/>
        <v>23</v>
      </c>
      <c r="G144" t="s">
        <v>286</v>
      </c>
      <c r="H144" s="51">
        <v>1</v>
      </c>
      <c r="I144" s="51">
        <v>154</v>
      </c>
    </row>
    <row r="145" spans="5:9" x14ac:dyDescent="0.25">
      <c r="E145">
        <f t="shared" si="14"/>
        <v>23</v>
      </c>
      <c r="G145" t="s">
        <v>287</v>
      </c>
      <c r="H145" s="51">
        <v>3</v>
      </c>
      <c r="I145" s="51">
        <v>154</v>
      </c>
    </row>
    <row r="146" spans="5:9" x14ac:dyDescent="0.25">
      <c r="E146">
        <f t="shared" si="14"/>
        <v>23</v>
      </c>
      <c r="G146" t="s">
        <v>288</v>
      </c>
      <c r="H146" s="51"/>
      <c r="I146" s="51">
        <v>154</v>
      </c>
    </row>
    <row r="147" spans="5:9" x14ac:dyDescent="0.25">
      <c r="E147">
        <f>+$F$147</f>
        <v>24</v>
      </c>
      <c r="F147">
        <v>24</v>
      </c>
      <c r="G147" t="s">
        <v>280</v>
      </c>
      <c r="H147" s="51">
        <v>3</v>
      </c>
      <c r="I147" s="51">
        <v>178</v>
      </c>
    </row>
    <row r="148" spans="5:9" x14ac:dyDescent="0.25">
      <c r="E148">
        <f t="shared" ref="E148:E155" si="15">+$F$147</f>
        <v>24</v>
      </c>
      <c r="G148" t="s">
        <v>281</v>
      </c>
      <c r="H148">
        <v>3</v>
      </c>
      <c r="I148" s="51">
        <v>178</v>
      </c>
    </row>
    <row r="149" spans="5:9" x14ac:dyDescent="0.25">
      <c r="E149">
        <f t="shared" si="15"/>
        <v>24</v>
      </c>
      <c r="G149" t="s">
        <v>282</v>
      </c>
      <c r="H149" s="51">
        <v>6</v>
      </c>
      <c r="I149" s="51">
        <v>178</v>
      </c>
    </row>
    <row r="150" spans="5:9" x14ac:dyDescent="0.25">
      <c r="E150">
        <f t="shared" si="15"/>
        <v>24</v>
      </c>
      <c r="G150" t="s">
        <v>283</v>
      </c>
      <c r="H150" s="51">
        <v>7</v>
      </c>
      <c r="I150" s="51">
        <v>178</v>
      </c>
    </row>
    <row r="151" spans="5:9" x14ac:dyDescent="0.25">
      <c r="E151">
        <f t="shared" si="15"/>
        <v>24</v>
      </c>
      <c r="G151" t="s">
        <v>284</v>
      </c>
      <c r="H151" s="51">
        <v>6</v>
      </c>
      <c r="I151" s="51">
        <v>178</v>
      </c>
    </row>
    <row r="152" spans="5:9" x14ac:dyDescent="0.25">
      <c r="E152">
        <f t="shared" si="15"/>
        <v>24</v>
      </c>
      <c r="G152" t="s">
        <v>285</v>
      </c>
      <c r="H152" s="51">
        <v>7</v>
      </c>
      <c r="I152" s="51">
        <v>178</v>
      </c>
    </row>
    <row r="153" spans="5:9" x14ac:dyDescent="0.25">
      <c r="E153">
        <f t="shared" si="15"/>
        <v>24</v>
      </c>
      <c r="G153" t="s">
        <v>286</v>
      </c>
      <c r="H153" s="51">
        <v>1</v>
      </c>
      <c r="I153" s="51">
        <v>178</v>
      </c>
    </row>
    <row r="154" spans="5:9" x14ac:dyDescent="0.25">
      <c r="E154">
        <f t="shared" si="15"/>
        <v>24</v>
      </c>
      <c r="G154" t="s">
        <v>287</v>
      </c>
      <c r="H154" s="51">
        <v>4</v>
      </c>
      <c r="I154" s="51">
        <v>178</v>
      </c>
    </row>
    <row r="155" spans="5:9" x14ac:dyDescent="0.25">
      <c r="E155">
        <f t="shared" si="15"/>
        <v>24</v>
      </c>
      <c r="G155" t="s">
        <v>288</v>
      </c>
      <c r="H155" s="51"/>
      <c r="I155" s="51">
        <v>178</v>
      </c>
    </row>
    <row r="156" spans="5:9" x14ac:dyDescent="0.25">
      <c r="E156">
        <f>+$F$156</f>
        <v>25</v>
      </c>
      <c r="F156">
        <v>25</v>
      </c>
      <c r="G156" t="s">
        <v>280</v>
      </c>
      <c r="H156" s="51"/>
      <c r="I156" s="51">
        <v>172</v>
      </c>
    </row>
    <row r="157" spans="5:9" x14ac:dyDescent="0.25">
      <c r="E157">
        <f t="shared" ref="E157:E164" si="16">+$F$156</f>
        <v>25</v>
      </c>
      <c r="G157" t="s">
        <v>281</v>
      </c>
      <c r="H157" s="51"/>
      <c r="I157" s="51">
        <v>172</v>
      </c>
    </row>
    <row r="158" spans="5:9" x14ac:dyDescent="0.25">
      <c r="E158">
        <f t="shared" si="16"/>
        <v>25</v>
      </c>
      <c r="G158" t="s">
        <v>282</v>
      </c>
      <c r="H158" s="51"/>
      <c r="I158" s="51">
        <v>172</v>
      </c>
    </row>
    <row r="159" spans="5:9" x14ac:dyDescent="0.25">
      <c r="E159">
        <f t="shared" si="16"/>
        <v>25</v>
      </c>
      <c r="G159" t="s">
        <v>283</v>
      </c>
      <c r="H159" s="51"/>
      <c r="I159" s="51">
        <v>172</v>
      </c>
    </row>
    <row r="160" spans="5:9" x14ac:dyDescent="0.25">
      <c r="E160">
        <f t="shared" si="16"/>
        <v>25</v>
      </c>
      <c r="G160" t="s">
        <v>284</v>
      </c>
      <c r="H160" s="51"/>
      <c r="I160" s="51">
        <v>172</v>
      </c>
    </row>
    <row r="161" spans="5:9" x14ac:dyDescent="0.25">
      <c r="E161">
        <f t="shared" si="16"/>
        <v>25</v>
      </c>
      <c r="G161" t="s">
        <v>285</v>
      </c>
      <c r="H161" s="51"/>
      <c r="I161" s="51">
        <v>172</v>
      </c>
    </row>
    <row r="162" spans="5:9" x14ac:dyDescent="0.25">
      <c r="E162">
        <f t="shared" si="16"/>
        <v>25</v>
      </c>
      <c r="G162" t="s">
        <v>286</v>
      </c>
      <c r="H162" s="51"/>
      <c r="I162" s="51">
        <v>172</v>
      </c>
    </row>
    <row r="163" spans="5:9" x14ac:dyDescent="0.25">
      <c r="E163">
        <f t="shared" si="16"/>
        <v>25</v>
      </c>
      <c r="G163" t="s">
        <v>287</v>
      </c>
      <c r="H163" s="51"/>
      <c r="I163" s="51">
        <v>172</v>
      </c>
    </row>
    <row r="164" spans="5:9" x14ac:dyDescent="0.25">
      <c r="E164">
        <f t="shared" si="16"/>
        <v>25</v>
      </c>
      <c r="G164" t="s">
        <v>288</v>
      </c>
      <c r="I164" s="51">
        <v>172</v>
      </c>
    </row>
    <row r="165" spans="5:9" x14ac:dyDescent="0.25">
      <c r="E165">
        <f>+$F$165</f>
        <v>26</v>
      </c>
      <c r="F165">
        <v>26</v>
      </c>
      <c r="G165" t="s">
        <v>280</v>
      </c>
      <c r="H165" s="51"/>
      <c r="I165" s="51">
        <v>166</v>
      </c>
    </row>
    <row r="166" spans="5:9" x14ac:dyDescent="0.25">
      <c r="E166">
        <f t="shared" ref="E166:E173" si="17">+$F$165</f>
        <v>26</v>
      </c>
      <c r="G166" t="s">
        <v>281</v>
      </c>
      <c r="H166" s="51"/>
      <c r="I166" s="51">
        <v>166</v>
      </c>
    </row>
    <row r="167" spans="5:9" x14ac:dyDescent="0.25">
      <c r="E167">
        <f t="shared" si="17"/>
        <v>26</v>
      </c>
      <c r="G167" t="s">
        <v>282</v>
      </c>
      <c r="H167" s="51"/>
      <c r="I167" s="51">
        <v>166</v>
      </c>
    </row>
    <row r="168" spans="5:9" x14ac:dyDescent="0.25">
      <c r="E168">
        <f t="shared" si="17"/>
        <v>26</v>
      </c>
      <c r="G168" t="s">
        <v>283</v>
      </c>
      <c r="H168" s="51"/>
      <c r="I168" s="51">
        <v>166</v>
      </c>
    </row>
    <row r="169" spans="5:9" x14ac:dyDescent="0.25">
      <c r="E169">
        <f t="shared" si="17"/>
        <v>26</v>
      </c>
      <c r="G169" t="s">
        <v>284</v>
      </c>
      <c r="H169" s="51"/>
      <c r="I169" s="51">
        <v>166</v>
      </c>
    </row>
    <row r="170" spans="5:9" x14ac:dyDescent="0.25">
      <c r="E170">
        <f t="shared" si="17"/>
        <v>26</v>
      </c>
      <c r="G170" t="s">
        <v>285</v>
      </c>
      <c r="H170" s="51"/>
      <c r="I170" s="51">
        <v>166</v>
      </c>
    </row>
    <row r="171" spans="5:9" x14ac:dyDescent="0.25">
      <c r="E171">
        <f t="shared" si="17"/>
        <v>26</v>
      </c>
      <c r="G171" t="s">
        <v>286</v>
      </c>
      <c r="H171" s="51"/>
      <c r="I171" s="51">
        <v>166</v>
      </c>
    </row>
    <row r="172" spans="5:9" x14ac:dyDescent="0.25">
      <c r="E172">
        <f t="shared" si="17"/>
        <v>26</v>
      </c>
      <c r="G172" t="s">
        <v>287</v>
      </c>
      <c r="H172" s="51"/>
      <c r="I172" s="51">
        <v>166</v>
      </c>
    </row>
    <row r="173" spans="5:9" x14ac:dyDescent="0.25">
      <c r="E173">
        <f t="shared" si="17"/>
        <v>26</v>
      </c>
      <c r="G173" t="s">
        <v>288</v>
      </c>
      <c r="H173" s="51"/>
      <c r="I173" s="51">
        <v>166</v>
      </c>
    </row>
    <row r="174" spans="5:9" x14ac:dyDescent="0.25">
      <c r="E174">
        <f>+$F$174</f>
        <v>27</v>
      </c>
      <c r="F174">
        <v>27</v>
      </c>
      <c r="G174" t="s">
        <v>280</v>
      </c>
      <c r="H174" s="51">
        <v>5</v>
      </c>
      <c r="I174" s="51">
        <v>133</v>
      </c>
    </row>
    <row r="175" spans="5:9" x14ac:dyDescent="0.25">
      <c r="E175">
        <f t="shared" ref="E175:E182" si="18">+$F$174</f>
        <v>27</v>
      </c>
      <c r="G175" t="s">
        <v>281</v>
      </c>
      <c r="H175" s="51">
        <v>2</v>
      </c>
      <c r="I175" s="51">
        <v>133</v>
      </c>
    </row>
    <row r="176" spans="5:9" x14ac:dyDescent="0.25">
      <c r="E176">
        <f t="shared" si="18"/>
        <v>27</v>
      </c>
      <c r="G176" t="s">
        <v>282</v>
      </c>
      <c r="H176" s="51">
        <v>5</v>
      </c>
      <c r="I176" s="51">
        <v>133</v>
      </c>
    </row>
    <row r="177" spans="5:9" x14ac:dyDescent="0.25">
      <c r="E177">
        <f t="shared" si="18"/>
        <v>27</v>
      </c>
      <c r="G177" t="s">
        <v>283</v>
      </c>
      <c r="H177" s="51">
        <v>9</v>
      </c>
      <c r="I177" s="51">
        <v>133</v>
      </c>
    </row>
    <row r="178" spans="5:9" x14ac:dyDescent="0.25">
      <c r="E178">
        <f t="shared" si="18"/>
        <v>27</v>
      </c>
      <c r="G178" t="s">
        <v>284</v>
      </c>
      <c r="H178" s="51">
        <v>12</v>
      </c>
      <c r="I178" s="51">
        <v>133</v>
      </c>
    </row>
    <row r="179" spans="5:9" x14ac:dyDescent="0.25">
      <c r="E179">
        <f t="shared" si="18"/>
        <v>27</v>
      </c>
      <c r="G179" t="s">
        <v>285</v>
      </c>
      <c r="H179" s="51">
        <v>9</v>
      </c>
      <c r="I179" s="51">
        <v>133</v>
      </c>
    </row>
    <row r="180" spans="5:9" x14ac:dyDescent="0.25">
      <c r="E180">
        <f t="shared" si="18"/>
        <v>27</v>
      </c>
      <c r="G180" t="s">
        <v>286</v>
      </c>
      <c r="H180">
        <v>5</v>
      </c>
      <c r="I180" s="51">
        <v>133</v>
      </c>
    </row>
    <row r="181" spans="5:9" x14ac:dyDescent="0.25">
      <c r="E181">
        <f t="shared" si="18"/>
        <v>27</v>
      </c>
      <c r="G181" t="s">
        <v>287</v>
      </c>
      <c r="H181" s="51">
        <v>3</v>
      </c>
      <c r="I181" s="51">
        <v>133</v>
      </c>
    </row>
    <row r="182" spans="5:9" x14ac:dyDescent="0.25">
      <c r="E182">
        <f t="shared" si="18"/>
        <v>27</v>
      </c>
      <c r="G182" t="s">
        <v>288</v>
      </c>
      <c r="H182" s="51">
        <v>1</v>
      </c>
      <c r="I182" s="51">
        <v>133</v>
      </c>
    </row>
    <row r="183" spans="5:9" x14ac:dyDescent="0.25">
      <c r="E183">
        <f>+$F$183</f>
        <v>28</v>
      </c>
      <c r="F183">
        <v>28</v>
      </c>
      <c r="G183" t="s">
        <v>280</v>
      </c>
      <c r="H183" s="51">
        <v>1</v>
      </c>
      <c r="I183" s="51">
        <v>168</v>
      </c>
    </row>
    <row r="184" spans="5:9" x14ac:dyDescent="0.25">
      <c r="E184">
        <f t="shared" ref="E184:E191" si="19">+$F$183</f>
        <v>28</v>
      </c>
      <c r="G184" t="s">
        <v>281</v>
      </c>
      <c r="H184" s="51"/>
      <c r="I184" s="51">
        <v>168</v>
      </c>
    </row>
    <row r="185" spans="5:9" x14ac:dyDescent="0.25">
      <c r="E185">
        <f t="shared" si="19"/>
        <v>28</v>
      </c>
      <c r="G185" t="s">
        <v>282</v>
      </c>
      <c r="H185" s="51">
        <v>7</v>
      </c>
      <c r="I185" s="51">
        <v>168</v>
      </c>
    </row>
    <row r="186" spans="5:9" x14ac:dyDescent="0.25">
      <c r="E186">
        <f t="shared" si="19"/>
        <v>28</v>
      </c>
      <c r="G186" t="s">
        <v>283</v>
      </c>
      <c r="H186">
        <v>5</v>
      </c>
      <c r="I186" s="51">
        <v>168</v>
      </c>
    </row>
    <row r="187" spans="5:9" x14ac:dyDescent="0.25">
      <c r="E187">
        <f t="shared" si="19"/>
        <v>28</v>
      </c>
      <c r="G187" t="s">
        <v>284</v>
      </c>
      <c r="H187" s="51">
        <v>8</v>
      </c>
      <c r="I187" s="51">
        <v>168</v>
      </c>
    </row>
    <row r="188" spans="5:9" x14ac:dyDescent="0.25">
      <c r="E188">
        <f t="shared" si="19"/>
        <v>28</v>
      </c>
      <c r="G188" t="s">
        <v>285</v>
      </c>
      <c r="H188" s="51">
        <v>9</v>
      </c>
      <c r="I188" s="51">
        <v>168</v>
      </c>
    </row>
    <row r="189" spans="5:9" x14ac:dyDescent="0.25">
      <c r="E189">
        <f t="shared" si="19"/>
        <v>28</v>
      </c>
      <c r="G189" t="s">
        <v>286</v>
      </c>
      <c r="H189" s="51">
        <v>1</v>
      </c>
      <c r="I189" s="51">
        <v>168</v>
      </c>
    </row>
    <row r="190" spans="5:9" x14ac:dyDescent="0.25">
      <c r="E190">
        <f t="shared" si="19"/>
        <v>28</v>
      </c>
      <c r="G190" t="s">
        <v>287</v>
      </c>
      <c r="H190" s="51">
        <v>2</v>
      </c>
      <c r="I190" s="51">
        <v>168</v>
      </c>
    </row>
    <row r="191" spans="5:9" x14ac:dyDescent="0.25">
      <c r="E191">
        <f t="shared" si="19"/>
        <v>28</v>
      </c>
      <c r="G191" t="s">
        <v>288</v>
      </c>
      <c r="H191" s="51"/>
      <c r="I191" s="51">
        <v>168</v>
      </c>
    </row>
    <row r="192" spans="5:9" x14ac:dyDescent="0.25">
      <c r="E192">
        <f>+$F$192</f>
        <v>3</v>
      </c>
      <c r="F192">
        <v>3</v>
      </c>
      <c r="G192" t="s">
        <v>280</v>
      </c>
      <c r="H192" s="51">
        <v>7</v>
      </c>
      <c r="I192" s="51">
        <v>170</v>
      </c>
    </row>
    <row r="193" spans="5:9" x14ac:dyDescent="0.25">
      <c r="E193">
        <f t="shared" ref="E193:E200" si="20">+$F$192</f>
        <v>3</v>
      </c>
      <c r="G193" t="s">
        <v>281</v>
      </c>
      <c r="H193" s="51">
        <v>7</v>
      </c>
      <c r="I193" s="51">
        <v>170</v>
      </c>
    </row>
    <row r="194" spans="5:9" x14ac:dyDescent="0.25">
      <c r="E194">
        <f t="shared" si="20"/>
        <v>3</v>
      </c>
      <c r="G194" t="s">
        <v>282</v>
      </c>
      <c r="H194" s="51">
        <v>12</v>
      </c>
      <c r="I194" s="51">
        <v>170</v>
      </c>
    </row>
    <row r="195" spans="5:9" x14ac:dyDescent="0.25">
      <c r="E195">
        <f t="shared" si="20"/>
        <v>3</v>
      </c>
      <c r="G195" t="s">
        <v>283</v>
      </c>
      <c r="H195" s="51">
        <v>8</v>
      </c>
      <c r="I195" s="51">
        <v>170</v>
      </c>
    </row>
    <row r="196" spans="5:9" x14ac:dyDescent="0.25">
      <c r="E196">
        <f t="shared" si="20"/>
        <v>3</v>
      </c>
      <c r="G196" t="s">
        <v>284</v>
      </c>
      <c r="H196">
        <v>19</v>
      </c>
      <c r="I196" s="51">
        <v>170</v>
      </c>
    </row>
    <row r="197" spans="5:9" x14ac:dyDescent="0.25">
      <c r="E197">
        <f t="shared" si="20"/>
        <v>3</v>
      </c>
      <c r="G197" t="s">
        <v>285</v>
      </c>
      <c r="H197" s="51">
        <v>11</v>
      </c>
      <c r="I197" s="51">
        <v>170</v>
      </c>
    </row>
    <row r="198" spans="5:9" x14ac:dyDescent="0.25">
      <c r="E198">
        <f t="shared" si="20"/>
        <v>3</v>
      </c>
      <c r="G198" t="s">
        <v>286</v>
      </c>
      <c r="H198" s="51">
        <v>2</v>
      </c>
      <c r="I198" s="51">
        <v>170</v>
      </c>
    </row>
    <row r="199" spans="5:9" x14ac:dyDescent="0.25">
      <c r="E199">
        <f t="shared" si="20"/>
        <v>3</v>
      </c>
      <c r="G199" t="s">
        <v>287</v>
      </c>
      <c r="H199" s="51">
        <v>2</v>
      </c>
      <c r="I199" s="51">
        <v>170</v>
      </c>
    </row>
    <row r="200" spans="5:9" x14ac:dyDescent="0.25">
      <c r="E200">
        <f t="shared" si="20"/>
        <v>3</v>
      </c>
      <c r="G200" t="s">
        <v>288</v>
      </c>
      <c r="H200" s="51">
        <v>2</v>
      </c>
      <c r="I200" s="51">
        <v>170</v>
      </c>
    </row>
    <row r="201" spans="5:9" x14ac:dyDescent="0.25">
      <c r="E201">
        <f>+$F$201</f>
        <v>30</v>
      </c>
      <c r="F201">
        <v>30</v>
      </c>
      <c r="G201" t="s">
        <v>280</v>
      </c>
      <c r="H201" s="51">
        <v>3</v>
      </c>
      <c r="I201" s="51">
        <v>139</v>
      </c>
    </row>
    <row r="202" spans="5:9" x14ac:dyDescent="0.25">
      <c r="E202">
        <f t="shared" ref="E202:E209" si="21">+$F$201</f>
        <v>30</v>
      </c>
      <c r="G202" t="s">
        <v>281</v>
      </c>
      <c r="H202" s="51"/>
      <c r="I202" s="51">
        <v>139</v>
      </c>
    </row>
    <row r="203" spans="5:9" x14ac:dyDescent="0.25">
      <c r="E203">
        <f t="shared" si="21"/>
        <v>30</v>
      </c>
      <c r="G203" t="s">
        <v>282</v>
      </c>
      <c r="H203" s="51">
        <v>2</v>
      </c>
      <c r="I203" s="51">
        <v>139</v>
      </c>
    </row>
    <row r="204" spans="5:9" x14ac:dyDescent="0.25">
      <c r="E204">
        <f t="shared" si="21"/>
        <v>30</v>
      </c>
      <c r="G204" t="s">
        <v>283</v>
      </c>
      <c r="H204" s="51"/>
      <c r="I204" s="51">
        <v>139</v>
      </c>
    </row>
    <row r="205" spans="5:9" x14ac:dyDescent="0.25">
      <c r="E205">
        <f t="shared" si="21"/>
        <v>30</v>
      </c>
      <c r="G205" t="s">
        <v>284</v>
      </c>
      <c r="H205" s="51">
        <v>2</v>
      </c>
      <c r="I205" s="51">
        <v>139</v>
      </c>
    </row>
    <row r="206" spans="5:9" x14ac:dyDescent="0.25">
      <c r="E206">
        <f t="shared" si="21"/>
        <v>30</v>
      </c>
      <c r="G206" t="s">
        <v>285</v>
      </c>
      <c r="H206" s="51"/>
      <c r="I206" s="51">
        <v>139</v>
      </c>
    </row>
    <row r="207" spans="5:9" x14ac:dyDescent="0.25">
      <c r="E207">
        <f t="shared" si="21"/>
        <v>30</v>
      </c>
      <c r="G207" t="s">
        <v>286</v>
      </c>
      <c r="H207" s="51">
        <v>2</v>
      </c>
      <c r="I207" s="51">
        <v>139</v>
      </c>
    </row>
    <row r="208" spans="5:9" x14ac:dyDescent="0.25">
      <c r="E208">
        <f t="shared" si="21"/>
        <v>30</v>
      </c>
      <c r="G208" t="s">
        <v>287</v>
      </c>
      <c r="H208" s="51"/>
      <c r="I208" s="51">
        <v>139</v>
      </c>
    </row>
    <row r="209" spans="5:9" x14ac:dyDescent="0.25">
      <c r="E209">
        <f t="shared" si="21"/>
        <v>30</v>
      </c>
      <c r="G209" t="s">
        <v>288</v>
      </c>
      <c r="H209" s="51">
        <v>1</v>
      </c>
      <c r="I209" s="51">
        <v>139</v>
      </c>
    </row>
    <row r="210" spans="5:9" x14ac:dyDescent="0.25">
      <c r="E210">
        <f>+$F$210</f>
        <v>31</v>
      </c>
      <c r="F210">
        <v>31</v>
      </c>
      <c r="G210" t="s">
        <v>280</v>
      </c>
      <c r="H210" s="51">
        <v>3</v>
      </c>
      <c r="I210" s="51">
        <v>161</v>
      </c>
    </row>
    <row r="211" spans="5:9" x14ac:dyDescent="0.25">
      <c r="E211">
        <f t="shared" ref="E211:E218" si="22">+$F$210</f>
        <v>31</v>
      </c>
      <c r="G211" t="s">
        <v>281</v>
      </c>
      <c r="H211" s="51">
        <v>2</v>
      </c>
      <c r="I211" s="51">
        <v>161</v>
      </c>
    </row>
    <row r="212" spans="5:9" x14ac:dyDescent="0.25">
      <c r="E212">
        <f t="shared" si="22"/>
        <v>31</v>
      </c>
      <c r="G212" t="s">
        <v>282</v>
      </c>
      <c r="H212">
        <v>4</v>
      </c>
      <c r="I212" s="51">
        <v>161</v>
      </c>
    </row>
    <row r="213" spans="5:9" x14ac:dyDescent="0.25">
      <c r="E213">
        <f t="shared" si="22"/>
        <v>31</v>
      </c>
      <c r="G213" t="s">
        <v>283</v>
      </c>
      <c r="H213" s="51">
        <v>8</v>
      </c>
      <c r="I213" s="51">
        <v>161</v>
      </c>
    </row>
    <row r="214" spans="5:9" x14ac:dyDescent="0.25">
      <c r="E214">
        <f t="shared" si="22"/>
        <v>31</v>
      </c>
      <c r="G214" t="s">
        <v>284</v>
      </c>
      <c r="H214" s="51">
        <v>11</v>
      </c>
      <c r="I214" s="51">
        <v>161</v>
      </c>
    </row>
    <row r="215" spans="5:9" x14ac:dyDescent="0.25">
      <c r="E215">
        <f t="shared" si="22"/>
        <v>31</v>
      </c>
      <c r="G215" t="s">
        <v>285</v>
      </c>
      <c r="H215" s="51">
        <v>8</v>
      </c>
      <c r="I215" s="51">
        <v>161</v>
      </c>
    </row>
    <row r="216" spans="5:9" x14ac:dyDescent="0.25">
      <c r="E216">
        <f t="shared" si="22"/>
        <v>31</v>
      </c>
      <c r="G216" t="s">
        <v>286</v>
      </c>
      <c r="H216" s="51">
        <v>2</v>
      </c>
      <c r="I216" s="51">
        <v>161</v>
      </c>
    </row>
    <row r="217" spans="5:9" x14ac:dyDescent="0.25">
      <c r="E217">
        <f t="shared" si="22"/>
        <v>31</v>
      </c>
      <c r="G217" t="s">
        <v>287</v>
      </c>
      <c r="H217" s="51">
        <v>2</v>
      </c>
      <c r="I217" s="51">
        <v>161</v>
      </c>
    </row>
    <row r="218" spans="5:9" x14ac:dyDescent="0.25">
      <c r="E218">
        <f t="shared" si="22"/>
        <v>31</v>
      </c>
      <c r="G218" t="s">
        <v>288</v>
      </c>
      <c r="H218" s="51"/>
      <c r="I218" s="51">
        <v>161</v>
      </c>
    </row>
    <row r="219" spans="5:9" x14ac:dyDescent="0.25">
      <c r="E219">
        <f>+$F$219</f>
        <v>32</v>
      </c>
      <c r="F219">
        <v>32</v>
      </c>
      <c r="G219" t="s">
        <v>280</v>
      </c>
      <c r="H219" s="51">
        <v>2</v>
      </c>
      <c r="I219" s="51">
        <v>58</v>
      </c>
    </row>
    <row r="220" spans="5:9" x14ac:dyDescent="0.25">
      <c r="E220">
        <f t="shared" ref="E220:E227" si="23">+$F$219</f>
        <v>32</v>
      </c>
      <c r="G220" t="s">
        <v>281</v>
      </c>
      <c r="H220" s="51">
        <v>1</v>
      </c>
      <c r="I220" s="51">
        <v>58</v>
      </c>
    </row>
    <row r="221" spans="5:9" x14ac:dyDescent="0.25">
      <c r="E221">
        <f t="shared" si="23"/>
        <v>32</v>
      </c>
      <c r="G221" t="s">
        <v>282</v>
      </c>
      <c r="H221" s="51">
        <v>1</v>
      </c>
      <c r="I221" s="51">
        <v>58</v>
      </c>
    </row>
    <row r="222" spans="5:9" x14ac:dyDescent="0.25">
      <c r="E222">
        <f t="shared" si="23"/>
        <v>32</v>
      </c>
      <c r="G222" t="s">
        <v>283</v>
      </c>
      <c r="H222" s="51">
        <v>1</v>
      </c>
      <c r="I222" s="51">
        <v>58</v>
      </c>
    </row>
    <row r="223" spans="5:9" x14ac:dyDescent="0.25">
      <c r="E223">
        <f t="shared" si="23"/>
        <v>32</v>
      </c>
      <c r="G223" t="s">
        <v>284</v>
      </c>
      <c r="H223" s="51">
        <v>2</v>
      </c>
      <c r="I223" s="51">
        <v>58</v>
      </c>
    </row>
    <row r="224" spans="5:9" x14ac:dyDescent="0.25">
      <c r="E224">
        <f t="shared" si="23"/>
        <v>32</v>
      </c>
      <c r="G224" t="s">
        <v>285</v>
      </c>
      <c r="H224" s="51">
        <v>1</v>
      </c>
      <c r="I224" s="51">
        <v>58</v>
      </c>
    </row>
    <row r="225" spans="5:9" x14ac:dyDescent="0.25">
      <c r="E225">
        <f t="shared" si="23"/>
        <v>32</v>
      </c>
      <c r="G225" t="s">
        <v>286</v>
      </c>
      <c r="H225" s="51">
        <v>2</v>
      </c>
      <c r="I225" s="51">
        <v>58</v>
      </c>
    </row>
    <row r="226" spans="5:9" x14ac:dyDescent="0.25">
      <c r="E226">
        <f t="shared" si="23"/>
        <v>32</v>
      </c>
      <c r="G226" t="s">
        <v>287</v>
      </c>
      <c r="H226" s="51">
        <v>1</v>
      </c>
      <c r="I226" s="51">
        <v>58</v>
      </c>
    </row>
    <row r="227" spans="5:9" x14ac:dyDescent="0.25">
      <c r="E227">
        <f t="shared" si="23"/>
        <v>32</v>
      </c>
      <c r="G227" t="s">
        <v>288</v>
      </c>
      <c r="H227" s="51">
        <v>1</v>
      </c>
      <c r="I227" s="51">
        <v>58</v>
      </c>
    </row>
    <row r="228" spans="5:9" x14ac:dyDescent="0.25">
      <c r="E228">
        <f>+$F$228</f>
        <v>33</v>
      </c>
      <c r="F228">
        <v>33</v>
      </c>
      <c r="G228" t="s">
        <v>280</v>
      </c>
      <c r="H228" s="51">
        <v>6</v>
      </c>
      <c r="I228" s="51">
        <v>167</v>
      </c>
    </row>
    <row r="229" spans="5:9" x14ac:dyDescent="0.25">
      <c r="E229">
        <f t="shared" ref="E229:E236" si="24">+$F$228</f>
        <v>33</v>
      </c>
      <c r="G229" t="s">
        <v>281</v>
      </c>
      <c r="H229" s="51">
        <v>1</v>
      </c>
      <c r="I229" s="51">
        <v>167</v>
      </c>
    </row>
    <row r="230" spans="5:9" x14ac:dyDescent="0.25">
      <c r="E230">
        <f t="shared" si="24"/>
        <v>33</v>
      </c>
      <c r="G230" t="s">
        <v>282</v>
      </c>
      <c r="H230" s="51">
        <v>9</v>
      </c>
      <c r="I230" s="51">
        <v>167</v>
      </c>
    </row>
    <row r="231" spans="5:9" x14ac:dyDescent="0.25">
      <c r="E231">
        <f t="shared" si="24"/>
        <v>33</v>
      </c>
      <c r="G231" t="s">
        <v>283</v>
      </c>
      <c r="H231" s="51">
        <v>9</v>
      </c>
      <c r="I231" s="51">
        <v>167</v>
      </c>
    </row>
    <row r="232" spans="5:9" x14ac:dyDescent="0.25">
      <c r="E232">
        <f t="shared" si="24"/>
        <v>33</v>
      </c>
      <c r="G232" t="s">
        <v>284</v>
      </c>
      <c r="H232" s="51">
        <v>14</v>
      </c>
      <c r="I232" s="51">
        <v>167</v>
      </c>
    </row>
    <row r="233" spans="5:9" x14ac:dyDescent="0.25">
      <c r="E233">
        <f t="shared" si="24"/>
        <v>33</v>
      </c>
      <c r="G233" t="s">
        <v>285</v>
      </c>
      <c r="H233" s="51">
        <v>4</v>
      </c>
      <c r="I233" s="51">
        <v>167</v>
      </c>
    </row>
    <row r="234" spans="5:9" x14ac:dyDescent="0.25">
      <c r="E234">
        <f t="shared" si="24"/>
        <v>33</v>
      </c>
      <c r="G234" t="s">
        <v>286</v>
      </c>
      <c r="H234" s="51">
        <v>2</v>
      </c>
      <c r="I234" s="51">
        <v>167</v>
      </c>
    </row>
    <row r="235" spans="5:9" x14ac:dyDescent="0.25">
      <c r="E235">
        <f t="shared" si="24"/>
        <v>33</v>
      </c>
      <c r="G235" t="s">
        <v>287</v>
      </c>
      <c r="H235" s="51">
        <v>2</v>
      </c>
      <c r="I235" s="51">
        <v>167</v>
      </c>
    </row>
    <row r="236" spans="5:9" x14ac:dyDescent="0.25">
      <c r="E236">
        <f t="shared" si="24"/>
        <v>33</v>
      </c>
      <c r="G236" t="s">
        <v>288</v>
      </c>
      <c r="H236">
        <v>2</v>
      </c>
      <c r="I236" s="51">
        <v>167</v>
      </c>
    </row>
    <row r="237" spans="5:9" x14ac:dyDescent="0.25">
      <c r="E237">
        <f>+$F$237</f>
        <v>36</v>
      </c>
      <c r="F237">
        <v>36</v>
      </c>
      <c r="G237" t="s">
        <v>280</v>
      </c>
      <c r="H237" s="51">
        <v>1</v>
      </c>
      <c r="I237" s="51">
        <v>160</v>
      </c>
    </row>
    <row r="238" spans="5:9" x14ac:dyDescent="0.25">
      <c r="E238">
        <f t="shared" ref="E238:E245" si="25">+$F$237</f>
        <v>36</v>
      </c>
      <c r="G238" t="s">
        <v>281</v>
      </c>
      <c r="H238" s="51">
        <v>1</v>
      </c>
      <c r="I238" s="51">
        <v>160</v>
      </c>
    </row>
    <row r="239" spans="5:9" x14ac:dyDescent="0.25">
      <c r="E239">
        <f t="shared" si="25"/>
        <v>36</v>
      </c>
      <c r="G239" t="s">
        <v>282</v>
      </c>
      <c r="H239" s="51">
        <v>7</v>
      </c>
      <c r="I239" s="51">
        <v>160</v>
      </c>
    </row>
    <row r="240" spans="5:9" x14ac:dyDescent="0.25">
      <c r="E240">
        <f t="shared" si="25"/>
        <v>36</v>
      </c>
      <c r="G240" t="s">
        <v>283</v>
      </c>
      <c r="H240" s="51">
        <v>3</v>
      </c>
      <c r="I240" s="51">
        <v>160</v>
      </c>
    </row>
    <row r="241" spans="5:9" x14ac:dyDescent="0.25">
      <c r="E241">
        <f t="shared" si="25"/>
        <v>36</v>
      </c>
      <c r="G241" t="s">
        <v>284</v>
      </c>
      <c r="H241" s="51">
        <v>8</v>
      </c>
      <c r="I241" s="51">
        <v>160</v>
      </c>
    </row>
    <row r="242" spans="5:9" x14ac:dyDescent="0.25">
      <c r="E242">
        <f t="shared" si="25"/>
        <v>36</v>
      </c>
      <c r="G242" t="s">
        <v>285</v>
      </c>
      <c r="H242" s="51">
        <v>2</v>
      </c>
      <c r="I242" s="51">
        <v>160</v>
      </c>
    </row>
    <row r="243" spans="5:9" x14ac:dyDescent="0.25">
      <c r="E243">
        <f t="shared" si="25"/>
        <v>36</v>
      </c>
      <c r="G243" t="s">
        <v>286</v>
      </c>
      <c r="H243" s="51">
        <v>2</v>
      </c>
      <c r="I243" s="51">
        <v>160</v>
      </c>
    </row>
    <row r="244" spans="5:9" x14ac:dyDescent="0.25">
      <c r="E244">
        <f t="shared" si="25"/>
        <v>36</v>
      </c>
      <c r="G244" t="s">
        <v>287</v>
      </c>
      <c r="I244" s="51">
        <v>160</v>
      </c>
    </row>
    <row r="245" spans="5:9" x14ac:dyDescent="0.25">
      <c r="E245">
        <f t="shared" si="25"/>
        <v>36</v>
      </c>
      <c r="G245" t="s">
        <v>288</v>
      </c>
      <c r="H245" s="51"/>
      <c r="I245" s="51">
        <v>160</v>
      </c>
    </row>
    <row r="246" spans="5:9" x14ac:dyDescent="0.25">
      <c r="E246">
        <f>+$F$246</f>
        <v>37</v>
      </c>
      <c r="F246">
        <v>37</v>
      </c>
      <c r="G246" t="s">
        <v>280</v>
      </c>
      <c r="H246" s="51"/>
      <c r="I246" s="51">
        <v>142</v>
      </c>
    </row>
    <row r="247" spans="5:9" x14ac:dyDescent="0.25">
      <c r="E247">
        <f t="shared" ref="E247:E254" si="26">+$F$246</f>
        <v>37</v>
      </c>
      <c r="G247" t="s">
        <v>281</v>
      </c>
      <c r="H247" s="51">
        <v>2</v>
      </c>
      <c r="I247" s="51">
        <v>142</v>
      </c>
    </row>
    <row r="248" spans="5:9" x14ac:dyDescent="0.25">
      <c r="E248">
        <f t="shared" si="26"/>
        <v>37</v>
      </c>
      <c r="G248" t="s">
        <v>282</v>
      </c>
      <c r="H248" s="51">
        <v>1</v>
      </c>
      <c r="I248" s="51">
        <v>142</v>
      </c>
    </row>
    <row r="249" spans="5:9" x14ac:dyDescent="0.25">
      <c r="E249">
        <f t="shared" si="26"/>
        <v>37</v>
      </c>
      <c r="G249" t="s">
        <v>283</v>
      </c>
      <c r="H249" s="51">
        <v>4</v>
      </c>
      <c r="I249" s="51">
        <v>142</v>
      </c>
    </row>
    <row r="250" spans="5:9" x14ac:dyDescent="0.25">
      <c r="E250">
        <f t="shared" si="26"/>
        <v>37</v>
      </c>
      <c r="G250" t="s">
        <v>284</v>
      </c>
      <c r="H250" s="51">
        <v>3</v>
      </c>
      <c r="I250" s="51">
        <v>142</v>
      </c>
    </row>
    <row r="251" spans="5:9" x14ac:dyDescent="0.25">
      <c r="E251">
        <f t="shared" si="26"/>
        <v>37</v>
      </c>
      <c r="G251" t="s">
        <v>285</v>
      </c>
      <c r="H251" s="51">
        <v>4</v>
      </c>
      <c r="I251" s="51">
        <v>142</v>
      </c>
    </row>
    <row r="252" spans="5:9" x14ac:dyDescent="0.25">
      <c r="E252">
        <f t="shared" si="26"/>
        <v>37</v>
      </c>
      <c r="G252" t="s">
        <v>286</v>
      </c>
      <c r="I252" s="51">
        <v>142</v>
      </c>
    </row>
    <row r="253" spans="5:9" x14ac:dyDescent="0.25">
      <c r="E253">
        <f t="shared" si="26"/>
        <v>37</v>
      </c>
      <c r="G253" t="s">
        <v>287</v>
      </c>
      <c r="H253" s="51">
        <v>1</v>
      </c>
      <c r="I253" s="51">
        <v>142</v>
      </c>
    </row>
    <row r="254" spans="5:9" x14ac:dyDescent="0.25">
      <c r="E254">
        <f t="shared" si="26"/>
        <v>37</v>
      </c>
      <c r="G254" t="s">
        <v>288</v>
      </c>
      <c r="H254" s="51">
        <v>1</v>
      </c>
      <c r="I254" s="51">
        <v>142</v>
      </c>
    </row>
    <row r="255" spans="5:9" x14ac:dyDescent="0.25">
      <c r="E255">
        <f>+$F$255</f>
        <v>4</v>
      </c>
      <c r="F255">
        <v>4</v>
      </c>
      <c r="G255" t="s">
        <v>280</v>
      </c>
      <c r="H255" s="51">
        <v>2</v>
      </c>
      <c r="I255" s="51">
        <v>182</v>
      </c>
    </row>
    <row r="256" spans="5:9" x14ac:dyDescent="0.25">
      <c r="E256">
        <f t="shared" ref="E256:E263" si="27">+$F$255</f>
        <v>4</v>
      </c>
      <c r="G256" t="s">
        <v>281</v>
      </c>
      <c r="H256" s="51">
        <v>5</v>
      </c>
      <c r="I256" s="51">
        <v>182</v>
      </c>
    </row>
    <row r="257" spans="5:9" x14ac:dyDescent="0.25">
      <c r="E257">
        <f t="shared" si="27"/>
        <v>4</v>
      </c>
      <c r="G257" t="s">
        <v>282</v>
      </c>
      <c r="H257" s="51">
        <v>5</v>
      </c>
      <c r="I257" s="51">
        <v>182</v>
      </c>
    </row>
    <row r="258" spans="5:9" x14ac:dyDescent="0.25">
      <c r="E258">
        <f t="shared" si="27"/>
        <v>4</v>
      </c>
      <c r="G258" t="s">
        <v>283</v>
      </c>
      <c r="H258">
        <v>7</v>
      </c>
      <c r="I258" s="51">
        <v>182</v>
      </c>
    </row>
    <row r="259" spans="5:9" x14ac:dyDescent="0.25">
      <c r="E259">
        <f t="shared" si="27"/>
        <v>4</v>
      </c>
      <c r="G259" t="s">
        <v>284</v>
      </c>
      <c r="H259" s="51">
        <v>12</v>
      </c>
      <c r="I259" s="51">
        <v>182</v>
      </c>
    </row>
    <row r="260" spans="5:9" x14ac:dyDescent="0.25">
      <c r="E260">
        <f t="shared" si="27"/>
        <v>4</v>
      </c>
      <c r="G260" t="s">
        <v>285</v>
      </c>
      <c r="H260">
        <v>8</v>
      </c>
      <c r="I260" s="51">
        <v>182</v>
      </c>
    </row>
    <row r="261" spans="5:9" x14ac:dyDescent="0.25">
      <c r="E261">
        <f t="shared" si="27"/>
        <v>4</v>
      </c>
      <c r="G261" t="s">
        <v>286</v>
      </c>
      <c r="H261" s="51">
        <v>1</v>
      </c>
      <c r="I261" s="51">
        <v>182</v>
      </c>
    </row>
    <row r="262" spans="5:9" x14ac:dyDescent="0.25">
      <c r="E262">
        <f t="shared" si="27"/>
        <v>4</v>
      </c>
      <c r="G262" t="s">
        <v>287</v>
      </c>
      <c r="H262" s="51">
        <v>3</v>
      </c>
      <c r="I262" s="51">
        <v>182</v>
      </c>
    </row>
    <row r="263" spans="5:9" x14ac:dyDescent="0.25">
      <c r="E263">
        <f t="shared" si="27"/>
        <v>4</v>
      </c>
      <c r="G263" t="s">
        <v>288</v>
      </c>
      <c r="H263" s="51">
        <v>2</v>
      </c>
      <c r="I263" s="51">
        <v>182</v>
      </c>
    </row>
    <row r="264" spans="5:9" x14ac:dyDescent="0.25">
      <c r="E264">
        <f>+$F$264</f>
        <v>40</v>
      </c>
      <c r="F264">
        <v>40</v>
      </c>
      <c r="G264" t="s">
        <v>280</v>
      </c>
      <c r="H264" s="51">
        <v>4</v>
      </c>
      <c r="I264" s="51">
        <v>250</v>
      </c>
    </row>
    <row r="265" spans="5:9" x14ac:dyDescent="0.25">
      <c r="E265">
        <f t="shared" ref="E265:E272" si="28">+$F$264</f>
        <v>40</v>
      </c>
      <c r="G265" t="s">
        <v>281</v>
      </c>
      <c r="H265">
        <v>1</v>
      </c>
      <c r="I265" s="51">
        <v>250</v>
      </c>
    </row>
    <row r="266" spans="5:9" x14ac:dyDescent="0.25">
      <c r="E266">
        <f t="shared" si="28"/>
        <v>40</v>
      </c>
      <c r="G266" t="s">
        <v>282</v>
      </c>
      <c r="H266" s="51">
        <v>5</v>
      </c>
      <c r="I266" s="51">
        <v>250</v>
      </c>
    </row>
    <row r="267" spans="5:9" x14ac:dyDescent="0.25">
      <c r="E267">
        <f t="shared" si="28"/>
        <v>40</v>
      </c>
      <c r="G267" t="s">
        <v>283</v>
      </c>
      <c r="H267" s="51">
        <v>6</v>
      </c>
      <c r="I267" s="51">
        <v>250</v>
      </c>
    </row>
    <row r="268" spans="5:9" x14ac:dyDescent="0.25">
      <c r="E268">
        <f t="shared" si="28"/>
        <v>40</v>
      </c>
      <c r="G268" t="s">
        <v>284</v>
      </c>
      <c r="H268">
        <v>3</v>
      </c>
      <c r="I268" s="51">
        <v>250</v>
      </c>
    </row>
    <row r="269" spans="5:9" x14ac:dyDescent="0.25">
      <c r="E269">
        <f t="shared" si="28"/>
        <v>40</v>
      </c>
      <c r="G269" t="s">
        <v>285</v>
      </c>
      <c r="H269" s="51">
        <v>6</v>
      </c>
      <c r="I269" s="51">
        <v>250</v>
      </c>
    </row>
    <row r="270" spans="5:9" x14ac:dyDescent="0.25">
      <c r="E270">
        <f t="shared" si="28"/>
        <v>40</v>
      </c>
      <c r="G270" t="s">
        <v>286</v>
      </c>
      <c r="H270" s="51">
        <v>3</v>
      </c>
      <c r="I270" s="51">
        <v>250</v>
      </c>
    </row>
    <row r="271" spans="5:9" x14ac:dyDescent="0.25">
      <c r="E271">
        <f t="shared" si="28"/>
        <v>40</v>
      </c>
      <c r="G271" t="s">
        <v>287</v>
      </c>
      <c r="H271" s="51">
        <v>2</v>
      </c>
      <c r="I271" s="51">
        <v>250</v>
      </c>
    </row>
    <row r="272" spans="5:9" x14ac:dyDescent="0.25">
      <c r="E272">
        <f t="shared" si="28"/>
        <v>40</v>
      </c>
      <c r="G272" t="s">
        <v>288</v>
      </c>
      <c r="H272" s="51"/>
      <c r="I272" s="51">
        <v>250</v>
      </c>
    </row>
    <row r="273" spans="5:9" x14ac:dyDescent="0.25">
      <c r="E273">
        <f>+$F$273</f>
        <v>42</v>
      </c>
      <c r="F273">
        <v>42</v>
      </c>
      <c r="G273" t="s">
        <v>280</v>
      </c>
      <c r="H273" s="51"/>
      <c r="I273" s="51">
        <v>52</v>
      </c>
    </row>
    <row r="274" spans="5:9" x14ac:dyDescent="0.25">
      <c r="E274">
        <f t="shared" ref="E274:E281" si="29">+$F$273</f>
        <v>42</v>
      </c>
      <c r="G274" t="s">
        <v>281</v>
      </c>
      <c r="H274" s="51"/>
      <c r="I274" s="51">
        <v>52</v>
      </c>
    </row>
    <row r="275" spans="5:9" x14ac:dyDescent="0.25">
      <c r="E275">
        <f t="shared" si="29"/>
        <v>42</v>
      </c>
      <c r="G275" t="s">
        <v>282</v>
      </c>
      <c r="H275" s="51"/>
      <c r="I275" s="51">
        <v>52</v>
      </c>
    </row>
    <row r="276" spans="5:9" x14ac:dyDescent="0.25">
      <c r="E276">
        <f t="shared" si="29"/>
        <v>42</v>
      </c>
      <c r="G276" t="s">
        <v>283</v>
      </c>
      <c r="I276" s="51">
        <v>52</v>
      </c>
    </row>
    <row r="277" spans="5:9" x14ac:dyDescent="0.25">
      <c r="E277">
        <f t="shared" si="29"/>
        <v>42</v>
      </c>
      <c r="G277" t="s">
        <v>284</v>
      </c>
      <c r="H277" s="51"/>
      <c r="I277" s="51">
        <v>52</v>
      </c>
    </row>
    <row r="278" spans="5:9" x14ac:dyDescent="0.25">
      <c r="E278">
        <f t="shared" si="29"/>
        <v>42</v>
      </c>
      <c r="G278" t="s">
        <v>285</v>
      </c>
      <c r="H278" s="51"/>
      <c r="I278" s="51">
        <v>52</v>
      </c>
    </row>
    <row r="279" spans="5:9" x14ac:dyDescent="0.25">
      <c r="E279">
        <f t="shared" si="29"/>
        <v>42</v>
      </c>
      <c r="G279" t="s">
        <v>286</v>
      </c>
      <c r="H279" s="51"/>
      <c r="I279" s="51">
        <v>52</v>
      </c>
    </row>
    <row r="280" spans="5:9" x14ac:dyDescent="0.25">
      <c r="E280">
        <f t="shared" si="29"/>
        <v>42</v>
      </c>
      <c r="G280" t="s">
        <v>287</v>
      </c>
      <c r="H280" s="51"/>
      <c r="I280" s="51">
        <v>52</v>
      </c>
    </row>
    <row r="281" spans="5:9" x14ac:dyDescent="0.25">
      <c r="E281">
        <f t="shared" si="29"/>
        <v>42</v>
      </c>
      <c r="G281" t="s">
        <v>288</v>
      </c>
      <c r="H281" s="51"/>
      <c r="I281" s="51">
        <v>52</v>
      </c>
    </row>
    <row r="282" spans="5:9" x14ac:dyDescent="0.25">
      <c r="E282">
        <f>+$F$282</f>
        <v>43</v>
      </c>
      <c r="F282">
        <v>43</v>
      </c>
      <c r="G282" t="s">
        <v>280</v>
      </c>
      <c r="H282" s="51"/>
      <c r="I282" s="51">
        <v>93</v>
      </c>
    </row>
    <row r="283" spans="5:9" x14ac:dyDescent="0.25">
      <c r="E283">
        <f t="shared" ref="E283:E290" si="30">+$F$282</f>
        <v>43</v>
      </c>
      <c r="G283" t="s">
        <v>281</v>
      </c>
      <c r="H283" s="51"/>
      <c r="I283" s="51">
        <v>93</v>
      </c>
    </row>
    <row r="284" spans="5:9" x14ac:dyDescent="0.25">
      <c r="E284">
        <f t="shared" si="30"/>
        <v>43</v>
      </c>
      <c r="G284" t="s">
        <v>282</v>
      </c>
      <c r="I284" s="51">
        <v>93</v>
      </c>
    </row>
    <row r="285" spans="5:9" x14ac:dyDescent="0.25">
      <c r="E285">
        <f t="shared" si="30"/>
        <v>43</v>
      </c>
      <c r="G285" t="s">
        <v>283</v>
      </c>
      <c r="I285" s="51">
        <v>93</v>
      </c>
    </row>
    <row r="286" spans="5:9" x14ac:dyDescent="0.25">
      <c r="E286">
        <f t="shared" si="30"/>
        <v>43</v>
      </c>
      <c r="G286" t="s">
        <v>284</v>
      </c>
      <c r="I286" s="51">
        <v>93</v>
      </c>
    </row>
    <row r="287" spans="5:9" x14ac:dyDescent="0.25">
      <c r="E287">
        <f t="shared" si="30"/>
        <v>43</v>
      </c>
      <c r="G287" t="s">
        <v>285</v>
      </c>
      <c r="I287" s="51">
        <v>93</v>
      </c>
    </row>
    <row r="288" spans="5:9" x14ac:dyDescent="0.25">
      <c r="E288">
        <f t="shared" si="30"/>
        <v>43</v>
      </c>
      <c r="G288" t="s">
        <v>286</v>
      </c>
      <c r="I288" s="51">
        <v>93</v>
      </c>
    </row>
    <row r="289" spans="5:9" x14ac:dyDescent="0.25">
      <c r="E289">
        <f t="shared" si="30"/>
        <v>43</v>
      </c>
      <c r="G289" t="s">
        <v>287</v>
      </c>
      <c r="H289" s="51"/>
      <c r="I289" s="51">
        <v>93</v>
      </c>
    </row>
    <row r="290" spans="5:9" x14ac:dyDescent="0.25">
      <c r="E290">
        <f t="shared" si="30"/>
        <v>43</v>
      </c>
      <c r="G290" t="s">
        <v>288</v>
      </c>
      <c r="I290" s="51">
        <v>93</v>
      </c>
    </row>
    <row r="291" spans="5:9" x14ac:dyDescent="0.25">
      <c r="E291">
        <f>+$F$291</f>
        <v>44</v>
      </c>
      <c r="F291">
        <v>44</v>
      </c>
      <c r="G291" t="s">
        <v>280</v>
      </c>
      <c r="H291">
        <v>6</v>
      </c>
      <c r="I291" s="51">
        <v>172</v>
      </c>
    </row>
    <row r="292" spans="5:9" x14ac:dyDescent="0.25">
      <c r="E292">
        <f t="shared" ref="E292:E299" si="31">+$F$291</f>
        <v>44</v>
      </c>
      <c r="G292" t="s">
        <v>281</v>
      </c>
      <c r="H292">
        <v>3</v>
      </c>
      <c r="I292" s="51">
        <v>172</v>
      </c>
    </row>
    <row r="293" spans="5:9" x14ac:dyDescent="0.25">
      <c r="E293">
        <f t="shared" si="31"/>
        <v>44</v>
      </c>
      <c r="G293" t="s">
        <v>282</v>
      </c>
      <c r="H293">
        <v>8</v>
      </c>
      <c r="I293" s="51">
        <v>172</v>
      </c>
    </row>
    <row r="294" spans="5:9" x14ac:dyDescent="0.25">
      <c r="E294">
        <f t="shared" si="31"/>
        <v>44</v>
      </c>
      <c r="G294" t="s">
        <v>283</v>
      </c>
      <c r="H294">
        <v>7</v>
      </c>
      <c r="I294" s="51">
        <v>172</v>
      </c>
    </row>
    <row r="295" spans="5:9" x14ac:dyDescent="0.25">
      <c r="E295">
        <f t="shared" si="31"/>
        <v>44</v>
      </c>
      <c r="G295" t="s">
        <v>284</v>
      </c>
      <c r="H295">
        <v>11</v>
      </c>
      <c r="I295" s="51">
        <v>172</v>
      </c>
    </row>
    <row r="296" spans="5:9" x14ac:dyDescent="0.25">
      <c r="E296">
        <f t="shared" si="31"/>
        <v>44</v>
      </c>
      <c r="G296" t="s">
        <v>285</v>
      </c>
      <c r="H296">
        <v>7</v>
      </c>
      <c r="I296" s="51">
        <v>172</v>
      </c>
    </row>
    <row r="297" spans="5:9" x14ac:dyDescent="0.25">
      <c r="E297">
        <f t="shared" si="31"/>
        <v>44</v>
      </c>
      <c r="G297" t="s">
        <v>286</v>
      </c>
      <c r="H297" s="51">
        <v>1</v>
      </c>
      <c r="I297" s="51">
        <v>172</v>
      </c>
    </row>
    <row r="298" spans="5:9" x14ac:dyDescent="0.25">
      <c r="E298">
        <f t="shared" si="31"/>
        <v>44</v>
      </c>
      <c r="G298" t="s">
        <v>287</v>
      </c>
      <c r="H298">
        <v>3</v>
      </c>
      <c r="I298" s="51">
        <v>172</v>
      </c>
    </row>
    <row r="299" spans="5:9" x14ac:dyDescent="0.25">
      <c r="E299">
        <f t="shared" si="31"/>
        <v>44</v>
      </c>
      <c r="G299" t="s">
        <v>288</v>
      </c>
      <c r="H299" s="51">
        <v>3</v>
      </c>
      <c r="I299" s="51">
        <v>172</v>
      </c>
    </row>
    <row r="300" spans="5:9" x14ac:dyDescent="0.25">
      <c r="E300">
        <f>+$F$300</f>
        <v>49</v>
      </c>
      <c r="F300">
        <v>49</v>
      </c>
      <c r="G300" t="s">
        <v>280</v>
      </c>
      <c r="H300" s="51"/>
      <c r="I300" s="51">
        <v>243</v>
      </c>
    </row>
    <row r="301" spans="5:9" x14ac:dyDescent="0.25">
      <c r="E301">
        <f t="shared" ref="E301:E308" si="32">+$F$300</f>
        <v>49</v>
      </c>
      <c r="G301" t="s">
        <v>281</v>
      </c>
      <c r="H301" s="51"/>
      <c r="I301" s="51">
        <v>243</v>
      </c>
    </row>
    <row r="302" spans="5:9" x14ac:dyDescent="0.25">
      <c r="E302">
        <f t="shared" si="32"/>
        <v>49</v>
      </c>
      <c r="G302" t="s">
        <v>282</v>
      </c>
      <c r="H302" s="51"/>
      <c r="I302" s="51">
        <v>243</v>
      </c>
    </row>
    <row r="303" spans="5:9" x14ac:dyDescent="0.25">
      <c r="E303">
        <f t="shared" si="32"/>
        <v>49</v>
      </c>
      <c r="G303" t="s">
        <v>283</v>
      </c>
      <c r="H303" s="51"/>
      <c r="I303" s="51">
        <v>243</v>
      </c>
    </row>
    <row r="304" spans="5:9" x14ac:dyDescent="0.25">
      <c r="E304">
        <f t="shared" si="32"/>
        <v>49</v>
      </c>
      <c r="G304" t="s">
        <v>284</v>
      </c>
      <c r="H304" s="51"/>
      <c r="I304" s="51">
        <v>243</v>
      </c>
    </row>
    <row r="305" spans="5:9" x14ac:dyDescent="0.25">
      <c r="E305">
        <f t="shared" si="32"/>
        <v>49</v>
      </c>
      <c r="G305" t="s">
        <v>285</v>
      </c>
      <c r="H305" s="51"/>
      <c r="I305" s="51">
        <v>243</v>
      </c>
    </row>
    <row r="306" spans="5:9" x14ac:dyDescent="0.25">
      <c r="E306">
        <f t="shared" si="32"/>
        <v>49</v>
      </c>
      <c r="G306" t="s">
        <v>286</v>
      </c>
      <c r="H306" s="51"/>
      <c r="I306" s="51">
        <v>243</v>
      </c>
    </row>
    <row r="307" spans="5:9" x14ac:dyDescent="0.25">
      <c r="E307">
        <f t="shared" si="32"/>
        <v>49</v>
      </c>
      <c r="G307" t="s">
        <v>287</v>
      </c>
      <c r="I307" s="51">
        <v>243</v>
      </c>
    </row>
    <row r="308" spans="5:9" x14ac:dyDescent="0.25">
      <c r="E308">
        <f t="shared" si="32"/>
        <v>49</v>
      </c>
      <c r="G308" t="s">
        <v>288</v>
      </c>
      <c r="I308" s="51">
        <v>243</v>
      </c>
    </row>
    <row r="309" spans="5:9" x14ac:dyDescent="0.25">
      <c r="E309">
        <f>+$F$309</f>
        <v>5</v>
      </c>
      <c r="F309">
        <v>5</v>
      </c>
      <c r="G309" t="s">
        <v>280</v>
      </c>
      <c r="H309">
        <v>11</v>
      </c>
      <c r="I309" s="51">
        <v>261</v>
      </c>
    </row>
    <row r="310" spans="5:9" x14ac:dyDescent="0.25">
      <c r="E310">
        <f t="shared" ref="E310:E317" si="33">+$F$309</f>
        <v>5</v>
      </c>
      <c r="G310" t="s">
        <v>281</v>
      </c>
      <c r="H310">
        <v>9</v>
      </c>
      <c r="I310" s="51">
        <v>261</v>
      </c>
    </row>
    <row r="311" spans="5:9" x14ac:dyDescent="0.25">
      <c r="E311">
        <f t="shared" si="33"/>
        <v>5</v>
      </c>
      <c r="G311" t="s">
        <v>282</v>
      </c>
      <c r="H311">
        <v>19</v>
      </c>
      <c r="I311" s="51">
        <v>261</v>
      </c>
    </row>
    <row r="312" spans="5:9" x14ac:dyDescent="0.25">
      <c r="E312">
        <f t="shared" si="33"/>
        <v>5</v>
      </c>
      <c r="G312" t="s">
        <v>283</v>
      </c>
      <c r="H312">
        <v>8</v>
      </c>
      <c r="I312" s="51">
        <v>261</v>
      </c>
    </row>
    <row r="313" spans="5:9" x14ac:dyDescent="0.25">
      <c r="E313">
        <f t="shared" si="33"/>
        <v>5</v>
      </c>
      <c r="G313" t="s">
        <v>284</v>
      </c>
      <c r="H313">
        <v>15</v>
      </c>
      <c r="I313" s="51">
        <v>261</v>
      </c>
    </row>
    <row r="314" spans="5:9" x14ac:dyDescent="0.25">
      <c r="E314">
        <f t="shared" si="33"/>
        <v>5</v>
      </c>
      <c r="G314" t="s">
        <v>285</v>
      </c>
      <c r="H314">
        <v>15</v>
      </c>
      <c r="I314" s="51">
        <v>261</v>
      </c>
    </row>
    <row r="315" spans="5:9" x14ac:dyDescent="0.25">
      <c r="E315">
        <f t="shared" si="33"/>
        <v>5</v>
      </c>
      <c r="G315" t="s">
        <v>286</v>
      </c>
      <c r="H315" s="51">
        <v>3</v>
      </c>
      <c r="I315" s="51">
        <v>261</v>
      </c>
    </row>
    <row r="316" spans="5:9" x14ac:dyDescent="0.25">
      <c r="E316">
        <f t="shared" si="33"/>
        <v>5</v>
      </c>
      <c r="G316" t="s">
        <v>287</v>
      </c>
      <c r="H316">
        <v>6</v>
      </c>
      <c r="I316" s="51">
        <v>261</v>
      </c>
    </row>
    <row r="317" spans="5:9" x14ac:dyDescent="0.25">
      <c r="E317">
        <f t="shared" si="33"/>
        <v>5</v>
      </c>
      <c r="G317" t="s">
        <v>288</v>
      </c>
      <c r="H317" s="51">
        <v>8</v>
      </c>
      <c r="I317" s="51">
        <v>261</v>
      </c>
    </row>
    <row r="318" spans="5:9" x14ac:dyDescent="0.25">
      <c r="E318">
        <f>+$F$318</f>
        <v>52</v>
      </c>
      <c r="F318">
        <v>52</v>
      </c>
      <c r="G318" t="s">
        <v>280</v>
      </c>
      <c r="H318" s="51"/>
      <c r="I318" s="51">
        <v>102</v>
      </c>
    </row>
    <row r="319" spans="5:9" x14ac:dyDescent="0.25">
      <c r="E319">
        <f t="shared" ref="E319:E326" si="34">+$F$318</f>
        <v>52</v>
      </c>
      <c r="G319" t="s">
        <v>281</v>
      </c>
      <c r="H319" s="51"/>
      <c r="I319" s="51">
        <v>102</v>
      </c>
    </row>
    <row r="320" spans="5:9" x14ac:dyDescent="0.25">
      <c r="E320">
        <f t="shared" si="34"/>
        <v>52</v>
      </c>
      <c r="G320" t="s">
        <v>282</v>
      </c>
      <c r="H320" s="51"/>
      <c r="I320" s="51">
        <v>102</v>
      </c>
    </row>
    <row r="321" spans="5:9" x14ac:dyDescent="0.25">
      <c r="E321">
        <f t="shared" si="34"/>
        <v>52</v>
      </c>
      <c r="G321" t="s">
        <v>283</v>
      </c>
      <c r="H321" s="51"/>
      <c r="I321" s="51">
        <v>102</v>
      </c>
    </row>
    <row r="322" spans="5:9" x14ac:dyDescent="0.25">
      <c r="E322">
        <f t="shared" si="34"/>
        <v>52</v>
      </c>
      <c r="G322" t="s">
        <v>284</v>
      </c>
      <c r="H322" s="51"/>
      <c r="I322" s="51">
        <v>102</v>
      </c>
    </row>
    <row r="323" spans="5:9" x14ac:dyDescent="0.25">
      <c r="E323">
        <f t="shared" si="34"/>
        <v>52</v>
      </c>
      <c r="G323" t="s">
        <v>285</v>
      </c>
      <c r="I323" s="51">
        <v>102</v>
      </c>
    </row>
    <row r="324" spans="5:9" x14ac:dyDescent="0.25">
      <c r="E324">
        <f t="shared" si="34"/>
        <v>52</v>
      </c>
      <c r="G324" t="s">
        <v>286</v>
      </c>
      <c r="H324" s="51">
        <v>2</v>
      </c>
      <c r="I324" s="51">
        <v>102</v>
      </c>
    </row>
    <row r="325" spans="5:9" x14ac:dyDescent="0.25">
      <c r="E325">
        <f t="shared" si="34"/>
        <v>52</v>
      </c>
      <c r="G325" t="s">
        <v>287</v>
      </c>
      <c r="H325" s="51"/>
      <c r="I325" s="51">
        <v>102</v>
      </c>
    </row>
    <row r="326" spans="5:9" x14ac:dyDescent="0.25">
      <c r="E326">
        <f t="shared" si="34"/>
        <v>52</v>
      </c>
      <c r="G326" t="s">
        <v>288</v>
      </c>
      <c r="H326" s="51"/>
      <c r="I326" s="51">
        <v>102</v>
      </c>
    </row>
    <row r="327" spans="5:9" x14ac:dyDescent="0.25">
      <c r="E327">
        <f>+$F$327</f>
        <v>53</v>
      </c>
      <c r="F327">
        <v>53</v>
      </c>
      <c r="G327" t="s">
        <v>280</v>
      </c>
      <c r="I327" s="51">
        <v>105</v>
      </c>
    </row>
    <row r="328" spans="5:9" x14ac:dyDescent="0.25">
      <c r="E328">
        <f t="shared" ref="E328:E335" si="35">+$F$327</f>
        <v>53</v>
      </c>
      <c r="G328" t="s">
        <v>281</v>
      </c>
      <c r="H328">
        <v>1</v>
      </c>
      <c r="I328" s="51">
        <v>105</v>
      </c>
    </row>
    <row r="329" spans="5:9" x14ac:dyDescent="0.25">
      <c r="E329">
        <f t="shared" si="35"/>
        <v>53</v>
      </c>
      <c r="G329" t="s">
        <v>282</v>
      </c>
      <c r="H329" s="51"/>
      <c r="I329" s="51">
        <v>105</v>
      </c>
    </row>
    <row r="330" spans="5:9" x14ac:dyDescent="0.25">
      <c r="E330">
        <f t="shared" si="35"/>
        <v>53</v>
      </c>
      <c r="G330" t="s">
        <v>283</v>
      </c>
      <c r="I330" s="51">
        <v>105</v>
      </c>
    </row>
    <row r="331" spans="5:9" x14ac:dyDescent="0.25">
      <c r="E331">
        <f t="shared" si="35"/>
        <v>53</v>
      </c>
      <c r="G331" t="s">
        <v>284</v>
      </c>
      <c r="H331" s="51"/>
      <c r="I331" s="51">
        <v>105</v>
      </c>
    </row>
    <row r="332" spans="5:9" x14ac:dyDescent="0.25">
      <c r="E332">
        <f t="shared" si="35"/>
        <v>53</v>
      </c>
      <c r="G332" t="s">
        <v>285</v>
      </c>
      <c r="I332" s="51">
        <v>105</v>
      </c>
    </row>
    <row r="333" spans="5:9" x14ac:dyDescent="0.25">
      <c r="E333">
        <f t="shared" si="35"/>
        <v>53</v>
      </c>
      <c r="G333" t="s">
        <v>286</v>
      </c>
      <c r="H333" s="51">
        <v>5</v>
      </c>
      <c r="I333" s="51">
        <v>105</v>
      </c>
    </row>
    <row r="334" spans="5:9" x14ac:dyDescent="0.25">
      <c r="E334">
        <f t="shared" si="35"/>
        <v>53</v>
      </c>
      <c r="G334" t="s">
        <v>287</v>
      </c>
      <c r="H334" s="51"/>
      <c r="I334" s="51">
        <v>105</v>
      </c>
    </row>
    <row r="335" spans="5:9" x14ac:dyDescent="0.25">
      <c r="E335">
        <f t="shared" si="35"/>
        <v>53</v>
      </c>
      <c r="G335" t="s">
        <v>288</v>
      </c>
      <c r="H335" s="51"/>
      <c r="I335" s="51">
        <v>105</v>
      </c>
    </row>
    <row r="336" spans="5:9" x14ac:dyDescent="0.25">
      <c r="E336">
        <f>+$F$336</f>
        <v>54</v>
      </c>
      <c r="F336">
        <v>54</v>
      </c>
      <c r="G336" t="s">
        <v>280</v>
      </c>
      <c r="H336" s="51">
        <v>1</v>
      </c>
      <c r="I336" s="51">
        <v>197</v>
      </c>
    </row>
    <row r="337" spans="5:9" x14ac:dyDescent="0.25">
      <c r="E337">
        <f t="shared" ref="E337:E344" si="36">+$F$336</f>
        <v>54</v>
      </c>
      <c r="G337" t="s">
        <v>281</v>
      </c>
      <c r="H337" s="51">
        <v>1</v>
      </c>
      <c r="I337" s="51">
        <v>197</v>
      </c>
    </row>
    <row r="338" spans="5:9" x14ac:dyDescent="0.25">
      <c r="E338">
        <f t="shared" si="36"/>
        <v>54</v>
      </c>
      <c r="G338" t="s">
        <v>282</v>
      </c>
      <c r="H338" s="51">
        <v>4</v>
      </c>
      <c r="I338" s="51">
        <v>197</v>
      </c>
    </row>
    <row r="339" spans="5:9" x14ac:dyDescent="0.25">
      <c r="E339">
        <f t="shared" si="36"/>
        <v>54</v>
      </c>
      <c r="G339" t="s">
        <v>283</v>
      </c>
      <c r="H339" s="51">
        <v>4</v>
      </c>
      <c r="I339" s="51">
        <v>197</v>
      </c>
    </row>
    <row r="340" spans="5:9" x14ac:dyDescent="0.25">
      <c r="E340">
        <f t="shared" si="36"/>
        <v>54</v>
      </c>
      <c r="G340" t="s">
        <v>284</v>
      </c>
      <c r="H340">
        <v>3</v>
      </c>
      <c r="I340" s="51">
        <v>197</v>
      </c>
    </row>
    <row r="341" spans="5:9" x14ac:dyDescent="0.25">
      <c r="E341">
        <f t="shared" si="36"/>
        <v>54</v>
      </c>
      <c r="G341" t="s">
        <v>285</v>
      </c>
      <c r="H341" s="51">
        <v>3</v>
      </c>
      <c r="I341" s="51">
        <v>197</v>
      </c>
    </row>
    <row r="342" spans="5:9" x14ac:dyDescent="0.25">
      <c r="E342">
        <f t="shared" si="36"/>
        <v>54</v>
      </c>
      <c r="G342" t="s">
        <v>286</v>
      </c>
      <c r="H342" s="51">
        <v>2</v>
      </c>
      <c r="I342" s="51">
        <v>197</v>
      </c>
    </row>
    <row r="343" spans="5:9" x14ac:dyDescent="0.25">
      <c r="E343">
        <f t="shared" si="36"/>
        <v>54</v>
      </c>
      <c r="G343" t="s">
        <v>287</v>
      </c>
      <c r="H343" s="51">
        <v>2</v>
      </c>
      <c r="I343" s="51">
        <v>197</v>
      </c>
    </row>
    <row r="344" spans="5:9" x14ac:dyDescent="0.25">
      <c r="E344">
        <f t="shared" si="36"/>
        <v>54</v>
      </c>
      <c r="G344" t="s">
        <v>288</v>
      </c>
      <c r="H344" s="51">
        <v>3</v>
      </c>
      <c r="I344" s="51">
        <v>197</v>
      </c>
    </row>
    <row r="345" spans="5:9" x14ac:dyDescent="0.25">
      <c r="E345">
        <f>+$F$345</f>
        <v>56</v>
      </c>
      <c r="F345">
        <v>56</v>
      </c>
      <c r="G345" t="s">
        <v>280</v>
      </c>
      <c r="H345">
        <v>1</v>
      </c>
      <c r="I345" s="51">
        <v>197</v>
      </c>
    </row>
    <row r="346" spans="5:9" x14ac:dyDescent="0.25">
      <c r="E346">
        <f t="shared" ref="E346:E353" si="37">+$F$345</f>
        <v>56</v>
      </c>
      <c r="G346" t="s">
        <v>281</v>
      </c>
      <c r="H346" s="51">
        <v>2</v>
      </c>
      <c r="I346" s="51">
        <v>197</v>
      </c>
    </row>
    <row r="347" spans="5:9" x14ac:dyDescent="0.25">
      <c r="E347">
        <f t="shared" si="37"/>
        <v>56</v>
      </c>
      <c r="G347" t="s">
        <v>282</v>
      </c>
      <c r="H347" s="51">
        <v>20</v>
      </c>
      <c r="I347" s="51">
        <v>197</v>
      </c>
    </row>
    <row r="348" spans="5:9" x14ac:dyDescent="0.25">
      <c r="E348">
        <f t="shared" si="37"/>
        <v>56</v>
      </c>
      <c r="G348" t="s">
        <v>283</v>
      </c>
      <c r="H348">
        <v>7</v>
      </c>
      <c r="I348" s="51">
        <v>197</v>
      </c>
    </row>
    <row r="349" spans="5:9" x14ac:dyDescent="0.25">
      <c r="E349">
        <f t="shared" si="37"/>
        <v>56</v>
      </c>
      <c r="G349" t="s">
        <v>284</v>
      </c>
      <c r="H349" s="51">
        <v>13</v>
      </c>
      <c r="I349" s="51">
        <v>197</v>
      </c>
    </row>
    <row r="350" spans="5:9" x14ac:dyDescent="0.25">
      <c r="E350">
        <f t="shared" si="37"/>
        <v>56</v>
      </c>
      <c r="G350" t="s">
        <v>285</v>
      </c>
      <c r="H350" s="51">
        <v>10</v>
      </c>
      <c r="I350" s="51">
        <v>197</v>
      </c>
    </row>
    <row r="351" spans="5:9" x14ac:dyDescent="0.25">
      <c r="E351">
        <f t="shared" si="37"/>
        <v>56</v>
      </c>
      <c r="G351" t="s">
        <v>286</v>
      </c>
      <c r="H351" s="51">
        <v>14</v>
      </c>
      <c r="I351" s="51">
        <v>197</v>
      </c>
    </row>
    <row r="352" spans="5:9" x14ac:dyDescent="0.25">
      <c r="E352">
        <f t="shared" si="37"/>
        <v>56</v>
      </c>
      <c r="G352" t="s">
        <v>287</v>
      </c>
      <c r="H352">
        <v>4</v>
      </c>
      <c r="I352" s="51">
        <v>197</v>
      </c>
    </row>
    <row r="353" spans="5:9" x14ac:dyDescent="0.25">
      <c r="E353">
        <f t="shared" si="37"/>
        <v>56</v>
      </c>
      <c r="G353" t="s">
        <v>288</v>
      </c>
      <c r="H353" s="51">
        <v>5</v>
      </c>
      <c r="I353" s="51">
        <v>197</v>
      </c>
    </row>
    <row r="354" spans="5:9" x14ac:dyDescent="0.25">
      <c r="E354">
        <f>+$F$354</f>
        <v>57</v>
      </c>
      <c r="F354">
        <v>57</v>
      </c>
      <c r="G354" t="s">
        <v>280</v>
      </c>
      <c r="H354" s="51"/>
      <c r="I354" s="51">
        <v>105</v>
      </c>
    </row>
    <row r="355" spans="5:9" x14ac:dyDescent="0.25">
      <c r="E355">
        <f t="shared" ref="E355:E362" si="38">+$F$354</f>
        <v>57</v>
      </c>
      <c r="G355" t="s">
        <v>281</v>
      </c>
      <c r="H355" s="51"/>
      <c r="I355" s="51">
        <v>105</v>
      </c>
    </row>
    <row r="356" spans="5:9" x14ac:dyDescent="0.25">
      <c r="E356">
        <f t="shared" si="38"/>
        <v>57</v>
      </c>
      <c r="G356" t="s">
        <v>282</v>
      </c>
      <c r="H356" s="51"/>
      <c r="I356" s="51">
        <v>105</v>
      </c>
    </row>
    <row r="357" spans="5:9" x14ac:dyDescent="0.25">
      <c r="E357">
        <f t="shared" si="38"/>
        <v>57</v>
      </c>
      <c r="G357" t="s">
        <v>283</v>
      </c>
      <c r="H357" s="51"/>
      <c r="I357" s="51">
        <v>105</v>
      </c>
    </row>
    <row r="358" spans="5:9" x14ac:dyDescent="0.25">
      <c r="E358">
        <f t="shared" si="38"/>
        <v>57</v>
      </c>
      <c r="G358" t="s">
        <v>284</v>
      </c>
      <c r="H358" s="51"/>
      <c r="I358" s="51">
        <v>105</v>
      </c>
    </row>
    <row r="359" spans="5:9" x14ac:dyDescent="0.25">
      <c r="E359">
        <f t="shared" si="38"/>
        <v>57</v>
      </c>
      <c r="G359" t="s">
        <v>285</v>
      </c>
      <c r="H359" s="51"/>
      <c r="I359" s="51">
        <v>105</v>
      </c>
    </row>
    <row r="360" spans="5:9" x14ac:dyDescent="0.25">
      <c r="E360">
        <f t="shared" si="38"/>
        <v>57</v>
      </c>
      <c r="G360" t="s">
        <v>286</v>
      </c>
      <c r="H360" s="51">
        <v>1</v>
      </c>
      <c r="I360" s="51">
        <v>105</v>
      </c>
    </row>
    <row r="361" spans="5:9" x14ac:dyDescent="0.25">
      <c r="E361">
        <f t="shared" si="38"/>
        <v>57</v>
      </c>
      <c r="G361" t="s">
        <v>287</v>
      </c>
      <c r="H361" s="51"/>
      <c r="I361" s="51">
        <v>105</v>
      </c>
    </row>
    <row r="362" spans="5:9" x14ac:dyDescent="0.25">
      <c r="E362">
        <f t="shared" si="38"/>
        <v>57</v>
      </c>
      <c r="G362" t="s">
        <v>288</v>
      </c>
      <c r="H362" s="51"/>
      <c r="I362" s="51">
        <v>105</v>
      </c>
    </row>
    <row r="363" spans="5:9" x14ac:dyDescent="0.25">
      <c r="E363">
        <f>+$F$363</f>
        <v>58</v>
      </c>
      <c r="F363">
        <v>58</v>
      </c>
      <c r="G363" t="s">
        <v>280</v>
      </c>
      <c r="H363" s="51"/>
      <c r="I363" s="51">
        <v>122</v>
      </c>
    </row>
    <row r="364" spans="5:9" x14ac:dyDescent="0.25">
      <c r="E364">
        <f t="shared" ref="E364:E371" si="39">+$F$363</f>
        <v>58</v>
      </c>
      <c r="G364" t="s">
        <v>281</v>
      </c>
      <c r="H364" s="51"/>
      <c r="I364" s="51">
        <v>122</v>
      </c>
    </row>
    <row r="365" spans="5:9" x14ac:dyDescent="0.25">
      <c r="E365">
        <f t="shared" si="39"/>
        <v>58</v>
      </c>
      <c r="G365" t="s">
        <v>282</v>
      </c>
      <c r="H365" s="51"/>
      <c r="I365" s="51">
        <v>122</v>
      </c>
    </row>
    <row r="366" spans="5:9" x14ac:dyDescent="0.25">
      <c r="E366">
        <f t="shared" si="39"/>
        <v>58</v>
      </c>
      <c r="G366" t="s">
        <v>283</v>
      </c>
      <c r="H366" s="51"/>
      <c r="I366" s="51">
        <v>122</v>
      </c>
    </row>
    <row r="367" spans="5:9" x14ac:dyDescent="0.25">
      <c r="E367">
        <f t="shared" si="39"/>
        <v>58</v>
      </c>
      <c r="G367" t="s">
        <v>284</v>
      </c>
      <c r="H367" s="51"/>
      <c r="I367" s="51">
        <v>122</v>
      </c>
    </row>
    <row r="368" spans="5:9" x14ac:dyDescent="0.25">
      <c r="E368">
        <f t="shared" si="39"/>
        <v>58</v>
      </c>
      <c r="G368" t="s">
        <v>285</v>
      </c>
      <c r="H368" s="51"/>
      <c r="I368" s="51">
        <v>122</v>
      </c>
    </row>
    <row r="369" spans="5:9" x14ac:dyDescent="0.25">
      <c r="E369">
        <f t="shared" si="39"/>
        <v>58</v>
      </c>
      <c r="G369" t="s">
        <v>286</v>
      </c>
      <c r="H369" s="51"/>
      <c r="I369" s="51">
        <v>122</v>
      </c>
    </row>
    <row r="370" spans="5:9" x14ac:dyDescent="0.25">
      <c r="E370">
        <f t="shared" si="39"/>
        <v>58</v>
      </c>
      <c r="G370" t="s">
        <v>287</v>
      </c>
      <c r="H370" s="51"/>
      <c r="I370" s="51">
        <v>122</v>
      </c>
    </row>
    <row r="371" spans="5:9" x14ac:dyDescent="0.25">
      <c r="E371">
        <f t="shared" si="39"/>
        <v>58</v>
      </c>
      <c r="G371" t="s">
        <v>288</v>
      </c>
      <c r="H371" s="35"/>
      <c r="I371" s="35">
        <v>122</v>
      </c>
    </row>
    <row r="372" spans="5:9" x14ac:dyDescent="0.25">
      <c r="E372">
        <f>+$F$372</f>
        <v>59</v>
      </c>
      <c r="F372">
        <v>59</v>
      </c>
      <c r="G372" t="s">
        <v>280</v>
      </c>
      <c r="I372">
        <v>124</v>
      </c>
    </row>
    <row r="373" spans="5:9" x14ac:dyDescent="0.25">
      <c r="E373">
        <f t="shared" ref="E373:E380" si="40">+$F$372</f>
        <v>59</v>
      </c>
      <c r="G373" t="s">
        <v>281</v>
      </c>
      <c r="I373">
        <v>124</v>
      </c>
    </row>
    <row r="374" spans="5:9" x14ac:dyDescent="0.25">
      <c r="E374">
        <f t="shared" si="40"/>
        <v>59</v>
      </c>
      <c r="G374" t="s">
        <v>282</v>
      </c>
      <c r="I374">
        <v>124</v>
      </c>
    </row>
    <row r="375" spans="5:9" x14ac:dyDescent="0.25">
      <c r="E375">
        <f t="shared" si="40"/>
        <v>59</v>
      </c>
      <c r="G375" t="s">
        <v>283</v>
      </c>
      <c r="I375">
        <v>124</v>
      </c>
    </row>
    <row r="376" spans="5:9" x14ac:dyDescent="0.25">
      <c r="E376">
        <f t="shared" si="40"/>
        <v>59</v>
      </c>
      <c r="G376" t="s">
        <v>284</v>
      </c>
      <c r="I376">
        <v>124</v>
      </c>
    </row>
    <row r="377" spans="5:9" x14ac:dyDescent="0.25">
      <c r="E377">
        <f t="shared" si="40"/>
        <v>59</v>
      </c>
      <c r="G377" t="s">
        <v>285</v>
      </c>
      <c r="I377">
        <v>124</v>
      </c>
    </row>
    <row r="378" spans="5:9" x14ac:dyDescent="0.25">
      <c r="E378">
        <f t="shared" si="40"/>
        <v>59</v>
      </c>
      <c r="G378" t="s">
        <v>286</v>
      </c>
      <c r="I378">
        <v>124</v>
      </c>
    </row>
    <row r="379" spans="5:9" x14ac:dyDescent="0.25">
      <c r="E379">
        <f t="shared" si="40"/>
        <v>59</v>
      </c>
      <c r="G379" t="s">
        <v>287</v>
      </c>
      <c r="I379">
        <v>124</v>
      </c>
    </row>
    <row r="380" spans="5:9" x14ac:dyDescent="0.25">
      <c r="E380">
        <f t="shared" si="40"/>
        <v>59</v>
      </c>
      <c r="G380" t="s">
        <v>288</v>
      </c>
      <c r="I380">
        <v>124</v>
      </c>
    </row>
    <row r="381" spans="5:9" x14ac:dyDescent="0.25">
      <c r="E381">
        <f>+$F$381</f>
        <v>7</v>
      </c>
      <c r="F381">
        <v>7</v>
      </c>
      <c r="G381" t="s">
        <v>280</v>
      </c>
      <c r="I381">
        <v>115</v>
      </c>
    </row>
    <row r="382" spans="5:9" x14ac:dyDescent="0.25">
      <c r="E382">
        <f t="shared" ref="E382:E389" si="41">+$F$381</f>
        <v>7</v>
      </c>
      <c r="G382" t="s">
        <v>281</v>
      </c>
      <c r="I382">
        <v>115</v>
      </c>
    </row>
    <row r="383" spans="5:9" x14ac:dyDescent="0.25">
      <c r="E383">
        <f t="shared" si="41"/>
        <v>7</v>
      </c>
      <c r="G383" t="s">
        <v>282</v>
      </c>
      <c r="H383">
        <v>1</v>
      </c>
      <c r="I383">
        <v>115</v>
      </c>
    </row>
    <row r="384" spans="5:9" x14ac:dyDescent="0.25">
      <c r="E384">
        <f t="shared" si="41"/>
        <v>7</v>
      </c>
      <c r="G384" t="s">
        <v>283</v>
      </c>
      <c r="I384">
        <v>115</v>
      </c>
    </row>
    <row r="385" spans="5:9" x14ac:dyDescent="0.25">
      <c r="E385">
        <f t="shared" si="41"/>
        <v>7</v>
      </c>
      <c r="G385" t="s">
        <v>284</v>
      </c>
      <c r="I385">
        <v>115</v>
      </c>
    </row>
    <row r="386" spans="5:9" x14ac:dyDescent="0.25">
      <c r="E386">
        <f t="shared" si="41"/>
        <v>7</v>
      </c>
      <c r="G386" t="s">
        <v>285</v>
      </c>
      <c r="I386">
        <v>115</v>
      </c>
    </row>
    <row r="387" spans="5:9" x14ac:dyDescent="0.25">
      <c r="E387">
        <f t="shared" si="41"/>
        <v>7</v>
      </c>
      <c r="G387" t="s">
        <v>286</v>
      </c>
      <c r="H387">
        <v>2</v>
      </c>
      <c r="I387">
        <v>115</v>
      </c>
    </row>
    <row r="388" spans="5:9" x14ac:dyDescent="0.25">
      <c r="E388">
        <f t="shared" si="41"/>
        <v>7</v>
      </c>
      <c r="G388" t="s">
        <v>287</v>
      </c>
      <c r="I388">
        <v>115</v>
      </c>
    </row>
    <row r="389" spans="5:9" x14ac:dyDescent="0.25">
      <c r="E389">
        <f t="shared" si="41"/>
        <v>7</v>
      </c>
      <c r="G389" t="s">
        <v>288</v>
      </c>
      <c r="I389">
        <v>115</v>
      </c>
    </row>
    <row r="390" spans="5:9" x14ac:dyDescent="0.25">
      <c r="E390">
        <f>+$F$390</f>
        <v>8</v>
      </c>
      <c r="F390">
        <v>8</v>
      </c>
      <c r="G390" t="s">
        <v>280</v>
      </c>
      <c r="H390">
        <v>2</v>
      </c>
      <c r="I390">
        <v>195</v>
      </c>
    </row>
    <row r="391" spans="5:9" x14ac:dyDescent="0.25">
      <c r="E391">
        <f t="shared" ref="E391:E398" si="42">+$F$390</f>
        <v>8</v>
      </c>
      <c r="G391" t="s">
        <v>281</v>
      </c>
      <c r="I391">
        <v>195</v>
      </c>
    </row>
    <row r="392" spans="5:9" x14ac:dyDescent="0.25">
      <c r="E392">
        <f t="shared" si="42"/>
        <v>8</v>
      </c>
      <c r="G392" t="s">
        <v>282</v>
      </c>
      <c r="H392">
        <v>1</v>
      </c>
      <c r="I392">
        <v>195</v>
      </c>
    </row>
    <row r="393" spans="5:9" x14ac:dyDescent="0.25">
      <c r="E393">
        <f t="shared" si="42"/>
        <v>8</v>
      </c>
      <c r="G393" t="s">
        <v>283</v>
      </c>
      <c r="H393">
        <v>3</v>
      </c>
      <c r="I393">
        <v>195</v>
      </c>
    </row>
    <row r="394" spans="5:9" x14ac:dyDescent="0.25">
      <c r="E394">
        <f t="shared" si="42"/>
        <v>8</v>
      </c>
      <c r="G394" t="s">
        <v>284</v>
      </c>
      <c r="I394">
        <v>195</v>
      </c>
    </row>
    <row r="395" spans="5:9" x14ac:dyDescent="0.25">
      <c r="E395">
        <f t="shared" si="42"/>
        <v>8</v>
      </c>
      <c r="G395" t="s">
        <v>285</v>
      </c>
      <c r="H395">
        <v>1</v>
      </c>
      <c r="I395">
        <v>195</v>
      </c>
    </row>
    <row r="396" spans="5:9" x14ac:dyDescent="0.25">
      <c r="E396">
        <f t="shared" si="42"/>
        <v>8</v>
      </c>
      <c r="G396" t="s">
        <v>286</v>
      </c>
      <c r="H396">
        <v>2</v>
      </c>
      <c r="I396">
        <v>195</v>
      </c>
    </row>
    <row r="397" spans="5:9" x14ac:dyDescent="0.25">
      <c r="E397">
        <f t="shared" si="42"/>
        <v>8</v>
      </c>
      <c r="G397" t="s">
        <v>287</v>
      </c>
      <c r="H397">
        <v>1</v>
      </c>
      <c r="I397">
        <v>195</v>
      </c>
    </row>
    <row r="398" spans="5:9" x14ac:dyDescent="0.25">
      <c r="E398">
        <f t="shared" si="42"/>
        <v>8</v>
      </c>
      <c r="G398" t="s">
        <v>288</v>
      </c>
      <c r="H398">
        <v>3</v>
      </c>
      <c r="I398">
        <v>195</v>
      </c>
    </row>
    <row r="399" spans="5:9" x14ac:dyDescent="0.25">
      <c r="E399">
        <f>+$F$399</f>
        <v>9</v>
      </c>
      <c r="F399">
        <v>9</v>
      </c>
      <c r="G399" t="s">
        <v>280</v>
      </c>
      <c r="H399">
        <v>2</v>
      </c>
      <c r="I399">
        <v>156</v>
      </c>
    </row>
    <row r="400" spans="5:9" x14ac:dyDescent="0.25">
      <c r="E400">
        <f t="shared" ref="E400:E407" si="43">+$F$399</f>
        <v>9</v>
      </c>
      <c r="G400" t="s">
        <v>281</v>
      </c>
      <c r="H400">
        <v>4</v>
      </c>
      <c r="I400">
        <v>156</v>
      </c>
    </row>
    <row r="401" spans="5:9" x14ac:dyDescent="0.25">
      <c r="E401">
        <f t="shared" si="43"/>
        <v>9</v>
      </c>
      <c r="G401" t="s">
        <v>282</v>
      </c>
      <c r="H401">
        <v>4</v>
      </c>
      <c r="I401">
        <v>156</v>
      </c>
    </row>
    <row r="402" spans="5:9" x14ac:dyDescent="0.25">
      <c r="E402">
        <f t="shared" si="43"/>
        <v>9</v>
      </c>
      <c r="G402" t="s">
        <v>283</v>
      </c>
      <c r="H402">
        <v>7</v>
      </c>
      <c r="I402">
        <v>156</v>
      </c>
    </row>
    <row r="403" spans="5:9" x14ac:dyDescent="0.25">
      <c r="E403">
        <f t="shared" si="43"/>
        <v>9</v>
      </c>
      <c r="G403" t="s">
        <v>284</v>
      </c>
      <c r="H403">
        <v>6</v>
      </c>
      <c r="I403">
        <v>156</v>
      </c>
    </row>
    <row r="404" spans="5:9" x14ac:dyDescent="0.25">
      <c r="E404">
        <f t="shared" si="43"/>
        <v>9</v>
      </c>
      <c r="G404" t="s">
        <v>285</v>
      </c>
      <c r="H404">
        <v>7</v>
      </c>
      <c r="I404">
        <v>156</v>
      </c>
    </row>
    <row r="405" spans="5:9" x14ac:dyDescent="0.25">
      <c r="E405">
        <f t="shared" si="43"/>
        <v>9</v>
      </c>
      <c r="G405" t="s">
        <v>286</v>
      </c>
      <c r="I405">
        <v>156</v>
      </c>
    </row>
    <row r="406" spans="5:9" x14ac:dyDescent="0.25">
      <c r="E406">
        <f t="shared" si="43"/>
        <v>9</v>
      </c>
      <c r="G406" t="s">
        <v>287</v>
      </c>
      <c r="H406">
        <v>1</v>
      </c>
      <c r="I406">
        <v>156</v>
      </c>
    </row>
    <row r="407" spans="5:9" x14ac:dyDescent="0.25">
      <c r="E407">
        <f t="shared" si="43"/>
        <v>9</v>
      </c>
      <c r="G407" t="s">
        <v>288</v>
      </c>
      <c r="H407">
        <v>3</v>
      </c>
      <c r="I407">
        <v>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CD1B-7040-4EDB-BDA4-36A2CA347871}">
  <dimension ref="A1:T45"/>
  <sheetViews>
    <sheetView workbookViewId="0">
      <selection sqref="A1:T45"/>
    </sheetView>
  </sheetViews>
  <sheetFormatPr baseColWidth="10" defaultRowHeight="15" x14ac:dyDescent="0.25"/>
  <cols>
    <col min="9" max="9" width="11.140625" customWidth="1"/>
  </cols>
  <sheetData>
    <row r="1" spans="1:20" x14ac:dyDescent="0.25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121</v>
      </c>
      <c r="I1" t="s">
        <v>122</v>
      </c>
      <c r="J1" t="s">
        <v>124</v>
      </c>
      <c r="K1" t="s">
        <v>125</v>
      </c>
      <c r="L1" t="s">
        <v>126</v>
      </c>
      <c r="M1" t="s">
        <v>127</v>
      </c>
      <c r="N1" t="s">
        <v>128</v>
      </c>
      <c r="O1" t="s">
        <v>129</v>
      </c>
      <c r="P1" t="s">
        <v>130</v>
      </c>
      <c r="Q1" t="s">
        <v>131</v>
      </c>
      <c r="R1" t="s">
        <v>132</v>
      </c>
      <c r="S1" t="s">
        <v>133</v>
      </c>
      <c r="T1" t="s">
        <v>134</v>
      </c>
    </row>
    <row r="2" spans="1:20" x14ac:dyDescent="0.25">
      <c r="A2" t="s">
        <v>204</v>
      </c>
      <c r="B2">
        <v>1</v>
      </c>
      <c r="C2" s="52">
        <v>46082</v>
      </c>
      <c r="D2" t="s">
        <v>156</v>
      </c>
      <c r="E2">
        <v>1</v>
      </c>
      <c r="F2" t="s">
        <v>14</v>
      </c>
      <c r="G2" t="s">
        <v>143</v>
      </c>
      <c r="H2">
        <v>1382</v>
      </c>
      <c r="I2" t="s">
        <v>144</v>
      </c>
      <c r="J2">
        <v>98746.145000000004</v>
      </c>
      <c r="K2">
        <v>122432.8</v>
      </c>
      <c r="L2">
        <v>14.2607</v>
      </c>
      <c r="M2">
        <v>2.6637</v>
      </c>
      <c r="N2">
        <v>16.924399999999999</v>
      </c>
      <c r="O2">
        <v>0</v>
      </c>
      <c r="P2">
        <v>1671221.44</v>
      </c>
      <c r="Q2">
        <v>2072104.38</v>
      </c>
      <c r="R2">
        <v>128</v>
      </c>
      <c r="S2">
        <v>0.13</v>
      </c>
      <c r="T2">
        <v>0</v>
      </c>
    </row>
    <row r="3" spans="1:20" x14ac:dyDescent="0.25">
      <c r="A3" t="s">
        <v>204</v>
      </c>
      <c r="B3">
        <v>1</v>
      </c>
      <c r="C3" s="52">
        <v>46082</v>
      </c>
      <c r="D3" t="s">
        <v>180</v>
      </c>
      <c r="E3">
        <v>2</v>
      </c>
      <c r="F3" t="s">
        <v>7</v>
      </c>
      <c r="G3" t="s">
        <v>143</v>
      </c>
      <c r="H3">
        <v>1382</v>
      </c>
      <c r="I3" t="s">
        <v>144</v>
      </c>
      <c r="J3">
        <v>11815.421</v>
      </c>
      <c r="K3">
        <v>14554.453</v>
      </c>
      <c r="L3">
        <v>25.549800000000001</v>
      </c>
      <c r="M3">
        <v>4.5641999999999996</v>
      </c>
      <c r="N3">
        <v>30.114000000000001</v>
      </c>
      <c r="O3">
        <v>0</v>
      </c>
      <c r="P3">
        <v>355809.05</v>
      </c>
      <c r="Q3">
        <v>438292.15</v>
      </c>
      <c r="R3">
        <v>73</v>
      </c>
      <c r="S3">
        <v>0.41</v>
      </c>
      <c r="T3">
        <v>0</v>
      </c>
    </row>
    <row r="4" spans="1:20" x14ac:dyDescent="0.25">
      <c r="A4" t="s">
        <v>204</v>
      </c>
      <c r="B4">
        <v>1</v>
      </c>
      <c r="C4" s="52">
        <v>46082</v>
      </c>
      <c r="D4" t="s">
        <v>157</v>
      </c>
      <c r="E4">
        <v>3</v>
      </c>
      <c r="F4" t="s">
        <v>4</v>
      </c>
      <c r="G4" t="s">
        <v>143</v>
      </c>
      <c r="H4">
        <v>1382</v>
      </c>
      <c r="I4" t="s">
        <v>144</v>
      </c>
      <c r="J4">
        <v>12029.634</v>
      </c>
      <c r="K4">
        <v>14825.838</v>
      </c>
      <c r="L4">
        <v>27.373100000000001</v>
      </c>
      <c r="M4">
        <v>10.9908</v>
      </c>
      <c r="N4">
        <v>38.363900000000001</v>
      </c>
      <c r="O4">
        <v>0</v>
      </c>
      <c r="P4">
        <v>461503.95</v>
      </c>
      <c r="Q4">
        <v>568777.28</v>
      </c>
      <c r="R4">
        <v>79</v>
      </c>
      <c r="S4">
        <v>0.49</v>
      </c>
      <c r="T4">
        <v>0</v>
      </c>
    </row>
    <row r="5" spans="1:20" x14ac:dyDescent="0.25">
      <c r="A5" t="s">
        <v>204</v>
      </c>
      <c r="B5">
        <v>1</v>
      </c>
      <c r="C5" s="52">
        <v>46082</v>
      </c>
      <c r="D5" t="s">
        <v>162</v>
      </c>
      <c r="E5">
        <v>4</v>
      </c>
      <c r="F5" t="s">
        <v>19</v>
      </c>
      <c r="G5" t="s">
        <v>143</v>
      </c>
      <c r="H5">
        <v>1382</v>
      </c>
      <c r="I5" t="s">
        <v>144</v>
      </c>
      <c r="J5">
        <v>17624.901999999998</v>
      </c>
      <c r="K5">
        <v>21774.702000000001</v>
      </c>
      <c r="L5">
        <v>44.352899999999998</v>
      </c>
      <c r="M5">
        <v>5.3057999999999996</v>
      </c>
      <c r="N5">
        <v>49.6586</v>
      </c>
      <c r="O5">
        <v>0</v>
      </c>
      <c r="P5">
        <v>875228.78</v>
      </c>
      <c r="Q5">
        <v>1081302.23</v>
      </c>
      <c r="R5">
        <v>100</v>
      </c>
      <c r="S5">
        <v>0.5</v>
      </c>
      <c r="T5">
        <v>0</v>
      </c>
    </row>
    <row r="6" spans="1:20" x14ac:dyDescent="0.25">
      <c r="A6" t="s">
        <v>204</v>
      </c>
      <c r="B6">
        <v>1</v>
      </c>
      <c r="C6" s="52">
        <v>46082</v>
      </c>
      <c r="D6" t="s">
        <v>163</v>
      </c>
      <c r="E6">
        <v>5</v>
      </c>
      <c r="F6" t="s">
        <v>71</v>
      </c>
      <c r="G6" t="s">
        <v>143</v>
      </c>
      <c r="H6">
        <v>1382</v>
      </c>
      <c r="I6" t="s">
        <v>144</v>
      </c>
      <c r="J6">
        <v>26707.909</v>
      </c>
      <c r="K6">
        <v>32656.222000000002</v>
      </c>
      <c r="L6">
        <v>7.0171999999999999</v>
      </c>
      <c r="M6">
        <v>5.0472000000000001</v>
      </c>
      <c r="N6">
        <v>12.064500000000001</v>
      </c>
      <c r="O6">
        <v>0</v>
      </c>
      <c r="P6">
        <v>322216.7</v>
      </c>
      <c r="Q6">
        <v>393979.93</v>
      </c>
      <c r="R6">
        <v>70</v>
      </c>
      <c r="S6">
        <v>0.17</v>
      </c>
      <c r="T6">
        <v>0</v>
      </c>
    </row>
    <row r="7" spans="1:20" x14ac:dyDescent="0.25">
      <c r="A7" t="s">
        <v>204</v>
      </c>
      <c r="B7">
        <v>1</v>
      </c>
      <c r="C7" s="52">
        <v>46082</v>
      </c>
      <c r="D7" t="s">
        <v>197</v>
      </c>
      <c r="E7">
        <v>7</v>
      </c>
      <c r="F7" t="s">
        <v>10</v>
      </c>
      <c r="G7" t="s">
        <v>143</v>
      </c>
      <c r="H7">
        <v>1382</v>
      </c>
      <c r="I7" t="s">
        <v>144</v>
      </c>
      <c r="J7">
        <v>6772.3810000000003</v>
      </c>
      <c r="K7">
        <v>8382.7170000000006</v>
      </c>
      <c r="L7">
        <v>39</v>
      </c>
      <c r="M7">
        <v>0</v>
      </c>
      <c r="N7">
        <v>39</v>
      </c>
      <c r="O7">
        <v>0</v>
      </c>
      <c r="P7">
        <v>264122.84999999998</v>
      </c>
      <c r="Q7">
        <v>326925.96999999997</v>
      </c>
      <c r="R7">
        <v>1</v>
      </c>
      <c r="S7">
        <v>39</v>
      </c>
      <c r="T7">
        <v>0</v>
      </c>
    </row>
    <row r="8" spans="1:20" x14ac:dyDescent="0.25">
      <c r="A8" t="s">
        <v>204</v>
      </c>
      <c r="B8">
        <v>1</v>
      </c>
      <c r="C8" s="52">
        <v>46082</v>
      </c>
      <c r="D8" t="s">
        <v>158</v>
      </c>
      <c r="E8">
        <v>8</v>
      </c>
      <c r="F8" t="s">
        <v>6</v>
      </c>
      <c r="G8" t="s">
        <v>143</v>
      </c>
      <c r="H8">
        <v>1382</v>
      </c>
      <c r="I8" t="s">
        <v>144</v>
      </c>
      <c r="J8">
        <v>18047.967000000001</v>
      </c>
      <c r="K8">
        <v>22290.442999999999</v>
      </c>
      <c r="L8">
        <v>8.0508000000000006</v>
      </c>
      <c r="M8">
        <v>7.7319000000000004</v>
      </c>
      <c r="N8">
        <v>15.7828</v>
      </c>
      <c r="O8">
        <v>0</v>
      </c>
      <c r="P8">
        <v>284846.64</v>
      </c>
      <c r="Q8">
        <v>351804.59</v>
      </c>
      <c r="R8">
        <v>61</v>
      </c>
      <c r="S8">
        <v>0.26</v>
      </c>
      <c r="T8">
        <v>0</v>
      </c>
    </row>
    <row r="9" spans="1:20" x14ac:dyDescent="0.25">
      <c r="A9" t="s">
        <v>204</v>
      </c>
      <c r="B9">
        <v>1</v>
      </c>
      <c r="C9" s="52">
        <v>46082</v>
      </c>
      <c r="D9" t="s">
        <v>135</v>
      </c>
      <c r="E9">
        <v>9</v>
      </c>
      <c r="F9" t="s">
        <v>8</v>
      </c>
      <c r="G9" t="s">
        <v>143</v>
      </c>
      <c r="H9">
        <v>1382</v>
      </c>
      <c r="I9" t="s">
        <v>144</v>
      </c>
      <c r="J9">
        <v>9288.0779999999995</v>
      </c>
      <c r="K9">
        <v>11426.612999999999</v>
      </c>
      <c r="L9">
        <v>40.548999999999999</v>
      </c>
      <c r="M9">
        <v>7.8353000000000002</v>
      </c>
      <c r="N9">
        <v>48.384300000000003</v>
      </c>
      <c r="O9">
        <v>0</v>
      </c>
      <c r="P9">
        <v>449396.93</v>
      </c>
      <c r="Q9">
        <v>552868.39</v>
      </c>
      <c r="R9">
        <v>85</v>
      </c>
      <c r="S9">
        <v>0.56999999999999995</v>
      </c>
      <c r="T9">
        <v>0</v>
      </c>
    </row>
    <row r="10" spans="1:20" x14ac:dyDescent="0.25">
      <c r="A10" t="s">
        <v>204</v>
      </c>
      <c r="B10">
        <v>1</v>
      </c>
      <c r="C10" s="52">
        <v>46082</v>
      </c>
      <c r="D10" t="s">
        <v>164</v>
      </c>
      <c r="E10">
        <v>10</v>
      </c>
      <c r="F10" t="s">
        <v>62</v>
      </c>
      <c r="G10" t="s">
        <v>143</v>
      </c>
      <c r="H10">
        <v>1382</v>
      </c>
      <c r="I10" t="s">
        <v>144</v>
      </c>
      <c r="J10">
        <v>19423.101999999999</v>
      </c>
      <c r="K10">
        <v>23755.08</v>
      </c>
      <c r="L10">
        <v>16.260000000000002</v>
      </c>
      <c r="M10">
        <v>3.6008</v>
      </c>
      <c r="N10">
        <v>19.860700000000001</v>
      </c>
      <c r="O10">
        <v>0</v>
      </c>
      <c r="P10">
        <v>385757.33</v>
      </c>
      <c r="Q10">
        <v>471793.64</v>
      </c>
      <c r="R10">
        <v>61</v>
      </c>
      <c r="S10">
        <v>0.33</v>
      </c>
      <c r="T10">
        <v>0</v>
      </c>
    </row>
    <row r="11" spans="1:20" x14ac:dyDescent="0.25">
      <c r="A11" t="s">
        <v>204</v>
      </c>
      <c r="B11">
        <v>1</v>
      </c>
      <c r="C11" s="52">
        <v>46082</v>
      </c>
      <c r="D11" t="s">
        <v>165</v>
      </c>
      <c r="E11">
        <v>11</v>
      </c>
      <c r="F11" t="s">
        <v>80</v>
      </c>
      <c r="G11" t="s">
        <v>143</v>
      </c>
      <c r="H11">
        <v>1382</v>
      </c>
      <c r="I11" t="s">
        <v>144</v>
      </c>
      <c r="J11">
        <v>19880.77</v>
      </c>
      <c r="K11">
        <v>24580.662</v>
      </c>
      <c r="L11">
        <v>6.2249999999999996</v>
      </c>
      <c r="M11">
        <v>2.1692999999999998</v>
      </c>
      <c r="N11">
        <v>8.3942999999999994</v>
      </c>
      <c r="O11">
        <v>0</v>
      </c>
      <c r="P11">
        <v>166886.04999999999</v>
      </c>
      <c r="Q11">
        <v>206338.57</v>
      </c>
      <c r="R11">
        <v>53</v>
      </c>
      <c r="S11">
        <v>0.16</v>
      </c>
      <c r="T11">
        <v>0</v>
      </c>
    </row>
    <row r="12" spans="1:20" x14ac:dyDescent="0.25">
      <c r="A12" t="s">
        <v>204</v>
      </c>
      <c r="B12">
        <v>1</v>
      </c>
      <c r="C12" s="52">
        <v>46082</v>
      </c>
      <c r="D12" t="s">
        <v>181</v>
      </c>
      <c r="E12">
        <v>12</v>
      </c>
      <c r="F12" t="s">
        <v>12</v>
      </c>
      <c r="G12" t="s">
        <v>143</v>
      </c>
      <c r="H12">
        <v>1382</v>
      </c>
      <c r="I12" t="s">
        <v>144</v>
      </c>
      <c r="J12">
        <v>21003.651000000002</v>
      </c>
      <c r="K12">
        <v>25910.202000000001</v>
      </c>
      <c r="L12">
        <v>6.2832999999999997</v>
      </c>
      <c r="M12">
        <v>7.2679</v>
      </c>
      <c r="N12">
        <v>13.5512</v>
      </c>
      <c r="O12">
        <v>0</v>
      </c>
      <c r="P12">
        <v>284624.48</v>
      </c>
      <c r="Q12">
        <v>351114.08</v>
      </c>
      <c r="R12">
        <v>65</v>
      </c>
      <c r="S12">
        <v>0.21</v>
      </c>
      <c r="T12">
        <v>0</v>
      </c>
    </row>
    <row r="13" spans="1:20" x14ac:dyDescent="0.25">
      <c r="A13" t="s">
        <v>204</v>
      </c>
      <c r="B13">
        <v>1</v>
      </c>
      <c r="C13" s="52">
        <v>46082</v>
      </c>
      <c r="D13" t="s">
        <v>202</v>
      </c>
      <c r="E13">
        <v>15</v>
      </c>
      <c r="F13" t="s">
        <v>13</v>
      </c>
      <c r="G13" t="s">
        <v>143</v>
      </c>
      <c r="H13">
        <v>1382</v>
      </c>
      <c r="I13" t="s">
        <v>144</v>
      </c>
      <c r="J13">
        <v>39203.754000000001</v>
      </c>
      <c r="K13">
        <v>49427.271000000001</v>
      </c>
      <c r="L13">
        <v>33.666699999999999</v>
      </c>
      <c r="M13">
        <v>0.23330000000000001</v>
      </c>
      <c r="N13">
        <v>33.9</v>
      </c>
      <c r="O13">
        <v>0</v>
      </c>
      <c r="P13">
        <v>1329007.27</v>
      </c>
      <c r="Q13">
        <v>1675584.49</v>
      </c>
      <c r="R13">
        <v>10</v>
      </c>
      <c r="S13">
        <v>3.39</v>
      </c>
      <c r="T13">
        <v>0</v>
      </c>
    </row>
    <row r="14" spans="1:20" x14ac:dyDescent="0.25">
      <c r="A14" t="s">
        <v>204</v>
      </c>
      <c r="B14">
        <v>1</v>
      </c>
      <c r="C14" s="52">
        <v>46082</v>
      </c>
      <c r="D14" t="s">
        <v>166</v>
      </c>
      <c r="E14">
        <v>16</v>
      </c>
      <c r="F14" t="s">
        <v>21</v>
      </c>
      <c r="G14" t="s">
        <v>143</v>
      </c>
      <c r="H14">
        <v>1382</v>
      </c>
      <c r="I14" t="s">
        <v>144</v>
      </c>
      <c r="J14">
        <v>14326.343999999999</v>
      </c>
      <c r="K14">
        <v>17577.612000000001</v>
      </c>
      <c r="L14">
        <v>8.6333000000000002</v>
      </c>
      <c r="M14">
        <v>10.282999999999999</v>
      </c>
      <c r="N14">
        <v>18.916399999999999</v>
      </c>
      <c r="O14">
        <v>0</v>
      </c>
      <c r="P14">
        <v>271002.40000000002</v>
      </c>
      <c r="Q14">
        <v>332504.59000000003</v>
      </c>
      <c r="R14">
        <v>64</v>
      </c>
      <c r="S14">
        <v>0.3</v>
      </c>
      <c r="T14">
        <v>0</v>
      </c>
    </row>
    <row r="15" spans="1:20" x14ac:dyDescent="0.25">
      <c r="A15" t="s">
        <v>204</v>
      </c>
      <c r="B15">
        <v>1</v>
      </c>
      <c r="C15" s="52">
        <v>46082</v>
      </c>
      <c r="D15" t="s">
        <v>167</v>
      </c>
      <c r="E15">
        <v>18</v>
      </c>
      <c r="F15" t="s">
        <v>11</v>
      </c>
      <c r="G15" t="s">
        <v>143</v>
      </c>
      <c r="H15">
        <v>1382</v>
      </c>
      <c r="I15" t="s">
        <v>144</v>
      </c>
      <c r="J15">
        <v>47544.817000000003</v>
      </c>
      <c r="K15">
        <v>58104.665999999997</v>
      </c>
      <c r="L15">
        <v>7.1306000000000003</v>
      </c>
      <c r="M15">
        <v>2.6594000000000002</v>
      </c>
      <c r="N15">
        <v>9.7899999999999991</v>
      </c>
      <c r="O15">
        <v>0</v>
      </c>
      <c r="P15">
        <v>465462.81</v>
      </c>
      <c r="Q15">
        <v>568843.53</v>
      </c>
      <c r="R15">
        <v>66</v>
      </c>
      <c r="S15">
        <v>0.15</v>
      </c>
      <c r="T15">
        <v>0</v>
      </c>
    </row>
    <row r="16" spans="1:20" x14ac:dyDescent="0.25">
      <c r="A16" t="s">
        <v>204</v>
      </c>
      <c r="B16">
        <v>1</v>
      </c>
      <c r="C16" s="52">
        <v>46082</v>
      </c>
      <c r="D16" t="s">
        <v>182</v>
      </c>
      <c r="E16">
        <v>19</v>
      </c>
      <c r="F16" t="s">
        <v>73</v>
      </c>
      <c r="G16" t="s">
        <v>143</v>
      </c>
      <c r="H16">
        <v>1382</v>
      </c>
      <c r="I16" t="s">
        <v>144</v>
      </c>
      <c r="J16">
        <v>29959.673999999999</v>
      </c>
      <c r="K16">
        <v>36445.453999999998</v>
      </c>
      <c r="L16">
        <v>6.3691000000000004</v>
      </c>
      <c r="M16">
        <v>5.8227000000000002</v>
      </c>
      <c r="N16">
        <v>12.191800000000001</v>
      </c>
      <c r="O16">
        <v>0</v>
      </c>
      <c r="P16">
        <v>365262.82</v>
      </c>
      <c r="Q16">
        <v>444336.25</v>
      </c>
      <c r="R16">
        <v>68</v>
      </c>
      <c r="S16">
        <v>0.18</v>
      </c>
      <c r="T16">
        <v>0</v>
      </c>
    </row>
    <row r="17" spans="1:20" x14ac:dyDescent="0.25">
      <c r="A17" t="s">
        <v>204</v>
      </c>
      <c r="B17">
        <v>1</v>
      </c>
      <c r="C17" s="52">
        <v>46082</v>
      </c>
      <c r="D17" t="s">
        <v>168</v>
      </c>
      <c r="E17">
        <v>20</v>
      </c>
      <c r="F17" t="s">
        <v>20</v>
      </c>
      <c r="G17" t="s">
        <v>143</v>
      </c>
      <c r="H17">
        <v>1382</v>
      </c>
      <c r="I17" t="s">
        <v>144</v>
      </c>
      <c r="J17">
        <v>14553.7</v>
      </c>
      <c r="K17">
        <v>17790.960999999999</v>
      </c>
      <c r="L17">
        <v>15.525</v>
      </c>
      <c r="M17">
        <v>8.1038999999999994</v>
      </c>
      <c r="N17">
        <v>23.628900000000002</v>
      </c>
      <c r="O17">
        <v>0</v>
      </c>
      <c r="P17">
        <v>343887.46</v>
      </c>
      <c r="Q17">
        <v>420380.3</v>
      </c>
      <c r="R17">
        <v>101</v>
      </c>
      <c r="S17">
        <v>0.23</v>
      </c>
      <c r="T17">
        <v>0</v>
      </c>
    </row>
    <row r="18" spans="1:20" x14ac:dyDescent="0.25">
      <c r="A18" t="s">
        <v>204</v>
      </c>
      <c r="B18">
        <v>1</v>
      </c>
      <c r="C18" s="52">
        <v>46082</v>
      </c>
      <c r="D18" t="s">
        <v>136</v>
      </c>
      <c r="E18">
        <v>21</v>
      </c>
      <c r="F18" t="s">
        <v>17</v>
      </c>
      <c r="G18" t="s">
        <v>143</v>
      </c>
      <c r="H18">
        <v>1382</v>
      </c>
      <c r="I18" t="s">
        <v>144</v>
      </c>
      <c r="J18">
        <v>23359.303</v>
      </c>
      <c r="K18">
        <v>28731.166000000001</v>
      </c>
      <c r="L18">
        <v>5.8674999999999997</v>
      </c>
      <c r="M18">
        <v>7.0090000000000003</v>
      </c>
      <c r="N18">
        <v>12.8765</v>
      </c>
      <c r="O18">
        <v>0</v>
      </c>
      <c r="P18">
        <v>300786.17</v>
      </c>
      <c r="Q18">
        <v>369957</v>
      </c>
      <c r="R18">
        <v>81</v>
      </c>
      <c r="S18">
        <v>0.16</v>
      </c>
      <c r="T18">
        <v>0</v>
      </c>
    </row>
    <row r="19" spans="1:20" x14ac:dyDescent="0.25">
      <c r="A19" t="s">
        <v>204</v>
      </c>
      <c r="B19">
        <v>1</v>
      </c>
      <c r="C19" s="52">
        <v>46082</v>
      </c>
      <c r="D19" t="s">
        <v>198</v>
      </c>
      <c r="E19">
        <v>22</v>
      </c>
      <c r="F19" t="s">
        <v>23</v>
      </c>
      <c r="G19" t="s">
        <v>143</v>
      </c>
      <c r="H19">
        <v>1382</v>
      </c>
      <c r="I19" t="s">
        <v>144</v>
      </c>
      <c r="J19">
        <v>72204.706999999995</v>
      </c>
      <c r="K19">
        <v>89368.476999999999</v>
      </c>
      <c r="L19">
        <v>3.3626999999999998</v>
      </c>
      <c r="M19">
        <v>0.38750000000000001</v>
      </c>
      <c r="N19">
        <v>3.7502</v>
      </c>
      <c r="O19">
        <v>0</v>
      </c>
      <c r="P19">
        <v>270784.37</v>
      </c>
      <c r="Q19">
        <v>335152.46999999997</v>
      </c>
      <c r="R19">
        <v>15</v>
      </c>
      <c r="S19">
        <v>0.25</v>
      </c>
      <c r="T19">
        <v>0</v>
      </c>
    </row>
    <row r="20" spans="1:20" x14ac:dyDescent="0.25">
      <c r="A20" t="s">
        <v>204</v>
      </c>
      <c r="B20">
        <v>1</v>
      </c>
      <c r="C20" s="52">
        <v>46082</v>
      </c>
      <c r="D20" t="s">
        <v>159</v>
      </c>
      <c r="E20">
        <v>23</v>
      </c>
      <c r="F20" t="s">
        <v>22</v>
      </c>
      <c r="G20" t="s">
        <v>143</v>
      </c>
      <c r="H20">
        <v>1382</v>
      </c>
      <c r="I20" t="s">
        <v>144</v>
      </c>
      <c r="J20">
        <v>20368.519</v>
      </c>
      <c r="K20">
        <v>24979.891</v>
      </c>
      <c r="L20">
        <v>16.326899999999998</v>
      </c>
      <c r="M20">
        <v>9.077</v>
      </c>
      <c r="N20">
        <v>25.4038</v>
      </c>
      <c r="O20">
        <v>0</v>
      </c>
      <c r="P20">
        <v>517438.51</v>
      </c>
      <c r="Q20">
        <v>634585.06000000006</v>
      </c>
      <c r="R20">
        <v>94</v>
      </c>
      <c r="S20">
        <v>0.27</v>
      </c>
      <c r="T20">
        <v>0</v>
      </c>
    </row>
    <row r="21" spans="1:20" x14ac:dyDescent="0.25">
      <c r="A21" t="s">
        <v>204</v>
      </c>
      <c r="B21">
        <v>1</v>
      </c>
      <c r="C21" s="52">
        <v>46082</v>
      </c>
      <c r="D21" t="s">
        <v>137</v>
      </c>
      <c r="E21">
        <v>24</v>
      </c>
      <c r="F21" t="s">
        <v>75</v>
      </c>
      <c r="G21" t="s">
        <v>143</v>
      </c>
      <c r="H21">
        <v>1382</v>
      </c>
      <c r="I21" t="s">
        <v>144</v>
      </c>
      <c r="J21">
        <v>15470.788</v>
      </c>
      <c r="K21">
        <v>19101.392</v>
      </c>
      <c r="L21">
        <v>6.9164000000000003</v>
      </c>
      <c r="M21">
        <v>12.1012</v>
      </c>
      <c r="N21">
        <v>19.017600000000002</v>
      </c>
      <c r="O21">
        <v>0</v>
      </c>
      <c r="P21">
        <v>294217.65999999997</v>
      </c>
      <c r="Q21">
        <v>363263.13</v>
      </c>
      <c r="R21">
        <v>63</v>
      </c>
      <c r="S21">
        <v>0.3</v>
      </c>
      <c r="T21">
        <v>0</v>
      </c>
    </row>
    <row r="22" spans="1:20" x14ac:dyDescent="0.25">
      <c r="A22" t="s">
        <v>204</v>
      </c>
      <c r="B22">
        <v>1</v>
      </c>
      <c r="C22" s="52">
        <v>46082</v>
      </c>
      <c r="D22" t="s">
        <v>169</v>
      </c>
      <c r="E22">
        <v>25</v>
      </c>
      <c r="F22" t="s">
        <v>18</v>
      </c>
      <c r="G22" t="s">
        <v>143</v>
      </c>
      <c r="H22">
        <v>1382</v>
      </c>
      <c r="I22" t="s">
        <v>144</v>
      </c>
      <c r="J22">
        <v>17401.135999999999</v>
      </c>
      <c r="K22">
        <v>21711.321</v>
      </c>
      <c r="L22">
        <v>29.747</v>
      </c>
      <c r="M22">
        <v>6.5793999999999997</v>
      </c>
      <c r="N22">
        <v>36.3264</v>
      </c>
      <c r="O22">
        <v>0</v>
      </c>
      <c r="P22">
        <v>632119.85</v>
      </c>
      <c r="Q22">
        <v>788693.16</v>
      </c>
      <c r="R22">
        <v>49</v>
      </c>
      <c r="S22">
        <v>0.74</v>
      </c>
      <c r="T22">
        <v>0</v>
      </c>
    </row>
    <row r="23" spans="1:20" x14ac:dyDescent="0.25">
      <c r="A23" t="s">
        <v>204</v>
      </c>
      <c r="B23">
        <v>1</v>
      </c>
      <c r="C23" s="52">
        <v>46082</v>
      </c>
      <c r="D23" t="s">
        <v>170</v>
      </c>
      <c r="E23">
        <v>26</v>
      </c>
      <c r="F23" t="s">
        <v>16</v>
      </c>
      <c r="G23" t="s">
        <v>143</v>
      </c>
      <c r="H23">
        <v>1382</v>
      </c>
      <c r="I23" t="s">
        <v>144</v>
      </c>
      <c r="J23">
        <v>13033.684999999999</v>
      </c>
      <c r="K23">
        <v>16156.763000000001</v>
      </c>
      <c r="L23">
        <v>3.5832999999999999</v>
      </c>
      <c r="M23">
        <v>6.6794000000000002</v>
      </c>
      <c r="N23">
        <v>10.262700000000001</v>
      </c>
      <c r="O23">
        <v>0</v>
      </c>
      <c r="P23">
        <v>133760.78</v>
      </c>
      <c r="Q23">
        <v>165811.99</v>
      </c>
      <c r="R23">
        <v>29</v>
      </c>
      <c r="S23">
        <v>0.35</v>
      </c>
      <c r="T23">
        <v>0</v>
      </c>
    </row>
    <row r="24" spans="1:20" x14ac:dyDescent="0.25">
      <c r="A24" t="s">
        <v>204</v>
      </c>
      <c r="B24">
        <v>1</v>
      </c>
      <c r="C24" s="52">
        <v>46082</v>
      </c>
      <c r="D24" t="s">
        <v>171</v>
      </c>
      <c r="E24">
        <v>27</v>
      </c>
      <c r="F24" t="s">
        <v>26</v>
      </c>
      <c r="G24" t="s">
        <v>143</v>
      </c>
      <c r="H24">
        <v>1382</v>
      </c>
      <c r="I24" t="s">
        <v>144</v>
      </c>
      <c r="J24">
        <v>16815.141</v>
      </c>
      <c r="K24">
        <v>20603.353999999999</v>
      </c>
      <c r="L24">
        <v>15.783300000000001</v>
      </c>
      <c r="M24">
        <v>3.0051000000000001</v>
      </c>
      <c r="N24">
        <v>18.788399999999999</v>
      </c>
      <c r="O24">
        <v>0</v>
      </c>
      <c r="P24">
        <v>315929.46999999997</v>
      </c>
      <c r="Q24">
        <v>387103.91</v>
      </c>
      <c r="R24">
        <v>58</v>
      </c>
      <c r="S24">
        <v>0.32</v>
      </c>
      <c r="T24">
        <v>0</v>
      </c>
    </row>
    <row r="25" spans="1:20" x14ac:dyDescent="0.25">
      <c r="A25" t="s">
        <v>204</v>
      </c>
      <c r="B25">
        <v>1</v>
      </c>
      <c r="C25" s="52">
        <v>46082</v>
      </c>
      <c r="D25" t="s">
        <v>172</v>
      </c>
      <c r="E25">
        <v>28</v>
      </c>
      <c r="F25" t="s">
        <v>1</v>
      </c>
      <c r="G25" t="s">
        <v>143</v>
      </c>
      <c r="H25">
        <v>1382</v>
      </c>
      <c r="I25" t="s">
        <v>144</v>
      </c>
      <c r="J25">
        <v>7344.9750000000004</v>
      </c>
      <c r="K25">
        <v>8959.3690000000006</v>
      </c>
      <c r="L25">
        <v>21.935199999999998</v>
      </c>
      <c r="M25">
        <v>7.5796000000000001</v>
      </c>
      <c r="N25">
        <v>29.514800000000001</v>
      </c>
      <c r="O25">
        <v>0</v>
      </c>
      <c r="P25">
        <v>216785.26</v>
      </c>
      <c r="Q25">
        <v>264433.74</v>
      </c>
      <c r="R25">
        <v>82</v>
      </c>
      <c r="S25">
        <v>0.36</v>
      </c>
      <c r="T25">
        <v>0</v>
      </c>
    </row>
    <row r="26" spans="1:20" x14ac:dyDescent="0.25">
      <c r="A26" t="s">
        <v>204</v>
      </c>
      <c r="B26">
        <v>1</v>
      </c>
      <c r="C26" s="52">
        <v>46082</v>
      </c>
      <c r="D26" t="s">
        <v>188</v>
      </c>
      <c r="E26">
        <v>30</v>
      </c>
      <c r="F26" t="s">
        <v>0</v>
      </c>
      <c r="G26" t="s">
        <v>143</v>
      </c>
      <c r="H26">
        <v>1382</v>
      </c>
      <c r="I26" t="s">
        <v>144</v>
      </c>
      <c r="J26">
        <v>47918.364000000001</v>
      </c>
      <c r="K26">
        <v>60837.553</v>
      </c>
      <c r="L26">
        <v>12.55</v>
      </c>
      <c r="M26">
        <v>0</v>
      </c>
      <c r="N26">
        <v>12.55</v>
      </c>
      <c r="O26">
        <v>0</v>
      </c>
      <c r="P26">
        <v>601375.47</v>
      </c>
      <c r="Q26">
        <v>763511.29</v>
      </c>
      <c r="R26">
        <v>3</v>
      </c>
      <c r="S26">
        <v>4.18</v>
      </c>
      <c r="T26">
        <v>0</v>
      </c>
    </row>
    <row r="27" spans="1:20" x14ac:dyDescent="0.25">
      <c r="A27" t="s">
        <v>204</v>
      </c>
      <c r="B27">
        <v>1</v>
      </c>
      <c r="C27" s="52">
        <v>46082</v>
      </c>
      <c r="D27" t="s">
        <v>173</v>
      </c>
      <c r="E27">
        <v>31</v>
      </c>
      <c r="F27" t="s">
        <v>3</v>
      </c>
      <c r="G27" t="s">
        <v>143</v>
      </c>
      <c r="H27">
        <v>1382</v>
      </c>
      <c r="I27" t="s">
        <v>144</v>
      </c>
      <c r="J27">
        <v>27205.694</v>
      </c>
      <c r="K27">
        <v>33519.57</v>
      </c>
      <c r="L27">
        <v>6.1969000000000003</v>
      </c>
      <c r="M27">
        <v>6.5541</v>
      </c>
      <c r="N27">
        <v>12.7509</v>
      </c>
      <c r="O27">
        <v>0</v>
      </c>
      <c r="P27">
        <v>346898.23</v>
      </c>
      <c r="Q27">
        <v>427406.11</v>
      </c>
      <c r="R27">
        <v>66</v>
      </c>
      <c r="S27">
        <v>0.19</v>
      </c>
      <c r="T27">
        <v>0</v>
      </c>
    </row>
    <row r="28" spans="1:20" x14ac:dyDescent="0.25">
      <c r="A28" t="s">
        <v>204</v>
      </c>
      <c r="B28">
        <v>1</v>
      </c>
      <c r="C28" s="52">
        <v>46082</v>
      </c>
      <c r="D28" t="s">
        <v>189</v>
      </c>
      <c r="E28">
        <v>32</v>
      </c>
      <c r="F28" t="s">
        <v>28</v>
      </c>
      <c r="G28" t="s">
        <v>143</v>
      </c>
      <c r="H28">
        <v>1382</v>
      </c>
      <c r="I28" t="s">
        <v>144</v>
      </c>
      <c r="J28">
        <v>58256.595999999998</v>
      </c>
      <c r="K28">
        <v>72004.615999999995</v>
      </c>
      <c r="L28">
        <v>4.6417000000000002</v>
      </c>
      <c r="M28">
        <v>1.4875</v>
      </c>
      <c r="N28">
        <v>6.1292</v>
      </c>
      <c r="O28">
        <v>0</v>
      </c>
      <c r="P28">
        <v>357064.39</v>
      </c>
      <c r="Q28">
        <v>441328.29</v>
      </c>
      <c r="R28">
        <v>19</v>
      </c>
      <c r="S28">
        <v>0.32</v>
      </c>
      <c r="T28">
        <v>0</v>
      </c>
    </row>
    <row r="29" spans="1:20" x14ac:dyDescent="0.25">
      <c r="A29" t="s">
        <v>204</v>
      </c>
      <c r="B29">
        <v>1</v>
      </c>
      <c r="C29" s="52">
        <v>46082</v>
      </c>
      <c r="D29" t="s">
        <v>174</v>
      </c>
      <c r="E29">
        <v>33</v>
      </c>
      <c r="F29" t="s">
        <v>175</v>
      </c>
      <c r="G29" t="s">
        <v>143</v>
      </c>
      <c r="H29">
        <v>1382</v>
      </c>
      <c r="I29" t="s">
        <v>144</v>
      </c>
      <c r="J29">
        <v>8085.0420000000004</v>
      </c>
      <c r="K29">
        <v>9944.9529999999995</v>
      </c>
      <c r="L29">
        <v>19.932300000000001</v>
      </c>
      <c r="M29">
        <v>7.0448000000000004</v>
      </c>
      <c r="N29">
        <v>26.9771</v>
      </c>
      <c r="O29">
        <v>0</v>
      </c>
      <c r="P29">
        <v>218111.24</v>
      </c>
      <c r="Q29">
        <v>268286.33</v>
      </c>
      <c r="R29">
        <v>72</v>
      </c>
      <c r="S29">
        <v>0.37</v>
      </c>
      <c r="T29">
        <v>0</v>
      </c>
    </row>
    <row r="30" spans="1:20" x14ac:dyDescent="0.25">
      <c r="A30" t="s">
        <v>204</v>
      </c>
      <c r="B30">
        <v>1</v>
      </c>
      <c r="C30" s="52">
        <v>46082</v>
      </c>
      <c r="D30" t="s">
        <v>183</v>
      </c>
      <c r="E30">
        <v>36</v>
      </c>
      <c r="F30" t="s">
        <v>184</v>
      </c>
      <c r="G30" t="s">
        <v>143</v>
      </c>
      <c r="H30">
        <v>1382</v>
      </c>
      <c r="I30" t="s">
        <v>144</v>
      </c>
      <c r="J30">
        <v>15927.221</v>
      </c>
      <c r="K30">
        <v>19503.672999999999</v>
      </c>
      <c r="L30">
        <v>11.0924</v>
      </c>
      <c r="M30">
        <v>3.28</v>
      </c>
      <c r="N30">
        <v>14.372299999999999</v>
      </c>
      <c r="O30">
        <v>0</v>
      </c>
      <c r="P30">
        <v>228911.14</v>
      </c>
      <c r="Q30">
        <v>280313.05</v>
      </c>
      <c r="R30">
        <v>59</v>
      </c>
      <c r="S30">
        <v>0.24</v>
      </c>
      <c r="T30">
        <v>0</v>
      </c>
    </row>
    <row r="31" spans="1:20" x14ac:dyDescent="0.25">
      <c r="A31" t="s">
        <v>204</v>
      </c>
      <c r="B31">
        <v>1</v>
      </c>
      <c r="C31" s="52">
        <v>46082</v>
      </c>
      <c r="D31" t="s">
        <v>176</v>
      </c>
      <c r="E31">
        <v>37</v>
      </c>
      <c r="F31" t="s">
        <v>25</v>
      </c>
      <c r="G31" t="s">
        <v>143</v>
      </c>
      <c r="H31">
        <v>1382</v>
      </c>
      <c r="I31" t="s">
        <v>144</v>
      </c>
      <c r="J31">
        <v>6704.7730000000001</v>
      </c>
      <c r="K31">
        <v>8224</v>
      </c>
      <c r="L31">
        <v>15.316700000000001</v>
      </c>
      <c r="M31">
        <v>8.6264000000000003</v>
      </c>
      <c r="N31">
        <v>23.943100000000001</v>
      </c>
      <c r="O31">
        <v>0</v>
      </c>
      <c r="P31">
        <v>160532.76</v>
      </c>
      <c r="Q31">
        <v>196907.69</v>
      </c>
      <c r="R31">
        <v>46</v>
      </c>
      <c r="S31">
        <v>0.52</v>
      </c>
      <c r="T31">
        <v>0</v>
      </c>
    </row>
    <row r="32" spans="1:20" x14ac:dyDescent="0.25">
      <c r="A32" t="s">
        <v>204</v>
      </c>
      <c r="B32">
        <v>1</v>
      </c>
      <c r="C32" s="52">
        <v>46082</v>
      </c>
      <c r="D32" t="s">
        <v>160</v>
      </c>
      <c r="E32">
        <v>40</v>
      </c>
      <c r="F32" t="s">
        <v>69</v>
      </c>
      <c r="G32" t="s">
        <v>143</v>
      </c>
      <c r="H32">
        <v>1382</v>
      </c>
      <c r="I32" t="s">
        <v>144</v>
      </c>
      <c r="J32">
        <v>10358.124</v>
      </c>
      <c r="K32">
        <v>12673.079</v>
      </c>
      <c r="L32">
        <v>18.282299999999999</v>
      </c>
      <c r="M32">
        <v>6.7294999999999998</v>
      </c>
      <c r="N32">
        <v>25.011800000000001</v>
      </c>
      <c r="O32">
        <v>0</v>
      </c>
      <c r="P32">
        <v>259074.86</v>
      </c>
      <c r="Q32">
        <v>316975.96000000002</v>
      </c>
      <c r="R32">
        <v>76</v>
      </c>
      <c r="S32">
        <v>0.33</v>
      </c>
      <c r="T32">
        <v>0</v>
      </c>
    </row>
    <row r="33" spans="1:20" x14ac:dyDescent="0.25">
      <c r="A33" t="s">
        <v>204</v>
      </c>
      <c r="B33">
        <v>1</v>
      </c>
      <c r="C33" s="52">
        <v>46082</v>
      </c>
      <c r="D33" t="s">
        <v>200</v>
      </c>
      <c r="E33">
        <v>42</v>
      </c>
      <c r="F33" t="s">
        <v>29</v>
      </c>
      <c r="G33" t="s">
        <v>143</v>
      </c>
      <c r="H33">
        <v>1382</v>
      </c>
      <c r="I33" t="s">
        <v>144</v>
      </c>
      <c r="J33">
        <v>33671.682000000001</v>
      </c>
      <c r="K33">
        <v>41247.811000000002</v>
      </c>
      <c r="L33">
        <v>1</v>
      </c>
      <c r="M33">
        <v>4.8599999999999997E-2</v>
      </c>
      <c r="N33">
        <v>1.0486</v>
      </c>
      <c r="O33">
        <v>0</v>
      </c>
      <c r="P33">
        <v>35308.5</v>
      </c>
      <c r="Q33">
        <v>43252.91</v>
      </c>
      <c r="R33">
        <v>3</v>
      </c>
      <c r="S33">
        <v>0.35</v>
      </c>
      <c r="T33">
        <v>0</v>
      </c>
    </row>
    <row r="34" spans="1:20" x14ac:dyDescent="0.25">
      <c r="A34" t="s">
        <v>204</v>
      </c>
      <c r="B34">
        <v>1</v>
      </c>
      <c r="C34" s="52">
        <v>46082</v>
      </c>
      <c r="D34" t="s">
        <v>203</v>
      </c>
      <c r="E34">
        <v>43</v>
      </c>
      <c r="F34" t="s">
        <v>5</v>
      </c>
      <c r="G34" t="s">
        <v>143</v>
      </c>
      <c r="H34">
        <v>1382</v>
      </c>
      <c r="I34" t="s">
        <v>144</v>
      </c>
      <c r="J34">
        <v>29461.72</v>
      </c>
      <c r="K34">
        <v>36090.608</v>
      </c>
      <c r="L34">
        <v>0.29170000000000001</v>
      </c>
      <c r="M34">
        <v>0.75</v>
      </c>
      <c r="N34">
        <v>1.0417000000000001</v>
      </c>
      <c r="O34">
        <v>0</v>
      </c>
      <c r="P34">
        <v>30689.29</v>
      </c>
      <c r="Q34">
        <v>37594.379999999997</v>
      </c>
      <c r="R34">
        <v>3</v>
      </c>
      <c r="S34">
        <v>0.35</v>
      </c>
      <c r="T34">
        <v>0</v>
      </c>
    </row>
    <row r="35" spans="1:20" x14ac:dyDescent="0.25">
      <c r="A35" t="s">
        <v>204</v>
      </c>
      <c r="B35">
        <v>1</v>
      </c>
      <c r="C35" s="52">
        <v>46082</v>
      </c>
      <c r="D35" t="s">
        <v>177</v>
      </c>
      <c r="E35">
        <v>44</v>
      </c>
      <c r="F35" t="s">
        <v>72</v>
      </c>
      <c r="G35" t="s">
        <v>143</v>
      </c>
      <c r="H35">
        <v>1382</v>
      </c>
      <c r="I35" t="s">
        <v>144</v>
      </c>
      <c r="J35">
        <v>33037.103999999999</v>
      </c>
      <c r="K35">
        <v>40836.677000000003</v>
      </c>
      <c r="L35">
        <v>10.6167</v>
      </c>
      <c r="M35">
        <v>3.7837000000000001</v>
      </c>
      <c r="N35">
        <v>14.400399999999999</v>
      </c>
      <c r="O35">
        <v>0</v>
      </c>
      <c r="P35">
        <v>475747.4</v>
      </c>
      <c r="Q35">
        <v>588064.36</v>
      </c>
      <c r="R35">
        <v>88</v>
      </c>
      <c r="S35">
        <v>0.16</v>
      </c>
      <c r="T35">
        <v>0</v>
      </c>
    </row>
    <row r="36" spans="1:20" x14ac:dyDescent="0.25">
      <c r="A36" t="s">
        <v>204</v>
      </c>
      <c r="B36">
        <v>1</v>
      </c>
      <c r="C36" s="52">
        <v>46082</v>
      </c>
      <c r="D36" t="s">
        <v>199</v>
      </c>
      <c r="E36">
        <v>49</v>
      </c>
      <c r="F36" t="s">
        <v>15</v>
      </c>
      <c r="G36" t="s">
        <v>143</v>
      </c>
      <c r="H36">
        <v>1382</v>
      </c>
      <c r="I36" t="s">
        <v>144</v>
      </c>
      <c r="J36">
        <v>20651.596000000001</v>
      </c>
      <c r="K36">
        <v>25607.98</v>
      </c>
      <c r="L36">
        <v>1.5417000000000001</v>
      </c>
      <c r="M36">
        <v>2.1554000000000002</v>
      </c>
      <c r="N36">
        <v>3.6970000000000001</v>
      </c>
      <c r="O36">
        <v>0</v>
      </c>
      <c r="P36">
        <v>76349.440000000002</v>
      </c>
      <c r="Q36">
        <v>94673.31</v>
      </c>
      <c r="R36">
        <v>28</v>
      </c>
      <c r="S36">
        <v>0.13</v>
      </c>
      <c r="T36">
        <v>0</v>
      </c>
    </row>
    <row r="37" spans="1:20" x14ac:dyDescent="0.25">
      <c r="A37" t="s">
        <v>204</v>
      </c>
      <c r="B37">
        <v>1</v>
      </c>
      <c r="C37" s="52">
        <v>46082</v>
      </c>
      <c r="D37" t="s">
        <v>190</v>
      </c>
      <c r="E37">
        <v>52</v>
      </c>
      <c r="F37" t="s">
        <v>191</v>
      </c>
      <c r="G37" t="s">
        <v>143</v>
      </c>
      <c r="H37">
        <v>1382</v>
      </c>
      <c r="I37" t="s">
        <v>144</v>
      </c>
      <c r="J37">
        <v>25885.955000000002</v>
      </c>
      <c r="K37">
        <v>31322.006000000001</v>
      </c>
      <c r="L37">
        <v>6</v>
      </c>
      <c r="M37">
        <v>0</v>
      </c>
      <c r="N37">
        <v>6</v>
      </c>
      <c r="O37">
        <v>0</v>
      </c>
      <c r="P37">
        <v>155315.73000000001</v>
      </c>
      <c r="Q37">
        <v>187932.03</v>
      </c>
      <c r="R37">
        <v>3</v>
      </c>
      <c r="S37">
        <v>2</v>
      </c>
      <c r="T37">
        <v>0</v>
      </c>
    </row>
    <row r="38" spans="1:20" x14ac:dyDescent="0.25">
      <c r="A38" t="s">
        <v>204</v>
      </c>
      <c r="B38">
        <v>1</v>
      </c>
      <c r="C38" s="52">
        <v>46082</v>
      </c>
      <c r="D38" t="s">
        <v>192</v>
      </c>
      <c r="E38">
        <v>53</v>
      </c>
      <c r="F38" t="s">
        <v>9</v>
      </c>
      <c r="G38" t="s">
        <v>143</v>
      </c>
      <c r="H38">
        <v>1382</v>
      </c>
      <c r="I38" t="s">
        <v>144</v>
      </c>
      <c r="J38">
        <v>18869.559000000001</v>
      </c>
      <c r="K38">
        <v>22919.346000000001</v>
      </c>
      <c r="L38">
        <v>43.545499999999997</v>
      </c>
      <c r="M38">
        <v>0.63639999999999997</v>
      </c>
      <c r="N38">
        <v>44.181800000000003</v>
      </c>
      <c r="O38">
        <v>0</v>
      </c>
      <c r="P38">
        <v>833691.44</v>
      </c>
      <c r="Q38">
        <v>1012618.39</v>
      </c>
      <c r="R38">
        <v>13</v>
      </c>
      <c r="S38">
        <v>3.4</v>
      </c>
      <c r="T38">
        <v>0</v>
      </c>
    </row>
    <row r="39" spans="1:20" x14ac:dyDescent="0.25">
      <c r="A39" t="s">
        <v>204</v>
      </c>
      <c r="B39">
        <v>1</v>
      </c>
      <c r="C39" s="52">
        <v>46082</v>
      </c>
      <c r="D39" t="s">
        <v>178</v>
      </c>
      <c r="E39">
        <v>54</v>
      </c>
      <c r="F39" t="s">
        <v>24</v>
      </c>
      <c r="G39" t="s">
        <v>143</v>
      </c>
      <c r="H39">
        <v>1382</v>
      </c>
      <c r="I39" t="s">
        <v>144</v>
      </c>
      <c r="J39">
        <v>29242.68</v>
      </c>
      <c r="K39">
        <v>36034.220999999998</v>
      </c>
      <c r="L39">
        <v>8.5006000000000004</v>
      </c>
      <c r="M39">
        <v>5.0034000000000001</v>
      </c>
      <c r="N39">
        <v>13.504</v>
      </c>
      <c r="O39">
        <v>0</v>
      </c>
      <c r="P39">
        <v>394891.73</v>
      </c>
      <c r="Q39">
        <v>486604.38</v>
      </c>
      <c r="R39">
        <v>77</v>
      </c>
      <c r="S39">
        <v>0.18</v>
      </c>
      <c r="T39">
        <v>0</v>
      </c>
    </row>
    <row r="40" spans="1:20" x14ac:dyDescent="0.25">
      <c r="A40" t="s">
        <v>204</v>
      </c>
      <c r="B40">
        <v>1</v>
      </c>
      <c r="C40" s="52">
        <v>46082</v>
      </c>
      <c r="D40" t="s">
        <v>185</v>
      </c>
      <c r="E40">
        <v>56</v>
      </c>
      <c r="F40" t="s">
        <v>186</v>
      </c>
      <c r="G40" t="s">
        <v>143</v>
      </c>
      <c r="H40">
        <v>1382</v>
      </c>
      <c r="I40" t="s">
        <v>144</v>
      </c>
      <c r="J40">
        <v>24707.873</v>
      </c>
      <c r="K40">
        <v>30279.046999999999</v>
      </c>
      <c r="L40">
        <v>6.5091000000000001</v>
      </c>
      <c r="M40">
        <v>3.7951999999999999</v>
      </c>
      <c r="N40">
        <v>10.304399999999999</v>
      </c>
      <c r="O40">
        <v>0</v>
      </c>
      <c r="P40">
        <v>254599.35</v>
      </c>
      <c r="Q40">
        <v>312006.86</v>
      </c>
      <c r="R40">
        <v>31</v>
      </c>
      <c r="S40">
        <v>0.33</v>
      </c>
      <c r="T40">
        <v>0</v>
      </c>
    </row>
    <row r="41" spans="1:20" x14ac:dyDescent="0.25">
      <c r="A41" t="s">
        <v>204</v>
      </c>
      <c r="B41">
        <v>1</v>
      </c>
      <c r="C41" s="52">
        <v>46082</v>
      </c>
      <c r="D41" t="s">
        <v>201</v>
      </c>
      <c r="E41">
        <v>57</v>
      </c>
      <c r="F41" t="s">
        <v>27</v>
      </c>
      <c r="G41" t="s">
        <v>143</v>
      </c>
      <c r="H41">
        <v>1382</v>
      </c>
      <c r="I41" t="s">
        <v>144</v>
      </c>
      <c r="J41">
        <v>2186.33</v>
      </c>
      <c r="K41">
        <v>2678.2550000000001</v>
      </c>
      <c r="L41">
        <v>1.1818</v>
      </c>
      <c r="M41">
        <v>27.258199999999999</v>
      </c>
      <c r="N41">
        <v>28.44</v>
      </c>
      <c r="O41">
        <v>0</v>
      </c>
      <c r="P41">
        <v>62179.29</v>
      </c>
      <c r="Q41">
        <v>76169.63</v>
      </c>
      <c r="R41">
        <v>10</v>
      </c>
      <c r="S41">
        <v>2.84</v>
      </c>
      <c r="T41">
        <v>0</v>
      </c>
    </row>
    <row r="42" spans="1:20" x14ac:dyDescent="0.25">
      <c r="A42" t="s">
        <v>204</v>
      </c>
      <c r="B42">
        <v>1</v>
      </c>
      <c r="C42" s="52">
        <v>46082</v>
      </c>
      <c r="D42" t="s">
        <v>193</v>
      </c>
      <c r="E42">
        <v>58</v>
      </c>
      <c r="F42" t="s">
        <v>194</v>
      </c>
      <c r="G42" t="s">
        <v>143</v>
      </c>
      <c r="H42">
        <v>1382</v>
      </c>
      <c r="I42" t="s">
        <v>144</v>
      </c>
      <c r="J42">
        <v>103950.592</v>
      </c>
      <c r="K42">
        <v>128510.251</v>
      </c>
      <c r="L42">
        <v>4.9798999999999998</v>
      </c>
      <c r="M42">
        <v>0.56599999999999995</v>
      </c>
      <c r="N42">
        <v>5.5457999999999998</v>
      </c>
      <c r="O42">
        <v>0</v>
      </c>
      <c r="P42">
        <v>576492.66</v>
      </c>
      <c r="Q42">
        <v>712696.43</v>
      </c>
      <c r="R42">
        <v>26</v>
      </c>
      <c r="S42">
        <v>0.21</v>
      </c>
      <c r="T42">
        <v>0</v>
      </c>
    </row>
    <row r="43" spans="1:20" x14ac:dyDescent="0.25">
      <c r="A43" t="s">
        <v>204</v>
      </c>
      <c r="B43">
        <v>1</v>
      </c>
      <c r="C43" s="52">
        <v>46082</v>
      </c>
      <c r="D43" t="s">
        <v>195</v>
      </c>
      <c r="E43">
        <v>59</v>
      </c>
      <c r="F43" t="s">
        <v>196</v>
      </c>
      <c r="G43" t="s">
        <v>143</v>
      </c>
      <c r="H43">
        <v>1382</v>
      </c>
      <c r="I43" t="s">
        <v>144</v>
      </c>
      <c r="J43">
        <v>22557.902999999998</v>
      </c>
      <c r="K43">
        <v>27572.455999999998</v>
      </c>
      <c r="L43">
        <v>5.6822999999999997</v>
      </c>
      <c r="M43">
        <v>0.92710000000000004</v>
      </c>
      <c r="N43">
        <v>6.6093999999999999</v>
      </c>
      <c r="O43">
        <v>0</v>
      </c>
      <c r="P43">
        <v>149093.64000000001</v>
      </c>
      <c r="Q43">
        <v>182236.7</v>
      </c>
      <c r="R43">
        <v>25</v>
      </c>
      <c r="S43">
        <v>0.26</v>
      </c>
      <c r="T43">
        <v>0</v>
      </c>
    </row>
    <row r="44" spans="1:20" x14ac:dyDescent="0.25">
      <c r="A44" t="s">
        <v>204</v>
      </c>
      <c r="B44">
        <v>1</v>
      </c>
      <c r="C44" s="52">
        <v>46082</v>
      </c>
      <c r="D44" t="s">
        <v>179</v>
      </c>
      <c r="E44">
        <v>100</v>
      </c>
      <c r="F44" t="s">
        <v>70</v>
      </c>
      <c r="G44" t="s">
        <v>143</v>
      </c>
      <c r="H44">
        <v>1382</v>
      </c>
      <c r="I44" t="s">
        <v>144</v>
      </c>
      <c r="J44">
        <v>-52821.15</v>
      </c>
      <c r="K44">
        <v>-75368.879000000001</v>
      </c>
      <c r="L44">
        <v>1.3069999999999999</v>
      </c>
      <c r="M44">
        <v>1.3569</v>
      </c>
      <c r="N44">
        <v>2.6638999999999999</v>
      </c>
      <c r="O44">
        <v>0</v>
      </c>
      <c r="P44">
        <v>-140710.54999999999</v>
      </c>
      <c r="Q44">
        <v>-200775.56</v>
      </c>
      <c r="R44">
        <v>52</v>
      </c>
      <c r="S44">
        <v>0.05</v>
      </c>
      <c r="T44">
        <v>0</v>
      </c>
    </row>
    <row r="45" spans="1:20" x14ac:dyDescent="0.25">
      <c r="A45" t="s">
        <v>204</v>
      </c>
      <c r="B45">
        <v>1</v>
      </c>
      <c r="C45" s="52">
        <v>46082</v>
      </c>
      <c r="D45" t="s">
        <v>187</v>
      </c>
      <c r="E45">
        <v>123</v>
      </c>
      <c r="F45" t="s">
        <v>2</v>
      </c>
      <c r="G45" t="s">
        <v>143</v>
      </c>
      <c r="H45">
        <v>1382</v>
      </c>
      <c r="I45" t="s">
        <v>144</v>
      </c>
      <c r="J45">
        <v>52587.591999999997</v>
      </c>
      <c r="K45">
        <v>64949.010999999999</v>
      </c>
      <c r="L45">
        <v>26.324999999999999</v>
      </c>
      <c r="M45">
        <v>0.16669999999999999</v>
      </c>
      <c r="N45">
        <v>26.491700000000002</v>
      </c>
      <c r="O45">
        <v>0</v>
      </c>
      <c r="P45">
        <v>1393132.95</v>
      </c>
      <c r="Q45">
        <v>1720607.56</v>
      </c>
      <c r="R45">
        <v>13</v>
      </c>
      <c r="S45">
        <v>2.04</v>
      </c>
      <c r="T4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A640-86A1-4FFA-BCBA-ACFCAF105AC6}">
  <dimension ref="A1:D36"/>
  <sheetViews>
    <sheetView workbookViewId="0">
      <selection activeCell="D1" sqref="D1:D36"/>
    </sheetView>
  </sheetViews>
  <sheetFormatPr baseColWidth="10" defaultRowHeight="15" x14ac:dyDescent="0.25"/>
  <cols>
    <col min="1" max="1" width="4.42578125" bestFit="1" customWidth="1"/>
    <col min="2" max="2" width="30.28515625" bestFit="1" customWidth="1"/>
    <col min="4" max="4" width="17.7109375" bestFit="1" customWidth="1"/>
  </cols>
  <sheetData>
    <row r="1" spans="1:4" ht="15.75" thickBot="1" x14ac:dyDescent="0.3">
      <c r="A1" t="s">
        <v>228</v>
      </c>
      <c r="B1" s="132" t="s">
        <v>229</v>
      </c>
      <c r="C1" s="133"/>
      <c r="D1" s="134" t="s">
        <v>230</v>
      </c>
    </row>
    <row r="2" spans="1:4" x14ac:dyDescent="0.25">
      <c r="A2" s="135" t="s">
        <v>231</v>
      </c>
      <c r="B2" s="135" t="s">
        <v>7</v>
      </c>
      <c r="C2" s="133"/>
      <c r="D2" s="133">
        <v>0.21185358796296297</v>
      </c>
    </row>
    <row r="3" spans="1:4" x14ac:dyDescent="0.25">
      <c r="A3" s="135" t="s">
        <v>232</v>
      </c>
      <c r="B3" s="135" t="s">
        <v>4</v>
      </c>
      <c r="C3" s="133"/>
      <c r="D3" s="133">
        <v>0.27407997685185181</v>
      </c>
    </row>
    <row r="4" spans="1:4" x14ac:dyDescent="0.25">
      <c r="A4" s="135" t="s">
        <v>233</v>
      </c>
      <c r="B4" s="135" t="s">
        <v>11</v>
      </c>
      <c r="C4" s="133"/>
      <c r="D4" s="133">
        <v>0.26547164351851854</v>
      </c>
    </row>
    <row r="5" spans="1:4" x14ac:dyDescent="0.25">
      <c r="A5" s="135" t="s">
        <v>234</v>
      </c>
      <c r="B5" s="135" t="s">
        <v>17</v>
      </c>
      <c r="C5" s="133"/>
      <c r="D5" s="133">
        <v>0.25571851851851851</v>
      </c>
    </row>
    <row r="6" spans="1:4" x14ac:dyDescent="0.25">
      <c r="A6" s="135" t="s">
        <v>235</v>
      </c>
      <c r="B6" s="135" t="s">
        <v>22</v>
      </c>
      <c r="C6" s="133"/>
      <c r="D6" s="133">
        <v>0.23859953703703701</v>
      </c>
    </row>
    <row r="7" spans="1:4" x14ac:dyDescent="0.25">
      <c r="A7" s="135" t="s">
        <v>236</v>
      </c>
      <c r="B7" s="135" t="s">
        <v>266</v>
      </c>
      <c r="C7" s="133"/>
      <c r="D7" s="133">
        <v>0.26923697916666672</v>
      </c>
    </row>
    <row r="8" spans="1:4" x14ac:dyDescent="0.25">
      <c r="A8" s="135" t="s">
        <v>237</v>
      </c>
      <c r="B8" s="135" t="s">
        <v>72</v>
      </c>
      <c r="C8" s="133"/>
      <c r="D8" s="133">
        <v>0.24571527777777774</v>
      </c>
    </row>
    <row r="9" spans="1:4" x14ac:dyDescent="0.25">
      <c r="A9" s="135" t="s">
        <v>238</v>
      </c>
      <c r="B9" s="135" t="s">
        <v>3</v>
      </c>
      <c r="C9" s="133"/>
      <c r="D9" s="133">
        <v>0.26156712962962958</v>
      </c>
    </row>
    <row r="10" spans="1:4" x14ac:dyDescent="0.25">
      <c r="A10" s="135" t="s">
        <v>239</v>
      </c>
      <c r="B10" s="135" t="s">
        <v>186</v>
      </c>
      <c r="C10" s="133"/>
      <c r="D10" s="133">
        <v>0.11846547067901236</v>
      </c>
    </row>
    <row r="11" spans="1:4" x14ac:dyDescent="0.25">
      <c r="A11" s="135" t="s">
        <v>240</v>
      </c>
      <c r="B11" s="135" t="s">
        <v>19</v>
      </c>
      <c r="C11" s="133"/>
      <c r="D11" s="133">
        <v>0.26648634259259263</v>
      </c>
    </row>
    <row r="12" spans="1:4" x14ac:dyDescent="0.25">
      <c r="A12" s="135" t="s">
        <v>241</v>
      </c>
      <c r="B12" s="135" t="s">
        <v>71</v>
      </c>
      <c r="C12" s="133"/>
      <c r="D12" s="133">
        <v>0.29533958333333332</v>
      </c>
    </row>
    <row r="13" spans="1:4" x14ac:dyDescent="0.25">
      <c r="A13" s="135" t="s">
        <v>242</v>
      </c>
      <c r="B13" s="135" t="s">
        <v>6</v>
      </c>
      <c r="C13" s="133"/>
      <c r="D13" s="133">
        <v>0.22815590277777781</v>
      </c>
    </row>
    <row r="14" spans="1:4" x14ac:dyDescent="0.25">
      <c r="A14" s="135" t="s">
        <v>243</v>
      </c>
      <c r="B14" s="135" t="s">
        <v>267</v>
      </c>
      <c r="C14" s="133"/>
      <c r="D14" s="133">
        <v>0.28002870370370364</v>
      </c>
    </row>
    <row r="15" spans="1:4" x14ac:dyDescent="0.25">
      <c r="A15" s="135" t="s">
        <v>244</v>
      </c>
      <c r="B15" s="135" t="s">
        <v>12</v>
      </c>
      <c r="C15" s="133"/>
      <c r="D15" s="133">
        <v>0.2431605324074074</v>
      </c>
    </row>
    <row r="16" spans="1:4" x14ac:dyDescent="0.25">
      <c r="A16" s="135" t="s">
        <v>245</v>
      </c>
      <c r="B16" s="135" t="s">
        <v>21</v>
      </c>
      <c r="C16" s="133"/>
      <c r="D16" s="133">
        <v>0.23746018518518514</v>
      </c>
    </row>
    <row r="17" spans="1:4" x14ac:dyDescent="0.25">
      <c r="A17" s="135" t="s">
        <v>246</v>
      </c>
      <c r="B17" s="135" t="s">
        <v>73</v>
      </c>
      <c r="C17" s="133"/>
      <c r="D17" s="133">
        <v>0.25885347222222221</v>
      </c>
    </row>
    <row r="18" spans="1:4" x14ac:dyDescent="0.25">
      <c r="A18" s="135" t="s">
        <v>247</v>
      </c>
      <c r="B18" s="135" t="s">
        <v>20</v>
      </c>
      <c r="C18" s="133"/>
      <c r="D18" s="133">
        <v>0.25878217592592589</v>
      </c>
    </row>
    <row r="19" spans="1:4" x14ac:dyDescent="0.25">
      <c r="A19" s="135" t="s">
        <v>248</v>
      </c>
      <c r="B19" s="135" t="s">
        <v>15</v>
      </c>
      <c r="C19" s="133"/>
      <c r="D19" s="133">
        <v>0.25906412037037035</v>
      </c>
    </row>
    <row r="20" spans="1:4" x14ac:dyDescent="0.25">
      <c r="A20" s="135" t="s">
        <v>249</v>
      </c>
      <c r="B20" s="135" t="s">
        <v>14</v>
      </c>
      <c r="C20" s="133"/>
      <c r="D20" s="133">
        <v>0.29094641203703697</v>
      </c>
    </row>
    <row r="21" spans="1:4" x14ac:dyDescent="0.25">
      <c r="A21" s="135" t="s">
        <v>250</v>
      </c>
      <c r="B21" s="135" t="s">
        <v>8</v>
      </c>
      <c r="C21" s="133"/>
      <c r="D21" s="133">
        <v>0.24554085648148147</v>
      </c>
    </row>
    <row r="22" spans="1:4" x14ac:dyDescent="0.25">
      <c r="A22" s="135" t="s">
        <v>251</v>
      </c>
      <c r="B22" s="135" t="s">
        <v>1</v>
      </c>
      <c r="C22" s="133"/>
      <c r="D22" s="133">
        <v>0.24241631944444447</v>
      </c>
    </row>
    <row r="23" spans="1:4" x14ac:dyDescent="0.25">
      <c r="A23" s="135" t="s">
        <v>252</v>
      </c>
      <c r="B23" s="135" t="s">
        <v>268</v>
      </c>
      <c r="C23" s="133"/>
      <c r="D23" s="133">
        <v>0.1956384259259259</v>
      </c>
    </row>
    <row r="24" spans="1:4" x14ac:dyDescent="0.25">
      <c r="A24" s="135" t="s">
        <v>253</v>
      </c>
      <c r="B24" s="135" t="s">
        <v>26</v>
      </c>
      <c r="C24" s="133"/>
      <c r="D24" s="133">
        <v>0.24173020833333334</v>
      </c>
    </row>
    <row r="25" spans="1:4" x14ac:dyDescent="0.25">
      <c r="A25" s="135" t="s">
        <v>254</v>
      </c>
      <c r="B25" s="135" t="s">
        <v>269</v>
      </c>
      <c r="C25" s="133"/>
      <c r="D25" s="133">
        <v>0.21102986111111113</v>
      </c>
    </row>
    <row r="26" spans="1:4" x14ac:dyDescent="0.25">
      <c r="A26" s="135" t="s">
        <v>255</v>
      </c>
      <c r="B26" s="135" t="s">
        <v>175</v>
      </c>
      <c r="C26" s="133"/>
      <c r="D26" s="133">
        <v>0.26328425925925925</v>
      </c>
    </row>
    <row r="27" spans="1:4" x14ac:dyDescent="0.25">
      <c r="A27" s="135" t="s">
        <v>256</v>
      </c>
      <c r="B27" s="135" t="s">
        <v>270</v>
      </c>
      <c r="C27" s="133"/>
      <c r="D27" s="133">
        <v>0.2307990740740741</v>
      </c>
    </row>
    <row r="28" spans="1:4" x14ac:dyDescent="0.25">
      <c r="A28" s="135" t="s">
        <v>257</v>
      </c>
      <c r="B28" s="135" t="s">
        <v>25</v>
      </c>
      <c r="C28" s="133"/>
      <c r="D28" s="133">
        <v>0.17934618055555557</v>
      </c>
    </row>
    <row r="29" spans="1:4" x14ac:dyDescent="0.25">
      <c r="A29" s="135" t="s">
        <v>258</v>
      </c>
      <c r="B29" s="135" t="s">
        <v>271</v>
      </c>
      <c r="C29" s="133"/>
      <c r="D29" s="133">
        <v>0.22364618055555557</v>
      </c>
    </row>
    <row r="30" spans="1:4" x14ac:dyDescent="0.25">
      <c r="A30" s="135" t="s">
        <v>259</v>
      </c>
      <c r="B30" s="135" t="s">
        <v>191</v>
      </c>
      <c r="C30" s="133"/>
      <c r="D30" s="133">
        <v>0.18878715277777774</v>
      </c>
    </row>
    <row r="31" spans="1:4" x14ac:dyDescent="0.25">
      <c r="A31" s="135" t="s">
        <v>260</v>
      </c>
      <c r="B31" s="135" t="s">
        <v>9</v>
      </c>
      <c r="C31" s="133"/>
      <c r="D31" s="133">
        <v>0.15608136574074072</v>
      </c>
    </row>
    <row r="32" spans="1:4" x14ac:dyDescent="0.25">
      <c r="A32" s="135" t="s">
        <v>261</v>
      </c>
      <c r="B32" s="135" t="s">
        <v>13</v>
      </c>
      <c r="C32" s="133"/>
      <c r="D32" s="133">
        <v>0.18019976851851852</v>
      </c>
    </row>
    <row r="33" spans="1:4" x14ac:dyDescent="0.25">
      <c r="A33" s="135" t="s">
        <v>262</v>
      </c>
      <c r="B33" s="135" t="s">
        <v>23</v>
      </c>
      <c r="C33" s="133"/>
      <c r="D33" s="133">
        <v>0.15912731481481482</v>
      </c>
    </row>
    <row r="34" spans="1:4" x14ac:dyDescent="0.25">
      <c r="A34" s="135" t="s">
        <v>263</v>
      </c>
      <c r="B34" s="135" t="s">
        <v>10</v>
      </c>
      <c r="C34" s="133"/>
      <c r="D34" s="133">
        <v>0.12705005787037038</v>
      </c>
    </row>
    <row r="35" spans="1:4" x14ac:dyDescent="0.25">
      <c r="A35" s="135" t="s">
        <v>264</v>
      </c>
      <c r="B35" s="135" t="s">
        <v>272</v>
      </c>
      <c r="C35" s="133"/>
      <c r="D35" s="133">
        <v>0.18631111111111112</v>
      </c>
    </row>
    <row r="36" spans="1:4" x14ac:dyDescent="0.25">
      <c r="A36" s="135" t="s">
        <v>265</v>
      </c>
      <c r="B36" s="135" t="s">
        <v>273</v>
      </c>
      <c r="C36" s="133"/>
      <c r="D36" s="133">
        <v>0.14208492476851853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F5A8-97FC-43D0-9818-EEE7215F944D}">
  <dimension ref="A1:T41"/>
  <sheetViews>
    <sheetView workbookViewId="0">
      <selection activeCell="H13" sqref="H13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3" width="16.28515625" bestFit="1" customWidth="1"/>
    <col min="4" max="4" width="11" bestFit="1" customWidth="1"/>
    <col min="5" max="5" width="16.28515625" bestFit="1" customWidth="1"/>
    <col min="6" max="6" width="10.140625" bestFit="1" customWidth="1"/>
    <col min="7" max="7" width="16.2851562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95</v>
      </c>
      <c r="B2" s="86">
        <v>28001295</v>
      </c>
      <c r="C2" s="87">
        <v>32969064.085886825</v>
      </c>
      <c r="D2" s="87">
        <v>0</v>
      </c>
      <c r="E2" s="87">
        <v>32969064.085886825</v>
      </c>
      <c r="F2" s="88">
        <v>1.1774121191854456</v>
      </c>
      <c r="G2" s="87">
        <v>32969064.085886825</v>
      </c>
      <c r="H2" s="88">
        <v>1.1774121191854456</v>
      </c>
      <c r="I2" s="87">
        <v>1268040.9263802625</v>
      </c>
      <c r="J2" s="87" t="e">
        <v>#DIV/0!</v>
      </c>
      <c r="K2" s="87">
        <v>659381.28171773651</v>
      </c>
      <c r="M2">
        <v>22</v>
      </c>
      <c r="N2" s="12" t="s">
        <v>97</v>
      </c>
      <c r="O2" s="22">
        <v>0.79411764705882348</v>
      </c>
      <c r="P2" s="13">
        <v>33</v>
      </c>
      <c r="Q2" s="12">
        <v>21</v>
      </c>
      <c r="R2" s="13">
        <v>68</v>
      </c>
      <c r="S2" s="13">
        <v>54</v>
      </c>
      <c r="T2" s="17">
        <v>3.7999999999999972</v>
      </c>
    </row>
    <row r="3" spans="1:20" ht="15.75" x14ac:dyDescent="0.25">
      <c r="A3" s="19" t="s">
        <v>94</v>
      </c>
      <c r="B3" s="86">
        <v>26876745</v>
      </c>
      <c r="C3" s="87">
        <v>29130364.756566606</v>
      </c>
      <c r="D3" s="87">
        <v>0</v>
      </c>
      <c r="E3" s="87">
        <v>29130364.756566606</v>
      </c>
      <c r="F3" s="88">
        <v>1.0838501744376636</v>
      </c>
      <c r="G3" s="87">
        <v>29130364.75656661</v>
      </c>
      <c r="H3" s="88">
        <v>1.0838501744376638</v>
      </c>
      <c r="I3" s="87">
        <v>1120398.6444833311</v>
      </c>
      <c r="J3" s="87" t="e">
        <v>#DIV/0!</v>
      </c>
      <c r="K3" s="87">
        <v>364129.55945708265</v>
      </c>
      <c r="M3">
        <v>49</v>
      </c>
      <c r="N3" s="13" t="s">
        <v>107</v>
      </c>
      <c r="O3" s="22">
        <v>0.45493562231759654</v>
      </c>
      <c r="P3" s="13">
        <v>1</v>
      </c>
      <c r="Q3" s="12">
        <v>105</v>
      </c>
      <c r="R3" s="13">
        <v>233</v>
      </c>
      <c r="S3" s="13">
        <v>106</v>
      </c>
      <c r="T3" s="17">
        <v>92.049999999999983</v>
      </c>
    </row>
    <row r="4" spans="1:20" ht="15.75" x14ac:dyDescent="0.25">
      <c r="A4" s="19" t="s">
        <v>92</v>
      </c>
      <c r="B4" s="86">
        <v>24627645</v>
      </c>
      <c r="C4" s="87">
        <v>20258833.614688918</v>
      </c>
      <c r="D4" s="87">
        <v>0</v>
      </c>
      <c r="E4" s="87">
        <v>20258833.614688918</v>
      </c>
      <c r="F4" s="88">
        <v>0.82260539384455633</v>
      </c>
      <c r="G4" s="87">
        <v>20258833.614688918</v>
      </c>
      <c r="H4" s="88">
        <v>0.82260539384455633</v>
      </c>
      <c r="I4" s="87">
        <v>779185.90825726604</v>
      </c>
      <c r="J4" s="87" t="e">
        <v>#DIV/0!</v>
      </c>
      <c r="K4" s="87">
        <v>0</v>
      </c>
      <c r="M4">
        <v>20</v>
      </c>
      <c r="N4" s="13" t="s">
        <v>95</v>
      </c>
      <c r="O4" s="22">
        <v>0.91891891891891897</v>
      </c>
      <c r="P4" s="13">
        <v>126</v>
      </c>
      <c r="Q4" s="12">
        <v>78</v>
      </c>
      <c r="R4" s="13">
        <v>222</v>
      </c>
      <c r="S4" s="13">
        <v>204</v>
      </c>
      <c r="T4" s="17">
        <v>-15.300000000000011</v>
      </c>
    </row>
    <row r="5" spans="1:20" ht="15.75" x14ac:dyDescent="0.25">
      <c r="A5" s="19" t="s">
        <v>90</v>
      </c>
      <c r="B5" s="86">
        <v>24627645</v>
      </c>
      <c r="C5" s="87">
        <v>26537938.241926376</v>
      </c>
      <c r="D5" s="87">
        <v>0</v>
      </c>
      <c r="E5" s="87">
        <v>26537938.241926376</v>
      </c>
      <c r="F5" s="88">
        <v>1.0775670285131353</v>
      </c>
      <c r="G5" s="87">
        <v>26537938.241926376</v>
      </c>
      <c r="H5" s="88">
        <v>1.0775670285131353</v>
      </c>
      <c r="I5" s="87">
        <v>1020689.9323817837</v>
      </c>
      <c r="J5" s="87" t="e">
        <v>#DIV/0!</v>
      </c>
      <c r="K5" s="87">
        <v>331724.2280240797</v>
      </c>
      <c r="M5">
        <v>15</v>
      </c>
      <c r="N5" s="13" t="s">
        <v>91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89</v>
      </c>
      <c r="B6" s="86">
        <v>20410582.5</v>
      </c>
      <c r="C6" s="87">
        <v>17576102.641826726</v>
      </c>
      <c r="D6" s="87">
        <v>0</v>
      </c>
      <c r="E6" s="87">
        <v>17576102.641826726</v>
      </c>
      <c r="F6" s="88">
        <v>0.86112694930812128</v>
      </c>
      <c r="G6" s="87">
        <v>17576102.641826726</v>
      </c>
      <c r="H6" s="88">
        <v>0.86112694930812128</v>
      </c>
      <c r="I6" s="87">
        <v>676003.94776256639</v>
      </c>
      <c r="J6" s="87" t="e">
        <v>#DIV/0!</v>
      </c>
      <c r="K6" s="87">
        <v>0</v>
      </c>
      <c r="M6">
        <v>19</v>
      </c>
      <c r="N6" s="13" t="s">
        <v>94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86</v>
      </c>
      <c r="B7" s="86">
        <v>24065370</v>
      </c>
      <c r="C7" s="87">
        <v>24383408.810882814</v>
      </c>
      <c r="D7" s="87">
        <v>0</v>
      </c>
      <c r="E7" s="87">
        <v>24383408.810882814</v>
      </c>
      <c r="F7" s="88">
        <v>1.0132156210722219</v>
      </c>
      <c r="G7" s="87">
        <v>24383408.810882814</v>
      </c>
      <c r="H7" s="88">
        <v>1.0132156210722219</v>
      </c>
      <c r="I7" s="87">
        <v>937823.4158031852</v>
      </c>
      <c r="J7" s="87" t="e">
        <v>#DIV/0!</v>
      </c>
      <c r="K7" s="87">
        <v>243834.08810882815</v>
      </c>
      <c r="M7">
        <v>16</v>
      </c>
      <c r="N7" s="13" t="s">
        <v>92</v>
      </c>
      <c r="O7" s="22">
        <v>0.87309644670050757</v>
      </c>
      <c r="P7" s="13">
        <v>81</v>
      </c>
      <c r="Q7" s="12">
        <v>91</v>
      </c>
      <c r="R7" s="13">
        <v>197</v>
      </c>
      <c r="S7" s="13">
        <v>172</v>
      </c>
      <c r="T7" s="17">
        <v>-4.5500000000000114</v>
      </c>
    </row>
    <row r="8" spans="1:20" ht="15.75" x14ac:dyDescent="0.25">
      <c r="A8" s="19" t="s">
        <v>85</v>
      </c>
      <c r="B8" s="86">
        <v>31082562</v>
      </c>
      <c r="C8" s="87">
        <v>32899444.909960415</v>
      </c>
      <c r="D8" s="87">
        <v>0</v>
      </c>
      <c r="E8" s="87">
        <v>32899444.909960415</v>
      </c>
      <c r="F8" s="88">
        <v>1.0584534476263705</v>
      </c>
      <c r="G8" s="87">
        <v>32899444.909960411</v>
      </c>
      <c r="H8" s="88">
        <v>1.0584534476263705</v>
      </c>
      <c r="I8" s="87">
        <v>1265363.2657677082</v>
      </c>
      <c r="J8" s="87" t="e">
        <v>#DIV/0!</v>
      </c>
      <c r="K8" s="87">
        <v>411243.06137450517</v>
      </c>
      <c r="M8">
        <v>12</v>
      </c>
      <c r="N8" s="13" t="s">
        <v>90</v>
      </c>
      <c r="O8" s="22">
        <v>0.8995215311004785</v>
      </c>
      <c r="P8" s="13">
        <v>89</v>
      </c>
      <c r="Q8" s="12">
        <v>99</v>
      </c>
      <c r="R8" s="13">
        <v>209</v>
      </c>
      <c r="S8" s="13">
        <v>188</v>
      </c>
      <c r="T8" s="17">
        <v>-10.349999999999994</v>
      </c>
    </row>
    <row r="9" spans="1:20" ht="15.75" x14ac:dyDescent="0.25">
      <c r="A9" s="19" t="s">
        <v>84</v>
      </c>
      <c r="B9" s="86">
        <v>31082562</v>
      </c>
      <c r="C9" s="87">
        <v>30879201.629310861</v>
      </c>
      <c r="D9" s="87">
        <v>0</v>
      </c>
      <c r="E9" s="87">
        <v>30879201.629310861</v>
      </c>
      <c r="F9" s="88">
        <v>0.99345741285132361</v>
      </c>
      <c r="G9" s="87">
        <v>30879201.629310865</v>
      </c>
      <c r="H9" s="88">
        <v>0.99345741285132372</v>
      </c>
      <c r="I9" s="87">
        <v>1187661.6011273409</v>
      </c>
      <c r="J9" s="87" t="e">
        <v>#DIV/0!</v>
      </c>
      <c r="K9" s="87">
        <v>308792.01629310864</v>
      </c>
      <c r="M9">
        <v>11</v>
      </c>
      <c r="N9" s="30" t="s">
        <v>89</v>
      </c>
      <c r="O9" s="22">
        <v>0.90797546012269936</v>
      </c>
      <c r="P9" s="13">
        <v>92</v>
      </c>
      <c r="Q9" s="12">
        <v>56</v>
      </c>
      <c r="R9" s="13">
        <v>163</v>
      </c>
      <c r="S9" s="13">
        <v>148</v>
      </c>
      <c r="T9" s="17">
        <v>-9.4500000000000171</v>
      </c>
    </row>
    <row r="10" spans="1:20" ht="15.75" x14ac:dyDescent="0.25">
      <c r="A10" s="18" t="s">
        <v>51</v>
      </c>
      <c r="B10" s="89">
        <v>210774406.5</v>
      </c>
      <c r="C10" s="89">
        <v>214634358.69104952</v>
      </c>
      <c r="D10" s="89">
        <v>0</v>
      </c>
      <c r="E10" s="89">
        <v>214634358.69104952</v>
      </c>
      <c r="F10" s="90">
        <v>1.0183131920765225</v>
      </c>
      <c r="G10" s="89">
        <v>214634358.69104952</v>
      </c>
      <c r="H10" s="90">
        <v>1.0183131920765225</v>
      </c>
      <c r="I10" s="89">
        <v>8255167.6419634428</v>
      </c>
      <c r="J10" s="91" t="e">
        <v>#DIV/0!</v>
      </c>
      <c r="K10" s="91"/>
      <c r="M10">
        <v>8</v>
      </c>
      <c r="N10" s="13" t="s">
        <v>86</v>
      </c>
      <c r="O10" s="22">
        <v>0.83243243243243248</v>
      </c>
      <c r="P10" s="13">
        <v>64</v>
      </c>
      <c r="Q10" s="12">
        <v>90</v>
      </c>
      <c r="R10" s="13">
        <v>185</v>
      </c>
      <c r="S10" s="13">
        <v>154</v>
      </c>
      <c r="T10" s="17">
        <v>3.25</v>
      </c>
    </row>
    <row r="11" spans="1:20" ht="15.75" x14ac:dyDescent="0.25">
      <c r="A11" s="19" t="s">
        <v>97</v>
      </c>
      <c r="B11" s="86">
        <v>84120750</v>
      </c>
      <c r="C11" s="87">
        <v>64387271.98183801</v>
      </c>
      <c r="D11" s="87">
        <v>0</v>
      </c>
      <c r="E11" s="87">
        <v>64387271.98183801</v>
      </c>
      <c r="F11" s="88">
        <v>0.76541485878143034</v>
      </c>
      <c r="G11" s="87">
        <v>64387271.98183801</v>
      </c>
      <c r="H11" s="88">
        <v>0.76541485878143034</v>
      </c>
      <c r="I11" s="87">
        <v>2476433.5377630005</v>
      </c>
      <c r="J11" s="87" t="e">
        <v>#DIV/0!</v>
      </c>
      <c r="K11" s="87">
        <v>0</v>
      </c>
      <c r="M11">
        <v>52</v>
      </c>
      <c r="N11" s="31" t="s">
        <v>112</v>
      </c>
      <c r="O11" s="32">
        <v>0.52884615384615385</v>
      </c>
      <c r="P11" s="31">
        <v>19</v>
      </c>
      <c r="Q11" s="33">
        <v>36</v>
      </c>
      <c r="R11" s="13">
        <v>104</v>
      </c>
      <c r="S11" s="13">
        <v>55</v>
      </c>
      <c r="T11" s="34">
        <v>33.399999999999991</v>
      </c>
    </row>
    <row r="12" spans="1:20" ht="15.75" x14ac:dyDescent="0.25">
      <c r="A12" s="19" t="s">
        <v>107</v>
      </c>
      <c r="B12" s="86">
        <v>27439020</v>
      </c>
      <c r="C12" s="87">
        <v>21503763.720070578</v>
      </c>
      <c r="D12" s="87">
        <v>0</v>
      </c>
      <c r="E12" s="87">
        <v>21503763.720070578</v>
      </c>
      <c r="F12" s="88">
        <v>0.78369284763342784</v>
      </c>
      <c r="G12" s="87">
        <v>21503763.720070578</v>
      </c>
      <c r="H12" s="88">
        <v>0.78369284763342784</v>
      </c>
      <c r="I12" s="87">
        <v>827067.83538732992</v>
      </c>
      <c r="J12" s="87" t="e">
        <v>#DIV/0!</v>
      </c>
      <c r="K12" s="87">
        <v>0</v>
      </c>
      <c r="M12">
        <v>53</v>
      </c>
      <c r="N12" s="31" t="s">
        <v>108</v>
      </c>
      <c r="O12" s="32">
        <v>0.62727272727272732</v>
      </c>
      <c r="P12" s="31">
        <v>24</v>
      </c>
      <c r="Q12" s="33">
        <v>45</v>
      </c>
      <c r="R12" s="13">
        <v>110</v>
      </c>
      <c r="S12" s="13">
        <v>69</v>
      </c>
      <c r="T12" s="34">
        <v>24.5</v>
      </c>
    </row>
    <row r="13" spans="1:20" ht="15.75" x14ac:dyDescent="0.25">
      <c r="A13" s="19" t="s">
        <v>91</v>
      </c>
      <c r="B13" s="86">
        <v>111352500</v>
      </c>
      <c r="C13" s="87">
        <v>81948670.721768543</v>
      </c>
      <c r="D13" s="87">
        <v>0</v>
      </c>
      <c r="E13" s="87">
        <v>81948670.721768543</v>
      </c>
      <c r="F13" s="88">
        <v>0.7359392085653087</v>
      </c>
      <c r="G13" s="87">
        <v>81948670.721768543</v>
      </c>
      <c r="H13" s="88">
        <v>0.7359392085653087</v>
      </c>
      <c r="I13" s="87">
        <v>3151871.9508372517</v>
      </c>
      <c r="J13" s="87" t="e">
        <v>#DIV/0!</v>
      </c>
      <c r="K13" s="87">
        <v>0</v>
      </c>
      <c r="M13">
        <v>5</v>
      </c>
      <c r="N13" s="13" t="s">
        <v>85</v>
      </c>
      <c r="O13" s="22">
        <v>0.96484375</v>
      </c>
      <c r="P13" s="13">
        <v>144</v>
      </c>
      <c r="Q13" s="12">
        <v>103</v>
      </c>
      <c r="R13" s="13">
        <v>256</v>
      </c>
      <c r="S13" s="13">
        <v>247</v>
      </c>
      <c r="T13" s="17">
        <v>-29.400000000000006</v>
      </c>
    </row>
    <row r="14" spans="1:20" ht="16.5" thickBot="1" x14ac:dyDescent="0.3">
      <c r="A14" s="19" t="s">
        <v>112</v>
      </c>
      <c r="B14" s="86">
        <v>36823500</v>
      </c>
      <c r="C14" s="87">
        <v>27773181.596537951</v>
      </c>
      <c r="D14" s="87">
        <v>0</v>
      </c>
      <c r="E14" s="87">
        <v>27773181.596537951</v>
      </c>
      <c r="F14" s="88">
        <v>0.75422438379127332</v>
      </c>
      <c r="G14" s="87">
        <v>27773181.596537948</v>
      </c>
      <c r="H14" s="88">
        <v>0.75422438379127321</v>
      </c>
      <c r="I14" s="87">
        <v>1068199.2921745365</v>
      </c>
      <c r="J14" s="87" t="e">
        <v>#DIV/0!</v>
      </c>
      <c r="K14" s="87">
        <v>0</v>
      </c>
      <c r="M14">
        <v>4</v>
      </c>
      <c r="N14" s="10" t="s">
        <v>84</v>
      </c>
      <c r="O14" s="22">
        <v>0.88571428571428568</v>
      </c>
      <c r="P14" s="13">
        <v>85</v>
      </c>
      <c r="Q14" s="12">
        <v>70</v>
      </c>
      <c r="R14" s="13">
        <v>175</v>
      </c>
      <c r="S14" s="13">
        <v>155</v>
      </c>
      <c r="T14" s="17">
        <v>-6.25</v>
      </c>
    </row>
    <row r="15" spans="1:20" ht="16.5" thickBot="1" x14ac:dyDescent="0.3">
      <c r="A15" s="19" t="s">
        <v>108</v>
      </c>
      <c r="B15" s="86">
        <v>36823500</v>
      </c>
      <c r="C15" s="87">
        <v>40412110.7009774</v>
      </c>
      <c r="D15" s="87">
        <v>0</v>
      </c>
      <c r="E15" s="87">
        <v>40412110.7009774</v>
      </c>
      <c r="F15" s="88">
        <v>1.0974543620507937</v>
      </c>
      <c r="G15" s="87">
        <v>40412110.7009774</v>
      </c>
      <c r="H15" s="88">
        <v>1.0974543620507937</v>
      </c>
      <c r="I15" s="87">
        <v>1554311.9500375923</v>
      </c>
      <c r="J15" s="87" t="e">
        <v>#DIV/0!</v>
      </c>
      <c r="K15" s="87">
        <v>606181.66051466099</v>
      </c>
      <c r="N15" s="9" t="s">
        <v>37</v>
      </c>
      <c r="O15" s="23"/>
      <c r="P15" s="14"/>
      <c r="Q15" s="16">
        <v>899</v>
      </c>
      <c r="R15" s="8">
        <v>2191</v>
      </c>
      <c r="S15" s="8">
        <v>1778</v>
      </c>
      <c r="T15" s="8"/>
    </row>
    <row r="16" spans="1:20" ht="15.75" x14ac:dyDescent="0.25">
      <c r="A16" s="18" t="s">
        <v>52</v>
      </c>
      <c r="B16" s="89">
        <v>296559270</v>
      </c>
      <c r="C16" s="89">
        <v>236024998.72119248</v>
      </c>
      <c r="D16" s="89">
        <v>0</v>
      </c>
      <c r="E16" s="89">
        <v>236024998.72119248</v>
      </c>
      <c r="F16" s="90">
        <v>0.79587800010835097</v>
      </c>
      <c r="G16" s="89">
        <v>236024998.72119248</v>
      </c>
      <c r="H16" s="90">
        <v>0.79587800010835097</v>
      </c>
      <c r="I16" s="89">
        <v>9077884.5661997106</v>
      </c>
      <c r="J16" s="91" t="e">
        <v>#DIV/0!</v>
      </c>
      <c r="K16" s="91"/>
      <c r="M16">
        <v>31</v>
      </c>
      <c r="N16" s="12" t="s">
        <v>101</v>
      </c>
      <c r="O16" s="22">
        <v>0.91082802547770703</v>
      </c>
      <c r="P16" s="13">
        <v>90</v>
      </c>
      <c r="Q16" s="12">
        <v>53</v>
      </c>
      <c r="R16" s="13">
        <v>157</v>
      </c>
      <c r="S16" s="13">
        <v>143</v>
      </c>
      <c r="T16" s="17">
        <v>-9.5500000000000114</v>
      </c>
    </row>
    <row r="17" spans="1:20" ht="15.75" x14ac:dyDescent="0.25">
      <c r="A17" s="19" t="s">
        <v>82</v>
      </c>
      <c r="B17" s="71">
        <v>25450000</v>
      </c>
      <c r="C17" s="87">
        <v>16519194.256903937</v>
      </c>
      <c r="D17" s="87">
        <v>0</v>
      </c>
      <c r="E17" s="87">
        <v>16519194.256903937</v>
      </c>
      <c r="F17" s="88">
        <v>0.64908425370938849</v>
      </c>
      <c r="G17" s="87">
        <v>16519194.256903937</v>
      </c>
      <c r="H17" s="88">
        <v>0.64908425370938849</v>
      </c>
      <c r="I17" s="87">
        <v>635353.62526553601</v>
      </c>
      <c r="J17" s="87" t="e">
        <v>#DIV/0!</v>
      </c>
      <c r="K17" s="87">
        <v>0</v>
      </c>
      <c r="M17">
        <v>54</v>
      </c>
      <c r="N17" s="13" t="s">
        <v>109</v>
      </c>
      <c r="O17" s="22">
        <v>0.66494845360824739</v>
      </c>
      <c r="P17" s="13">
        <v>92</v>
      </c>
      <c r="Q17" s="12">
        <v>37</v>
      </c>
      <c r="R17" s="13">
        <v>194</v>
      </c>
      <c r="S17" s="13">
        <v>129</v>
      </c>
      <c r="T17" s="17">
        <v>35.900000000000006</v>
      </c>
    </row>
    <row r="18" spans="1:20" ht="15.75" x14ac:dyDescent="0.25">
      <c r="A18" s="19" t="s">
        <v>83</v>
      </c>
      <c r="B18" s="71">
        <v>22430000</v>
      </c>
      <c r="C18" s="87">
        <v>14871118.704486541</v>
      </c>
      <c r="D18" s="87">
        <v>0</v>
      </c>
      <c r="E18" s="87">
        <v>14871118.704486541</v>
      </c>
      <c r="F18" s="88">
        <v>0.66300127973635936</v>
      </c>
      <c r="G18" s="87">
        <v>14871118.704486541</v>
      </c>
      <c r="H18" s="88">
        <v>0.66300127973635936</v>
      </c>
      <c r="I18" s="87">
        <v>571966.10401871311</v>
      </c>
      <c r="J18" s="87" t="e">
        <v>#DIV/0!</v>
      </c>
      <c r="K18" s="87">
        <v>0</v>
      </c>
      <c r="M18">
        <v>21</v>
      </c>
      <c r="N18" s="13" t="s">
        <v>96</v>
      </c>
      <c r="O18" s="22">
        <v>0.81097560975609762</v>
      </c>
      <c r="P18" s="13">
        <v>88</v>
      </c>
      <c r="Q18" s="12">
        <v>45</v>
      </c>
      <c r="R18" s="13">
        <v>164</v>
      </c>
      <c r="S18" s="13">
        <v>133</v>
      </c>
      <c r="T18" s="17">
        <v>6.4000000000000057</v>
      </c>
    </row>
    <row r="19" spans="1:20" ht="15.75" x14ac:dyDescent="0.25">
      <c r="A19" s="19" t="s">
        <v>93</v>
      </c>
      <c r="B19" s="71">
        <v>22430000</v>
      </c>
      <c r="C19" s="87">
        <v>17383067.799878713</v>
      </c>
      <c r="D19" s="87">
        <v>0</v>
      </c>
      <c r="E19" s="87">
        <v>17383067.799878713</v>
      </c>
      <c r="F19" s="88">
        <v>0.7749918769451053</v>
      </c>
      <c r="G19" s="87">
        <v>17383067.799878713</v>
      </c>
      <c r="H19" s="88">
        <v>0.7749918769451053</v>
      </c>
      <c r="I19" s="87">
        <v>668579.53076456592</v>
      </c>
      <c r="J19" s="87" t="e">
        <v>#DIV/0!</v>
      </c>
      <c r="K19" s="87">
        <v>0</v>
      </c>
      <c r="M19">
        <v>23</v>
      </c>
      <c r="N19" s="13" t="s">
        <v>98</v>
      </c>
      <c r="O19" s="22">
        <v>0.91333333333333333</v>
      </c>
      <c r="P19" s="13">
        <v>95</v>
      </c>
      <c r="Q19" s="12">
        <v>42</v>
      </c>
      <c r="R19" s="13">
        <v>150</v>
      </c>
      <c r="S19" s="13">
        <v>137</v>
      </c>
      <c r="T19" s="17">
        <v>-9.5</v>
      </c>
    </row>
    <row r="20" spans="1:20" ht="15.75" x14ac:dyDescent="0.25">
      <c r="A20" s="19" t="s">
        <v>96</v>
      </c>
      <c r="B20" s="71">
        <v>29000000</v>
      </c>
      <c r="C20" s="87">
        <v>24462624.729524348</v>
      </c>
      <c r="D20" s="87">
        <v>0</v>
      </c>
      <c r="E20" s="87">
        <v>24462624.729524348</v>
      </c>
      <c r="F20" s="88">
        <v>0.84353878377670166</v>
      </c>
      <c r="G20" s="87">
        <v>24462624.729524348</v>
      </c>
      <c r="H20" s="88">
        <v>0.84353878377670166</v>
      </c>
      <c r="I20" s="87">
        <v>940870.18190478266</v>
      </c>
      <c r="J20" s="87" t="e">
        <v>#DIV/0!</v>
      </c>
      <c r="K20" s="87">
        <v>0</v>
      </c>
      <c r="M20">
        <v>18</v>
      </c>
      <c r="N20" s="13" t="s">
        <v>93</v>
      </c>
      <c r="O20" s="22">
        <v>0.86046511627906974</v>
      </c>
      <c r="P20" s="13">
        <v>83</v>
      </c>
      <c r="Q20" s="12">
        <v>65</v>
      </c>
      <c r="R20" s="13">
        <v>172</v>
      </c>
      <c r="S20" s="13">
        <v>148</v>
      </c>
      <c r="T20" s="17">
        <v>-1.8000000000000114</v>
      </c>
    </row>
    <row r="21" spans="1:20" ht="15.75" x14ac:dyDescent="0.25">
      <c r="A21" s="19" t="s">
        <v>98</v>
      </c>
      <c r="B21" s="71">
        <v>22000000</v>
      </c>
      <c r="C21" s="87">
        <v>19224920.576570924</v>
      </c>
      <c r="D21" s="87">
        <v>0</v>
      </c>
      <c r="E21" s="87">
        <v>19224920.576570924</v>
      </c>
      <c r="F21" s="88">
        <v>0.87386002620776926</v>
      </c>
      <c r="G21" s="87">
        <v>19224920.576570924</v>
      </c>
      <c r="H21" s="88">
        <v>0.87386002620776926</v>
      </c>
      <c r="I21" s="87">
        <v>739420.02217580483</v>
      </c>
      <c r="J21" s="87" t="e">
        <v>#DIV/0!</v>
      </c>
      <c r="K21" s="87">
        <v>0</v>
      </c>
      <c r="M21">
        <v>44</v>
      </c>
      <c r="N21" s="13" t="s">
        <v>106</v>
      </c>
      <c r="O21" s="22">
        <v>0.88505747126436785</v>
      </c>
      <c r="P21" s="13">
        <v>64</v>
      </c>
      <c r="Q21" s="12">
        <v>90</v>
      </c>
      <c r="R21" s="13">
        <v>174</v>
      </c>
      <c r="S21" s="13">
        <v>154</v>
      </c>
      <c r="T21" s="17">
        <v>-6.0999999999999943</v>
      </c>
    </row>
    <row r="22" spans="1:20" ht="15.75" x14ac:dyDescent="0.25">
      <c r="A22" s="19" t="s">
        <v>101</v>
      </c>
      <c r="B22" s="71">
        <v>27500000</v>
      </c>
      <c r="C22" s="87">
        <v>22580286.482825678</v>
      </c>
      <c r="D22" s="87">
        <v>0</v>
      </c>
      <c r="E22" s="87">
        <v>22580286.482825678</v>
      </c>
      <c r="F22" s="88">
        <v>0.82110132664820645</v>
      </c>
      <c r="G22" s="87">
        <v>22580286.482825678</v>
      </c>
      <c r="H22" s="88">
        <v>0.82110132664820645</v>
      </c>
      <c r="I22" s="87">
        <v>868472.55703175685</v>
      </c>
      <c r="J22" s="87" t="e">
        <v>#DIV/0!</v>
      </c>
      <c r="K22" s="87">
        <v>0</v>
      </c>
      <c r="M22">
        <v>56</v>
      </c>
      <c r="N22" s="13" t="s">
        <v>140</v>
      </c>
      <c r="O22" s="22">
        <v>0.46268656716417911</v>
      </c>
      <c r="P22" s="13">
        <v>66</v>
      </c>
      <c r="Q22" s="12">
        <v>27</v>
      </c>
      <c r="R22" s="13">
        <v>201</v>
      </c>
      <c r="S22" s="13">
        <v>93</v>
      </c>
      <c r="T22" s="17">
        <v>77.849999999999994</v>
      </c>
    </row>
    <row r="23" spans="1:20" ht="15.75" x14ac:dyDescent="0.25">
      <c r="A23" s="19" t="s">
        <v>106</v>
      </c>
      <c r="B23" s="71">
        <v>23800000</v>
      </c>
      <c r="C23" s="87">
        <v>18758064.323494539</v>
      </c>
      <c r="D23" s="87">
        <v>0</v>
      </c>
      <c r="E23" s="87">
        <v>18758064.323494539</v>
      </c>
      <c r="F23" s="88">
        <v>0.78815396317203945</v>
      </c>
      <c r="G23" s="87">
        <v>18758064.323494539</v>
      </c>
      <c r="H23" s="88">
        <v>0.78815396317203945</v>
      </c>
      <c r="I23" s="87">
        <v>721464.01244209765</v>
      </c>
      <c r="J23" s="87" t="e">
        <v>#DIV/0!</v>
      </c>
      <c r="K23" s="87">
        <v>0</v>
      </c>
      <c r="M23">
        <v>2</v>
      </c>
      <c r="N23" s="13" t="s">
        <v>82</v>
      </c>
      <c r="O23" s="22">
        <v>0.83783783783783783</v>
      </c>
      <c r="P23" s="13">
        <v>70</v>
      </c>
      <c r="Q23" s="12">
        <v>54</v>
      </c>
      <c r="R23" s="13">
        <v>148</v>
      </c>
      <c r="S23" s="13">
        <v>124</v>
      </c>
      <c r="T23" s="17">
        <v>1.7999999999999972</v>
      </c>
    </row>
    <row r="24" spans="1:20" ht="16.5" thickBot="1" x14ac:dyDescent="0.3">
      <c r="A24" s="19" t="s">
        <v>109</v>
      </c>
      <c r="B24" s="71">
        <v>28500000</v>
      </c>
      <c r="C24" s="87">
        <v>25700325.30407371</v>
      </c>
      <c r="D24" s="87">
        <v>0</v>
      </c>
      <c r="E24" s="87">
        <v>25700325.30407371</v>
      </c>
      <c r="F24" s="88">
        <v>0.90176580014293717</v>
      </c>
      <c r="G24" s="87">
        <v>25700325.30407371</v>
      </c>
      <c r="H24" s="88">
        <v>0.90176580014293717</v>
      </c>
      <c r="I24" s="87">
        <v>988474.0501566811</v>
      </c>
      <c r="J24" s="87" t="e">
        <v>#DIV/0!</v>
      </c>
      <c r="K24" s="87">
        <v>0</v>
      </c>
      <c r="M24">
        <v>3</v>
      </c>
      <c r="N24" s="10" t="s">
        <v>83</v>
      </c>
      <c r="O24" s="22">
        <v>0.9096774193548387</v>
      </c>
      <c r="P24" s="13">
        <v>79</v>
      </c>
      <c r="Q24" s="12">
        <v>62</v>
      </c>
      <c r="R24" s="13">
        <v>155</v>
      </c>
      <c r="S24" s="13">
        <v>141</v>
      </c>
      <c r="T24" s="17">
        <v>-9.25</v>
      </c>
    </row>
    <row r="25" spans="1:20" ht="16.5" thickBot="1" x14ac:dyDescent="0.3">
      <c r="A25" s="19" t="s">
        <v>140</v>
      </c>
      <c r="B25" s="71">
        <v>46900000</v>
      </c>
      <c r="C25" s="87">
        <v>26132280.684891887</v>
      </c>
      <c r="D25" s="87">
        <v>0</v>
      </c>
      <c r="E25" s="87">
        <v>26132280.684891887</v>
      </c>
      <c r="F25" s="88">
        <v>0.55719148581859035</v>
      </c>
      <c r="G25" s="87">
        <v>26132280.684891887</v>
      </c>
      <c r="H25" s="88">
        <v>0.55719148581859035</v>
      </c>
      <c r="I25" s="87">
        <v>1005087.7186496879</v>
      </c>
      <c r="J25" s="87" t="e">
        <v>#DIV/0!</v>
      </c>
      <c r="K25" s="87">
        <v>0</v>
      </c>
      <c r="N25" s="9" t="s">
        <v>38</v>
      </c>
      <c r="O25" s="23"/>
      <c r="P25" s="14"/>
      <c r="Q25" s="16">
        <v>475</v>
      </c>
      <c r="R25" s="8">
        <v>1515</v>
      </c>
      <c r="S25" s="8">
        <v>1202</v>
      </c>
      <c r="T25" s="8"/>
    </row>
    <row r="26" spans="1:20" ht="15.75" x14ac:dyDescent="0.25">
      <c r="A26" s="20" t="s">
        <v>38</v>
      </c>
      <c r="B26" s="91">
        <v>248010000</v>
      </c>
      <c r="C26" s="91">
        <v>185631882.86265028</v>
      </c>
      <c r="D26" s="91">
        <v>0</v>
      </c>
      <c r="E26" s="91">
        <v>185631882.86265028</v>
      </c>
      <c r="F26" s="90">
        <v>0.74848547583827374</v>
      </c>
      <c r="G26" s="89">
        <v>185631882.86265028</v>
      </c>
      <c r="H26" s="90">
        <v>0.74848547583827374</v>
      </c>
      <c r="I26" s="89">
        <v>7139687.8024096256</v>
      </c>
      <c r="J26" s="91" t="e">
        <v>#DIV/0!</v>
      </c>
      <c r="K26" s="91"/>
      <c r="M26">
        <v>32</v>
      </c>
      <c r="N26" s="12" t="s">
        <v>102</v>
      </c>
      <c r="O26" s="22">
        <v>0.83636363636363631</v>
      </c>
      <c r="P26" s="13">
        <v>20</v>
      </c>
      <c r="Q26" s="12">
        <v>26</v>
      </c>
      <c r="R26" s="13">
        <v>55</v>
      </c>
      <c r="S26" s="13">
        <v>46</v>
      </c>
      <c r="T26" s="17">
        <v>0.75</v>
      </c>
    </row>
    <row r="27" spans="1:20" ht="15.75" x14ac:dyDescent="0.25">
      <c r="A27" s="92" t="s">
        <v>102</v>
      </c>
      <c r="B27" s="131">
        <v>72908793.5625</v>
      </c>
      <c r="C27" s="87">
        <v>59705699.342645526</v>
      </c>
      <c r="D27" s="87">
        <v>0</v>
      </c>
      <c r="E27" s="87">
        <v>59705699.342645526</v>
      </c>
      <c r="F27" s="88">
        <v>0.81890944048420833</v>
      </c>
      <c r="G27" s="87">
        <v>59705699.342645526</v>
      </c>
      <c r="H27" s="88">
        <v>0.81890944048420833</v>
      </c>
      <c r="I27" s="87">
        <v>2296373.0516402125</v>
      </c>
      <c r="J27" s="87" t="e">
        <v>#DIV/0!</v>
      </c>
      <c r="K27" s="87">
        <v>0</v>
      </c>
      <c r="M27">
        <v>36</v>
      </c>
      <c r="N27" s="12" t="s">
        <v>103</v>
      </c>
      <c r="O27" s="22">
        <v>0.6470588235294118</v>
      </c>
      <c r="P27" s="13">
        <v>68</v>
      </c>
      <c r="Q27" s="12">
        <v>31</v>
      </c>
      <c r="R27" s="13">
        <v>153</v>
      </c>
      <c r="S27" s="13">
        <v>99</v>
      </c>
      <c r="T27" s="17">
        <v>31.049999999999983</v>
      </c>
    </row>
    <row r="28" spans="1:20" ht="15.75" x14ac:dyDescent="0.25">
      <c r="A28" s="19" t="s">
        <v>103</v>
      </c>
      <c r="B28" s="131">
        <v>20300095.462500002</v>
      </c>
      <c r="C28" s="87">
        <v>7088486.5581214279</v>
      </c>
      <c r="D28" s="87">
        <v>0</v>
      </c>
      <c r="E28" s="87">
        <v>7088486.5581214279</v>
      </c>
      <c r="F28" s="88">
        <v>0.3491848878846831</v>
      </c>
      <c r="G28" s="87">
        <v>7088486.5581214279</v>
      </c>
      <c r="H28" s="88">
        <v>0.3491848878846831</v>
      </c>
      <c r="I28" s="87">
        <v>272634.09838928567</v>
      </c>
      <c r="J28" s="87" t="e">
        <v>#DIV/0!</v>
      </c>
      <c r="K28" s="87">
        <v>0</v>
      </c>
      <c r="M28">
        <v>9</v>
      </c>
      <c r="N28" s="12" t="s">
        <v>87</v>
      </c>
      <c r="O28" s="22">
        <v>0.71140939597315433</v>
      </c>
      <c r="P28" s="13">
        <v>80</v>
      </c>
      <c r="Q28" s="12">
        <v>26</v>
      </c>
      <c r="R28" s="13">
        <v>149</v>
      </c>
      <c r="S28" s="13">
        <v>106</v>
      </c>
      <c r="T28" s="17">
        <v>20.649999999999991</v>
      </c>
    </row>
    <row r="29" spans="1:20" ht="15.75" x14ac:dyDescent="0.25">
      <c r="A29" s="19" t="s">
        <v>87</v>
      </c>
      <c r="B29" s="131">
        <v>21701087.966249999</v>
      </c>
      <c r="C29" s="87">
        <v>11524508.445087066</v>
      </c>
      <c r="D29" s="87">
        <v>0</v>
      </c>
      <c r="E29" s="87">
        <v>11524508.445087066</v>
      </c>
      <c r="F29" s="88">
        <v>0.53105671305559565</v>
      </c>
      <c r="G29" s="87">
        <v>11524508.445087066</v>
      </c>
      <c r="H29" s="88">
        <v>0.53105671305559565</v>
      </c>
      <c r="I29" s="87">
        <v>443250.32481104101</v>
      </c>
      <c r="J29" s="87" t="e">
        <v>#DIV/0!</v>
      </c>
      <c r="K29" s="87">
        <v>0</v>
      </c>
      <c r="M29">
        <v>40</v>
      </c>
      <c r="N29" s="12" t="s">
        <v>105</v>
      </c>
      <c r="O29" s="22">
        <v>0.8666666666666667</v>
      </c>
      <c r="P29" s="13">
        <v>68</v>
      </c>
      <c r="Q29" s="12">
        <v>140</v>
      </c>
      <c r="R29" s="13">
        <v>240</v>
      </c>
      <c r="S29" s="13">
        <v>208</v>
      </c>
      <c r="T29" s="17">
        <v>-4</v>
      </c>
    </row>
    <row r="30" spans="1:20" ht="15.75" x14ac:dyDescent="0.25">
      <c r="A30" s="19" t="s">
        <v>105</v>
      </c>
      <c r="B30" s="131">
        <v>33166353.149999999</v>
      </c>
      <c r="C30" s="87">
        <v>32454209.159729112</v>
      </c>
      <c r="D30" s="87">
        <v>0</v>
      </c>
      <c r="E30" s="87">
        <v>32454209.159729112</v>
      </c>
      <c r="F30" s="88">
        <v>0.97852811893275982</v>
      </c>
      <c r="G30" s="87">
        <v>32454209.159729108</v>
      </c>
      <c r="H30" s="88">
        <v>0.97852811893275971</v>
      </c>
      <c r="I30" s="87">
        <v>1248238.813835735</v>
      </c>
      <c r="J30" s="87" t="e">
        <v>#DIV/0!</v>
      </c>
      <c r="K30" s="87">
        <v>0</v>
      </c>
      <c r="M30">
        <v>27</v>
      </c>
      <c r="N30" s="12" t="s">
        <v>99</v>
      </c>
      <c r="O30" s="22">
        <v>0.87769784172661869</v>
      </c>
      <c r="P30" s="13">
        <v>73</v>
      </c>
      <c r="Q30" s="12">
        <v>49</v>
      </c>
      <c r="R30" s="13">
        <v>139</v>
      </c>
      <c r="S30" s="13">
        <v>122</v>
      </c>
      <c r="T30" s="17">
        <v>-3.8500000000000085</v>
      </c>
    </row>
    <row r="31" spans="1:20" ht="15.75" x14ac:dyDescent="0.25">
      <c r="A31" s="19" t="s">
        <v>99</v>
      </c>
      <c r="B31" s="131">
        <v>21701087.966249999</v>
      </c>
      <c r="C31" s="87">
        <v>18178588.533045053</v>
      </c>
      <c r="D31" s="87">
        <v>0</v>
      </c>
      <c r="E31" s="87">
        <v>18178588.533045053</v>
      </c>
      <c r="F31" s="88">
        <v>0.83768097531869312</v>
      </c>
      <c r="G31" s="87">
        <v>18178588.533045053</v>
      </c>
      <c r="H31" s="88">
        <v>0.83768097531869312</v>
      </c>
      <c r="I31" s="87">
        <v>699176.48204019433</v>
      </c>
      <c r="J31" s="87" t="e">
        <v>#DIV/0!</v>
      </c>
      <c r="K31" s="87">
        <v>0</v>
      </c>
      <c r="M31">
        <v>10</v>
      </c>
      <c r="N31" s="12" t="s">
        <v>88</v>
      </c>
      <c r="O31" s="22">
        <v>0.79558011049723754</v>
      </c>
      <c r="P31" s="13">
        <v>40</v>
      </c>
      <c r="Q31" s="12">
        <v>104</v>
      </c>
      <c r="R31" s="13">
        <v>181</v>
      </c>
      <c r="S31" s="13">
        <v>144</v>
      </c>
      <c r="T31" s="17">
        <v>9.8499999999999943</v>
      </c>
    </row>
    <row r="32" spans="1:20" ht="15.75" x14ac:dyDescent="0.25">
      <c r="A32" s="19" t="s">
        <v>88</v>
      </c>
      <c r="B32" s="131">
        <v>21701087.966249999</v>
      </c>
      <c r="C32" s="87">
        <v>22255930.735474538</v>
      </c>
      <c r="D32" s="87">
        <v>0</v>
      </c>
      <c r="E32" s="87">
        <v>22255930.735474538</v>
      </c>
      <c r="F32" s="88">
        <v>1.0255675093381236</v>
      </c>
      <c r="G32" s="87">
        <v>22255930.735474538</v>
      </c>
      <c r="H32" s="88">
        <v>1.0255675093381236</v>
      </c>
      <c r="I32" s="87">
        <v>855997.33597978996</v>
      </c>
      <c r="J32" s="87" t="e">
        <v>#DIV/0!</v>
      </c>
      <c r="K32" s="87">
        <v>222559.3073547454</v>
      </c>
      <c r="M32">
        <v>28</v>
      </c>
      <c r="N32" s="12" t="s">
        <v>100</v>
      </c>
      <c r="O32" s="22">
        <v>0.87150837988826813</v>
      </c>
      <c r="P32" s="13">
        <v>67</v>
      </c>
      <c r="Q32" s="12">
        <v>89</v>
      </c>
      <c r="R32" s="13">
        <v>179</v>
      </c>
      <c r="S32" s="13">
        <v>156</v>
      </c>
      <c r="T32" s="17">
        <v>-3.8499999999999943</v>
      </c>
    </row>
    <row r="33" spans="1:20" ht="15.75" x14ac:dyDescent="0.25">
      <c r="A33" s="19" t="s">
        <v>100</v>
      </c>
      <c r="B33" s="131">
        <v>20586012.300000001</v>
      </c>
      <c r="C33" s="87">
        <v>21491454.209792644</v>
      </c>
      <c r="D33" s="87">
        <v>0</v>
      </c>
      <c r="E33" s="87">
        <v>21491454.209792644</v>
      </c>
      <c r="F33" s="88">
        <v>1.0439833561059635</v>
      </c>
      <c r="G33" s="87">
        <v>21491454.209792644</v>
      </c>
      <c r="H33" s="88">
        <v>1.0439833561059635</v>
      </c>
      <c r="I33" s="87">
        <v>826594.39268433244</v>
      </c>
      <c r="J33" s="87" t="e">
        <v>#DIV/0!</v>
      </c>
      <c r="K33" s="87">
        <v>268643.17762240808</v>
      </c>
      <c r="M33">
        <v>33</v>
      </c>
      <c r="N33" s="12" t="s">
        <v>139</v>
      </c>
      <c r="O33" s="22">
        <v>0.57926829268292679</v>
      </c>
      <c r="P33" s="13">
        <v>66</v>
      </c>
      <c r="Q33" s="12">
        <v>29</v>
      </c>
      <c r="R33" s="13">
        <v>164</v>
      </c>
      <c r="S33" s="13">
        <v>95</v>
      </c>
      <c r="T33" s="17">
        <v>44.400000000000006</v>
      </c>
    </row>
    <row r="34" spans="1:20" ht="15.75" x14ac:dyDescent="0.25">
      <c r="A34" s="19" t="s">
        <v>139</v>
      </c>
      <c r="B34" s="131">
        <v>21701087.966249999</v>
      </c>
      <c r="C34" s="87">
        <v>6604694.92388489</v>
      </c>
      <c r="D34" s="87">
        <v>0</v>
      </c>
      <c r="E34" s="87">
        <v>6604694.92388489</v>
      </c>
      <c r="F34" s="88">
        <v>0.30434856234658164</v>
      </c>
      <c r="G34" s="87">
        <v>6604694.92388489</v>
      </c>
      <c r="H34" s="88">
        <v>0.30434856234658164</v>
      </c>
      <c r="I34" s="87">
        <v>254026.72784172653</v>
      </c>
      <c r="J34" s="87" t="e">
        <v>#DIV/0!</v>
      </c>
      <c r="K34" s="87">
        <v>0</v>
      </c>
      <c r="M34">
        <v>37</v>
      </c>
      <c r="N34" s="12" t="s">
        <v>104</v>
      </c>
      <c r="O34" s="22">
        <v>0.69736842105263153</v>
      </c>
      <c r="P34" s="13">
        <v>82</v>
      </c>
      <c r="Q34" s="12">
        <v>24</v>
      </c>
      <c r="R34" s="13">
        <v>152</v>
      </c>
      <c r="S34" s="13">
        <v>106</v>
      </c>
      <c r="T34" s="17">
        <v>23.199999999999989</v>
      </c>
    </row>
    <row r="35" spans="1:20" ht="15.75" x14ac:dyDescent="0.25">
      <c r="A35" s="19" t="s">
        <v>104</v>
      </c>
      <c r="B35" s="131">
        <v>20586012.300000001</v>
      </c>
      <c r="C35" s="87">
        <v>10300686.076064574</v>
      </c>
      <c r="D35" s="87">
        <v>0</v>
      </c>
      <c r="E35" s="87">
        <v>10300686.076064574</v>
      </c>
      <c r="F35" s="88">
        <v>0.50037306526162784</v>
      </c>
      <c r="G35" s="87">
        <v>10300686.076064574</v>
      </c>
      <c r="H35" s="88">
        <v>0.50037306526162784</v>
      </c>
      <c r="I35" s="87">
        <v>396180.23369479127</v>
      </c>
      <c r="J35" s="87" t="e">
        <v>#DIV/0!</v>
      </c>
      <c r="K35" s="87">
        <v>0</v>
      </c>
      <c r="M35">
        <v>24</v>
      </c>
      <c r="N35" s="12" t="s">
        <v>113</v>
      </c>
      <c r="O35" s="22">
        <v>0.82954545454545459</v>
      </c>
      <c r="P35" s="13">
        <v>81</v>
      </c>
      <c r="Q35" s="12">
        <v>65</v>
      </c>
      <c r="R35" s="13">
        <v>176</v>
      </c>
      <c r="S35" s="13">
        <v>146</v>
      </c>
      <c r="T35" s="17">
        <v>3.5999999999999943</v>
      </c>
    </row>
    <row r="36" spans="1:20" ht="15.75" x14ac:dyDescent="0.25">
      <c r="A36" s="19" t="s">
        <v>113</v>
      </c>
      <c r="B36" s="131">
        <v>21729679.650000002</v>
      </c>
      <c r="C36" s="87">
        <v>17015924.868190646</v>
      </c>
      <c r="D36" s="87">
        <v>0</v>
      </c>
      <c r="E36" s="87">
        <v>17015924.868190646</v>
      </c>
      <c r="F36" s="88">
        <v>0.78307297402751375</v>
      </c>
      <c r="G36" s="87">
        <v>17015924.868190646</v>
      </c>
      <c r="H36" s="88">
        <v>0.78307297402751375</v>
      </c>
      <c r="I36" s="87">
        <v>654458.64877656335</v>
      </c>
      <c r="J36" s="87" t="e">
        <v>#DIV/0!</v>
      </c>
      <c r="K36" s="87">
        <v>0</v>
      </c>
      <c r="M36">
        <v>7</v>
      </c>
      <c r="N36" s="12" t="s">
        <v>111</v>
      </c>
      <c r="O36" s="22">
        <v>0.14414414414414414</v>
      </c>
      <c r="P36" s="13">
        <v>0</v>
      </c>
      <c r="Q36" s="12">
        <v>16</v>
      </c>
      <c r="R36" s="13">
        <v>111</v>
      </c>
      <c r="S36" s="13">
        <v>16</v>
      </c>
      <c r="T36" s="17">
        <v>78.349999999999994</v>
      </c>
    </row>
    <row r="37" spans="1:20" ht="15.75" x14ac:dyDescent="0.25">
      <c r="A37" s="19" t="s">
        <v>111</v>
      </c>
      <c r="B37" s="131">
        <v>102930061.49999999</v>
      </c>
      <c r="C37" s="87">
        <v>71043541.40915364</v>
      </c>
      <c r="D37" s="87">
        <v>0</v>
      </c>
      <c r="E37" s="87">
        <v>71043541.40915364</v>
      </c>
      <c r="F37" s="88">
        <v>0.6902117843304082</v>
      </c>
      <c r="G37" s="87">
        <v>71043541.40915364</v>
      </c>
      <c r="H37" s="88">
        <v>0.6902117843304082</v>
      </c>
      <c r="I37" s="87">
        <v>2732443.9003520631</v>
      </c>
      <c r="J37" s="87" t="e">
        <v>#DIV/0!</v>
      </c>
      <c r="K37" s="87">
        <v>0</v>
      </c>
      <c r="M37">
        <v>57</v>
      </c>
      <c r="N37" s="12" t="s">
        <v>110</v>
      </c>
      <c r="O37" s="22">
        <v>0.5</v>
      </c>
      <c r="P37" s="13">
        <v>17</v>
      </c>
      <c r="Q37" s="12">
        <v>35</v>
      </c>
      <c r="R37" s="13">
        <v>104</v>
      </c>
      <c r="S37" s="13">
        <v>52</v>
      </c>
      <c r="T37" s="17">
        <v>36.399999999999991</v>
      </c>
    </row>
    <row r="38" spans="1:20" ht="15.75" x14ac:dyDescent="0.25">
      <c r="A38" s="19" t="s">
        <v>110</v>
      </c>
      <c r="B38" s="131">
        <v>29964084.57</v>
      </c>
      <c r="C38" s="87">
        <v>34108717.03855706</v>
      </c>
      <c r="D38" s="87">
        <v>0</v>
      </c>
      <c r="E38" s="87">
        <v>34108717.03855706</v>
      </c>
      <c r="F38" s="88">
        <v>1.1383200097061086</v>
      </c>
      <c r="G38" s="87">
        <v>34108717.03855706</v>
      </c>
      <c r="H38" s="88">
        <v>1.1383200097061086</v>
      </c>
      <c r="I38" s="87">
        <v>1311873.7322521945</v>
      </c>
      <c r="J38" s="87" t="e">
        <v>#DIV/0!</v>
      </c>
      <c r="K38" s="87">
        <v>511630.75557835586</v>
      </c>
      <c r="M38">
        <v>1</v>
      </c>
      <c r="N38" s="12" t="s">
        <v>81</v>
      </c>
      <c r="O38" s="22">
        <v>0.87903225806451613</v>
      </c>
      <c r="P38" s="13">
        <v>60</v>
      </c>
      <c r="Q38" s="12">
        <v>49</v>
      </c>
      <c r="R38" s="13">
        <v>124</v>
      </c>
      <c r="S38" s="13">
        <v>109</v>
      </c>
      <c r="T38" s="17">
        <v>-3.6000000000000085</v>
      </c>
    </row>
    <row r="39" spans="1:20" ht="16.5" thickBot="1" x14ac:dyDescent="0.3">
      <c r="A39" s="19" t="s">
        <v>81</v>
      </c>
      <c r="B39" s="131">
        <v>32594519.474999998</v>
      </c>
      <c r="C39" s="87">
        <v>24484653.207060494</v>
      </c>
      <c r="D39" s="87">
        <v>0</v>
      </c>
      <c r="E39" s="87">
        <v>24484653.207060494</v>
      </c>
      <c r="F39" s="88">
        <v>0.75118926744234493</v>
      </c>
      <c r="G39" s="87">
        <v>24484653.207060494</v>
      </c>
      <c r="H39" s="88">
        <v>0.75118926744234493</v>
      </c>
      <c r="I39" s="87">
        <v>941717.43104078819</v>
      </c>
      <c r="J39" s="87" t="e">
        <v>#DIV/0!</v>
      </c>
      <c r="K39" s="87">
        <v>0</v>
      </c>
      <c r="N39" s="3" t="s">
        <v>223</v>
      </c>
      <c r="O39" s="23"/>
      <c r="P39" s="14"/>
      <c r="Q39" s="8">
        <v>683</v>
      </c>
      <c r="R39" s="8">
        <v>1927</v>
      </c>
      <c r="S39" s="8">
        <v>1405</v>
      </c>
      <c r="T39" s="8"/>
    </row>
    <row r="40" spans="1:20" ht="16.5" thickBot="1" x14ac:dyDescent="0.3">
      <c r="A40" s="3" t="s">
        <v>223</v>
      </c>
      <c r="B40" s="91">
        <v>441569963.83499998</v>
      </c>
      <c r="C40" s="91">
        <v>336257094.50680667</v>
      </c>
      <c r="D40" s="91">
        <v>0</v>
      </c>
      <c r="E40" s="91">
        <v>336257094.50680667</v>
      </c>
      <c r="F40" s="90">
        <v>0.76150354880671811</v>
      </c>
      <c r="G40" s="89">
        <v>336257094.50680667</v>
      </c>
      <c r="H40" s="90">
        <v>0.76150354880671811</v>
      </c>
      <c r="I40" s="89">
        <v>12932965.173338719</v>
      </c>
      <c r="J40" s="91" t="e">
        <v>#DIV/0!</v>
      </c>
      <c r="K40" s="91"/>
      <c r="N40" s="11" t="s">
        <v>42</v>
      </c>
      <c r="O40" s="24"/>
      <c r="P40" s="6"/>
      <c r="Q40" s="8">
        <v>2057</v>
      </c>
      <c r="R40" s="8">
        <v>5633</v>
      </c>
      <c r="S40" s="8">
        <v>4385</v>
      </c>
      <c r="T40" s="8"/>
    </row>
    <row r="41" spans="1:20" ht="15.75" x14ac:dyDescent="0.25">
      <c r="A41" s="95" t="s">
        <v>42</v>
      </c>
      <c r="B41" s="96">
        <v>1196913633.8701973</v>
      </c>
      <c r="C41" s="96">
        <v>972548334.78169894</v>
      </c>
      <c r="D41" s="96">
        <v>0</v>
      </c>
      <c r="E41" s="96">
        <v>972548334.78169894</v>
      </c>
      <c r="F41" s="97">
        <v>0.81254679306892219</v>
      </c>
      <c r="G41" s="96">
        <v>972548334.78169882</v>
      </c>
      <c r="H41" s="97">
        <v>0.81254679306892208</v>
      </c>
      <c r="I41" s="96">
        <v>37405705.183911495</v>
      </c>
      <c r="J41" s="96" t="e">
        <v>#DIV/0!</v>
      </c>
      <c r="K41" s="96"/>
    </row>
  </sheetData>
  <conditionalFormatting sqref="F2:F9 F11:F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9C35-A792-4A37-9DB9-1487DAD4B0ED}">
  <sheetPr>
    <tabColor rgb="FFFFFF00"/>
  </sheetPr>
  <dimension ref="A1:T44"/>
  <sheetViews>
    <sheetView topLeftCell="H1" workbookViewId="0">
      <selection activeCell="M1" sqref="M1:T40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71093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  <col min="14" max="14" width="34" bestFit="1" customWidth="1"/>
    <col min="16" max="16" width="13.28515625" bestFit="1" customWidth="1"/>
    <col min="17" max="17" width="19.42578125" bestFit="1" customWidth="1"/>
    <col min="20" max="20" width="17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95</v>
      </c>
      <c r="B2" s="86">
        <v>28561320.900000002</v>
      </c>
      <c r="C2" s="87">
        <v>39721295.804930009</v>
      </c>
      <c r="D2" s="87">
        <v>39088385.959280692</v>
      </c>
      <c r="E2" s="87">
        <v>632909.84564931691</v>
      </c>
      <c r="F2" s="88">
        <v>1.3907373522395459</v>
      </c>
      <c r="G2" s="87">
        <v>39721295.804930009</v>
      </c>
      <c r="H2" s="88">
        <v>1.3907373522395459</v>
      </c>
      <c r="I2" s="87">
        <v>1727012.8610839134</v>
      </c>
      <c r="J2" s="87" t="e">
        <v>#DIV/0!</v>
      </c>
      <c r="K2" s="87">
        <v>794425.91609860025</v>
      </c>
      <c r="M2">
        <v>22</v>
      </c>
      <c r="N2" s="12" t="s">
        <v>97</v>
      </c>
      <c r="O2" s="22">
        <v>0.87142857142857144</v>
      </c>
      <c r="P2" s="13">
        <v>33</v>
      </c>
      <c r="Q2" s="12">
        <v>28</v>
      </c>
      <c r="R2" s="13">
        <v>70</v>
      </c>
      <c r="S2" s="13">
        <v>61</v>
      </c>
      <c r="T2" s="17">
        <v>-1.5</v>
      </c>
    </row>
    <row r="3" spans="1:20" ht="15.75" x14ac:dyDescent="0.25">
      <c r="A3" s="19" t="s">
        <v>94</v>
      </c>
      <c r="B3" s="86">
        <v>27414279.900000002</v>
      </c>
      <c r="C3" s="87">
        <v>29249180.313359585</v>
      </c>
      <c r="D3" s="87">
        <v>28088897.73557714</v>
      </c>
      <c r="E3" s="87">
        <v>1160282.5777824447</v>
      </c>
      <c r="F3" s="88">
        <v>1.0669322856574315</v>
      </c>
      <c r="G3" s="87">
        <v>29249180.313359588</v>
      </c>
      <c r="H3" s="88">
        <v>1.0669322856574317</v>
      </c>
      <c r="I3" s="87">
        <v>1271703.4918851994</v>
      </c>
      <c r="J3" s="87" t="e">
        <v>#DIV/0!</v>
      </c>
      <c r="K3" s="87">
        <v>365614.7539169949</v>
      </c>
      <c r="M3">
        <v>49</v>
      </c>
      <c r="N3" s="13" t="s">
        <v>107</v>
      </c>
      <c r="O3" s="22">
        <v>0.45064377682403434</v>
      </c>
      <c r="P3" s="13">
        <v>1</v>
      </c>
      <c r="Q3" s="12">
        <v>104</v>
      </c>
      <c r="R3" s="13">
        <v>233</v>
      </c>
      <c r="S3" s="13">
        <v>105</v>
      </c>
      <c r="T3" s="17">
        <v>93.049999999999983</v>
      </c>
    </row>
    <row r="4" spans="1:20" ht="15.75" x14ac:dyDescent="0.25">
      <c r="A4" s="19" t="s">
        <v>92</v>
      </c>
      <c r="B4" s="86">
        <v>25120197.900000002</v>
      </c>
      <c r="C4" s="87">
        <v>23167100.132401947</v>
      </c>
      <c r="D4" s="87">
        <v>21799243.674501382</v>
      </c>
      <c r="E4" s="87">
        <v>1367856.4579005651</v>
      </c>
      <c r="F4" s="88">
        <v>0.92224990522076833</v>
      </c>
      <c r="G4" s="87">
        <v>23167100.132401947</v>
      </c>
      <c r="H4" s="88">
        <v>0.92224990522076833</v>
      </c>
      <c r="I4" s="87">
        <v>1007265.2231479108</v>
      </c>
      <c r="J4" s="87" t="e">
        <v>#DIV/0!</v>
      </c>
      <c r="K4" s="87">
        <v>0</v>
      </c>
      <c r="M4">
        <v>20</v>
      </c>
      <c r="N4" s="13" t="s">
        <v>95</v>
      </c>
      <c r="O4" s="22">
        <v>0.94222222222222218</v>
      </c>
      <c r="P4" s="13">
        <v>126</v>
      </c>
      <c r="Q4" s="12">
        <v>86</v>
      </c>
      <c r="R4" s="13">
        <v>225</v>
      </c>
      <c r="S4" s="13">
        <v>212</v>
      </c>
      <c r="T4" s="17">
        <v>-20.75</v>
      </c>
    </row>
    <row r="5" spans="1:20" ht="15.75" x14ac:dyDescent="0.25">
      <c r="A5" s="19" t="s">
        <v>90</v>
      </c>
      <c r="B5" s="86">
        <v>25120197.900000002</v>
      </c>
      <c r="C5" s="87">
        <v>31630958.851832926</v>
      </c>
      <c r="D5" s="87">
        <v>30307629.482775476</v>
      </c>
      <c r="E5" s="87">
        <v>1323329.3690574504</v>
      </c>
      <c r="F5" s="88">
        <v>1.2591843017221183</v>
      </c>
      <c r="G5" s="87">
        <v>31630958.851832926</v>
      </c>
      <c r="H5" s="88">
        <v>1.2591843017221183</v>
      </c>
      <c r="I5" s="87">
        <v>1375259.080514475</v>
      </c>
      <c r="J5" s="87" t="e">
        <v>#DIV/0!</v>
      </c>
      <c r="K5" s="87">
        <v>632619.17703665851</v>
      </c>
      <c r="M5">
        <v>15</v>
      </c>
      <c r="N5" s="13" t="s">
        <v>91</v>
      </c>
      <c r="O5" s="22">
        <v>0.83076923076923082</v>
      </c>
      <c r="P5" s="13">
        <v>21</v>
      </c>
      <c r="Q5" s="12">
        <v>33</v>
      </c>
      <c r="R5" s="13">
        <v>65</v>
      </c>
      <c r="S5" s="13">
        <v>54</v>
      </c>
      <c r="T5" s="17">
        <v>1.25</v>
      </c>
    </row>
    <row r="6" spans="1:20" ht="15.75" x14ac:dyDescent="0.25">
      <c r="A6" s="19" t="s">
        <v>89</v>
      </c>
      <c r="B6" s="86">
        <v>20818794.149999999</v>
      </c>
      <c r="C6" s="87">
        <v>15488445.984929243</v>
      </c>
      <c r="D6" s="87">
        <v>15012989.485614467</v>
      </c>
      <c r="E6" s="87">
        <v>475456.49931477569</v>
      </c>
      <c r="F6" s="88">
        <v>0.7439646058909346</v>
      </c>
      <c r="G6" s="87">
        <v>15488445.984929241</v>
      </c>
      <c r="H6" s="88">
        <v>0.74396460589093449</v>
      </c>
      <c r="I6" s="87">
        <v>673410.69499692356</v>
      </c>
      <c r="J6" s="87" t="e">
        <v>#DIV/0!</v>
      </c>
      <c r="K6" s="87">
        <v>0</v>
      </c>
      <c r="M6">
        <v>19</v>
      </c>
      <c r="N6" s="13" t="s">
        <v>94</v>
      </c>
      <c r="O6" s="22">
        <v>0.89756097560975612</v>
      </c>
      <c r="P6" s="13">
        <v>100</v>
      </c>
      <c r="Q6" s="12">
        <v>84</v>
      </c>
      <c r="R6" s="13">
        <v>205</v>
      </c>
      <c r="S6" s="13">
        <v>184</v>
      </c>
      <c r="T6" s="17">
        <v>-9.75</v>
      </c>
    </row>
    <row r="7" spans="1:20" ht="15.75" x14ac:dyDescent="0.25">
      <c r="A7" s="19" t="s">
        <v>86</v>
      </c>
      <c r="B7" s="86">
        <v>24546677.400000002</v>
      </c>
      <c r="C7" s="87">
        <v>18088953.14564018</v>
      </c>
      <c r="D7" s="87">
        <v>17362470.332684334</v>
      </c>
      <c r="E7" s="87">
        <v>726482.81295584515</v>
      </c>
      <c r="F7" s="88">
        <v>0.73692063699179822</v>
      </c>
      <c r="G7" s="87">
        <v>18088953.14564018</v>
      </c>
      <c r="H7" s="88">
        <v>0.73692063699179822</v>
      </c>
      <c r="I7" s="87">
        <v>786476.22372348607</v>
      </c>
      <c r="J7" s="87" t="e">
        <v>#DIV/0!</v>
      </c>
      <c r="K7" s="87">
        <v>0</v>
      </c>
      <c r="M7">
        <v>16</v>
      </c>
      <c r="N7" s="13" t="s">
        <v>92</v>
      </c>
      <c r="O7" s="22">
        <v>0.90355329949238583</v>
      </c>
      <c r="P7" s="13">
        <v>81</v>
      </c>
      <c r="Q7" s="12">
        <v>97</v>
      </c>
      <c r="R7" s="13">
        <v>197</v>
      </c>
      <c r="S7" s="13">
        <v>178</v>
      </c>
      <c r="T7" s="17">
        <v>-10.550000000000011</v>
      </c>
    </row>
    <row r="8" spans="1:20" ht="15.75" x14ac:dyDescent="0.25">
      <c r="A8" s="19" t="s">
        <v>85</v>
      </c>
      <c r="B8" s="86">
        <v>31704213.240000002</v>
      </c>
      <c r="C8" s="87">
        <v>25692634.698936395</v>
      </c>
      <c r="D8" s="87">
        <v>25203128.493070193</v>
      </c>
      <c r="E8" s="87">
        <v>489506.20586620271</v>
      </c>
      <c r="F8" s="88">
        <v>0.81038550001048359</v>
      </c>
      <c r="G8" s="87">
        <v>25692634.698936392</v>
      </c>
      <c r="H8" s="88">
        <v>0.81038550001048348</v>
      </c>
      <c r="I8" s="87">
        <v>1117071.0738667997</v>
      </c>
      <c r="J8" s="87" t="e">
        <v>#DIV/0!</v>
      </c>
      <c r="K8" s="87">
        <v>0</v>
      </c>
      <c r="M8">
        <v>12</v>
      </c>
      <c r="N8" s="13" t="s">
        <v>90</v>
      </c>
      <c r="O8" s="22">
        <v>0.9</v>
      </c>
      <c r="P8" s="13">
        <v>89</v>
      </c>
      <c r="Q8" s="12">
        <v>100</v>
      </c>
      <c r="R8" s="13">
        <v>210</v>
      </c>
      <c r="S8" s="13">
        <v>189</v>
      </c>
      <c r="T8" s="17">
        <v>-10.5</v>
      </c>
    </row>
    <row r="9" spans="1:20" ht="15.75" x14ac:dyDescent="0.25">
      <c r="A9" s="19" t="s">
        <v>84</v>
      </c>
      <c r="B9" s="86">
        <v>31704213.240000002</v>
      </c>
      <c r="C9" s="87">
        <v>32620850.48761525</v>
      </c>
      <c r="D9" s="87">
        <v>30865958.704523828</v>
      </c>
      <c r="E9" s="87">
        <v>1754891.7830914222</v>
      </c>
      <c r="F9" s="88">
        <v>1.0289121587934174</v>
      </c>
      <c r="G9" s="87">
        <v>32620850.48761525</v>
      </c>
      <c r="H9" s="88">
        <v>1.0289121587934174</v>
      </c>
      <c r="I9" s="87">
        <v>1418297.8472876195</v>
      </c>
      <c r="J9" s="87" t="e">
        <v>#DIV/0!</v>
      </c>
      <c r="K9" s="87">
        <v>326208.5048761525</v>
      </c>
      <c r="M9">
        <v>11</v>
      </c>
      <c r="N9" s="30" t="s">
        <v>89</v>
      </c>
      <c r="O9" s="22">
        <v>0.84146341463414631</v>
      </c>
      <c r="P9" s="13">
        <v>92</v>
      </c>
      <c r="Q9" s="12">
        <v>46</v>
      </c>
      <c r="R9" s="13">
        <v>164</v>
      </c>
      <c r="S9" s="13">
        <v>138</v>
      </c>
      <c r="T9" s="17">
        <v>1.4000000000000057</v>
      </c>
    </row>
    <row r="10" spans="1:20" ht="15.75" x14ac:dyDescent="0.25">
      <c r="A10" s="18" t="s">
        <v>51</v>
      </c>
      <c r="B10" s="89">
        <v>214989894.63</v>
      </c>
      <c r="C10" s="89">
        <v>215659419.41964552</v>
      </c>
      <c r="D10" s="87">
        <v>207728703.86802754</v>
      </c>
      <c r="E10" s="89">
        <v>7930715.5516180228</v>
      </c>
      <c r="F10" s="90">
        <v>1.003114215162521</v>
      </c>
      <c r="G10" s="89">
        <v>215659419.41964555</v>
      </c>
      <c r="H10" s="90">
        <v>1.003114215162521</v>
      </c>
      <c r="I10" s="89">
        <v>9376496.4965063278</v>
      </c>
      <c r="J10" s="91" t="e">
        <v>#DIV/0!</v>
      </c>
      <c r="K10" s="91"/>
      <c r="M10">
        <v>8</v>
      </c>
      <c r="N10" s="13" t="s">
        <v>86</v>
      </c>
      <c r="O10" s="22">
        <v>0.86559139784946237</v>
      </c>
      <c r="P10" s="13">
        <v>64</v>
      </c>
      <c r="Q10" s="12">
        <v>97</v>
      </c>
      <c r="R10" s="13">
        <v>186</v>
      </c>
      <c r="S10" s="13">
        <v>161</v>
      </c>
      <c r="T10" s="17">
        <v>-2.9000000000000057</v>
      </c>
    </row>
    <row r="11" spans="1:20" ht="15.75" x14ac:dyDescent="0.25">
      <c r="A11" s="19" t="s">
        <v>97</v>
      </c>
      <c r="B11" s="86">
        <v>85803165</v>
      </c>
      <c r="C11" s="87">
        <v>74801914.352921605</v>
      </c>
      <c r="D11" s="87">
        <v>72706629.068820506</v>
      </c>
      <c r="E11" s="87">
        <v>2095285.2841010988</v>
      </c>
      <c r="F11" s="88">
        <v>0.87178502509693678</v>
      </c>
      <c r="G11" s="87">
        <v>74801914.352921605</v>
      </c>
      <c r="H11" s="88">
        <v>0.87178502509693678</v>
      </c>
      <c r="I11" s="87">
        <v>3252257.1457792004</v>
      </c>
      <c r="J11" s="87" t="e">
        <v>#DIV/0!</v>
      </c>
      <c r="K11" s="87">
        <v>0</v>
      </c>
      <c r="M11">
        <v>52</v>
      </c>
      <c r="N11" s="31" t="s">
        <v>112</v>
      </c>
      <c r="O11" s="32">
        <v>0.60576923076923073</v>
      </c>
      <c r="P11" s="31">
        <v>19</v>
      </c>
      <c r="Q11" s="33">
        <v>44</v>
      </c>
      <c r="R11" s="13">
        <v>104</v>
      </c>
      <c r="S11" s="13">
        <v>63</v>
      </c>
      <c r="T11" s="34">
        <v>25.399999999999991</v>
      </c>
    </row>
    <row r="12" spans="1:20" ht="15.75" x14ac:dyDescent="0.25">
      <c r="A12" s="19" t="s">
        <v>107</v>
      </c>
      <c r="B12" s="86">
        <v>27987800.400000002</v>
      </c>
      <c r="C12" s="87">
        <v>21624275.946476139</v>
      </c>
      <c r="D12" s="87">
        <v>21624275.946476139</v>
      </c>
      <c r="E12" s="87">
        <v>0</v>
      </c>
      <c r="F12" s="88">
        <v>0.77263220536888411</v>
      </c>
      <c r="G12" s="87">
        <v>21624275.946476139</v>
      </c>
      <c r="H12" s="88">
        <v>0.77263220536888411</v>
      </c>
      <c r="I12" s="87">
        <v>940185.91071635392</v>
      </c>
      <c r="J12" s="87" t="e">
        <v>#DIV/0!</v>
      </c>
      <c r="K12" s="87">
        <v>0</v>
      </c>
      <c r="M12">
        <v>53</v>
      </c>
      <c r="N12" s="31" t="s">
        <v>108</v>
      </c>
      <c r="O12" s="32">
        <v>0.54867256637168138</v>
      </c>
      <c r="P12" s="31">
        <v>24</v>
      </c>
      <c r="Q12" s="33">
        <v>38</v>
      </c>
      <c r="R12" s="13">
        <v>113</v>
      </c>
      <c r="S12" s="13">
        <v>62</v>
      </c>
      <c r="T12" s="34">
        <v>34.049999999999997</v>
      </c>
    </row>
    <row r="13" spans="1:20" ht="15.75" x14ac:dyDescent="0.25">
      <c r="A13" s="19" t="s">
        <v>91</v>
      </c>
      <c r="B13" s="86">
        <v>113579550</v>
      </c>
      <c r="C13" s="87">
        <v>110562899.82800557</v>
      </c>
      <c r="D13" s="87">
        <v>101026142.33835626</v>
      </c>
      <c r="E13" s="87">
        <v>9536757.4896493107</v>
      </c>
      <c r="F13" s="88">
        <v>0.97344019964866535</v>
      </c>
      <c r="G13" s="87">
        <v>110562899.82800557</v>
      </c>
      <c r="H13" s="88">
        <v>0.97344019964866535</v>
      </c>
      <c r="I13" s="87">
        <v>4807082.6012176331</v>
      </c>
      <c r="J13" s="87" t="e">
        <v>#DIV/0!</v>
      </c>
      <c r="K13" s="87">
        <v>0</v>
      </c>
      <c r="M13">
        <v>5</v>
      </c>
      <c r="N13" s="13" t="s">
        <v>85</v>
      </c>
      <c r="O13" s="22">
        <v>0.875</v>
      </c>
      <c r="P13" s="13">
        <v>144</v>
      </c>
      <c r="Q13" s="12">
        <v>80</v>
      </c>
      <c r="R13" s="13">
        <v>256</v>
      </c>
      <c r="S13" s="13">
        <v>224</v>
      </c>
      <c r="T13" s="17">
        <v>-6.4000000000000057</v>
      </c>
    </row>
    <row r="14" spans="1:20" ht="16.5" thickBot="1" x14ac:dyDescent="0.3">
      <c r="A14" s="19" t="s">
        <v>112</v>
      </c>
      <c r="B14" s="86">
        <v>37559970</v>
      </c>
      <c r="C14" s="87">
        <v>25974209.55841786</v>
      </c>
      <c r="D14" s="87">
        <v>25893547.49941786</v>
      </c>
      <c r="E14" s="87">
        <v>80662.059000000358</v>
      </c>
      <c r="F14" s="88">
        <v>0.69153967797146432</v>
      </c>
      <c r="G14" s="87">
        <v>25974209.55841786</v>
      </c>
      <c r="H14" s="88">
        <v>0.69153967797146432</v>
      </c>
      <c r="I14" s="87">
        <v>1129313.4590616461</v>
      </c>
      <c r="J14" s="87" t="e">
        <v>#DIV/0!</v>
      </c>
      <c r="K14" s="87">
        <v>0</v>
      </c>
      <c r="M14">
        <v>4</v>
      </c>
      <c r="N14" s="10" t="s">
        <v>84</v>
      </c>
      <c r="O14" s="22">
        <v>0.903954802259887</v>
      </c>
      <c r="P14" s="13">
        <v>85</v>
      </c>
      <c r="Q14" s="12">
        <v>75</v>
      </c>
      <c r="R14" s="13">
        <v>177</v>
      </c>
      <c r="S14" s="13">
        <v>160</v>
      </c>
      <c r="T14" s="17">
        <v>-9.5500000000000114</v>
      </c>
    </row>
    <row r="15" spans="1:20" ht="16.5" thickBot="1" x14ac:dyDescent="0.3">
      <c r="A15" s="19" t="s">
        <v>108</v>
      </c>
      <c r="B15" s="86">
        <v>37559970</v>
      </c>
      <c r="C15" s="87">
        <v>32322953.369331002</v>
      </c>
      <c r="D15" s="87">
        <v>32261497.488231003</v>
      </c>
      <c r="E15" s="87">
        <v>61455.881099998951</v>
      </c>
      <c r="F15" s="88">
        <v>0.86056920091605515</v>
      </c>
      <c r="G15" s="87">
        <v>32322953.369330999</v>
      </c>
      <c r="H15" s="88">
        <v>0.86056920091605504</v>
      </c>
      <c r="I15" s="87">
        <v>1405345.7986665652</v>
      </c>
      <c r="J15" s="87" t="e">
        <v>#DIV/0!</v>
      </c>
      <c r="K15" s="87">
        <v>0</v>
      </c>
      <c r="N15" s="9" t="s">
        <v>37</v>
      </c>
      <c r="O15" s="23"/>
      <c r="P15" s="14"/>
      <c r="Q15" s="16">
        <v>912</v>
      </c>
      <c r="R15" s="8">
        <v>2205</v>
      </c>
      <c r="S15" s="8">
        <v>1791</v>
      </c>
      <c r="T15" s="8"/>
    </row>
    <row r="16" spans="1:20" ht="15.75" x14ac:dyDescent="0.25">
      <c r="A16" s="18" t="s">
        <v>52</v>
      </c>
      <c r="B16" s="89">
        <v>302490455.39999998</v>
      </c>
      <c r="C16" s="89">
        <v>265286253.05515218</v>
      </c>
      <c r="D16" s="87">
        <v>253512092.34130177</v>
      </c>
      <c r="E16" s="89">
        <v>11774160.713850409</v>
      </c>
      <c r="F16" s="90">
        <v>0.87700702061606994</v>
      </c>
      <c r="G16" s="89">
        <v>265286253.05515218</v>
      </c>
      <c r="H16" s="90">
        <v>0.87700702061606994</v>
      </c>
      <c r="I16" s="89">
        <v>11534184.915441399</v>
      </c>
      <c r="J16" s="91" t="e">
        <v>#DIV/0!</v>
      </c>
      <c r="K16" s="91"/>
      <c r="M16">
        <v>31</v>
      </c>
      <c r="N16" s="12" t="s">
        <v>101</v>
      </c>
      <c r="O16" s="22">
        <v>0.85806451612903223</v>
      </c>
      <c r="P16" s="13">
        <v>90</v>
      </c>
      <c r="Q16" s="12">
        <v>43</v>
      </c>
      <c r="R16" s="13">
        <v>155</v>
      </c>
      <c r="S16" s="13">
        <v>133</v>
      </c>
      <c r="T16" s="17">
        <v>-1.25</v>
      </c>
    </row>
    <row r="17" spans="1:20" ht="15.75" x14ac:dyDescent="0.25">
      <c r="A17" s="19" t="s">
        <v>82</v>
      </c>
      <c r="B17" s="71">
        <v>25959000</v>
      </c>
      <c r="C17" s="87">
        <v>15605041.260327421</v>
      </c>
      <c r="D17" s="87">
        <v>15500623.615824336</v>
      </c>
      <c r="E17" s="87">
        <v>104417.64450308494</v>
      </c>
      <c r="F17" s="88">
        <v>0.60114184908229984</v>
      </c>
      <c r="G17" s="87">
        <v>15605041.260327421</v>
      </c>
      <c r="H17" s="88">
        <v>0.60114184908229984</v>
      </c>
      <c r="I17" s="87">
        <v>678480.05479684437</v>
      </c>
      <c r="J17" s="87" t="e">
        <v>#DIV/0!</v>
      </c>
      <c r="K17" s="87">
        <v>0</v>
      </c>
      <c r="M17">
        <v>54</v>
      </c>
      <c r="N17" s="13" t="s">
        <v>109</v>
      </c>
      <c r="O17" s="22">
        <v>0.82439024390243898</v>
      </c>
      <c r="P17" s="13">
        <v>92</v>
      </c>
      <c r="Q17" s="12">
        <v>77</v>
      </c>
      <c r="R17" s="13">
        <v>205</v>
      </c>
      <c r="S17" s="13">
        <v>169</v>
      </c>
      <c r="T17" s="17">
        <v>5.25</v>
      </c>
    </row>
    <row r="18" spans="1:20" ht="15.75" x14ac:dyDescent="0.25">
      <c r="A18" s="19" t="s">
        <v>83</v>
      </c>
      <c r="B18" s="71">
        <v>22878600</v>
      </c>
      <c r="C18" s="87">
        <v>17851342.96152376</v>
      </c>
      <c r="D18" s="87">
        <v>17014009.254922275</v>
      </c>
      <c r="E18" s="87">
        <v>837333.70660148561</v>
      </c>
      <c r="F18" s="88">
        <v>0.78026378194136703</v>
      </c>
      <c r="G18" s="87">
        <v>17851342.96152376</v>
      </c>
      <c r="H18" s="88">
        <v>0.78026378194136703</v>
      </c>
      <c r="I18" s="87">
        <v>776145.34615320701</v>
      </c>
      <c r="J18" s="87" t="e">
        <v>#DIV/0!</v>
      </c>
      <c r="K18" s="87">
        <v>0</v>
      </c>
      <c r="M18">
        <v>21</v>
      </c>
      <c r="N18" s="13" t="s">
        <v>96</v>
      </c>
      <c r="O18" s="22">
        <v>0.86419753086419748</v>
      </c>
      <c r="P18" s="13">
        <v>88</v>
      </c>
      <c r="Q18" s="12">
        <v>52</v>
      </c>
      <c r="R18" s="13">
        <v>162</v>
      </c>
      <c r="S18" s="13">
        <v>140</v>
      </c>
      <c r="T18" s="17">
        <v>-2.3000000000000114</v>
      </c>
    </row>
    <row r="19" spans="1:20" ht="15.75" x14ac:dyDescent="0.25">
      <c r="A19" s="19" t="s">
        <v>93</v>
      </c>
      <c r="B19" s="71">
        <v>22878600</v>
      </c>
      <c r="C19" s="87">
        <v>10599982.803041937</v>
      </c>
      <c r="D19" s="87">
        <v>10521737.597443596</v>
      </c>
      <c r="E19" s="87">
        <v>78245.205598341301</v>
      </c>
      <c r="F19" s="88">
        <v>0.46331431132332995</v>
      </c>
      <c r="G19" s="87">
        <v>10599982.803041937</v>
      </c>
      <c r="H19" s="88">
        <v>0.46331431132332995</v>
      </c>
      <c r="I19" s="87">
        <v>460868.81752356247</v>
      </c>
      <c r="J19" s="87" t="e">
        <v>#DIV/0!</v>
      </c>
      <c r="K19" s="87">
        <v>0</v>
      </c>
      <c r="M19">
        <v>23</v>
      </c>
      <c r="N19" s="13" t="s">
        <v>98</v>
      </c>
      <c r="O19" s="22">
        <v>0.84210526315789469</v>
      </c>
      <c r="P19" s="13">
        <v>95</v>
      </c>
      <c r="Q19" s="12">
        <v>33</v>
      </c>
      <c r="R19" s="13">
        <v>152</v>
      </c>
      <c r="S19" s="13">
        <v>128</v>
      </c>
      <c r="T19" s="17">
        <v>1.1999999999999886</v>
      </c>
    </row>
    <row r="20" spans="1:20" ht="15.75" x14ac:dyDescent="0.25">
      <c r="A20" s="19" t="s">
        <v>96</v>
      </c>
      <c r="B20" s="71">
        <v>29580000</v>
      </c>
      <c r="C20" s="87">
        <v>34177594.392626554</v>
      </c>
      <c r="D20" s="87">
        <v>33008585.287439648</v>
      </c>
      <c r="E20" s="87">
        <v>1169009.1051869057</v>
      </c>
      <c r="F20" s="88">
        <v>1.1554291545850761</v>
      </c>
      <c r="G20" s="87">
        <v>34177594.392626554</v>
      </c>
      <c r="H20" s="88">
        <v>1.1554291545850761</v>
      </c>
      <c r="I20" s="87">
        <v>1485982.3648968067</v>
      </c>
      <c r="J20" s="87" t="e">
        <v>#DIV/0!</v>
      </c>
      <c r="K20" s="87">
        <v>683551.88785253104</v>
      </c>
      <c r="M20">
        <v>18</v>
      </c>
      <c r="N20" s="13" t="s">
        <v>93</v>
      </c>
      <c r="O20" s="22">
        <v>0.73563218390804597</v>
      </c>
      <c r="P20" s="13">
        <v>83</v>
      </c>
      <c r="Q20" s="12">
        <v>45</v>
      </c>
      <c r="R20" s="13">
        <v>174</v>
      </c>
      <c r="S20" s="13">
        <v>128</v>
      </c>
      <c r="T20" s="17">
        <v>19.900000000000006</v>
      </c>
    </row>
    <row r="21" spans="1:20" ht="15.75" x14ac:dyDescent="0.25">
      <c r="A21" s="19" t="s">
        <v>98</v>
      </c>
      <c r="B21" s="71">
        <v>22440000</v>
      </c>
      <c r="C21" s="87">
        <v>12127167.111694176</v>
      </c>
      <c r="D21" s="87">
        <v>11481793.993264897</v>
      </c>
      <c r="E21" s="87">
        <v>645373.11842927895</v>
      </c>
      <c r="F21" s="88">
        <v>0.54042634187585459</v>
      </c>
      <c r="G21" s="87">
        <v>12127167.111694176</v>
      </c>
      <c r="H21" s="88">
        <v>0.54042634187585459</v>
      </c>
      <c r="I21" s="87">
        <v>527268.13529105112</v>
      </c>
      <c r="J21" s="87" t="e">
        <v>#DIV/0!</v>
      </c>
      <c r="K21" s="87">
        <v>0</v>
      </c>
      <c r="M21">
        <v>44</v>
      </c>
      <c r="N21" s="13" t="s">
        <v>161</v>
      </c>
      <c r="O21" s="22">
        <v>0.73837209302325579</v>
      </c>
      <c r="P21" s="13">
        <v>64</v>
      </c>
      <c r="Q21" s="12">
        <v>63</v>
      </c>
      <c r="R21" s="13">
        <v>172</v>
      </c>
      <c r="S21" s="13">
        <v>127</v>
      </c>
      <c r="T21" s="17">
        <v>19.199999999999989</v>
      </c>
    </row>
    <row r="22" spans="1:20" ht="15.75" x14ac:dyDescent="0.25">
      <c r="A22" s="19" t="s">
        <v>101</v>
      </c>
      <c r="B22" s="71">
        <v>28050000</v>
      </c>
      <c r="C22" s="87">
        <v>33728904.59836892</v>
      </c>
      <c r="D22" s="87">
        <v>33154329.616430718</v>
      </c>
      <c r="E22" s="87">
        <v>574574.98193820193</v>
      </c>
      <c r="F22" s="88">
        <v>1.2024564919204606</v>
      </c>
      <c r="G22" s="87">
        <v>33728904.59836892</v>
      </c>
      <c r="H22" s="88">
        <v>1.2024564919204606</v>
      </c>
      <c r="I22" s="87">
        <v>1466474.1129725617</v>
      </c>
      <c r="J22" s="87" t="e">
        <v>#DIV/0!</v>
      </c>
      <c r="K22" s="87">
        <v>674578.09196737839</v>
      </c>
      <c r="M22">
        <v>56</v>
      </c>
      <c r="N22" s="13" t="s">
        <v>140</v>
      </c>
      <c r="O22" s="22">
        <v>0.489247311827957</v>
      </c>
      <c r="P22" s="13">
        <v>66</v>
      </c>
      <c r="Q22" s="12">
        <v>25</v>
      </c>
      <c r="R22" s="13">
        <v>186</v>
      </c>
      <c r="S22" s="13">
        <v>91</v>
      </c>
      <c r="T22" s="17">
        <v>67.099999999999994</v>
      </c>
    </row>
    <row r="23" spans="1:20" ht="15.75" x14ac:dyDescent="0.25">
      <c r="A23" s="19" t="s">
        <v>161</v>
      </c>
      <c r="B23" s="71">
        <v>24276000</v>
      </c>
      <c r="C23" s="87">
        <v>12651685.240351029</v>
      </c>
      <c r="D23" s="87">
        <v>12317875.193543613</v>
      </c>
      <c r="E23" s="87">
        <v>333810.04680741578</v>
      </c>
      <c r="F23" s="88">
        <v>0.52116020927463458</v>
      </c>
      <c r="G23" s="87">
        <v>12651685.240351029</v>
      </c>
      <c r="H23" s="88">
        <v>0.52116020927463458</v>
      </c>
      <c r="I23" s="87">
        <v>550073.27131960995</v>
      </c>
      <c r="J23" s="87" t="e">
        <v>#DIV/0!</v>
      </c>
      <c r="K23" s="87">
        <v>0</v>
      </c>
      <c r="M23">
        <v>2</v>
      </c>
      <c r="N23" s="13" t="s">
        <v>82</v>
      </c>
      <c r="O23" s="22">
        <v>0.72340425531914898</v>
      </c>
      <c r="P23" s="13">
        <v>70</v>
      </c>
      <c r="Q23" s="12">
        <v>32</v>
      </c>
      <c r="R23" s="13">
        <v>141</v>
      </c>
      <c r="S23" s="13">
        <v>102</v>
      </c>
      <c r="T23" s="17">
        <v>17.849999999999994</v>
      </c>
    </row>
    <row r="24" spans="1:20" ht="16.5" thickBot="1" x14ac:dyDescent="0.3">
      <c r="A24" s="19" t="s">
        <v>109</v>
      </c>
      <c r="B24" s="71">
        <v>29070000</v>
      </c>
      <c r="C24" s="87">
        <v>38353470.654762641</v>
      </c>
      <c r="D24" s="87">
        <v>37139380.786093235</v>
      </c>
      <c r="E24" s="87">
        <v>1214089.8686694056</v>
      </c>
      <c r="F24" s="88">
        <v>1.3193488357331489</v>
      </c>
      <c r="G24" s="87">
        <v>38353470.654762641</v>
      </c>
      <c r="H24" s="88">
        <v>1.3193488357331489</v>
      </c>
      <c r="I24" s="87">
        <v>1667542.2023809843</v>
      </c>
      <c r="J24" s="87" t="e">
        <v>#DIV/0!</v>
      </c>
      <c r="K24" s="87">
        <v>767069.41309525282</v>
      </c>
      <c r="M24">
        <v>3</v>
      </c>
      <c r="N24" s="10" t="s">
        <v>83</v>
      </c>
      <c r="O24" s="22">
        <v>0.91095890410958902</v>
      </c>
      <c r="P24" s="13">
        <v>79</v>
      </c>
      <c r="Q24" s="12">
        <v>54</v>
      </c>
      <c r="R24" s="13">
        <v>146</v>
      </c>
      <c r="S24" s="13">
        <v>133</v>
      </c>
      <c r="T24" s="17">
        <v>-8.9000000000000057</v>
      </c>
    </row>
    <row r="25" spans="1:20" ht="16.5" thickBot="1" x14ac:dyDescent="0.3">
      <c r="A25" s="19" t="s">
        <v>140</v>
      </c>
      <c r="B25" s="71">
        <v>47838000</v>
      </c>
      <c r="C25" s="87">
        <v>31318621.314489596</v>
      </c>
      <c r="D25" s="87">
        <v>31103523.355648097</v>
      </c>
      <c r="E25" s="87">
        <v>215097.95884149894</v>
      </c>
      <c r="F25" s="88">
        <v>0.65468082517014914</v>
      </c>
      <c r="G25" s="87">
        <v>31318621.314489599</v>
      </c>
      <c r="H25" s="88">
        <v>0.65468082517014925</v>
      </c>
      <c r="I25" s="87">
        <v>1361679.1875865043</v>
      </c>
      <c r="J25" s="87" t="e">
        <v>#DIV/0!</v>
      </c>
      <c r="K25" s="87">
        <v>0</v>
      </c>
      <c r="N25" s="9" t="s">
        <v>38</v>
      </c>
      <c r="O25" s="23"/>
      <c r="P25" s="14"/>
      <c r="Q25" s="16">
        <v>424</v>
      </c>
      <c r="R25" s="8">
        <v>1493</v>
      </c>
      <c r="S25" s="8">
        <v>1151</v>
      </c>
      <c r="T25" s="8"/>
    </row>
    <row r="26" spans="1:20" ht="15.75" x14ac:dyDescent="0.25">
      <c r="A26" s="20" t="s">
        <v>38</v>
      </c>
      <c r="B26" s="91">
        <v>252970200</v>
      </c>
      <c r="C26" s="91">
        <v>206413810.33718604</v>
      </c>
      <c r="D26" s="87">
        <v>201241858.7006104</v>
      </c>
      <c r="E26" s="91">
        <v>5171951.6365756392</v>
      </c>
      <c r="F26" s="90">
        <v>0.8159609722298754</v>
      </c>
      <c r="G26" s="89">
        <v>206413810.33718604</v>
      </c>
      <c r="H26" s="90">
        <v>0.8159609722298754</v>
      </c>
      <c r="I26" s="89">
        <v>8974513.4929211326</v>
      </c>
      <c r="J26" s="91" t="e">
        <v>#DIV/0!</v>
      </c>
      <c r="K26" s="91"/>
      <c r="M26">
        <v>32</v>
      </c>
      <c r="N26" s="12" t="s">
        <v>102</v>
      </c>
      <c r="O26" s="22">
        <v>0.94230769230769229</v>
      </c>
      <c r="P26" s="13">
        <v>20</v>
      </c>
      <c r="Q26" s="12">
        <v>29</v>
      </c>
      <c r="R26" s="13">
        <v>52</v>
      </c>
      <c r="S26" s="13">
        <v>49</v>
      </c>
      <c r="T26" s="17">
        <v>-4.8000000000000043</v>
      </c>
    </row>
    <row r="27" spans="1:20" ht="15.75" x14ac:dyDescent="0.25">
      <c r="A27" s="92" t="s">
        <v>102</v>
      </c>
      <c r="B27" s="93">
        <v>74366969.433750004</v>
      </c>
      <c r="C27" s="87">
        <v>43313537.14189031</v>
      </c>
      <c r="D27" s="87">
        <v>41559348.464299306</v>
      </c>
      <c r="E27" s="87">
        <v>1754188.6775910035</v>
      </c>
      <c r="F27" s="88">
        <v>0.58242977321371525</v>
      </c>
      <c r="G27" s="87">
        <v>43313537.14189031</v>
      </c>
      <c r="H27" s="88">
        <v>0.58242977321371525</v>
      </c>
      <c r="I27" s="87">
        <v>1883197.267038709</v>
      </c>
      <c r="J27" s="87" t="e">
        <v>#DIV/0!</v>
      </c>
      <c r="K27" s="87">
        <v>0</v>
      </c>
      <c r="M27">
        <v>36</v>
      </c>
      <c r="N27" s="12" t="s">
        <v>222</v>
      </c>
      <c r="O27" s="22">
        <v>0.59872611464968151</v>
      </c>
      <c r="P27" s="13">
        <v>68</v>
      </c>
      <c r="Q27" s="12">
        <v>26</v>
      </c>
      <c r="R27" s="13">
        <v>157</v>
      </c>
      <c r="S27" s="13">
        <v>94</v>
      </c>
      <c r="T27" s="17">
        <v>39.449999999999989</v>
      </c>
    </row>
    <row r="28" spans="1:20" ht="15.75" x14ac:dyDescent="0.25">
      <c r="A28" s="19" t="s">
        <v>222</v>
      </c>
      <c r="B28" s="93">
        <v>20706097.371750001</v>
      </c>
      <c r="C28" s="87">
        <v>6453883.7615043065</v>
      </c>
      <c r="D28" s="87">
        <v>6050926.821155739</v>
      </c>
      <c r="E28" s="87">
        <v>402956.94034856744</v>
      </c>
      <c r="F28" s="88">
        <v>0.31169001312191014</v>
      </c>
      <c r="G28" s="87">
        <v>6453883.7615043065</v>
      </c>
      <c r="H28" s="88">
        <v>0.31169001312191014</v>
      </c>
      <c r="I28" s="87">
        <v>280603.64180453506</v>
      </c>
      <c r="J28" s="87" t="e">
        <v>#DIV/0!</v>
      </c>
      <c r="K28" s="87">
        <v>0</v>
      </c>
      <c r="M28">
        <v>9</v>
      </c>
      <c r="N28" s="12" t="s">
        <v>87</v>
      </c>
      <c r="O28" s="22">
        <v>0.88513513513513509</v>
      </c>
      <c r="P28" s="13">
        <v>80</v>
      </c>
      <c r="Q28" s="12">
        <v>51</v>
      </c>
      <c r="R28" s="13">
        <v>148</v>
      </c>
      <c r="S28" s="13">
        <v>131</v>
      </c>
      <c r="T28" s="17">
        <v>-5.2000000000000028</v>
      </c>
    </row>
    <row r="29" spans="1:20" ht="15.75" x14ac:dyDescent="0.25">
      <c r="A29" s="19" t="s">
        <v>87</v>
      </c>
      <c r="B29" s="93">
        <v>22135109.725575</v>
      </c>
      <c r="C29" s="87">
        <v>19608593.591750432</v>
      </c>
      <c r="D29" s="87">
        <v>19175936.90643641</v>
      </c>
      <c r="E29" s="87">
        <v>432656.685314022</v>
      </c>
      <c r="F29" s="88">
        <v>0.88585933545631257</v>
      </c>
      <c r="G29" s="87">
        <v>19608593.591750432</v>
      </c>
      <c r="H29" s="88">
        <v>0.88585933545631257</v>
      </c>
      <c r="I29" s="87">
        <v>852547.5474674101</v>
      </c>
      <c r="J29" s="87" t="e">
        <v>#DIV/0!</v>
      </c>
      <c r="K29" s="87">
        <v>0</v>
      </c>
      <c r="M29">
        <v>40</v>
      </c>
      <c r="N29" s="12" t="s">
        <v>105</v>
      </c>
      <c r="O29" s="22">
        <v>0.89387755102040811</v>
      </c>
      <c r="P29" s="13">
        <v>68</v>
      </c>
      <c r="Q29" s="12">
        <v>151</v>
      </c>
      <c r="R29" s="13">
        <v>245</v>
      </c>
      <c r="S29" s="13">
        <v>219</v>
      </c>
      <c r="T29" s="17">
        <v>-10.75</v>
      </c>
    </row>
    <row r="30" spans="1:20" ht="15.75" x14ac:dyDescent="0.25">
      <c r="A30" s="19" t="s">
        <v>105</v>
      </c>
      <c r="B30" s="93">
        <v>33829680.213</v>
      </c>
      <c r="C30" s="87">
        <v>33118968.899577077</v>
      </c>
      <c r="D30" s="87">
        <v>32872546.812199574</v>
      </c>
      <c r="E30" s="87">
        <v>246422.08737750351</v>
      </c>
      <c r="F30" s="88">
        <v>0.97899148590976592</v>
      </c>
      <c r="G30" s="87">
        <v>33118968.899577081</v>
      </c>
      <c r="H30" s="88">
        <v>0.97899148590976603</v>
      </c>
      <c r="I30" s="87">
        <v>1439955.1695468295</v>
      </c>
      <c r="J30" s="87" t="e">
        <v>#DIV/0!</v>
      </c>
      <c r="K30" s="87">
        <v>0</v>
      </c>
      <c r="M30">
        <v>27</v>
      </c>
      <c r="N30" s="12" t="s">
        <v>99</v>
      </c>
      <c r="O30" s="22">
        <v>0.92413793103448272</v>
      </c>
      <c r="P30" s="13">
        <v>73</v>
      </c>
      <c r="Q30" s="12">
        <v>61</v>
      </c>
      <c r="R30" s="13">
        <v>145</v>
      </c>
      <c r="S30" s="13">
        <v>134</v>
      </c>
      <c r="T30" s="17">
        <v>-10.75</v>
      </c>
    </row>
    <row r="31" spans="1:20" ht="15.75" x14ac:dyDescent="0.25">
      <c r="A31" s="19" t="s">
        <v>99</v>
      </c>
      <c r="B31" s="93">
        <v>22135109.725575</v>
      </c>
      <c r="C31" s="87">
        <v>19202946.352352865</v>
      </c>
      <c r="D31" s="87">
        <v>18440800.189399764</v>
      </c>
      <c r="E31" s="87">
        <v>762146.1629531011</v>
      </c>
      <c r="F31" s="88">
        <v>0.86753337075920156</v>
      </c>
      <c r="G31" s="87">
        <v>19202946.352352865</v>
      </c>
      <c r="H31" s="88">
        <v>0.86753337075920156</v>
      </c>
      <c r="I31" s="87">
        <v>834910.71097186371</v>
      </c>
      <c r="J31" s="87" t="e">
        <v>#DIV/0!</v>
      </c>
      <c r="K31" s="87">
        <v>0</v>
      </c>
      <c r="M31">
        <v>10</v>
      </c>
      <c r="N31" s="12" t="s">
        <v>88</v>
      </c>
      <c r="O31" s="22">
        <v>0.85227272727272729</v>
      </c>
      <c r="P31" s="13">
        <v>40</v>
      </c>
      <c r="Q31" s="12">
        <v>110</v>
      </c>
      <c r="R31" s="13">
        <v>176</v>
      </c>
      <c r="S31" s="13">
        <v>150</v>
      </c>
      <c r="T31" s="17">
        <v>-0.40000000000000568</v>
      </c>
    </row>
    <row r="32" spans="1:20" ht="15.75" x14ac:dyDescent="0.25">
      <c r="A32" s="19" t="s">
        <v>88</v>
      </c>
      <c r="B32" s="93">
        <v>22135109.725575</v>
      </c>
      <c r="C32" s="87">
        <v>20751171.897853132</v>
      </c>
      <c r="D32" s="87">
        <v>20370056.977541555</v>
      </c>
      <c r="E32" s="87">
        <v>381114.92031157762</v>
      </c>
      <c r="F32" s="88">
        <v>0.93747770646364315</v>
      </c>
      <c r="G32" s="87">
        <v>20751171.897853132</v>
      </c>
      <c r="H32" s="88">
        <v>0.93747770646364315</v>
      </c>
      <c r="I32" s="87">
        <v>902224.86512404925</v>
      </c>
      <c r="J32" s="87" t="e">
        <v>#DIV/0!</v>
      </c>
      <c r="K32" s="87">
        <v>0</v>
      </c>
      <c r="M32">
        <v>28</v>
      </c>
      <c r="N32" s="12" t="s">
        <v>100</v>
      </c>
      <c r="O32" s="22">
        <v>0.92485549132947975</v>
      </c>
      <c r="P32" s="13">
        <v>67</v>
      </c>
      <c r="Q32" s="12">
        <v>93</v>
      </c>
      <c r="R32" s="13">
        <v>173</v>
      </c>
      <c r="S32" s="13">
        <v>160</v>
      </c>
      <c r="T32" s="17">
        <v>-12.950000000000017</v>
      </c>
    </row>
    <row r="33" spans="1:20" ht="15.75" x14ac:dyDescent="0.25">
      <c r="A33" s="19" t="s">
        <v>100</v>
      </c>
      <c r="B33" s="93">
        <v>21997732.546</v>
      </c>
      <c r="C33" s="87">
        <v>11626466.4509042</v>
      </c>
      <c r="D33" s="87">
        <v>11510549.837186433</v>
      </c>
      <c r="E33" s="87">
        <v>115916.61371776648</v>
      </c>
      <c r="F33" s="88">
        <v>0.52853022131221072</v>
      </c>
      <c r="G33" s="87">
        <v>11626466.4509042</v>
      </c>
      <c r="H33" s="88">
        <v>0.52853022131221072</v>
      </c>
      <c r="I33" s="87">
        <v>505498.54134366085</v>
      </c>
      <c r="J33" s="87" t="e">
        <v>#DIV/0!</v>
      </c>
      <c r="K33" s="87">
        <v>0</v>
      </c>
      <c r="M33">
        <v>33</v>
      </c>
      <c r="N33" s="12" t="s">
        <v>139</v>
      </c>
      <c r="O33" s="22">
        <v>0.73170731707317072</v>
      </c>
      <c r="P33" s="13">
        <v>66</v>
      </c>
      <c r="Q33" s="12">
        <v>54</v>
      </c>
      <c r="R33" s="13">
        <v>164</v>
      </c>
      <c r="S33" s="13">
        <v>120</v>
      </c>
      <c r="T33" s="17">
        <v>19.400000000000006</v>
      </c>
    </row>
    <row r="34" spans="1:20" ht="15.75" x14ac:dyDescent="0.25">
      <c r="A34" s="19" t="s">
        <v>139</v>
      </c>
      <c r="B34" s="93">
        <v>21135109.725575</v>
      </c>
      <c r="C34" s="87">
        <v>8982720.9587669112</v>
      </c>
      <c r="D34" s="87">
        <v>8776556.043086078</v>
      </c>
      <c r="E34" s="87">
        <v>206164.91568083316</v>
      </c>
      <c r="F34" s="88">
        <v>0.42501416247189738</v>
      </c>
      <c r="G34" s="87">
        <v>8982720.9587669112</v>
      </c>
      <c r="H34" s="88">
        <v>0.42501416247189738</v>
      </c>
      <c r="I34" s="87">
        <v>390553.08516377874</v>
      </c>
      <c r="J34" s="87" t="e">
        <v>#DIV/0!</v>
      </c>
      <c r="K34" s="87">
        <v>0</v>
      </c>
      <c r="M34">
        <v>37</v>
      </c>
      <c r="N34" s="12" t="s">
        <v>104</v>
      </c>
      <c r="O34" s="22">
        <v>0.84671532846715325</v>
      </c>
      <c r="P34" s="13">
        <v>82</v>
      </c>
      <c r="Q34" s="12">
        <v>34</v>
      </c>
      <c r="R34" s="13">
        <v>137</v>
      </c>
      <c r="S34" s="13">
        <v>116</v>
      </c>
      <c r="T34" s="17">
        <v>0.45000000000000284</v>
      </c>
    </row>
    <row r="35" spans="1:20" ht="15.75" x14ac:dyDescent="0.25">
      <c r="A35" s="19" t="s">
        <v>104</v>
      </c>
      <c r="B35" s="93">
        <v>21343732.546</v>
      </c>
      <c r="C35" s="87">
        <v>12183134.330827992</v>
      </c>
      <c r="D35" s="87">
        <v>11763869.810356865</v>
      </c>
      <c r="E35" s="87">
        <v>419264.5204711277</v>
      </c>
      <c r="F35" s="88">
        <v>0.57080617481365592</v>
      </c>
      <c r="G35" s="87">
        <v>12183134.330827992</v>
      </c>
      <c r="H35" s="88">
        <v>0.57080617481365592</v>
      </c>
      <c r="I35" s="87">
        <v>529701.49264469533</v>
      </c>
      <c r="J35" s="87" t="e">
        <v>#DIV/0!</v>
      </c>
      <c r="K35" s="87">
        <v>0</v>
      </c>
      <c r="M35">
        <v>24</v>
      </c>
      <c r="N35" s="12" t="s">
        <v>113</v>
      </c>
      <c r="O35" s="22">
        <v>0.88690476190476186</v>
      </c>
      <c r="P35" s="13">
        <v>81</v>
      </c>
      <c r="Q35" s="12">
        <v>68</v>
      </c>
      <c r="R35" s="13">
        <v>168</v>
      </c>
      <c r="S35" s="13">
        <v>149</v>
      </c>
      <c r="T35" s="17">
        <v>-6.2000000000000171</v>
      </c>
    </row>
    <row r="36" spans="1:20" ht="15.75" x14ac:dyDescent="0.25">
      <c r="A36" s="19" t="s">
        <v>113</v>
      </c>
      <c r="B36" s="93">
        <v>22164273.243000004</v>
      </c>
      <c r="C36" s="87">
        <v>19501354.447575051</v>
      </c>
      <c r="D36" s="87">
        <v>19287420.138053946</v>
      </c>
      <c r="E36" s="87">
        <v>213934.30952110514</v>
      </c>
      <c r="F36" s="88">
        <v>0.87985535252025626</v>
      </c>
      <c r="G36" s="87">
        <v>19501354.447575051</v>
      </c>
      <c r="H36" s="88">
        <v>0.87985535252025626</v>
      </c>
      <c r="I36" s="87">
        <v>847884.97598152398</v>
      </c>
      <c r="J36" s="87" t="e">
        <v>#DIV/0!</v>
      </c>
      <c r="K36" s="87">
        <v>0</v>
      </c>
      <c r="M36">
        <v>7</v>
      </c>
      <c r="N36" s="12" t="s">
        <v>111</v>
      </c>
      <c r="O36" s="22">
        <v>0.12612612612612611</v>
      </c>
      <c r="P36" s="13">
        <v>0</v>
      </c>
      <c r="Q36" s="12">
        <v>14</v>
      </c>
      <c r="R36" s="13">
        <v>111</v>
      </c>
      <c r="S36" s="13">
        <v>14</v>
      </c>
      <c r="T36" s="17">
        <v>80.349999999999994</v>
      </c>
    </row>
    <row r="37" spans="1:20" ht="15.75" x14ac:dyDescent="0.25">
      <c r="A37" s="19" t="s">
        <v>111</v>
      </c>
      <c r="B37" s="93">
        <v>104988662.72999999</v>
      </c>
      <c r="C37" s="87">
        <v>66545844.062023886</v>
      </c>
      <c r="D37" s="87">
        <v>60977569.303423889</v>
      </c>
      <c r="E37" s="87">
        <v>5568274.7585999966</v>
      </c>
      <c r="F37" s="88">
        <v>0.63383838151325211</v>
      </c>
      <c r="G37" s="87">
        <v>66545844.062023893</v>
      </c>
      <c r="H37" s="88">
        <v>0.63383838151325222</v>
      </c>
      <c r="I37" s="87">
        <v>2893297.5679140822</v>
      </c>
      <c r="J37" s="87" t="e">
        <v>#DIV/0!</v>
      </c>
      <c r="K37" s="87">
        <v>0</v>
      </c>
      <c r="M37">
        <v>57</v>
      </c>
      <c r="N37" s="12" t="s">
        <v>110</v>
      </c>
      <c r="O37" s="22">
        <v>0.57843137254901966</v>
      </c>
      <c r="P37" s="13">
        <v>17</v>
      </c>
      <c r="Q37" s="12">
        <v>42</v>
      </c>
      <c r="R37" s="13">
        <v>102</v>
      </c>
      <c r="S37" s="13">
        <v>59</v>
      </c>
      <c r="T37" s="17">
        <v>27.700000000000003</v>
      </c>
    </row>
    <row r="38" spans="1:20" ht="15.75" x14ac:dyDescent="0.25">
      <c r="A38" s="19" t="s">
        <v>110</v>
      </c>
      <c r="B38" s="93">
        <v>30563366.261399999</v>
      </c>
      <c r="C38" s="87">
        <v>24829923.867717449</v>
      </c>
      <c r="D38" s="87">
        <v>22201832.933717448</v>
      </c>
      <c r="E38" s="87">
        <v>2628090.9340000004</v>
      </c>
      <c r="F38" s="88">
        <v>0.81240801995938516</v>
      </c>
      <c r="G38" s="87">
        <v>24829923.867717445</v>
      </c>
      <c r="H38" s="88">
        <v>0.81240801995938505</v>
      </c>
      <c r="I38" s="87">
        <v>1079561.9072920629</v>
      </c>
      <c r="J38" s="87" t="e">
        <v>#DIV/0!</v>
      </c>
      <c r="K38" s="87">
        <v>0</v>
      </c>
      <c r="M38">
        <v>1</v>
      </c>
      <c r="N38" s="12" t="s">
        <v>81</v>
      </c>
      <c r="O38" s="22">
        <v>0.82399999999999995</v>
      </c>
      <c r="P38" s="13">
        <v>60</v>
      </c>
      <c r="Q38" s="12">
        <v>43</v>
      </c>
      <c r="R38" s="13">
        <v>125</v>
      </c>
      <c r="S38" s="13">
        <v>103</v>
      </c>
      <c r="T38" s="17">
        <v>3.25</v>
      </c>
    </row>
    <row r="39" spans="1:20" ht="16.5" thickBot="1" x14ac:dyDescent="0.3">
      <c r="A39" s="19" t="s">
        <v>81</v>
      </c>
      <c r="B39" s="93">
        <v>32900000.864500001</v>
      </c>
      <c r="C39" s="87">
        <v>18657991.416046772</v>
      </c>
      <c r="D39" s="87">
        <v>18414643.724608365</v>
      </c>
      <c r="E39" s="87">
        <v>243347.69143840671</v>
      </c>
      <c r="F39" s="88">
        <v>0.56711218619386894</v>
      </c>
      <c r="G39" s="87">
        <v>18657991.416046772</v>
      </c>
      <c r="H39" s="88">
        <v>0.56711218619386894</v>
      </c>
      <c r="I39" s="87">
        <v>811217.01808899012</v>
      </c>
      <c r="J39" s="87" t="e">
        <v>#DIV/0!</v>
      </c>
      <c r="K39" s="87">
        <v>0</v>
      </c>
      <c r="N39" s="3" t="s">
        <v>223</v>
      </c>
      <c r="O39" s="23"/>
      <c r="P39" s="14"/>
      <c r="Q39" s="8">
        <v>776</v>
      </c>
      <c r="R39" s="8">
        <v>1903</v>
      </c>
      <c r="S39" s="8">
        <v>1498</v>
      </c>
      <c r="T39" s="8"/>
    </row>
    <row r="40" spans="1:20" ht="16.5" thickBot="1" x14ac:dyDescent="0.3">
      <c r="A40" s="3" t="s">
        <v>223</v>
      </c>
      <c r="B40" s="94">
        <v>450401363.1117</v>
      </c>
      <c r="C40" s="91">
        <v>304776537.17879039</v>
      </c>
      <c r="D40" s="87">
        <v>291402057.96146536</v>
      </c>
      <c r="E40" s="91">
        <v>13374479.217325032</v>
      </c>
      <c r="F40" s="90">
        <v>0.67667765273438019</v>
      </c>
      <c r="G40" s="89">
        <v>304776537.17879039</v>
      </c>
      <c r="H40" s="90">
        <v>0.67667765273438019</v>
      </c>
      <c r="I40" s="89">
        <v>13251153.790382192</v>
      </c>
      <c r="J40" s="91" t="e">
        <v>#DIV/0!</v>
      </c>
      <c r="K40" s="91"/>
      <c r="N40" s="11" t="s">
        <v>42</v>
      </c>
      <c r="O40" s="24"/>
      <c r="P40" s="6"/>
      <c r="Q40" s="8">
        <v>2112</v>
      </c>
      <c r="R40" s="8">
        <v>5601</v>
      </c>
      <c r="S40" s="8">
        <v>4440</v>
      </c>
      <c r="T40" s="8"/>
    </row>
    <row r="41" spans="1:20" ht="15.75" x14ac:dyDescent="0.25">
      <c r="A41" s="95" t="s">
        <v>42</v>
      </c>
      <c r="B41" s="96">
        <v>1220851906.5476012</v>
      </c>
      <c r="C41" s="96">
        <v>992136019.99077415</v>
      </c>
      <c r="D41" s="87">
        <v>953884712.87140512</v>
      </c>
      <c r="E41" s="96">
        <v>38251307.11936903</v>
      </c>
      <c r="F41" s="97">
        <v>0.81265877922605401</v>
      </c>
      <c r="G41" s="96">
        <v>992136019.99077415</v>
      </c>
      <c r="H41" s="97">
        <v>0.81265877922605401</v>
      </c>
      <c r="I41" s="96">
        <v>43136348.695251048</v>
      </c>
      <c r="J41" s="96" t="e">
        <v>#DIV/0!</v>
      </c>
      <c r="K41" s="96"/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4" t="s">
        <v>41</v>
      </c>
      <c r="G42" s="85" t="s">
        <v>45</v>
      </c>
      <c r="H42" s="84" t="s">
        <v>46</v>
      </c>
      <c r="I42" s="43" t="s">
        <v>35</v>
      </c>
      <c r="J42" s="43" t="s">
        <v>34</v>
      </c>
      <c r="K42" s="43" t="s">
        <v>53</v>
      </c>
    </row>
    <row r="43" spans="1:20" ht="15.75" x14ac:dyDescent="0.25">
      <c r="A43" s="19" t="s">
        <v>145</v>
      </c>
      <c r="B43" s="98">
        <v>40000000</v>
      </c>
      <c r="C43" s="87">
        <v>10630405.111527519</v>
      </c>
      <c r="D43" s="87">
        <v>10303829.39647151</v>
      </c>
      <c r="E43" s="87">
        <v>326575.71505600959</v>
      </c>
      <c r="F43" s="88">
        <v>0.26576012778818797</v>
      </c>
      <c r="G43" s="87">
        <v>10630405.111527519</v>
      </c>
      <c r="H43" s="88">
        <v>0.26576012778818797</v>
      </c>
      <c r="I43" s="87">
        <v>462191.52658815304</v>
      </c>
      <c r="J43" s="87" t="e">
        <v>#DIV/0!</v>
      </c>
      <c r="K43" s="87">
        <v>0</v>
      </c>
    </row>
    <row r="44" spans="1:20" ht="15.75" x14ac:dyDescent="0.25">
      <c r="A44" s="19" t="s">
        <v>146</v>
      </c>
      <c r="B44" s="98">
        <v>30000000</v>
      </c>
      <c r="C44" s="87">
        <v>3919003.8076639166</v>
      </c>
      <c r="D44" s="87">
        <v>3713552.9338194197</v>
      </c>
      <c r="E44" s="87">
        <v>205450.87384449691</v>
      </c>
      <c r="F44" s="88">
        <v>0.13063346025546388</v>
      </c>
      <c r="G44" s="87">
        <v>3919003.8076639166</v>
      </c>
      <c r="H44" s="88">
        <v>0.13063346025546388</v>
      </c>
      <c r="I44" s="87">
        <v>170391.46989843115</v>
      </c>
      <c r="J44" s="87" t="e">
        <v>#DIV/0!</v>
      </c>
      <c r="K44" s="87">
        <v>0</v>
      </c>
    </row>
  </sheetData>
  <conditionalFormatting sqref="F2:F9 F11:F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6A87-44FA-4534-942D-04E8A7030DFD}">
  <dimension ref="A1:T44"/>
  <sheetViews>
    <sheetView workbookViewId="0">
      <selection activeCell="M1" sqref="M1:T42"/>
    </sheetView>
  </sheetViews>
  <sheetFormatPr baseColWidth="10" defaultRowHeight="15" x14ac:dyDescent="0.25"/>
  <cols>
    <col min="1" max="1" width="47.85546875" bestFit="1" customWidth="1"/>
    <col min="2" max="4" width="17.85546875" bestFit="1" customWidth="1"/>
    <col min="5" max="5" width="15.140625" bestFit="1" customWidth="1"/>
    <col min="6" max="6" width="10.140625" bestFit="1" customWidth="1"/>
    <col min="7" max="7" width="17.8554687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4.1406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95</v>
      </c>
      <c r="B2" s="86">
        <v>29846580.340500001</v>
      </c>
      <c r="C2" s="87">
        <v>44992728.148662589</v>
      </c>
      <c r="D2" s="87">
        <v>43196156.75717549</v>
      </c>
      <c r="E2" s="87">
        <v>1796571.3914870992</v>
      </c>
      <c r="F2" s="88">
        <v>1.5074667729223969</v>
      </c>
      <c r="G2" s="87">
        <v>44992728.148662589</v>
      </c>
      <c r="H2" s="88">
        <v>1.5074667729223969</v>
      </c>
      <c r="I2" s="87">
        <v>1799709.1259465036</v>
      </c>
      <c r="J2" s="87" t="e">
        <v>#DIV/0!</v>
      </c>
      <c r="K2" s="87">
        <v>899854.5629732518</v>
      </c>
      <c r="M2">
        <v>22</v>
      </c>
      <c r="N2" s="12" t="s">
        <v>97</v>
      </c>
      <c r="O2" s="22">
        <v>0.87323943661971826</v>
      </c>
      <c r="P2" s="13">
        <v>33</v>
      </c>
      <c r="Q2" s="12">
        <v>29</v>
      </c>
      <c r="R2" s="13">
        <v>71</v>
      </c>
      <c r="S2" s="13">
        <v>62</v>
      </c>
      <c r="T2" s="17">
        <v>-1.6499999999999986</v>
      </c>
    </row>
    <row r="3" spans="1:20" ht="15.75" x14ac:dyDescent="0.25">
      <c r="A3" s="19" t="s">
        <v>94</v>
      </c>
      <c r="B3" s="86">
        <v>28647922.495500002</v>
      </c>
      <c r="C3" s="87">
        <v>31728460.186828334</v>
      </c>
      <c r="D3" s="87">
        <v>29580587.160731103</v>
      </c>
      <c r="E3" s="87">
        <v>2147873.0260972306</v>
      </c>
      <c r="F3" s="88">
        <v>1.1075309280040191</v>
      </c>
      <c r="G3" s="87">
        <v>31728460.186828334</v>
      </c>
      <c r="H3" s="88">
        <v>1.1075309280040191</v>
      </c>
      <c r="I3" s="87">
        <v>1269138.4074731334</v>
      </c>
      <c r="J3" s="87" t="e">
        <v>#DIV/0!</v>
      </c>
      <c r="K3" s="87">
        <v>475926.90280242497</v>
      </c>
      <c r="M3">
        <v>49</v>
      </c>
      <c r="N3" s="13" t="s">
        <v>107</v>
      </c>
      <c r="O3" s="22">
        <v>0.44491525423728812</v>
      </c>
      <c r="P3" s="13">
        <v>1</v>
      </c>
      <c r="Q3" s="12">
        <v>104</v>
      </c>
      <c r="R3" s="13">
        <v>236</v>
      </c>
      <c r="S3" s="13">
        <v>105</v>
      </c>
      <c r="T3" s="17">
        <v>95.6</v>
      </c>
    </row>
    <row r="4" spans="1:20" ht="15.75" x14ac:dyDescent="0.25">
      <c r="A4" s="19" t="s">
        <v>92</v>
      </c>
      <c r="B4" s="86">
        <v>26250606.805500001</v>
      </c>
      <c r="C4" s="87">
        <v>34522641.233895414</v>
      </c>
      <c r="D4" s="87">
        <v>33182283.28369379</v>
      </c>
      <c r="E4" s="87">
        <v>1340357.9502016231</v>
      </c>
      <c r="F4" s="88">
        <v>1.31511783669177</v>
      </c>
      <c r="G4" s="87">
        <v>34522641.233895414</v>
      </c>
      <c r="H4" s="88">
        <v>1.31511783669177</v>
      </c>
      <c r="I4" s="87">
        <v>1380905.6493558167</v>
      </c>
      <c r="J4" s="87" t="e">
        <v>#DIV/0!</v>
      </c>
      <c r="K4" s="87">
        <v>690452.82467790833</v>
      </c>
      <c r="M4">
        <v>20</v>
      </c>
      <c r="N4" s="13" t="s">
        <v>95</v>
      </c>
      <c r="O4" s="22">
        <v>0.92920353982300885</v>
      </c>
      <c r="P4" s="13">
        <v>126</v>
      </c>
      <c r="Q4" s="12">
        <v>84</v>
      </c>
      <c r="R4" s="13">
        <v>226</v>
      </c>
      <c r="S4" s="13">
        <v>210</v>
      </c>
      <c r="T4" s="17">
        <v>-17.900000000000006</v>
      </c>
    </row>
    <row r="5" spans="1:20" ht="15.75" x14ac:dyDescent="0.25">
      <c r="A5" s="19" t="s">
        <v>90</v>
      </c>
      <c r="B5" s="86">
        <v>26250606.805500001</v>
      </c>
      <c r="C5" s="87">
        <v>32158041.89763388</v>
      </c>
      <c r="D5" s="87">
        <v>31359846.504306898</v>
      </c>
      <c r="E5" s="87">
        <v>798195.39332698286</v>
      </c>
      <c r="F5" s="88">
        <v>1.2250399442536375</v>
      </c>
      <c r="G5" s="87">
        <v>32158041.89763388</v>
      </c>
      <c r="H5" s="88">
        <v>1.2250399442536375</v>
      </c>
      <c r="I5" s="87">
        <v>1286321.6759053553</v>
      </c>
      <c r="J5" s="87" t="e">
        <v>#DIV/0!</v>
      </c>
      <c r="K5" s="87">
        <v>643160.83795267763</v>
      </c>
      <c r="M5">
        <v>15</v>
      </c>
      <c r="N5" s="13" t="s">
        <v>91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89</v>
      </c>
      <c r="B6" s="86">
        <v>21755639.886749998</v>
      </c>
      <c r="C6" s="87">
        <v>21881067.67146546</v>
      </c>
      <c r="D6" s="87">
        <v>20297608.90327448</v>
      </c>
      <c r="E6" s="87">
        <v>1583458.76819098</v>
      </c>
      <c r="F6" s="88">
        <v>1.0057652997277204</v>
      </c>
      <c r="G6" s="87">
        <v>21881067.67146546</v>
      </c>
      <c r="H6" s="88">
        <v>1.0057652997277204</v>
      </c>
      <c r="I6" s="87">
        <v>875242.70685861842</v>
      </c>
      <c r="J6" s="87" t="e">
        <v>#DIV/0!</v>
      </c>
      <c r="K6" s="87">
        <v>218810.6767146546</v>
      </c>
      <c r="M6">
        <v>19</v>
      </c>
      <c r="N6" s="13" t="s">
        <v>94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86</v>
      </c>
      <c r="B7" s="86">
        <v>25651277.883000001</v>
      </c>
      <c r="C7" s="87">
        <v>26031710.328191068</v>
      </c>
      <c r="D7" s="87">
        <v>25004169.617499664</v>
      </c>
      <c r="E7" s="87">
        <v>1027540.7106914036</v>
      </c>
      <c r="F7" s="88">
        <v>1.0148309353992533</v>
      </c>
      <c r="G7" s="87">
        <v>26031710.328191068</v>
      </c>
      <c r="H7" s="88">
        <v>1.0148309353992533</v>
      </c>
      <c r="I7" s="87">
        <v>1041268.4131276427</v>
      </c>
      <c r="J7" s="87" t="e">
        <v>#DIV/0!</v>
      </c>
      <c r="K7" s="87">
        <v>260317.10328191068</v>
      </c>
      <c r="M7">
        <v>16</v>
      </c>
      <c r="N7" s="13" t="s">
        <v>92</v>
      </c>
      <c r="O7" s="22">
        <v>0.91414141414141414</v>
      </c>
      <c r="P7" s="13">
        <v>81</v>
      </c>
      <c r="Q7" s="12">
        <v>100</v>
      </c>
      <c r="R7" s="13">
        <v>198</v>
      </c>
      <c r="S7" s="13">
        <v>181</v>
      </c>
      <c r="T7" s="17">
        <v>-12.700000000000017</v>
      </c>
    </row>
    <row r="8" spans="1:20" ht="15.75" x14ac:dyDescent="0.25">
      <c r="A8" s="19" t="s">
        <v>85</v>
      </c>
      <c r="B8" s="86">
        <v>33130902.8358</v>
      </c>
      <c r="C8" s="87">
        <v>38828238.330632553</v>
      </c>
      <c r="D8" s="87">
        <v>36984925.46887406</v>
      </c>
      <c r="E8" s="87">
        <v>1843312.8617584929</v>
      </c>
      <c r="F8" s="88">
        <v>1.1719643899554777</v>
      </c>
      <c r="G8" s="87">
        <v>38828238.330632553</v>
      </c>
      <c r="H8" s="88">
        <v>1.1719643899554777</v>
      </c>
      <c r="I8" s="87">
        <v>1553129.5332253021</v>
      </c>
      <c r="J8" s="87" t="e">
        <v>#DIV/0!</v>
      </c>
      <c r="K8" s="87">
        <v>776564.76661265106</v>
      </c>
      <c r="M8">
        <v>12</v>
      </c>
      <c r="N8" s="13" t="s">
        <v>90</v>
      </c>
      <c r="O8" s="22">
        <v>0.86729857819905209</v>
      </c>
      <c r="P8" s="13">
        <v>89</v>
      </c>
      <c r="Q8" s="12">
        <v>94</v>
      </c>
      <c r="R8" s="13">
        <v>211</v>
      </c>
      <c r="S8" s="13">
        <v>183</v>
      </c>
      <c r="T8" s="17">
        <v>-3.6500000000000057</v>
      </c>
    </row>
    <row r="9" spans="1:20" ht="15.75" x14ac:dyDescent="0.25">
      <c r="A9" s="19" t="s">
        <v>84</v>
      </c>
      <c r="B9" s="86">
        <v>33130902.8358</v>
      </c>
      <c r="C9" s="87">
        <v>38657150.922049813</v>
      </c>
      <c r="D9" s="87">
        <v>37691401.765709355</v>
      </c>
      <c r="E9" s="87">
        <v>965749.1563404575</v>
      </c>
      <c r="F9" s="88">
        <v>1.1668004072704701</v>
      </c>
      <c r="G9" s="87">
        <v>38657150.922049813</v>
      </c>
      <c r="H9" s="88">
        <v>1.1668004072704701</v>
      </c>
      <c r="I9" s="87">
        <v>1546286.0368819926</v>
      </c>
      <c r="J9" s="87" t="e">
        <v>#DIV/0!</v>
      </c>
      <c r="K9" s="87">
        <v>773143.0184409963</v>
      </c>
      <c r="M9">
        <v>11</v>
      </c>
      <c r="N9" s="30" t="s">
        <v>89</v>
      </c>
      <c r="O9" s="22">
        <v>0.87058823529411766</v>
      </c>
      <c r="P9" s="13">
        <v>92</v>
      </c>
      <c r="Q9" s="12">
        <v>56</v>
      </c>
      <c r="R9" s="13">
        <v>170</v>
      </c>
      <c r="S9" s="13">
        <v>148</v>
      </c>
      <c r="T9" s="17">
        <v>-3.5</v>
      </c>
    </row>
    <row r="10" spans="1:20" ht="15.75" x14ac:dyDescent="0.25">
      <c r="A10" s="18" t="s">
        <v>51</v>
      </c>
      <c r="B10" s="89">
        <v>224664439.88834998</v>
      </c>
      <c r="C10" s="89">
        <v>268800038.7193591</v>
      </c>
      <c r="D10" s="87">
        <v>257296979.46126485</v>
      </c>
      <c r="E10" s="89">
        <v>11503059.25809427</v>
      </c>
      <c r="F10" s="90">
        <v>1.1964512000784053</v>
      </c>
      <c r="G10" s="89">
        <v>268800038.7193591</v>
      </c>
      <c r="H10" s="90">
        <v>1.1964512000784053</v>
      </c>
      <c r="I10" s="89">
        <v>10752001.548774363</v>
      </c>
      <c r="J10" s="91" t="e">
        <v>#DIV/0!</v>
      </c>
      <c r="K10" s="91"/>
      <c r="M10">
        <v>8</v>
      </c>
      <c r="N10" s="13" t="s">
        <v>86</v>
      </c>
      <c r="O10" s="22">
        <v>0.79365079365079361</v>
      </c>
      <c r="P10" s="13">
        <v>64</v>
      </c>
      <c r="Q10" s="12">
        <v>86</v>
      </c>
      <c r="R10" s="13">
        <v>189</v>
      </c>
      <c r="S10" s="13">
        <v>150</v>
      </c>
      <c r="T10" s="17">
        <v>10.650000000000006</v>
      </c>
    </row>
    <row r="11" spans="1:20" ht="15.75" x14ac:dyDescent="0.25">
      <c r="A11" s="19" t="s">
        <v>97</v>
      </c>
      <c r="B11" s="86">
        <v>89664307.424999997</v>
      </c>
      <c r="C11" s="87">
        <v>91610853.242948338</v>
      </c>
      <c r="D11" s="87">
        <v>87112277.601407588</v>
      </c>
      <c r="E11" s="87">
        <v>4498575.6415407509</v>
      </c>
      <c r="F11" s="88">
        <v>1.0217092606171807</v>
      </c>
      <c r="G11" s="87">
        <v>91610853.242948338</v>
      </c>
      <c r="H11" s="88">
        <v>1.0217092606171807</v>
      </c>
      <c r="I11" s="87">
        <v>3664434.1297179335</v>
      </c>
      <c r="J11" s="87" t="e">
        <v>#DIV/0!</v>
      </c>
      <c r="K11" s="87">
        <v>458054.26621474168</v>
      </c>
      <c r="M11">
        <v>52</v>
      </c>
      <c r="N11" s="31" t="s">
        <v>112</v>
      </c>
      <c r="O11" s="32">
        <v>0.56603773584905659</v>
      </c>
      <c r="P11" s="31">
        <v>19</v>
      </c>
      <c r="Q11" s="33">
        <v>41</v>
      </c>
      <c r="R11" s="13">
        <v>106</v>
      </c>
      <c r="S11" s="13">
        <v>60</v>
      </c>
      <c r="T11" s="34">
        <v>30.099999999999994</v>
      </c>
    </row>
    <row r="12" spans="1:20" ht="15.75" x14ac:dyDescent="0.25">
      <c r="A12" s="19" t="s">
        <v>107</v>
      </c>
      <c r="B12" s="86">
        <v>29247251.418000001</v>
      </c>
      <c r="C12" s="87">
        <v>31373237.738229495</v>
      </c>
      <c r="D12" s="87">
        <v>31383571.426629495</v>
      </c>
      <c r="E12" s="87">
        <v>-10333.688400000334</v>
      </c>
      <c r="F12" s="88">
        <v>1.0726901235895647</v>
      </c>
      <c r="G12" s="87">
        <v>31373237.738229498</v>
      </c>
      <c r="H12" s="88">
        <v>1.0726901235895649</v>
      </c>
      <c r="I12" s="87">
        <v>1254929.5095291799</v>
      </c>
      <c r="J12" s="87" t="e">
        <v>#DIV/0!</v>
      </c>
      <c r="K12" s="87">
        <v>392165.47172786877</v>
      </c>
      <c r="M12">
        <v>53</v>
      </c>
      <c r="N12" s="31" t="s">
        <v>108</v>
      </c>
      <c r="O12" s="32">
        <v>0.58407079646017701</v>
      </c>
      <c r="P12" s="31">
        <v>24</v>
      </c>
      <c r="Q12" s="33">
        <v>42</v>
      </c>
      <c r="R12" s="13">
        <v>113</v>
      </c>
      <c r="S12" s="13">
        <v>66</v>
      </c>
      <c r="T12" s="34">
        <v>30.049999999999997</v>
      </c>
    </row>
    <row r="13" spans="1:20" ht="15.75" x14ac:dyDescent="0.25">
      <c r="A13" s="19" t="s">
        <v>91</v>
      </c>
      <c r="B13" s="86">
        <v>118690629.74999999</v>
      </c>
      <c r="C13" s="87">
        <v>109777168.95247295</v>
      </c>
      <c r="D13" s="87">
        <v>93454146.738462254</v>
      </c>
      <c r="E13" s="87">
        <v>16323022.214010701</v>
      </c>
      <c r="F13" s="88">
        <v>0.92490173136412202</v>
      </c>
      <c r="G13" s="87">
        <v>109777168.95247295</v>
      </c>
      <c r="H13" s="88">
        <v>0.92490173136412202</v>
      </c>
      <c r="I13" s="87">
        <v>4391086.758098918</v>
      </c>
      <c r="J13" s="87" t="e">
        <v>#DIV/0!</v>
      </c>
      <c r="K13" s="87">
        <v>0</v>
      </c>
      <c r="M13">
        <v>5</v>
      </c>
      <c r="N13" s="13" t="s">
        <v>85</v>
      </c>
      <c r="O13" s="22">
        <v>0.9377431906614786</v>
      </c>
      <c r="P13" s="13">
        <v>144</v>
      </c>
      <c r="Q13" s="12">
        <v>97</v>
      </c>
      <c r="R13" s="13">
        <v>257</v>
      </c>
      <c r="S13" s="13">
        <v>241</v>
      </c>
      <c r="T13" s="17">
        <v>-22.550000000000011</v>
      </c>
    </row>
    <row r="14" spans="1:20" ht="16.5" thickBot="1" x14ac:dyDescent="0.3">
      <c r="A14" s="19" t="s">
        <v>112</v>
      </c>
      <c r="B14" s="86">
        <v>39250168.649999999</v>
      </c>
      <c r="C14" s="87">
        <v>27654392.255925596</v>
      </c>
      <c r="D14" s="87">
        <v>26877028.917045593</v>
      </c>
      <c r="E14" s="87">
        <v>777363.3388800025</v>
      </c>
      <c r="F14" s="88">
        <v>0.70456747593938296</v>
      </c>
      <c r="G14" s="87">
        <v>27654392.255925596</v>
      </c>
      <c r="H14" s="88">
        <v>0.70456747593938296</v>
      </c>
      <c r="I14" s="87">
        <v>1106175.6902370239</v>
      </c>
      <c r="J14" s="87" t="e">
        <v>#DIV/0!</v>
      </c>
      <c r="K14" s="87">
        <v>0</v>
      </c>
      <c r="M14">
        <v>4</v>
      </c>
      <c r="N14" s="10" t="s">
        <v>84</v>
      </c>
      <c r="O14" s="22">
        <v>0.88397790055248615</v>
      </c>
      <c r="P14" s="13">
        <v>85</v>
      </c>
      <c r="Q14" s="12">
        <v>75</v>
      </c>
      <c r="R14" s="13">
        <v>181</v>
      </c>
      <c r="S14" s="13">
        <v>160</v>
      </c>
      <c r="T14" s="17">
        <v>-6.1500000000000057</v>
      </c>
    </row>
    <row r="15" spans="1:20" ht="16.5" thickBot="1" x14ac:dyDescent="0.3">
      <c r="A15" s="19" t="s">
        <v>108</v>
      </c>
      <c r="B15" s="86">
        <v>39250168.649999999</v>
      </c>
      <c r="C15" s="87">
        <v>38224313.330693163</v>
      </c>
      <c r="D15" s="87">
        <v>34543335.888878584</v>
      </c>
      <c r="E15" s="87">
        <v>3680977.4418145791</v>
      </c>
      <c r="F15" s="88">
        <v>0.97386367104675264</v>
      </c>
      <c r="G15" s="87">
        <v>38224313.330693163</v>
      </c>
      <c r="H15" s="88">
        <v>0.97386367104675264</v>
      </c>
      <c r="I15" s="87">
        <v>1528972.5332277266</v>
      </c>
      <c r="J15" s="87" t="e">
        <v>#DIV/0!</v>
      </c>
      <c r="K15" s="87">
        <v>0</v>
      </c>
      <c r="N15" s="9" t="s">
        <v>37</v>
      </c>
      <c r="O15" s="23"/>
      <c r="P15" s="14"/>
      <c r="Q15" s="16">
        <v>913</v>
      </c>
      <c r="R15" s="8">
        <v>2227</v>
      </c>
      <c r="S15" s="8">
        <v>1792</v>
      </c>
      <c r="T15" s="8"/>
    </row>
    <row r="16" spans="1:20" ht="15.75" x14ac:dyDescent="0.25">
      <c r="A16" s="18" t="s">
        <v>52</v>
      </c>
      <c r="B16" s="89">
        <v>316102525.89299995</v>
      </c>
      <c r="C16" s="89">
        <v>298639965.52026957</v>
      </c>
      <c r="D16" s="87">
        <v>273370360.57242352</v>
      </c>
      <c r="E16" s="89">
        <v>25269604.947846055</v>
      </c>
      <c r="F16" s="90">
        <v>0.94475665664676967</v>
      </c>
      <c r="G16" s="89">
        <v>298639965.52026957</v>
      </c>
      <c r="H16" s="90">
        <v>0.94475665664676967</v>
      </c>
      <c r="I16" s="89">
        <v>11945598.620810783</v>
      </c>
      <c r="J16" s="91" t="e">
        <v>#DIV/0!</v>
      </c>
      <c r="K16" s="91"/>
      <c r="M16">
        <v>31</v>
      </c>
      <c r="N16" s="12" t="s">
        <v>101</v>
      </c>
      <c r="O16" s="22">
        <v>0.86184210526315785</v>
      </c>
      <c r="P16" s="13">
        <v>90</v>
      </c>
      <c r="Q16" s="12">
        <v>41</v>
      </c>
      <c r="R16" s="13">
        <v>152</v>
      </c>
      <c r="S16" s="13">
        <v>131</v>
      </c>
      <c r="T16" s="17">
        <v>-1.8000000000000114</v>
      </c>
    </row>
    <row r="17" spans="1:20" ht="15.75" x14ac:dyDescent="0.25">
      <c r="A17" s="19" t="s">
        <v>82</v>
      </c>
      <c r="B17" s="71">
        <v>27127155</v>
      </c>
      <c r="C17" s="87">
        <v>28722737.224970914</v>
      </c>
      <c r="D17" s="87">
        <v>27827593.972716652</v>
      </c>
      <c r="E17" s="87">
        <v>895143.25225426257</v>
      </c>
      <c r="F17" s="88">
        <v>1.0588186348686737</v>
      </c>
      <c r="G17" s="87">
        <v>28722737.224970914</v>
      </c>
      <c r="H17" s="88">
        <v>1.0588186348686737</v>
      </c>
      <c r="I17" s="87">
        <v>1148909.4889988366</v>
      </c>
      <c r="J17" s="87" t="e">
        <v>#DIV/0!</v>
      </c>
      <c r="K17" s="87">
        <v>359034.21531213645</v>
      </c>
      <c r="M17">
        <v>54</v>
      </c>
      <c r="N17" s="13" t="s">
        <v>109</v>
      </c>
      <c r="O17" s="22">
        <v>0.81</v>
      </c>
      <c r="P17" s="13">
        <v>92</v>
      </c>
      <c r="Q17" s="12">
        <v>70</v>
      </c>
      <c r="R17" s="13">
        <v>200</v>
      </c>
      <c r="S17" s="13">
        <v>162</v>
      </c>
      <c r="T17" s="17">
        <v>8</v>
      </c>
    </row>
    <row r="18" spans="1:20" ht="15.75" x14ac:dyDescent="0.25">
      <c r="A18" s="19" t="s">
        <v>83</v>
      </c>
      <c r="B18" s="71">
        <v>23078600</v>
      </c>
      <c r="C18" s="87">
        <v>23018518.361370903</v>
      </c>
      <c r="D18" s="87">
        <v>21612527.454155579</v>
      </c>
      <c r="E18" s="87">
        <v>1405990.9072153233</v>
      </c>
      <c r="F18" s="88">
        <v>0.99739665150272994</v>
      </c>
      <c r="G18" s="87">
        <v>23018518.361370903</v>
      </c>
      <c r="H18" s="88">
        <v>0.99739665150272994</v>
      </c>
      <c r="I18" s="87">
        <v>920740.73445483611</v>
      </c>
      <c r="J18" s="87" t="e">
        <v>#DIV/0!</v>
      </c>
      <c r="K18" s="87">
        <v>230185.18361370903</v>
      </c>
      <c r="M18">
        <v>21</v>
      </c>
      <c r="N18" s="13" t="s">
        <v>96</v>
      </c>
      <c r="O18" s="22">
        <v>0.8597560975609756</v>
      </c>
      <c r="P18" s="13">
        <v>88</v>
      </c>
      <c r="Q18" s="12">
        <v>53</v>
      </c>
      <c r="R18" s="13">
        <v>164</v>
      </c>
      <c r="S18" s="13">
        <v>141</v>
      </c>
      <c r="T18" s="17">
        <v>-1.5999999999999943</v>
      </c>
    </row>
    <row r="19" spans="1:20" ht="15.75" x14ac:dyDescent="0.25">
      <c r="A19" s="19" t="s">
        <v>93</v>
      </c>
      <c r="B19" s="71">
        <v>23908137</v>
      </c>
      <c r="C19" s="87">
        <v>24067202.723870337</v>
      </c>
      <c r="D19" s="87">
        <v>22895917.42486066</v>
      </c>
      <c r="E19" s="87">
        <v>1171285.299009677</v>
      </c>
      <c r="F19" s="88">
        <v>1.0066532044663428</v>
      </c>
      <c r="G19" s="87">
        <v>24067202.723870337</v>
      </c>
      <c r="H19" s="88">
        <v>1.0066532044663428</v>
      </c>
      <c r="I19" s="87">
        <v>962688.10895481345</v>
      </c>
      <c r="J19" s="87" t="e">
        <v>#DIV/0!</v>
      </c>
      <c r="K19" s="87">
        <v>240672.02723870336</v>
      </c>
      <c r="M19">
        <v>23</v>
      </c>
      <c r="N19" s="13" t="s">
        <v>98</v>
      </c>
      <c r="O19" s="22">
        <v>0.88888888888888884</v>
      </c>
      <c r="P19" s="13">
        <v>95</v>
      </c>
      <c r="Q19" s="12">
        <v>41</v>
      </c>
      <c r="R19" s="13">
        <v>153</v>
      </c>
      <c r="S19" s="13">
        <v>136</v>
      </c>
      <c r="T19" s="17">
        <v>-5.9500000000000171</v>
      </c>
    </row>
    <row r="20" spans="1:20" ht="15.75" x14ac:dyDescent="0.25">
      <c r="A20" s="19" t="s">
        <v>96</v>
      </c>
      <c r="B20" s="71">
        <v>31020000</v>
      </c>
      <c r="C20" s="87">
        <v>37294138.673980869</v>
      </c>
      <c r="D20" s="87">
        <v>33765356.894991159</v>
      </c>
      <c r="E20" s="87">
        <v>3528781.7789897099</v>
      </c>
      <c r="F20" s="88">
        <v>1.2022610791096346</v>
      </c>
      <c r="G20" s="87">
        <v>37294138.673980869</v>
      </c>
      <c r="H20" s="88">
        <v>1.2022610791096346</v>
      </c>
      <c r="I20" s="87">
        <v>1491765.5469592349</v>
      </c>
      <c r="J20" s="87" t="e">
        <v>#DIV/0!</v>
      </c>
      <c r="K20" s="87">
        <v>745882.77347961743</v>
      </c>
      <c r="M20">
        <v>18</v>
      </c>
      <c r="N20" s="13" t="s">
        <v>93</v>
      </c>
      <c r="O20" s="22">
        <v>0.88622754491017963</v>
      </c>
      <c r="P20" s="13">
        <v>83</v>
      </c>
      <c r="Q20" s="12">
        <v>65</v>
      </c>
      <c r="R20" s="13">
        <v>167</v>
      </c>
      <c r="S20" s="13">
        <v>148</v>
      </c>
      <c r="T20" s="17">
        <v>-6.0500000000000114</v>
      </c>
    </row>
    <row r="21" spans="1:20" ht="15.75" x14ac:dyDescent="0.25">
      <c r="A21" s="19" t="s">
        <v>98</v>
      </c>
      <c r="B21" s="71">
        <v>23540000</v>
      </c>
      <c r="C21" s="87">
        <v>21299626.308028236</v>
      </c>
      <c r="D21" s="87">
        <v>20077314.829677377</v>
      </c>
      <c r="E21" s="87">
        <v>1222311.4783508591</v>
      </c>
      <c r="F21" s="88">
        <v>0.90482694596551549</v>
      </c>
      <c r="G21" s="87">
        <v>21299626.308028236</v>
      </c>
      <c r="H21" s="88">
        <v>0.90482694596551549</v>
      </c>
      <c r="I21" s="87">
        <v>851985.05232112948</v>
      </c>
      <c r="J21" s="87" t="e">
        <v>#DIV/0!</v>
      </c>
      <c r="K21" s="87">
        <v>0</v>
      </c>
      <c r="M21">
        <v>44</v>
      </c>
      <c r="N21" s="13" t="s">
        <v>161</v>
      </c>
      <c r="O21" s="22">
        <v>0.8571428571428571</v>
      </c>
      <c r="P21" s="13">
        <v>64</v>
      </c>
      <c r="Q21" s="12">
        <v>80</v>
      </c>
      <c r="R21" s="13">
        <v>168</v>
      </c>
      <c r="S21" s="13">
        <v>144</v>
      </c>
      <c r="T21" s="17">
        <v>-1.2000000000000171</v>
      </c>
    </row>
    <row r="22" spans="1:20" ht="15.75" x14ac:dyDescent="0.25">
      <c r="A22" s="19" t="s">
        <v>101</v>
      </c>
      <c r="B22" s="71">
        <v>29350800</v>
      </c>
      <c r="C22" s="87">
        <v>35308921.719403759</v>
      </c>
      <c r="D22" s="87">
        <v>34647670.184300654</v>
      </c>
      <c r="E22" s="87">
        <v>661251.53510310501</v>
      </c>
      <c r="F22" s="88">
        <v>1.2029969104557203</v>
      </c>
      <c r="G22" s="87">
        <v>35308921.719403759</v>
      </c>
      <c r="H22" s="88">
        <v>1.2029969104557203</v>
      </c>
      <c r="I22" s="87">
        <v>1412356.8687761503</v>
      </c>
      <c r="J22" s="87" t="e">
        <v>#DIV/0!</v>
      </c>
      <c r="K22" s="87">
        <v>706178.43438807514</v>
      </c>
      <c r="M22">
        <v>56</v>
      </c>
      <c r="N22" s="13" t="s">
        <v>140</v>
      </c>
      <c r="O22" s="22">
        <v>0.55440414507772018</v>
      </c>
      <c r="P22" s="13">
        <v>66</v>
      </c>
      <c r="Q22" s="12">
        <v>41</v>
      </c>
      <c r="R22" s="13">
        <v>193</v>
      </c>
      <c r="S22" s="13">
        <v>107</v>
      </c>
      <c r="T22" s="17">
        <v>57.049999999999983</v>
      </c>
    </row>
    <row r="23" spans="1:20" ht="15.75" x14ac:dyDescent="0.25">
      <c r="A23" s="19" t="s">
        <v>161</v>
      </c>
      <c r="B23" s="71">
        <v>25368420</v>
      </c>
      <c r="C23" s="87">
        <v>26777939.430022314</v>
      </c>
      <c r="D23" s="87">
        <v>25902239.606673926</v>
      </c>
      <c r="E23" s="87">
        <v>875699.82334838808</v>
      </c>
      <c r="F23" s="88">
        <v>1.0555619715387208</v>
      </c>
      <c r="G23" s="87">
        <v>26777939.430022314</v>
      </c>
      <c r="H23" s="88">
        <v>1.0555619715387208</v>
      </c>
      <c r="I23" s="87">
        <v>1071117.5772008926</v>
      </c>
      <c r="J23" s="87" t="e">
        <v>#DIV/0!</v>
      </c>
      <c r="K23" s="87">
        <v>334724.24287527893</v>
      </c>
      <c r="M23">
        <v>2</v>
      </c>
      <c r="N23" s="13" t="s">
        <v>82</v>
      </c>
      <c r="O23" s="22">
        <v>0.86111111111111116</v>
      </c>
      <c r="P23" s="13">
        <v>70</v>
      </c>
      <c r="Q23" s="12">
        <v>54</v>
      </c>
      <c r="R23" s="13">
        <v>144</v>
      </c>
      <c r="S23" s="13">
        <v>124</v>
      </c>
      <c r="T23" s="17">
        <v>-1.6000000000000085</v>
      </c>
    </row>
    <row r="24" spans="1:20" ht="16.5" thickBot="1" x14ac:dyDescent="0.3">
      <c r="A24" s="19" t="s">
        <v>109</v>
      </c>
      <c r="B24" s="71">
        <v>30970000</v>
      </c>
      <c r="C24" s="87">
        <v>45619297.437876552</v>
      </c>
      <c r="D24" s="87">
        <v>42627280.626458116</v>
      </c>
      <c r="E24" s="87">
        <v>2992016.8114184365</v>
      </c>
      <c r="F24" s="88">
        <v>1.4730157390337923</v>
      </c>
      <c r="G24" s="87">
        <v>45619297.437876552</v>
      </c>
      <c r="H24" s="88">
        <v>1.4730157390337923</v>
      </c>
      <c r="I24" s="87">
        <v>1824771.897515062</v>
      </c>
      <c r="J24" s="87" t="e">
        <v>#DIV/0!</v>
      </c>
      <c r="K24" s="87">
        <v>912385.94875753112</v>
      </c>
      <c r="M24">
        <v>3</v>
      </c>
      <c r="N24" s="10" t="s">
        <v>83</v>
      </c>
      <c r="O24" s="22">
        <v>0.91946308724832215</v>
      </c>
      <c r="P24" s="13">
        <v>79</v>
      </c>
      <c r="Q24" s="12">
        <v>58</v>
      </c>
      <c r="R24" s="13">
        <v>149</v>
      </c>
      <c r="S24" s="13">
        <v>137</v>
      </c>
      <c r="T24" s="17">
        <v>-10.350000000000009</v>
      </c>
    </row>
    <row r="25" spans="1:20" ht="16.5" thickBot="1" x14ac:dyDescent="0.3">
      <c r="A25" s="19" t="s">
        <v>140</v>
      </c>
      <c r="B25" s="71">
        <v>49990710</v>
      </c>
      <c r="C25" s="87">
        <v>53077079.197368316</v>
      </c>
      <c r="D25" s="87">
        <v>53077079.197368316</v>
      </c>
      <c r="E25" s="87">
        <v>0</v>
      </c>
      <c r="F25" s="88">
        <v>1.0617388550266302</v>
      </c>
      <c r="G25" s="87">
        <v>53077079.197368316</v>
      </c>
      <c r="H25" s="88">
        <v>1.0617388550266302</v>
      </c>
      <c r="I25" s="87">
        <v>2123083.1678947327</v>
      </c>
      <c r="J25" s="87" t="e">
        <v>#DIV/0!</v>
      </c>
      <c r="K25" s="87">
        <v>663463.48996710405</v>
      </c>
      <c r="N25" s="9" t="s">
        <v>38</v>
      </c>
      <c r="O25" s="23"/>
      <c r="P25" s="14"/>
      <c r="Q25" s="16">
        <v>503</v>
      </c>
      <c r="R25" s="8">
        <v>1490</v>
      </c>
      <c r="S25" s="8">
        <v>1230</v>
      </c>
      <c r="T25" s="8"/>
    </row>
    <row r="26" spans="1:20" ht="15.75" x14ac:dyDescent="0.25">
      <c r="A26" s="20" t="s">
        <v>38</v>
      </c>
      <c r="B26" s="91">
        <v>264353822</v>
      </c>
      <c r="C26" s="91">
        <v>295185461.07689214</v>
      </c>
      <c r="D26" s="87">
        <v>282432980.1912024</v>
      </c>
      <c r="E26" s="91">
        <v>12752480.885689735</v>
      </c>
      <c r="F26" s="90">
        <v>1.1166301997967412</v>
      </c>
      <c r="G26" s="89">
        <v>295185461.07689214</v>
      </c>
      <c r="H26" s="90">
        <v>1.1166301997967412</v>
      </c>
      <c r="I26" s="89">
        <v>11807418.443075685</v>
      </c>
      <c r="J26" s="91" t="e">
        <v>#DIV/0!</v>
      </c>
      <c r="K26" s="91"/>
      <c r="M26">
        <v>32</v>
      </c>
      <c r="N26" s="12" t="s">
        <v>102</v>
      </c>
      <c r="O26" s="22">
        <v>0.87037037037037035</v>
      </c>
      <c r="P26" s="13">
        <v>20</v>
      </c>
      <c r="Q26" s="12">
        <v>27</v>
      </c>
      <c r="R26" s="13">
        <v>54</v>
      </c>
      <c r="S26" s="13">
        <v>47</v>
      </c>
      <c r="T26" s="17">
        <v>-1.1000000000000014</v>
      </c>
    </row>
    <row r="27" spans="1:20" ht="15.75" x14ac:dyDescent="0.25">
      <c r="A27" s="92" t="s">
        <v>102</v>
      </c>
      <c r="B27" s="98">
        <v>75800000</v>
      </c>
      <c r="C27" s="87">
        <v>82043239.698842674</v>
      </c>
      <c r="D27" s="87">
        <v>78542689.750818998</v>
      </c>
      <c r="E27" s="87">
        <v>3500549.9480236769</v>
      </c>
      <c r="F27" s="88">
        <v>1.0823646398264206</v>
      </c>
      <c r="G27" s="87">
        <v>82043239.698842674</v>
      </c>
      <c r="H27" s="88">
        <v>1.0823646398264206</v>
      </c>
      <c r="I27" s="87">
        <v>3281729.5879537072</v>
      </c>
      <c r="J27" s="87" t="e">
        <v>#DIV/0!</v>
      </c>
      <c r="K27" s="87">
        <v>615324.29774131998</v>
      </c>
      <c r="M27">
        <v>36</v>
      </c>
      <c r="N27" s="12" t="s">
        <v>222</v>
      </c>
      <c r="O27" s="22">
        <v>0.88961038961038963</v>
      </c>
      <c r="P27" s="13">
        <v>68</v>
      </c>
      <c r="Q27" s="12">
        <v>69</v>
      </c>
      <c r="R27" s="13">
        <v>154</v>
      </c>
      <c r="S27" s="13">
        <v>137</v>
      </c>
      <c r="T27" s="17">
        <v>-6.0999999999999943</v>
      </c>
    </row>
    <row r="28" spans="1:20" ht="15.75" x14ac:dyDescent="0.25">
      <c r="A28" s="19" t="s">
        <v>222</v>
      </c>
      <c r="B28" s="98">
        <v>20000000</v>
      </c>
      <c r="C28" s="87">
        <v>12939850.199293612</v>
      </c>
      <c r="D28" s="87">
        <v>12423643.784844864</v>
      </c>
      <c r="E28" s="87">
        <v>516206.41444874741</v>
      </c>
      <c r="F28" s="88">
        <v>0.64699250996468061</v>
      </c>
      <c r="G28" s="87">
        <v>12939850.199293612</v>
      </c>
      <c r="H28" s="88">
        <v>0.64699250996468061</v>
      </c>
      <c r="I28" s="87">
        <v>517594.00797174446</v>
      </c>
      <c r="J28" s="87" t="e">
        <v>#DIV/0!</v>
      </c>
      <c r="K28" s="87">
        <v>0</v>
      </c>
      <c r="M28">
        <v>9</v>
      </c>
      <c r="N28" s="12" t="s">
        <v>87</v>
      </c>
      <c r="O28" s="22">
        <v>0.86624203821656054</v>
      </c>
      <c r="P28" s="13">
        <v>80</v>
      </c>
      <c r="Q28" s="12">
        <v>56</v>
      </c>
      <c r="R28" s="13">
        <v>157</v>
      </c>
      <c r="S28" s="13">
        <v>136</v>
      </c>
      <c r="T28" s="17">
        <v>-2.5500000000000114</v>
      </c>
    </row>
    <row r="29" spans="1:20" ht="15.75" x14ac:dyDescent="0.25">
      <c r="A29" s="19" t="s">
        <v>87</v>
      </c>
      <c r="B29" s="98">
        <v>23800000</v>
      </c>
      <c r="C29" s="87">
        <v>19809268.744348615</v>
      </c>
      <c r="D29" s="87">
        <v>18819845.241651498</v>
      </c>
      <c r="E29" s="87">
        <v>989423.50269711763</v>
      </c>
      <c r="F29" s="88">
        <v>0.83232221614910151</v>
      </c>
      <c r="G29" s="87">
        <v>19809268.744348615</v>
      </c>
      <c r="H29" s="88">
        <v>0.83232221614910151</v>
      </c>
      <c r="I29" s="87">
        <v>792370.74977394461</v>
      </c>
      <c r="J29" s="87" t="e">
        <v>#DIV/0!</v>
      </c>
      <c r="K29" s="87">
        <v>0</v>
      </c>
      <c r="M29">
        <v>40</v>
      </c>
      <c r="N29" s="12" t="s">
        <v>105</v>
      </c>
      <c r="O29" s="22">
        <v>0.88259109311740891</v>
      </c>
      <c r="P29" s="13">
        <v>68</v>
      </c>
      <c r="Q29" s="12">
        <v>150</v>
      </c>
      <c r="R29" s="13">
        <v>247</v>
      </c>
      <c r="S29" s="13">
        <v>218</v>
      </c>
      <c r="T29" s="17">
        <v>-8.0500000000000114</v>
      </c>
    </row>
    <row r="30" spans="1:20" ht="15.75" x14ac:dyDescent="0.25">
      <c r="A30" s="19" t="s">
        <v>105</v>
      </c>
      <c r="B30" s="98">
        <v>35352015.822584994</v>
      </c>
      <c r="C30" s="87">
        <v>35366560.552370474</v>
      </c>
      <c r="D30" s="87">
        <v>33774258.58379899</v>
      </c>
      <c r="E30" s="87">
        <v>1592301.9685714841</v>
      </c>
      <c r="F30" s="88">
        <v>1.0004114257545729</v>
      </c>
      <c r="G30" s="87">
        <v>35366560.552370474</v>
      </c>
      <c r="H30" s="88">
        <v>1.0004114257545729</v>
      </c>
      <c r="I30" s="87">
        <v>1414662.4220948189</v>
      </c>
      <c r="J30" s="87" t="e">
        <v>#DIV/0!</v>
      </c>
      <c r="K30" s="87">
        <v>353665.60552370473</v>
      </c>
      <c r="M30">
        <v>27</v>
      </c>
      <c r="N30" s="12" t="s">
        <v>99</v>
      </c>
      <c r="O30" s="22">
        <v>0.89655172413793105</v>
      </c>
      <c r="P30" s="13">
        <v>73</v>
      </c>
      <c r="Q30" s="12">
        <v>57</v>
      </c>
      <c r="R30" s="13">
        <v>145</v>
      </c>
      <c r="S30" s="13">
        <v>130</v>
      </c>
      <c r="T30" s="17">
        <v>-6.75</v>
      </c>
    </row>
    <row r="31" spans="1:20" ht="15.75" x14ac:dyDescent="0.25">
      <c r="A31" s="19" t="s">
        <v>99</v>
      </c>
      <c r="B31" s="98">
        <v>23500000</v>
      </c>
      <c r="C31" s="87">
        <v>17421399.532723755</v>
      </c>
      <c r="D31" s="87">
        <v>16694855.93618655</v>
      </c>
      <c r="E31" s="87">
        <v>726543.59653720446</v>
      </c>
      <c r="F31" s="88">
        <v>0.7413361503286704</v>
      </c>
      <c r="G31" s="87">
        <v>17421399.532723755</v>
      </c>
      <c r="H31" s="88">
        <v>0.7413361503286704</v>
      </c>
      <c r="I31" s="87">
        <v>696855.98130895023</v>
      </c>
      <c r="J31" s="87" t="e">
        <v>#DIV/0!</v>
      </c>
      <c r="K31" s="87">
        <v>0</v>
      </c>
      <c r="M31">
        <v>10</v>
      </c>
      <c r="N31" s="12" t="s">
        <v>88</v>
      </c>
      <c r="O31" s="22">
        <v>0.87150837988826813</v>
      </c>
      <c r="P31" s="13">
        <v>40</v>
      </c>
      <c r="Q31" s="12">
        <v>116</v>
      </c>
      <c r="R31" s="13">
        <v>179</v>
      </c>
      <c r="S31" s="13">
        <v>156</v>
      </c>
      <c r="T31" s="17">
        <v>-3.8499999999999943</v>
      </c>
    </row>
    <row r="32" spans="1:20" ht="15.75" x14ac:dyDescent="0.25">
      <c r="A32" s="19" t="s">
        <v>88</v>
      </c>
      <c r="B32" s="98">
        <v>23800000</v>
      </c>
      <c r="C32" s="87">
        <v>30410217.836748093</v>
      </c>
      <c r="D32" s="87">
        <v>29155171.621185325</v>
      </c>
      <c r="E32" s="87">
        <v>1255046.2155627683</v>
      </c>
      <c r="F32" s="88">
        <v>1.2777402452415165</v>
      </c>
      <c r="G32" s="87">
        <v>30410217.836748093</v>
      </c>
      <c r="H32" s="88">
        <v>1.2777402452415165</v>
      </c>
      <c r="I32" s="87">
        <v>1216408.7134699237</v>
      </c>
      <c r="J32" s="87" t="e">
        <v>#DIV/0!</v>
      </c>
      <c r="K32" s="87">
        <v>608204.35673496185</v>
      </c>
      <c r="M32">
        <v>28</v>
      </c>
      <c r="N32" s="12" t="s">
        <v>100</v>
      </c>
      <c r="O32" s="22">
        <v>0.88505747126436785</v>
      </c>
      <c r="P32" s="13">
        <v>67</v>
      </c>
      <c r="Q32" s="12">
        <v>87</v>
      </c>
      <c r="R32" s="13">
        <v>174</v>
      </c>
      <c r="S32" s="13">
        <v>154</v>
      </c>
      <c r="T32" s="17">
        <v>-6.0999999999999943</v>
      </c>
    </row>
    <row r="33" spans="1:20" ht="15.75" x14ac:dyDescent="0.25">
      <c r="A33" s="19" t="s">
        <v>100</v>
      </c>
      <c r="B33" s="98">
        <v>24500000</v>
      </c>
      <c r="C33" s="87">
        <v>22241465.148322437</v>
      </c>
      <c r="D33" s="87">
        <v>21301181.85215893</v>
      </c>
      <c r="E33" s="87">
        <v>940283.29616350681</v>
      </c>
      <c r="F33" s="88">
        <v>0.90781490401316067</v>
      </c>
      <c r="G33" s="87">
        <v>22241465.148322437</v>
      </c>
      <c r="H33" s="88">
        <v>0.90781490401316067</v>
      </c>
      <c r="I33" s="87">
        <v>889658.60593289742</v>
      </c>
      <c r="J33" s="87" t="e">
        <v>#DIV/0!</v>
      </c>
      <c r="K33" s="87">
        <v>0</v>
      </c>
      <c r="M33">
        <v>33</v>
      </c>
      <c r="N33" s="12" t="s">
        <v>139</v>
      </c>
      <c r="O33" s="22">
        <v>0.86826347305389218</v>
      </c>
      <c r="P33" s="13">
        <v>66</v>
      </c>
      <c r="Q33" s="12">
        <v>79</v>
      </c>
      <c r="R33" s="13">
        <v>167</v>
      </c>
      <c r="S33" s="13">
        <v>145</v>
      </c>
      <c r="T33" s="17">
        <v>-3.0500000000000114</v>
      </c>
    </row>
    <row r="34" spans="1:20" ht="15.75" x14ac:dyDescent="0.25">
      <c r="A34" s="19" t="s">
        <v>139</v>
      </c>
      <c r="B34" s="98">
        <v>20000000</v>
      </c>
      <c r="C34" s="87">
        <v>11996898.850355042</v>
      </c>
      <c r="D34" s="87">
        <v>11340625.339748388</v>
      </c>
      <c r="E34" s="87">
        <v>656273.51060665399</v>
      </c>
      <c r="F34" s="88">
        <v>0.59984494251775211</v>
      </c>
      <c r="G34" s="87">
        <v>11996898.850355042</v>
      </c>
      <c r="H34" s="88">
        <v>0.59984494251775211</v>
      </c>
      <c r="I34" s="87">
        <v>479875.95401420171</v>
      </c>
      <c r="J34" s="87" t="e">
        <v>#DIV/0!</v>
      </c>
      <c r="K34" s="87">
        <v>0</v>
      </c>
      <c r="M34">
        <v>37</v>
      </c>
      <c r="N34" s="12" t="s">
        <v>104</v>
      </c>
      <c r="O34" s="22">
        <v>0.8920863309352518</v>
      </c>
      <c r="P34" s="13">
        <v>82</v>
      </c>
      <c r="Q34" s="12">
        <v>42</v>
      </c>
      <c r="R34" s="13">
        <v>139</v>
      </c>
      <c r="S34" s="13">
        <v>124</v>
      </c>
      <c r="T34" s="17">
        <v>-5.8500000000000085</v>
      </c>
    </row>
    <row r="35" spans="1:20" ht="15.75" x14ac:dyDescent="0.25">
      <c r="A35" s="19" t="s">
        <v>104</v>
      </c>
      <c r="B35" s="98">
        <v>22800000</v>
      </c>
      <c r="C35" s="87">
        <v>16045483.464407872</v>
      </c>
      <c r="D35" s="87">
        <v>15458927.638532573</v>
      </c>
      <c r="E35" s="87">
        <v>586555.82587529905</v>
      </c>
      <c r="F35" s="88">
        <v>0.70374927475473126</v>
      </c>
      <c r="G35" s="87">
        <v>16045483.464407871</v>
      </c>
      <c r="H35" s="88">
        <v>0.70374927475473115</v>
      </c>
      <c r="I35" s="87">
        <v>641819.33857631485</v>
      </c>
      <c r="J35" s="87" t="e">
        <v>#DIV/0!</v>
      </c>
      <c r="K35" s="87">
        <v>0</v>
      </c>
      <c r="M35">
        <v>24</v>
      </c>
      <c r="N35" s="12" t="s">
        <v>113</v>
      </c>
      <c r="O35" s="22">
        <v>0.85057471264367812</v>
      </c>
      <c r="P35" s="13">
        <v>81</v>
      </c>
      <c r="Q35" s="12">
        <v>67</v>
      </c>
      <c r="R35" s="13">
        <v>174</v>
      </c>
      <c r="S35" s="13">
        <v>148</v>
      </c>
      <c r="T35" s="17">
        <v>-9.9999999999994316E-2</v>
      </c>
    </row>
    <row r="36" spans="1:20" ht="15.75" x14ac:dyDescent="0.25">
      <c r="A36" s="19" t="s">
        <v>113</v>
      </c>
      <c r="B36" s="98">
        <v>24500000</v>
      </c>
      <c r="C36" s="87">
        <v>24813222.464656744</v>
      </c>
      <c r="D36" s="87">
        <v>24039548.18529366</v>
      </c>
      <c r="E36" s="87">
        <v>773674.27936308458</v>
      </c>
      <c r="F36" s="88">
        <v>1.0127845903941528</v>
      </c>
      <c r="G36" s="87">
        <v>24813222.464656744</v>
      </c>
      <c r="H36" s="88">
        <v>1.0127845903941528</v>
      </c>
      <c r="I36" s="87">
        <v>992528.89858626982</v>
      </c>
      <c r="J36" s="87" t="e">
        <v>#DIV/0!</v>
      </c>
      <c r="K36" s="87">
        <v>248132.22464656745</v>
      </c>
      <c r="M36">
        <v>7</v>
      </c>
      <c r="N36" s="12" t="s">
        <v>111</v>
      </c>
      <c r="O36" s="22">
        <v>0.22321428571428573</v>
      </c>
      <c r="P36" s="13">
        <v>0</v>
      </c>
      <c r="Q36" s="12">
        <v>25</v>
      </c>
      <c r="R36" s="13">
        <v>112</v>
      </c>
      <c r="S36" s="13">
        <v>25</v>
      </c>
      <c r="T36" s="17">
        <v>70.2</v>
      </c>
    </row>
    <row r="37" spans="1:20" ht="15.75" x14ac:dyDescent="0.25">
      <c r="A37" s="19" t="s">
        <v>111</v>
      </c>
      <c r="B37" s="98">
        <v>109713152.55284998</v>
      </c>
      <c r="C37" s="87">
        <v>121409568.83007464</v>
      </c>
      <c r="D37" s="87">
        <v>121409568.83007464</v>
      </c>
      <c r="E37" s="87">
        <v>0</v>
      </c>
      <c r="F37" s="88">
        <v>1.1066090619498914</v>
      </c>
      <c r="G37" s="87">
        <v>121409568.83007465</v>
      </c>
      <c r="H37" s="88">
        <v>1.1066090619498914</v>
      </c>
      <c r="I37" s="87">
        <v>4856382.753202986</v>
      </c>
      <c r="J37" s="87" t="e">
        <v>#DIV/0!</v>
      </c>
      <c r="K37" s="87">
        <v>1214095.6883007465</v>
      </c>
      <c r="M37">
        <v>57</v>
      </c>
      <c r="N37" s="12" t="s">
        <v>110</v>
      </c>
      <c r="O37" s="22">
        <v>0.62135922330097082</v>
      </c>
      <c r="P37" s="13">
        <v>17</v>
      </c>
      <c r="Q37" s="12">
        <v>47</v>
      </c>
      <c r="R37" s="13">
        <v>103</v>
      </c>
      <c r="S37" s="13">
        <v>64</v>
      </c>
      <c r="T37" s="17">
        <v>23.549999999999997</v>
      </c>
    </row>
    <row r="38" spans="1:20" ht="15.75" x14ac:dyDescent="0.25">
      <c r="A38" s="19" t="s">
        <v>110</v>
      </c>
      <c r="B38" s="98">
        <v>32904256.07</v>
      </c>
      <c r="C38" s="87">
        <v>22457150.025485538</v>
      </c>
      <c r="D38" s="87">
        <v>19451113.784705538</v>
      </c>
      <c r="E38" s="87">
        <v>3006036.2407799996</v>
      </c>
      <c r="F38" s="88">
        <v>0.68249985587610762</v>
      </c>
      <c r="G38" s="87">
        <v>22457150.025485538</v>
      </c>
      <c r="H38" s="88">
        <v>0.68249985587610762</v>
      </c>
      <c r="I38" s="87">
        <v>898286.0010194215</v>
      </c>
      <c r="J38" s="87" t="e">
        <v>#DIV/0!</v>
      </c>
      <c r="K38" s="87">
        <v>0</v>
      </c>
      <c r="M38">
        <v>1</v>
      </c>
      <c r="N38" s="12" t="s">
        <v>81</v>
      </c>
      <c r="O38" s="22">
        <v>0.91269841269841268</v>
      </c>
      <c r="P38" s="13">
        <v>60</v>
      </c>
      <c r="Q38" s="12">
        <v>55</v>
      </c>
      <c r="R38" s="13">
        <v>126</v>
      </c>
      <c r="S38" s="13">
        <v>115</v>
      </c>
      <c r="T38" s="17">
        <v>-7.9000000000000057</v>
      </c>
    </row>
    <row r="39" spans="1:20" ht="16.5" thickBot="1" x14ac:dyDescent="0.3">
      <c r="A39" s="19" t="s">
        <v>81</v>
      </c>
      <c r="B39" s="98">
        <v>34000000</v>
      </c>
      <c r="C39" s="87">
        <v>37284573.35936065</v>
      </c>
      <c r="D39" s="87">
        <v>36534725.979826093</v>
      </c>
      <c r="E39" s="87">
        <v>749847.37953455746</v>
      </c>
      <c r="F39" s="88">
        <v>1.0966050988047249</v>
      </c>
      <c r="G39" s="87">
        <v>37284573.35936065</v>
      </c>
      <c r="H39" s="88">
        <v>1.0966050988047249</v>
      </c>
      <c r="I39" s="87">
        <v>1491382.934374426</v>
      </c>
      <c r="J39" s="87" t="e">
        <v>#DIV/0!</v>
      </c>
      <c r="K39" s="87">
        <v>559268.6003904097</v>
      </c>
      <c r="N39" s="3" t="s">
        <v>223</v>
      </c>
      <c r="O39" s="23"/>
      <c r="P39" s="14"/>
      <c r="Q39" s="8">
        <v>877</v>
      </c>
      <c r="R39" s="8">
        <v>1931</v>
      </c>
      <c r="S39" s="8">
        <v>1599</v>
      </c>
      <c r="T39" s="8"/>
    </row>
    <row r="40" spans="1:20" ht="16.5" thickBot="1" x14ac:dyDescent="0.3">
      <c r="A40" s="3" t="s">
        <v>223</v>
      </c>
      <c r="B40" s="94">
        <v>470669424.45172644</v>
      </c>
      <c r="C40" s="91">
        <v>454238898.70699006</v>
      </c>
      <c r="D40" s="87">
        <v>438946156.528826</v>
      </c>
      <c r="E40" s="91">
        <v>15292742.178164065</v>
      </c>
      <c r="F40" s="90">
        <v>0.96509115550924951</v>
      </c>
      <c r="G40" s="89">
        <v>454238898.70699012</v>
      </c>
      <c r="H40" s="90">
        <v>0.96509115550924962</v>
      </c>
      <c r="I40" s="89">
        <v>18169555.948279604</v>
      </c>
      <c r="J40" s="91" t="e">
        <v>#DIV/0!</v>
      </c>
      <c r="K40" s="91"/>
      <c r="N40" s="11" t="s">
        <v>42</v>
      </c>
      <c r="O40" s="24"/>
      <c r="P40" s="6"/>
      <c r="Q40" s="8">
        <v>2293</v>
      </c>
      <c r="R40" s="8">
        <v>5648</v>
      </c>
      <c r="S40" s="8">
        <v>4621</v>
      </c>
      <c r="T40" s="8"/>
    </row>
    <row r="41" spans="1:20" ht="15.75" x14ac:dyDescent="0.25">
      <c r="A41" s="95" t="s">
        <v>42</v>
      </c>
      <c r="B41" s="96">
        <v>1275790242.3422432</v>
      </c>
      <c r="C41" s="96">
        <v>1316864364.0235109</v>
      </c>
      <c r="D41" s="87">
        <v>1252046476.7537167</v>
      </c>
      <c r="E41" s="96">
        <v>64817887.269794226</v>
      </c>
      <c r="F41" s="97">
        <v>1.032195042976547</v>
      </c>
      <c r="G41" s="96">
        <v>1316864364.0235109</v>
      </c>
      <c r="H41" s="97">
        <v>1.032195042976547</v>
      </c>
      <c r="I41" s="96">
        <v>52674574.560940437</v>
      </c>
      <c r="J41" s="96" t="e">
        <v>#DIV/0!</v>
      </c>
      <c r="K41" s="96"/>
      <c r="M41">
        <v>58</v>
      </c>
      <c r="N41" s="13" t="s">
        <v>145</v>
      </c>
      <c r="O41" s="22">
        <v>0.330188679245283</v>
      </c>
      <c r="P41" s="13">
        <v>60</v>
      </c>
      <c r="Q41" s="12">
        <v>-25</v>
      </c>
      <c r="R41" s="13">
        <v>106</v>
      </c>
      <c r="S41" s="13">
        <v>35</v>
      </c>
      <c r="T41" s="17">
        <v>55.099999999999994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4" t="s">
        <v>41</v>
      </c>
      <c r="G42" s="85" t="s">
        <v>45</v>
      </c>
      <c r="H42" s="84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146</v>
      </c>
      <c r="O42" s="22">
        <v>0.56310679611650483</v>
      </c>
      <c r="P42" s="13">
        <v>60</v>
      </c>
      <c r="Q42" s="12">
        <v>-2</v>
      </c>
      <c r="R42" s="13">
        <v>103</v>
      </c>
      <c r="S42" s="13">
        <v>58</v>
      </c>
      <c r="T42" s="17">
        <v>29.549999999999997</v>
      </c>
    </row>
    <row r="43" spans="1:20" ht="15.75" x14ac:dyDescent="0.25">
      <c r="A43" s="19" t="s">
        <v>145</v>
      </c>
      <c r="B43" s="98">
        <v>40000000</v>
      </c>
      <c r="C43" s="87">
        <v>16160703.587675566</v>
      </c>
      <c r="D43" s="87">
        <v>16160703.587675566</v>
      </c>
      <c r="E43" s="87">
        <v>0</v>
      </c>
      <c r="F43" s="88">
        <v>0.40401758969188917</v>
      </c>
      <c r="G43" s="87">
        <v>16160703.587675566</v>
      </c>
      <c r="H43" s="88">
        <v>0.40401758969188917</v>
      </c>
      <c r="I43" s="87">
        <v>646428.14350702264</v>
      </c>
      <c r="J43" s="87" t="e">
        <v>#DIV/0!</v>
      </c>
      <c r="K43" s="87">
        <v>0</v>
      </c>
    </row>
    <row r="44" spans="1:20" ht="15.75" x14ac:dyDescent="0.25">
      <c r="A44" s="19" t="s">
        <v>146</v>
      </c>
      <c r="B44" s="98">
        <v>30000000</v>
      </c>
      <c r="C44" s="87">
        <v>7660108.9048522357</v>
      </c>
      <c r="D44" s="87">
        <v>7691698.2686022352</v>
      </c>
      <c r="E44" s="87">
        <v>-31589.363749999553</v>
      </c>
      <c r="F44" s="88">
        <v>0.25533696349507451</v>
      </c>
      <c r="G44" s="87">
        <v>7660108.9048522348</v>
      </c>
      <c r="H44" s="88">
        <v>0.25533696349507451</v>
      </c>
      <c r="I44" s="87">
        <v>306404.3561940894</v>
      </c>
      <c r="J44" s="87" t="e">
        <v>#DIV/0!</v>
      </c>
      <c r="K44" s="87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B6C8-C67E-46B3-B3DD-771B0AE98C8F}">
  <dimension ref="A1:T44"/>
  <sheetViews>
    <sheetView topLeftCell="B1" workbookViewId="0">
      <selection activeCell="M1" sqref="M1:T42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855468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4" t="s">
        <v>41</v>
      </c>
      <c r="G1" s="85" t="s">
        <v>45</v>
      </c>
      <c r="H1" s="84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95</v>
      </c>
      <c r="B2" s="86">
        <v>30741977.750715002</v>
      </c>
      <c r="C2" s="87">
        <v>39818671.535286605</v>
      </c>
      <c r="D2" s="87">
        <v>38382152.426511236</v>
      </c>
      <c r="E2" s="87">
        <v>1436519.1087753698</v>
      </c>
      <c r="F2" s="88">
        <v>1.2952540613415966</v>
      </c>
      <c r="G2" s="87">
        <v>39818671.535286605</v>
      </c>
      <c r="H2" s="88">
        <v>1.2952540613415966</v>
      </c>
      <c r="I2" s="87">
        <v>1659111.3139702752</v>
      </c>
      <c r="J2" s="87" t="e">
        <v>#DIV/0!</v>
      </c>
      <c r="K2" s="87">
        <v>796373.43070573208</v>
      </c>
      <c r="M2">
        <v>22</v>
      </c>
      <c r="N2" s="12" t="s">
        <v>97</v>
      </c>
      <c r="O2" s="22">
        <v>0.88732394366197187</v>
      </c>
      <c r="P2" s="13">
        <v>33</v>
      </c>
      <c r="Q2" s="12">
        <v>30</v>
      </c>
      <c r="R2" s="13">
        <v>71</v>
      </c>
      <c r="S2" s="13">
        <v>63</v>
      </c>
      <c r="T2" s="17">
        <v>-2.6499999999999986</v>
      </c>
    </row>
    <row r="3" spans="1:20" ht="15.75" x14ac:dyDescent="0.25">
      <c r="A3" s="19" t="s">
        <v>94</v>
      </c>
      <c r="B3" s="86">
        <v>29507360.170365002</v>
      </c>
      <c r="C3" s="87">
        <v>34425294.911571734</v>
      </c>
      <c r="D3" s="87">
        <v>32492713.315706059</v>
      </c>
      <c r="E3" s="87">
        <v>1932581.5958656743</v>
      </c>
      <c r="F3" s="88">
        <v>1.1666680690109967</v>
      </c>
      <c r="G3" s="87">
        <v>34425294.911571734</v>
      </c>
      <c r="H3" s="88">
        <v>1.1666680690109967</v>
      </c>
      <c r="I3" s="87">
        <v>1434387.2879821556</v>
      </c>
      <c r="J3" s="87" t="e">
        <v>#DIV/0!</v>
      </c>
      <c r="K3" s="87">
        <v>688505.89823143464</v>
      </c>
      <c r="M3">
        <v>49</v>
      </c>
      <c r="N3" s="13" t="s">
        <v>107</v>
      </c>
      <c r="O3" s="22">
        <v>0.45338983050847459</v>
      </c>
      <c r="P3" s="13">
        <v>1</v>
      </c>
      <c r="Q3" s="12">
        <v>106</v>
      </c>
      <c r="R3" s="13">
        <v>236</v>
      </c>
      <c r="S3" s="13">
        <v>107</v>
      </c>
      <c r="T3" s="17">
        <v>93.6</v>
      </c>
    </row>
    <row r="4" spans="1:20" ht="15.75" x14ac:dyDescent="0.25">
      <c r="A4" s="19" t="s">
        <v>92</v>
      </c>
      <c r="B4" s="86">
        <v>27038125.009665001</v>
      </c>
      <c r="C4" s="87">
        <v>30983085.948290985</v>
      </c>
      <c r="D4" s="87">
        <v>29980996.852587178</v>
      </c>
      <c r="E4" s="87">
        <v>1002089.0957038067</v>
      </c>
      <c r="F4" s="88">
        <v>1.1459036429935814</v>
      </c>
      <c r="G4" s="87">
        <v>30983085.948290985</v>
      </c>
      <c r="H4" s="88">
        <v>1.1459036429935814</v>
      </c>
      <c r="I4" s="87">
        <v>1290961.9145121244</v>
      </c>
      <c r="J4" s="87" t="e">
        <v>#DIV/0!</v>
      </c>
      <c r="K4" s="87">
        <v>619661.71896581969</v>
      </c>
      <c r="M4">
        <v>20</v>
      </c>
      <c r="N4" s="13" t="s">
        <v>95</v>
      </c>
      <c r="O4" s="22">
        <v>0.9151785714285714</v>
      </c>
      <c r="P4" s="13">
        <v>126</v>
      </c>
      <c r="Q4" s="12">
        <v>79</v>
      </c>
      <c r="R4" s="13">
        <v>224</v>
      </c>
      <c r="S4" s="13">
        <v>205</v>
      </c>
      <c r="T4" s="17">
        <v>-14.599999999999994</v>
      </c>
    </row>
    <row r="5" spans="1:20" ht="15.75" x14ac:dyDescent="0.25">
      <c r="A5" s="19" t="s">
        <v>90</v>
      </c>
      <c r="B5" s="86">
        <v>27038125.009665001</v>
      </c>
      <c r="C5" s="87">
        <v>31442511.170989752</v>
      </c>
      <c r="D5" s="87">
        <v>30971581.519086085</v>
      </c>
      <c r="E5" s="87">
        <v>470929.65190366656</v>
      </c>
      <c r="F5" s="88">
        <v>1.1628953989875543</v>
      </c>
      <c r="G5" s="87">
        <v>31442511.170989752</v>
      </c>
      <c r="H5" s="88">
        <v>1.1628953989875543</v>
      </c>
      <c r="I5" s="87">
        <v>1310104.632124573</v>
      </c>
      <c r="J5" s="87" t="e">
        <v>#DIV/0!</v>
      </c>
      <c r="K5" s="87">
        <v>628850.22341979505</v>
      </c>
      <c r="M5">
        <v>15</v>
      </c>
      <c r="N5" s="13" t="s">
        <v>91</v>
      </c>
      <c r="O5" s="22">
        <v>0.75384615384615383</v>
      </c>
      <c r="P5" s="13">
        <v>21</v>
      </c>
      <c r="Q5" s="12">
        <v>28</v>
      </c>
      <c r="R5" s="13">
        <v>65</v>
      </c>
      <c r="S5" s="13">
        <v>49</v>
      </c>
      <c r="T5" s="17">
        <v>6.25</v>
      </c>
    </row>
    <row r="6" spans="1:20" ht="15.75" x14ac:dyDescent="0.25">
      <c r="A6" s="19" t="s">
        <v>89</v>
      </c>
      <c r="B6" s="86">
        <v>22408309.083352499</v>
      </c>
      <c r="C6" s="87">
        <v>15712937.795380671</v>
      </c>
      <c r="D6" s="87">
        <v>15370350.500321532</v>
      </c>
      <c r="E6" s="87">
        <v>342587.29505913891</v>
      </c>
      <c r="F6" s="88">
        <v>0.70121032947791984</v>
      </c>
      <c r="G6" s="87">
        <v>15712937.795380671</v>
      </c>
      <c r="H6" s="88">
        <v>0.70121032947791984</v>
      </c>
      <c r="I6" s="87">
        <v>654705.74147419457</v>
      </c>
      <c r="J6" s="87" t="e">
        <v>#DIV/0!</v>
      </c>
      <c r="K6" s="87">
        <v>0</v>
      </c>
      <c r="M6">
        <v>19</v>
      </c>
      <c r="N6" s="13" t="s">
        <v>94</v>
      </c>
      <c r="O6" s="22">
        <v>0.87378640776699024</v>
      </c>
      <c r="P6" s="13">
        <v>100</v>
      </c>
      <c r="Q6" s="12">
        <v>80</v>
      </c>
      <c r="R6" s="13">
        <v>206</v>
      </c>
      <c r="S6" s="13">
        <v>180</v>
      </c>
      <c r="T6" s="17">
        <v>-4.9000000000000057</v>
      </c>
    </row>
    <row r="7" spans="1:20" ht="15.75" x14ac:dyDescent="0.25">
      <c r="A7" s="19" t="s">
        <v>86</v>
      </c>
      <c r="B7" s="86">
        <v>26420816.219490003</v>
      </c>
      <c r="C7" s="87">
        <v>21037673.697775695</v>
      </c>
      <c r="D7" s="87">
        <v>20409246.732949637</v>
      </c>
      <c r="E7" s="87">
        <v>628426.9648260586</v>
      </c>
      <c r="F7" s="88">
        <v>0.79625373883251604</v>
      </c>
      <c r="G7" s="87">
        <v>21037673.697775695</v>
      </c>
      <c r="H7" s="88">
        <v>0.79625373883251604</v>
      </c>
      <c r="I7" s="87">
        <v>876569.73740732064</v>
      </c>
      <c r="J7" s="87" t="e">
        <v>#DIV/0!</v>
      </c>
      <c r="K7" s="87">
        <v>0</v>
      </c>
      <c r="M7">
        <v>16</v>
      </c>
      <c r="N7" s="13" t="s">
        <v>92</v>
      </c>
      <c r="O7" s="22">
        <v>0.86363636363636365</v>
      </c>
      <c r="P7" s="13">
        <v>81</v>
      </c>
      <c r="Q7" s="12">
        <v>90</v>
      </c>
      <c r="R7" s="13">
        <v>198</v>
      </c>
      <c r="S7" s="13">
        <v>171</v>
      </c>
      <c r="T7" s="17">
        <v>-2.7000000000000171</v>
      </c>
    </row>
    <row r="8" spans="1:20" ht="15.75" x14ac:dyDescent="0.25">
      <c r="A8" s="19" t="s">
        <v>85</v>
      </c>
      <c r="B8" s="86">
        <v>34124829.920874</v>
      </c>
      <c r="C8" s="87">
        <v>36321844.916340284</v>
      </c>
      <c r="D8" s="87">
        <v>34680470.683944441</v>
      </c>
      <c r="E8" s="87">
        <v>1641374.2323958427</v>
      </c>
      <c r="F8" s="88">
        <v>1.0643817126872295</v>
      </c>
      <c r="G8" s="87">
        <v>36321844.916340284</v>
      </c>
      <c r="H8" s="88">
        <v>1.0643817126872295</v>
      </c>
      <c r="I8" s="87">
        <v>1513410.2048475118</v>
      </c>
      <c r="J8" s="87" t="e">
        <v>#DIV/0!</v>
      </c>
      <c r="K8" s="87">
        <v>454023.06145425356</v>
      </c>
      <c r="M8">
        <v>12</v>
      </c>
      <c r="N8" s="13" t="s">
        <v>90</v>
      </c>
      <c r="O8" s="22">
        <v>0.88207547169811318</v>
      </c>
      <c r="P8" s="13">
        <v>89</v>
      </c>
      <c r="Q8" s="12">
        <v>98</v>
      </c>
      <c r="R8" s="13">
        <v>212</v>
      </c>
      <c r="S8" s="13">
        <v>187</v>
      </c>
      <c r="T8" s="17">
        <v>-6.8000000000000114</v>
      </c>
    </row>
    <row r="9" spans="1:20" ht="15.75" x14ac:dyDescent="0.25">
      <c r="A9" s="19" t="s">
        <v>84</v>
      </c>
      <c r="B9" s="86">
        <v>34124829.920874</v>
      </c>
      <c r="C9" s="87">
        <v>39634220.308995903</v>
      </c>
      <c r="D9" s="87">
        <v>38178336.801874101</v>
      </c>
      <c r="E9" s="87">
        <v>1455883.5071218014</v>
      </c>
      <c r="F9" s="88">
        <v>1.1614481420389977</v>
      </c>
      <c r="G9" s="87">
        <v>39634220.308995903</v>
      </c>
      <c r="H9" s="88">
        <v>1.1614481420389977</v>
      </c>
      <c r="I9" s="87">
        <v>1651425.8462081626</v>
      </c>
      <c r="J9" s="87" t="e">
        <v>#DIV/0!</v>
      </c>
      <c r="K9" s="87">
        <v>792684.40617991809</v>
      </c>
      <c r="M9">
        <v>11</v>
      </c>
      <c r="N9" s="30" t="s">
        <v>89</v>
      </c>
      <c r="O9" s="22">
        <v>0.86470588235294121</v>
      </c>
      <c r="P9" s="13">
        <v>92</v>
      </c>
      <c r="Q9" s="12">
        <v>55</v>
      </c>
      <c r="R9" s="13">
        <v>170</v>
      </c>
      <c r="S9" s="13">
        <v>147</v>
      </c>
      <c r="T9" s="17">
        <v>-2.5</v>
      </c>
    </row>
    <row r="10" spans="1:20" ht="15.75" x14ac:dyDescent="0.25">
      <c r="A10" s="18" t="s">
        <v>51</v>
      </c>
      <c r="B10" s="89">
        <v>231404373.08500049</v>
      </c>
      <c r="C10" s="89">
        <v>249376240.28463167</v>
      </c>
      <c r="D10" s="87">
        <v>240465848.83298028</v>
      </c>
      <c r="E10" s="89">
        <v>8910391.451651359</v>
      </c>
      <c r="F10" s="90">
        <v>1.0776643369355412</v>
      </c>
      <c r="G10" s="89">
        <v>249376240.28463167</v>
      </c>
      <c r="H10" s="90">
        <v>1.0776643369355412</v>
      </c>
      <c r="I10" s="89">
        <v>10390676.67852632</v>
      </c>
      <c r="J10" s="91" t="e">
        <v>#DIV/0!</v>
      </c>
      <c r="K10" s="91"/>
      <c r="M10">
        <v>8</v>
      </c>
      <c r="N10" s="13" t="s">
        <v>86</v>
      </c>
      <c r="O10" s="22">
        <v>0.82631578947368423</v>
      </c>
      <c r="P10" s="13">
        <v>64</v>
      </c>
      <c r="Q10" s="12">
        <v>93</v>
      </c>
      <c r="R10" s="13">
        <v>190</v>
      </c>
      <c r="S10" s="13">
        <v>157</v>
      </c>
      <c r="T10" s="17">
        <v>4.5</v>
      </c>
    </row>
    <row r="11" spans="1:20" ht="15.75" x14ac:dyDescent="0.25">
      <c r="A11" s="19" t="s">
        <v>97</v>
      </c>
      <c r="B11" s="86">
        <v>92354236.647750005</v>
      </c>
      <c r="C11" s="87">
        <v>91382684.446631193</v>
      </c>
      <c r="D11" s="87">
        <v>78998182.076838285</v>
      </c>
      <c r="E11" s="87">
        <v>12384502.369792908</v>
      </c>
      <c r="F11" s="88">
        <v>0.98948015557938696</v>
      </c>
      <c r="G11" s="87">
        <v>91382684.446631193</v>
      </c>
      <c r="H11" s="88">
        <v>0.98948015557938696</v>
      </c>
      <c r="I11" s="87">
        <v>3807611.8519429662</v>
      </c>
      <c r="J11" s="87" t="e">
        <v>#DIV/0!</v>
      </c>
      <c r="K11" s="87">
        <v>0</v>
      </c>
      <c r="M11">
        <v>52</v>
      </c>
      <c r="N11" s="31" t="s">
        <v>112</v>
      </c>
      <c r="O11" s="32">
        <v>0.6767676767676768</v>
      </c>
      <c r="P11" s="31">
        <v>19</v>
      </c>
      <c r="Q11" s="33">
        <v>48</v>
      </c>
      <c r="R11" s="13">
        <v>99</v>
      </c>
      <c r="S11" s="13">
        <v>67</v>
      </c>
      <c r="T11" s="34">
        <v>17.149999999999991</v>
      </c>
    </row>
    <row r="12" spans="1:20" ht="15.75" x14ac:dyDescent="0.25">
      <c r="A12" s="19" t="s">
        <v>107</v>
      </c>
      <c r="B12" s="86">
        <v>30124668.960540004</v>
      </c>
      <c r="C12" s="87">
        <v>20951634.077469252</v>
      </c>
      <c r="D12" s="87">
        <v>20951634.077469252</v>
      </c>
      <c r="E12" s="87">
        <v>0</v>
      </c>
      <c r="F12" s="88">
        <v>0.69549757060944251</v>
      </c>
      <c r="G12" s="87">
        <v>20951634.077469252</v>
      </c>
      <c r="H12" s="88">
        <v>0.69549757060944251</v>
      </c>
      <c r="I12" s="87">
        <v>872984.75322788546</v>
      </c>
      <c r="J12" s="87" t="e">
        <v>#DIV/0!</v>
      </c>
      <c r="K12" s="87">
        <v>0</v>
      </c>
      <c r="M12">
        <v>53</v>
      </c>
      <c r="N12" s="31" t="s">
        <v>108</v>
      </c>
      <c r="O12" s="32">
        <v>0.64150943396226412</v>
      </c>
      <c r="P12" s="31">
        <v>24</v>
      </c>
      <c r="Q12" s="33">
        <v>44</v>
      </c>
      <c r="R12" s="13">
        <v>106</v>
      </c>
      <c r="S12" s="13">
        <v>68</v>
      </c>
      <c r="T12" s="34">
        <v>22.099999999999994</v>
      </c>
    </row>
    <row r="13" spans="1:20" ht="15.75" x14ac:dyDescent="0.25">
      <c r="A13" s="19" t="s">
        <v>91</v>
      </c>
      <c r="B13" s="86">
        <v>122251348.64249998</v>
      </c>
      <c r="C13" s="87">
        <v>81078998.773096651</v>
      </c>
      <c r="D13" s="87">
        <v>78531862.457030341</v>
      </c>
      <c r="E13" s="87">
        <v>2547136.3160663098</v>
      </c>
      <c r="F13" s="88">
        <v>0.66321557736100101</v>
      </c>
      <c r="G13" s="87">
        <v>81078998.773096651</v>
      </c>
      <c r="H13" s="88">
        <v>0.66321557736100101</v>
      </c>
      <c r="I13" s="87">
        <v>3378291.6155456938</v>
      </c>
      <c r="J13" s="87" t="e">
        <v>#DIV/0!</v>
      </c>
      <c r="K13" s="87">
        <v>0</v>
      </c>
      <c r="M13">
        <v>5</v>
      </c>
      <c r="N13" s="13" t="s">
        <v>85</v>
      </c>
      <c r="O13" s="22">
        <v>0.9031007751937985</v>
      </c>
      <c r="P13" s="13">
        <v>144</v>
      </c>
      <c r="Q13" s="12">
        <v>89</v>
      </c>
      <c r="R13" s="13">
        <v>258</v>
      </c>
      <c r="S13" s="13">
        <v>233</v>
      </c>
      <c r="T13" s="17">
        <v>-13.700000000000017</v>
      </c>
    </row>
    <row r="14" spans="1:20" ht="16.5" thickBot="1" x14ac:dyDescent="0.3">
      <c r="A14" s="19" t="s">
        <v>112</v>
      </c>
      <c r="B14" s="86">
        <v>40427673.7095</v>
      </c>
      <c r="C14" s="87">
        <v>39036663.42616079</v>
      </c>
      <c r="D14" s="87">
        <v>37851538.414763339</v>
      </c>
      <c r="E14" s="87">
        <v>1185125.0113974512</v>
      </c>
      <c r="F14" s="88">
        <v>0.9655926211996626</v>
      </c>
      <c r="G14" s="87">
        <v>39036663.42616079</v>
      </c>
      <c r="H14" s="88">
        <v>0.9655926211996626</v>
      </c>
      <c r="I14" s="87">
        <v>1626527.6427566996</v>
      </c>
      <c r="J14" s="87" t="e">
        <v>#DIV/0!</v>
      </c>
      <c r="K14" s="87">
        <v>0</v>
      </c>
      <c r="M14">
        <v>4</v>
      </c>
      <c r="N14" s="10" t="s">
        <v>84</v>
      </c>
      <c r="O14" s="22">
        <v>0.92265193370165743</v>
      </c>
      <c r="P14" s="13">
        <v>85</v>
      </c>
      <c r="Q14" s="12">
        <v>82</v>
      </c>
      <c r="R14" s="13">
        <v>181</v>
      </c>
      <c r="S14" s="13">
        <v>167</v>
      </c>
      <c r="T14" s="17">
        <v>-13.150000000000006</v>
      </c>
    </row>
    <row r="15" spans="1:20" ht="16.5" thickBot="1" x14ac:dyDescent="0.3">
      <c r="A15" s="19" t="s">
        <v>108</v>
      </c>
      <c r="B15" s="86">
        <v>40427673.7095</v>
      </c>
      <c r="C15" s="87">
        <v>46508428.539753534</v>
      </c>
      <c r="D15" s="87">
        <v>45915996.103353538</v>
      </c>
      <c r="E15" s="87">
        <v>592432.43639999628</v>
      </c>
      <c r="F15" s="88">
        <v>1.1504107031719866</v>
      </c>
      <c r="G15" s="87">
        <v>46508428.539753534</v>
      </c>
      <c r="H15" s="88">
        <v>1.1504107031719866</v>
      </c>
      <c r="I15" s="87">
        <v>1937851.1891563972</v>
      </c>
      <c r="J15" s="87" t="e">
        <v>#DIV/0!</v>
      </c>
      <c r="K15" s="87">
        <v>697626.42809630302</v>
      </c>
      <c r="N15" s="9" t="s">
        <v>37</v>
      </c>
      <c r="O15" s="23"/>
      <c r="P15" s="14"/>
      <c r="Q15" s="16">
        <v>922</v>
      </c>
      <c r="R15" s="8">
        <v>2216</v>
      </c>
      <c r="S15" s="8">
        <v>1801</v>
      </c>
      <c r="T15" s="8"/>
    </row>
    <row r="16" spans="1:20" ht="15.75" x14ac:dyDescent="0.25">
      <c r="A16" s="18" t="s">
        <v>52</v>
      </c>
      <c r="B16" s="89">
        <v>325585601.66978997</v>
      </c>
      <c r="C16" s="89">
        <v>278958409.26311141</v>
      </c>
      <c r="D16" s="87">
        <v>262249213.12945476</v>
      </c>
      <c r="E16" s="89">
        <v>16709196.133656651</v>
      </c>
      <c r="F16" s="90">
        <v>0.85678975922907052</v>
      </c>
      <c r="G16" s="89">
        <v>278958409.26311141</v>
      </c>
      <c r="H16" s="90">
        <v>0.85678975922907052</v>
      </c>
      <c r="I16" s="89">
        <v>11623267.052629642</v>
      </c>
      <c r="J16" s="91" t="e">
        <v>#DIV/0!</v>
      </c>
      <c r="K16" s="91"/>
      <c r="M16">
        <v>31</v>
      </c>
      <c r="N16" s="12" t="s">
        <v>101</v>
      </c>
      <c r="O16" s="22">
        <v>0.86928104575163401</v>
      </c>
      <c r="P16" s="13">
        <v>90</v>
      </c>
      <c r="Q16" s="12">
        <v>43</v>
      </c>
      <c r="R16" s="13">
        <v>153</v>
      </c>
      <c r="S16" s="13">
        <v>133</v>
      </c>
      <c r="T16" s="17">
        <v>-2.9500000000000171</v>
      </c>
    </row>
    <row r="17" spans="1:20" ht="15.75" x14ac:dyDescent="0.25">
      <c r="A17" s="19" t="s">
        <v>82</v>
      </c>
      <c r="B17" s="71">
        <v>27940969.650000002</v>
      </c>
      <c r="C17" s="87">
        <v>19539554.67881345</v>
      </c>
      <c r="D17" s="87">
        <v>18511481.821642894</v>
      </c>
      <c r="E17" s="87">
        <v>1028072.8571705557</v>
      </c>
      <c r="F17" s="88">
        <v>0.69931555431231962</v>
      </c>
      <c r="G17" s="87">
        <v>19539554.67881345</v>
      </c>
      <c r="H17" s="88">
        <v>0.69931555431231962</v>
      </c>
      <c r="I17" s="87">
        <v>814148.11161722708</v>
      </c>
      <c r="J17" s="87" t="e">
        <v>#DIV/0!</v>
      </c>
      <c r="K17" s="87">
        <v>0</v>
      </c>
      <c r="M17">
        <v>54</v>
      </c>
      <c r="N17" s="13" t="s">
        <v>109</v>
      </c>
      <c r="O17" s="22">
        <v>0.80597014925373134</v>
      </c>
      <c r="P17" s="13">
        <v>92</v>
      </c>
      <c r="Q17" s="12">
        <v>70</v>
      </c>
      <c r="R17" s="13">
        <v>201</v>
      </c>
      <c r="S17" s="13">
        <v>162</v>
      </c>
      <c r="T17" s="17">
        <v>8.8499999999999943</v>
      </c>
    </row>
    <row r="18" spans="1:20" ht="15.75" x14ac:dyDescent="0.25">
      <c r="A18" s="19" t="s">
        <v>83</v>
      </c>
      <c r="B18" s="71">
        <v>23770958</v>
      </c>
      <c r="C18" s="87">
        <v>18010273.76547106</v>
      </c>
      <c r="D18" s="87">
        <v>17637911.696073696</v>
      </c>
      <c r="E18" s="87">
        <v>372362.06939736381</v>
      </c>
      <c r="F18" s="88">
        <v>0.75765872647922139</v>
      </c>
      <c r="G18" s="87">
        <v>18010273.76547106</v>
      </c>
      <c r="H18" s="88">
        <v>0.75765872647922139</v>
      </c>
      <c r="I18" s="87">
        <v>750428.07356129412</v>
      </c>
      <c r="J18" s="87" t="e">
        <v>#DIV/0!</v>
      </c>
      <c r="K18" s="87">
        <v>0</v>
      </c>
      <c r="M18">
        <v>21</v>
      </c>
      <c r="N18" s="13" t="s">
        <v>96</v>
      </c>
      <c r="O18" s="22">
        <v>0.8493975903614458</v>
      </c>
      <c r="P18" s="13">
        <v>88</v>
      </c>
      <c r="Q18" s="12">
        <v>53</v>
      </c>
      <c r="R18" s="13">
        <v>166</v>
      </c>
      <c r="S18" s="13">
        <v>141</v>
      </c>
      <c r="T18" s="17">
        <v>9.9999999999994316E-2</v>
      </c>
    </row>
    <row r="19" spans="1:20" ht="15.75" x14ac:dyDescent="0.25">
      <c r="A19" s="19" t="s">
        <v>93</v>
      </c>
      <c r="B19" s="71">
        <v>24625381.109999999</v>
      </c>
      <c r="C19" s="87">
        <v>20256320.790835518</v>
      </c>
      <c r="D19" s="87">
        <v>19942352.806676645</v>
      </c>
      <c r="E19" s="87">
        <v>313967.98415887356</v>
      </c>
      <c r="F19" s="88">
        <v>0.82257897655885326</v>
      </c>
      <c r="G19" s="87">
        <v>20256320.790835518</v>
      </c>
      <c r="H19" s="88">
        <v>0.82257897655885326</v>
      </c>
      <c r="I19" s="87">
        <v>844013.36628481327</v>
      </c>
      <c r="J19" s="87" t="e">
        <v>#DIV/0!</v>
      </c>
      <c r="K19" s="87">
        <v>0</v>
      </c>
      <c r="M19">
        <v>23</v>
      </c>
      <c r="N19" s="13" t="s">
        <v>98</v>
      </c>
      <c r="O19" s="22">
        <v>0.87898089171974525</v>
      </c>
      <c r="P19" s="13">
        <v>95</v>
      </c>
      <c r="Q19" s="12">
        <v>43</v>
      </c>
      <c r="R19" s="13">
        <v>157</v>
      </c>
      <c r="S19" s="13">
        <v>138</v>
      </c>
      <c r="T19" s="17">
        <v>-4.5500000000000114</v>
      </c>
    </row>
    <row r="20" spans="1:20" ht="15.75" x14ac:dyDescent="0.25">
      <c r="A20" s="19" t="s">
        <v>96</v>
      </c>
      <c r="B20" s="71">
        <v>31950600</v>
      </c>
      <c r="C20" s="87">
        <v>32603870.30427184</v>
      </c>
      <c r="D20" s="87">
        <v>30464977.149072044</v>
      </c>
      <c r="E20" s="87">
        <v>2138893.155199796</v>
      </c>
      <c r="F20" s="88">
        <v>1.0204462609237961</v>
      </c>
      <c r="G20" s="87">
        <v>32603870.30427184</v>
      </c>
      <c r="H20" s="88">
        <v>1.0204462609237961</v>
      </c>
      <c r="I20" s="87">
        <v>1358494.5960113266</v>
      </c>
      <c r="J20" s="87" t="e">
        <v>#DIV/0!</v>
      </c>
      <c r="K20" s="87">
        <v>326038.70304271841</v>
      </c>
      <c r="M20">
        <v>18</v>
      </c>
      <c r="N20" s="13" t="s">
        <v>93</v>
      </c>
      <c r="O20" s="22">
        <v>0.86549707602339176</v>
      </c>
      <c r="P20" s="13">
        <v>83</v>
      </c>
      <c r="Q20" s="12">
        <v>65</v>
      </c>
      <c r="R20" s="13">
        <v>171</v>
      </c>
      <c r="S20" s="13">
        <v>148</v>
      </c>
      <c r="T20" s="17">
        <v>-2.6500000000000057</v>
      </c>
    </row>
    <row r="21" spans="1:20" ht="15.75" x14ac:dyDescent="0.25">
      <c r="A21" s="19" t="s">
        <v>98</v>
      </c>
      <c r="B21" s="71">
        <v>24246200</v>
      </c>
      <c r="C21" s="87">
        <v>21254078.570695039</v>
      </c>
      <c r="D21" s="87">
        <v>20863297.783106934</v>
      </c>
      <c r="E21" s="87">
        <v>390780.78758810461</v>
      </c>
      <c r="F21" s="88">
        <v>0.87659421149273031</v>
      </c>
      <c r="G21" s="87">
        <v>21254078.570695039</v>
      </c>
      <c r="H21" s="88">
        <v>0.87659421149273031</v>
      </c>
      <c r="I21" s="87">
        <v>885586.60711229325</v>
      </c>
      <c r="J21" s="87" t="e">
        <v>#DIV/0!</v>
      </c>
      <c r="K21" s="87">
        <v>0</v>
      </c>
      <c r="M21">
        <v>44</v>
      </c>
      <c r="N21" s="13" t="s">
        <v>161</v>
      </c>
      <c r="O21" s="22">
        <v>0.89221556886227549</v>
      </c>
      <c r="P21" s="13">
        <v>64</v>
      </c>
      <c r="Q21" s="12">
        <v>85</v>
      </c>
      <c r="R21" s="13">
        <v>167</v>
      </c>
      <c r="S21" s="13">
        <v>149</v>
      </c>
      <c r="T21" s="17">
        <v>-7.0500000000000114</v>
      </c>
    </row>
    <row r="22" spans="1:20" ht="15.75" x14ac:dyDescent="0.25">
      <c r="A22" s="19" t="s">
        <v>101</v>
      </c>
      <c r="B22" s="71">
        <v>30231324</v>
      </c>
      <c r="C22" s="87">
        <v>28200822.57017931</v>
      </c>
      <c r="D22" s="87">
        <v>27252487.000636328</v>
      </c>
      <c r="E22" s="87">
        <v>948335.56954298168</v>
      </c>
      <c r="F22" s="88">
        <v>0.93283451859995647</v>
      </c>
      <c r="G22" s="87">
        <v>28200822.57017931</v>
      </c>
      <c r="H22" s="88">
        <v>0.93283451859995647</v>
      </c>
      <c r="I22" s="87">
        <v>1175034.2737574712</v>
      </c>
      <c r="J22" s="87" t="e">
        <v>#DIV/0!</v>
      </c>
      <c r="K22" s="87">
        <v>0</v>
      </c>
      <c r="M22">
        <v>56</v>
      </c>
      <c r="N22" s="13" t="s">
        <v>140</v>
      </c>
      <c r="O22" s="22">
        <v>0.54404145077720212</v>
      </c>
      <c r="P22" s="13">
        <v>66</v>
      </c>
      <c r="Q22" s="12">
        <v>39</v>
      </c>
      <c r="R22" s="13">
        <v>193</v>
      </c>
      <c r="S22" s="13">
        <v>105</v>
      </c>
      <c r="T22" s="17">
        <v>59.049999999999983</v>
      </c>
    </row>
    <row r="23" spans="1:20" ht="15.75" x14ac:dyDescent="0.25">
      <c r="A23" s="19" t="s">
        <v>161</v>
      </c>
      <c r="B23" s="71">
        <v>26129472.600000001</v>
      </c>
      <c r="C23" s="87">
        <v>20127157.755923368</v>
      </c>
      <c r="D23" s="87">
        <v>19392227.644457728</v>
      </c>
      <c r="E23" s="87">
        <v>734930.11146564037</v>
      </c>
      <c r="F23" s="88">
        <v>0.77028564885474826</v>
      </c>
      <c r="G23" s="87">
        <v>20127157.755923368</v>
      </c>
      <c r="H23" s="88">
        <v>0.77028564885474826</v>
      </c>
      <c r="I23" s="87">
        <v>838631.57316347363</v>
      </c>
      <c r="J23" s="87" t="e">
        <v>#DIV/0!</v>
      </c>
      <c r="K23" s="87">
        <v>0</v>
      </c>
      <c r="M23">
        <v>2</v>
      </c>
      <c r="N23" s="13" t="s">
        <v>82</v>
      </c>
      <c r="O23" s="22">
        <v>0.8188405797101449</v>
      </c>
      <c r="P23" s="13">
        <v>70</v>
      </c>
      <c r="Q23" s="12">
        <v>43</v>
      </c>
      <c r="R23" s="13">
        <v>138</v>
      </c>
      <c r="S23" s="13">
        <v>113</v>
      </c>
      <c r="T23" s="17">
        <v>4.2999999999999972</v>
      </c>
    </row>
    <row r="24" spans="1:20" ht="16.5" thickBot="1" x14ac:dyDescent="0.3">
      <c r="A24" s="19" t="s">
        <v>109</v>
      </c>
      <c r="B24" s="71">
        <v>31899100</v>
      </c>
      <c r="C24" s="87">
        <v>37191738.050137773</v>
      </c>
      <c r="D24" s="87">
        <v>37037499.180309229</v>
      </c>
      <c r="E24" s="87">
        <v>154238.86982854456</v>
      </c>
      <c r="F24" s="88">
        <v>1.1659180995745264</v>
      </c>
      <c r="G24" s="87">
        <v>37191738.050137773</v>
      </c>
      <c r="H24" s="88">
        <v>1.1659180995745264</v>
      </c>
      <c r="I24" s="87">
        <v>1549655.7520890739</v>
      </c>
      <c r="J24" s="87" t="e">
        <v>#DIV/0!</v>
      </c>
      <c r="K24" s="87">
        <v>743834.76100275549</v>
      </c>
      <c r="M24">
        <v>3</v>
      </c>
      <c r="N24" s="10" t="s">
        <v>83</v>
      </c>
      <c r="O24" s="22">
        <v>0.88095238095238093</v>
      </c>
      <c r="P24" s="13">
        <v>79</v>
      </c>
      <c r="Q24" s="12">
        <v>69</v>
      </c>
      <c r="R24" s="13">
        <v>168</v>
      </c>
      <c r="S24" s="13">
        <v>148</v>
      </c>
      <c r="T24" s="17">
        <v>-5.2000000000000171</v>
      </c>
    </row>
    <row r="25" spans="1:20" ht="16.5" thickBot="1" x14ac:dyDescent="0.3">
      <c r="A25" s="19" t="s">
        <v>140</v>
      </c>
      <c r="B25" s="71">
        <v>51490431.300000004</v>
      </c>
      <c r="C25" s="87">
        <v>61158235.968446337</v>
      </c>
      <c r="D25" s="87">
        <v>62845721.087741278</v>
      </c>
      <c r="E25" s="87">
        <v>-1687485.1192949414</v>
      </c>
      <c r="F25" s="88">
        <v>1.1877592481624122</v>
      </c>
      <c r="G25" s="87">
        <v>61158235.968446344</v>
      </c>
      <c r="H25" s="88">
        <v>1.1877592481624122</v>
      </c>
      <c r="I25" s="87">
        <v>2548259.8320185975</v>
      </c>
      <c r="J25" s="87" t="e">
        <v>#DIV/0!</v>
      </c>
      <c r="K25" s="87">
        <v>917373.53952669515</v>
      </c>
      <c r="N25" s="9" t="s">
        <v>38</v>
      </c>
      <c r="O25" s="23"/>
      <c r="P25" s="14"/>
      <c r="Q25" s="16">
        <v>510</v>
      </c>
      <c r="R25" s="8">
        <v>1514</v>
      </c>
      <c r="S25" s="8">
        <v>1237</v>
      </c>
      <c r="T25" s="8"/>
    </row>
    <row r="26" spans="1:20" ht="15.75" x14ac:dyDescent="0.25">
      <c r="A26" s="20" t="s">
        <v>38</v>
      </c>
      <c r="B26" s="91">
        <v>272284436.66000003</v>
      </c>
      <c r="C26" s="91">
        <v>258342052.45477369</v>
      </c>
      <c r="D26" s="87">
        <v>253947956.16971678</v>
      </c>
      <c r="E26" s="91">
        <v>4394096.2850569189</v>
      </c>
      <c r="F26" s="90">
        <v>0.94879478101557413</v>
      </c>
      <c r="G26" s="89">
        <v>258342052.45477372</v>
      </c>
      <c r="H26" s="90">
        <v>0.94879478101557424</v>
      </c>
      <c r="I26" s="89">
        <v>10764252.185615571</v>
      </c>
      <c r="J26" s="91" t="e">
        <v>#DIV/0!</v>
      </c>
      <c r="K26" s="91"/>
      <c r="M26">
        <v>32</v>
      </c>
      <c r="N26" s="12" t="s">
        <v>102</v>
      </c>
      <c r="O26" s="22">
        <v>0.94545454545454544</v>
      </c>
      <c r="P26" s="13">
        <v>20</v>
      </c>
      <c r="Q26" s="12">
        <v>32</v>
      </c>
      <c r="R26" s="13">
        <v>55</v>
      </c>
      <c r="S26" s="13">
        <v>52</v>
      </c>
      <c r="T26" s="17">
        <v>-5.25</v>
      </c>
    </row>
    <row r="27" spans="1:20" ht="15.75" x14ac:dyDescent="0.25">
      <c r="A27" s="92" t="s">
        <v>102</v>
      </c>
      <c r="B27" s="98">
        <v>78074000</v>
      </c>
      <c r="C27" s="87">
        <v>77072215.391178802</v>
      </c>
      <c r="D27" s="87">
        <v>75226365.361191273</v>
      </c>
      <c r="E27" s="87">
        <v>1845850.0299875289</v>
      </c>
      <c r="F27" s="88">
        <v>0.98716878078718651</v>
      </c>
      <c r="G27" s="87">
        <v>77072215.391178802</v>
      </c>
      <c r="H27" s="88">
        <v>0.98716878078718651</v>
      </c>
      <c r="I27" s="87">
        <v>3211342.3079657834</v>
      </c>
      <c r="J27" s="87" t="e">
        <v>#DIV/0!</v>
      </c>
      <c r="K27" s="87">
        <v>0</v>
      </c>
      <c r="M27">
        <v>36</v>
      </c>
      <c r="N27" s="12" t="s">
        <v>224</v>
      </c>
      <c r="O27" s="22">
        <v>0.80645161290322576</v>
      </c>
      <c r="P27" s="13">
        <v>68</v>
      </c>
      <c r="Q27" s="12">
        <v>57</v>
      </c>
      <c r="R27" s="13">
        <v>155</v>
      </c>
      <c r="S27" s="13">
        <v>125</v>
      </c>
      <c r="T27" s="17">
        <v>6.75</v>
      </c>
    </row>
    <row r="28" spans="1:20" ht="15.75" x14ac:dyDescent="0.25">
      <c r="A28" s="19" t="s">
        <v>224</v>
      </c>
      <c r="B28" s="98">
        <v>21000000</v>
      </c>
      <c r="C28" s="87">
        <v>9485511.4323376957</v>
      </c>
      <c r="D28" s="87">
        <v>9320573.7666386589</v>
      </c>
      <c r="E28" s="87">
        <v>164937.66569903679</v>
      </c>
      <c r="F28" s="88">
        <v>0.45169102058750932</v>
      </c>
      <c r="G28" s="87">
        <v>9485511.4323376957</v>
      </c>
      <c r="H28" s="88">
        <v>0.45169102058750932</v>
      </c>
      <c r="I28" s="87">
        <v>395229.64301407064</v>
      </c>
      <c r="J28" s="87" t="e">
        <v>#DIV/0!</v>
      </c>
      <c r="K28" s="87">
        <v>0</v>
      </c>
      <c r="M28">
        <v>9</v>
      </c>
      <c r="N28" s="12" t="s">
        <v>87</v>
      </c>
      <c r="O28" s="22">
        <v>0.86163522012578619</v>
      </c>
      <c r="P28" s="13">
        <v>80</v>
      </c>
      <c r="Q28" s="12">
        <v>57</v>
      </c>
      <c r="R28" s="13">
        <v>159</v>
      </c>
      <c r="S28" s="13">
        <v>137</v>
      </c>
      <c r="T28" s="17">
        <v>-1.8499999999999943</v>
      </c>
    </row>
    <row r="29" spans="1:20" ht="15.75" x14ac:dyDescent="0.25">
      <c r="A29" s="19" t="s">
        <v>87</v>
      </c>
      <c r="B29" s="98">
        <v>24514000</v>
      </c>
      <c r="C29" s="87">
        <v>18129971.027611572</v>
      </c>
      <c r="D29" s="87">
        <v>17592967.566130582</v>
      </c>
      <c r="E29" s="87">
        <v>537003.46148099005</v>
      </c>
      <c r="F29" s="88">
        <v>0.73957620248068745</v>
      </c>
      <c r="G29" s="87">
        <v>18129971.027611572</v>
      </c>
      <c r="H29" s="88">
        <v>0.73957620248068745</v>
      </c>
      <c r="I29" s="87">
        <v>755415.45948381547</v>
      </c>
      <c r="J29" s="87" t="e">
        <v>#DIV/0!</v>
      </c>
      <c r="K29" s="87">
        <v>0</v>
      </c>
      <c r="M29">
        <v>40</v>
      </c>
      <c r="N29" s="12" t="s">
        <v>105</v>
      </c>
      <c r="O29" s="22">
        <v>0.57894736842105265</v>
      </c>
      <c r="P29" s="13">
        <v>68</v>
      </c>
      <c r="Q29" s="12">
        <v>75</v>
      </c>
      <c r="R29" s="13">
        <v>247</v>
      </c>
      <c r="S29" s="13">
        <v>143</v>
      </c>
      <c r="T29" s="17">
        <v>66.949999999999989</v>
      </c>
    </row>
    <row r="30" spans="1:20" ht="15.75" x14ac:dyDescent="0.25">
      <c r="A30" s="19" t="s">
        <v>105</v>
      </c>
      <c r="B30" s="98">
        <v>36412576.297262542</v>
      </c>
      <c r="C30" s="87">
        <v>17544543.519893952</v>
      </c>
      <c r="D30" s="87">
        <v>17464454.603893951</v>
      </c>
      <c r="E30" s="87">
        <v>80088.916000001132</v>
      </c>
      <c r="F30" s="88">
        <v>0.48182648150641655</v>
      </c>
      <c r="G30" s="87">
        <v>17544543.519893952</v>
      </c>
      <c r="H30" s="88">
        <v>0.48182648150641655</v>
      </c>
      <c r="I30" s="87">
        <v>731022.64666224795</v>
      </c>
      <c r="J30" s="87" t="e">
        <v>#DIV/0!</v>
      </c>
      <c r="K30" s="87">
        <v>0</v>
      </c>
      <c r="M30">
        <v>27</v>
      </c>
      <c r="N30" s="12" t="s">
        <v>99</v>
      </c>
      <c r="O30" s="22">
        <v>0.92907801418439717</v>
      </c>
      <c r="P30" s="13">
        <v>73</v>
      </c>
      <c r="Q30" s="12">
        <v>58</v>
      </c>
      <c r="R30" s="13">
        <v>141</v>
      </c>
      <c r="S30" s="13">
        <v>131</v>
      </c>
      <c r="T30" s="17">
        <v>-11.150000000000006</v>
      </c>
    </row>
    <row r="31" spans="1:20" ht="15.75" x14ac:dyDescent="0.25">
      <c r="A31" s="19" t="s">
        <v>99</v>
      </c>
      <c r="B31" s="98">
        <v>24205000</v>
      </c>
      <c r="C31" s="87">
        <v>21583379.530833326</v>
      </c>
      <c r="D31" s="87">
        <v>20925002.007663183</v>
      </c>
      <c r="E31" s="87">
        <v>658377.52317014337</v>
      </c>
      <c r="F31" s="88">
        <v>0.89169095355642747</v>
      </c>
      <c r="G31" s="87">
        <v>21583379.530833326</v>
      </c>
      <c r="H31" s="88">
        <v>0.89169095355642747</v>
      </c>
      <c r="I31" s="87">
        <v>899307.48045138863</v>
      </c>
      <c r="J31" s="87" t="e">
        <v>#DIV/0!</v>
      </c>
      <c r="K31" s="87">
        <v>0</v>
      </c>
      <c r="M31">
        <v>10</v>
      </c>
      <c r="N31" s="12" t="s">
        <v>225</v>
      </c>
      <c r="O31" s="22">
        <v>0.67777777777777781</v>
      </c>
      <c r="P31" s="13">
        <v>40</v>
      </c>
      <c r="Q31" s="12">
        <v>82</v>
      </c>
      <c r="R31" s="13">
        <v>180</v>
      </c>
      <c r="S31" s="13">
        <v>122</v>
      </c>
      <c r="T31" s="17">
        <v>31</v>
      </c>
    </row>
    <row r="32" spans="1:20" ht="15.75" x14ac:dyDescent="0.25">
      <c r="A32" s="19" t="s">
        <v>225</v>
      </c>
      <c r="B32" s="98">
        <v>24000000</v>
      </c>
      <c r="C32" s="87">
        <v>16088796.362979436</v>
      </c>
      <c r="D32" s="87">
        <v>15428148.704640051</v>
      </c>
      <c r="E32" s="87">
        <v>660647.65833938494</v>
      </c>
      <c r="F32" s="88">
        <v>0.67036651512414314</v>
      </c>
      <c r="G32" s="87">
        <v>16088796.362979438</v>
      </c>
      <c r="H32" s="88">
        <v>0.67036651512414325</v>
      </c>
      <c r="I32" s="87">
        <v>670366.51512414322</v>
      </c>
      <c r="J32" s="87" t="e">
        <v>#DIV/0!</v>
      </c>
      <c r="K32" s="87">
        <v>0</v>
      </c>
      <c r="M32">
        <v>28</v>
      </c>
      <c r="N32" s="12" t="s">
        <v>100</v>
      </c>
      <c r="O32" s="22">
        <v>0.88095238095238093</v>
      </c>
      <c r="P32" s="13">
        <v>67</v>
      </c>
      <c r="Q32" s="12">
        <v>81</v>
      </c>
      <c r="R32" s="13">
        <v>168</v>
      </c>
      <c r="S32" s="13">
        <v>148</v>
      </c>
      <c r="T32" s="17">
        <v>-5.2000000000000171</v>
      </c>
    </row>
    <row r="33" spans="1:20" ht="15.75" x14ac:dyDescent="0.25">
      <c r="A33" s="19" t="s">
        <v>100</v>
      </c>
      <c r="B33" s="98">
        <v>25235000</v>
      </c>
      <c r="C33" s="87">
        <v>16147931.300912788</v>
      </c>
      <c r="D33" s="87">
        <v>15774950.664548337</v>
      </c>
      <c r="E33" s="87">
        <v>372980.63636445068</v>
      </c>
      <c r="F33" s="88">
        <v>0.63990217162325291</v>
      </c>
      <c r="G33" s="87">
        <v>16147931.30091279</v>
      </c>
      <c r="H33" s="88">
        <v>0.63990217162325302</v>
      </c>
      <c r="I33" s="87">
        <v>672830.47087136621</v>
      </c>
      <c r="J33" s="87" t="e">
        <v>#DIV/0!</v>
      </c>
      <c r="K33" s="87">
        <v>0</v>
      </c>
      <c r="M33">
        <v>33</v>
      </c>
      <c r="N33" s="12" t="s">
        <v>139</v>
      </c>
      <c r="O33" s="22">
        <v>0.8294117647058824</v>
      </c>
      <c r="P33" s="13">
        <v>66</v>
      </c>
      <c r="Q33" s="12">
        <v>75</v>
      </c>
      <c r="R33" s="13">
        <v>170</v>
      </c>
      <c r="S33" s="13">
        <v>141</v>
      </c>
      <c r="T33" s="17">
        <v>3.5</v>
      </c>
    </row>
    <row r="34" spans="1:20" ht="15.75" x14ac:dyDescent="0.25">
      <c r="A34" s="19" t="s">
        <v>139</v>
      </c>
      <c r="B34" s="98">
        <v>21000000</v>
      </c>
      <c r="C34" s="87">
        <v>10182739.196154164</v>
      </c>
      <c r="D34" s="87">
        <v>9826903.0216558874</v>
      </c>
      <c r="E34" s="87">
        <v>355836.17449827679</v>
      </c>
      <c r="F34" s="88">
        <v>0.48489234267400783</v>
      </c>
      <c r="G34" s="87">
        <v>10182739.196154164</v>
      </c>
      <c r="H34" s="88">
        <v>0.48489234267400783</v>
      </c>
      <c r="I34" s="87">
        <v>424280.79983975686</v>
      </c>
      <c r="J34" s="87" t="e">
        <v>#DIV/0!</v>
      </c>
      <c r="K34" s="87">
        <v>0</v>
      </c>
      <c r="M34">
        <v>37</v>
      </c>
      <c r="N34" s="12" t="s">
        <v>104</v>
      </c>
      <c r="O34" s="22">
        <v>0.76595744680851063</v>
      </c>
      <c r="P34" s="13">
        <v>82</v>
      </c>
      <c r="Q34" s="12">
        <v>26</v>
      </c>
      <c r="R34" s="13">
        <v>141</v>
      </c>
      <c r="S34" s="13">
        <v>108</v>
      </c>
      <c r="T34" s="17">
        <v>11.849999999999994</v>
      </c>
    </row>
    <row r="35" spans="1:20" ht="15.75" x14ac:dyDescent="0.25">
      <c r="A35" s="19" t="s">
        <v>104</v>
      </c>
      <c r="B35" s="98">
        <v>23484000</v>
      </c>
      <c r="C35" s="87">
        <v>12199626.288747994</v>
      </c>
      <c r="D35" s="87">
        <v>11962084.295876404</v>
      </c>
      <c r="E35" s="87">
        <v>237541.99287158996</v>
      </c>
      <c r="F35" s="88">
        <v>0.51948672665423246</v>
      </c>
      <c r="G35" s="87">
        <v>12199626.288747994</v>
      </c>
      <c r="H35" s="88">
        <v>0.51948672665423246</v>
      </c>
      <c r="I35" s="87">
        <v>508317.76203116641</v>
      </c>
      <c r="J35" s="87" t="e">
        <v>#DIV/0!</v>
      </c>
      <c r="K35" s="87">
        <v>0</v>
      </c>
      <c r="M35">
        <v>24</v>
      </c>
      <c r="N35" s="12" t="s">
        <v>205</v>
      </c>
      <c r="O35" s="22">
        <v>0.74011299435028244</v>
      </c>
      <c r="P35" s="13">
        <v>81</v>
      </c>
      <c r="Q35" s="12">
        <v>50</v>
      </c>
      <c r="R35" s="13">
        <v>177</v>
      </c>
      <c r="S35" s="13">
        <v>131</v>
      </c>
      <c r="T35" s="17">
        <v>19.449999999999989</v>
      </c>
    </row>
    <row r="36" spans="1:20" ht="15.75" x14ac:dyDescent="0.25">
      <c r="A36" s="19" t="s">
        <v>205</v>
      </c>
      <c r="B36" s="98">
        <v>25235000</v>
      </c>
      <c r="C36" s="87">
        <v>15341981.696633715</v>
      </c>
      <c r="D36" s="87">
        <v>14125312.527919717</v>
      </c>
      <c r="E36" s="87">
        <v>1216669.168713998</v>
      </c>
      <c r="F36" s="88">
        <v>0.60796440248201766</v>
      </c>
      <c r="G36" s="87">
        <v>15341981.696633715</v>
      </c>
      <c r="H36" s="88">
        <v>0.60796440248201766</v>
      </c>
      <c r="I36" s="87">
        <v>639249.23735973809</v>
      </c>
      <c r="J36" s="87" t="e">
        <v>#DIV/0!</v>
      </c>
      <c r="K36" s="87">
        <v>0</v>
      </c>
      <c r="M36">
        <v>7</v>
      </c>
      <c r="N36" s="12" t="s">
        <v>111</v>
      </c>
      <c r="O36" s="22">
        <v>0.10619469026548672</v>
      </c>
      <c r="P36" s="13">
        <v>0</v>
      </c>
      <c r="Q36" s="12">
        <v>12</v>
      </c>
      <c r="R36" s="13">
        <v>113</v>
      </c>
      <c r="S36" s="13">
        <v>12</v>
      </c>
      <c r="T36" s="17">
        <v>84.05</v>
      </c>
    </row>
    <row r="37" spans="1:20" ht="15.75" x14ac:dyDescent="0.25">
      <c r="A37" s="19" t="s">
        <v>111</v>
      </c>
      <c r="B37" s="98">
        <v>114000000</v>
      </c>
      <c r="C37" s="87">
        <v>60310074.301579997</v>
      </c>
      <c r="D37" s="87">
        <v>63084633.19438</v>
      </c>
      <c r="E37" s="87">
        <v>-2774558.8928000033</v>
      </c>
      <c r="F37" s="88">
        <v>0.52903573948754379</v>
      </c>
      <c r="G37" s="87">
        <v>60310074.301579997</v>
      </c>
      <c r="H37" s="88">
        <v>0.52903573948754379</v>
      </c>
      <c r="I37" s="87">
        <v>2512919.7625658331</v>
      </c>
      <c r="J37" s="87" t="e">
        <v>#DIV/0!</v>
      </c>
      <c r="K37" s="87">
        <v>0</v>
      </c>
      <c r="M37">
        <v>57</v>
      </c>
      <c r="N37" s="12" t="s">
        <v>226</v>
      </c>
      <c r="O37" s="22">
        <v>0.25242718446601942</v>
      </c>
      <c r="P37" s="13">
        <v>17</v>
      </c>
      <c r="Q37" s="12">
        <v>9</v>
      </c>
      <c r="R37" s="13">
        <v>103</v>
      </c>
      <c r="S37" s="13">
        <v>26</v>
      </c>
      <c r="T37" s="17">
        <v>61.55</v>
      </c>
    </row>
    <row r="38" spans="1:20" ht="15.75" x14ac:dyDescent="0.25">
      <c r="A38" s="19" t="s">
        <v>226</v>
      </c>
      <c r="B38" s="98">
        <v>33000000</v>
      </c>
      <c r="C38" s="87">
        <v>8530829.1755289156</v>
      </c>
      <c r="D38" s="87">
        <v>8075916.3275289154</v>
      </c>
      <c r="E38" s="87">
        <v>454912.84800000023</v>
      </c>
      <c r="F38" s="88">
        <v>0.25850997501602774</v>
      </c>
      <c r="G38" s="87">
        <v>8530829.1755289156</v>
      </c>
      <c r="H38" s="88">
        <v>0.25850997501602774</v>
      </c>
      <c r="I38" s="87">
        <v>355451.21564703813</v>
      </c>
      <c r="J38" s="87" t="e">
        <v>#DIV/0!</v>
      </c>
      <c r="K38" s="87">
        <v>0</v>
      </c>
      <c r="M38">
        <v>1</v>
      </c>
      <c r="N38" s="12" t="s">
        <v>81</v>
      </c>
      <c r="O38" s="22">
        <v>0.88888888888888884</v>
      </c>
      <c r="P38" s="13">
        <v>60</v>
      </c>
      <c r="Q38" s="12">
        <v>52</v>
      </c>
      <c r="R38" s="13">
        <v>126</v>
      </c>
      <c r="S38" s="13">
        <v>112</v>
      </c>
      <c r="T38" s="17">
        <v>-4.9000000000000057</v>
      </c>
    </row>
    <row r="39" spans="1:20" ht="16.5" thickBot="1" x14ac:dyDescent="0.3">
      <c r="A39" s="19" t="s">
        <v>81</v>
      </c>
      <c r="B39" s="98">
        <v>34629931.18</v>
      </c>
      <c r="C39" s="87">
        <v>30911208.95904449</v>
      </c>
      <c r="D39" s="87">
        <v>29484602.898633268</v>
      </c>
      <c r="E39" s="87">
        <v>1426606.0604112223</v>
      </c>
      <c r="F39" s="88">
        <v>0.89261537363079713</v>
      </c>
      <c r="G39" s="87">
        <v>30911208.959044494</v>
      </c>
      <c r="H39" s="88">
        <v>0.89261537363079724</v>
      </c>
      <c r="I39" s="87">
        <v>1287967.0399601872</v>
      </c>
      <c r="J39" s="87" t="e">
        <v>#DIV/0!</v>
      </c>
      <c r="K39" s="87">
        <v>0</v>
      </c>
      <c r="N39" s="3" t="s">
        <v>223</v>
      </c>
      <c r="O39" s="23"/>
      <c r="P39" s="14"/>
      <c r="Q39" s="8">
        <v>666</v>
      </c>
      <c r="R39" s="8">
        <v>1935</v>
      </c>
      <c r="S39" s="8">
        <v>1388</v>
      </c>
      <c r="T39" s="8"/>
    </row>
    <row r="40" spans="1:20" ht="16.5" thickBot="1" x14ac:dyDescent="0.3">
      <c r="A40" s="3" t="s">
        <v>223</v>
      </c>
      <c r="B40" s="94">
        <v>484789507.47726256</v>
      </c>
      <c r="C40" s="91">
        <v>313528808.18343693</v>
      </c>
      <c r="D40" s="87">
        <v>308291914.94070017</v>
      </c>
      <c r="E40" s="91">
        <v>5236893.2427367568</v>
      </c>
      <c r="F40" s="90">
        <v>0.64673183587444283</v>
      </c>
      <c r="G40" s="89">
        <v>313528808.18343693</v>
      </c>
      <c r="H40" s="90">
        <v>0.64673183587444283</v>
      </c>
      <c r="I40" s="89">
        <v>13063700.340976538</v>
      </c>
      <c r="J40" s="91" t="e">
        <v>#DIV/0!</v>
      </c>
      <c r="K40" s="91"/>
      <c r="N40" s="11" t="s">
        <v>42</v>
      </c>
      <c r="O40" s="24"/>
      <c r="P40" s="6"/>
      <c r="Q40" s="8">
        <v>2098</v>
      </c>
      <c r="R40" s="8">
        <v>5665</v>
      </c>
      <c r="S40" s="8">
        <v>4426</v>
      </c>
      <c r="T40" s="8"/>
    </row>
    <row r="41" spans="1:20" ht="15.75" x14ac:dyDescent="0.25">
      <c r="A41" s="95" t="s">
        <v>42</v>
      </c>
      <c r="B41" s="96">
        <v>1314063949.6125104</v>
      </c>
      <c r="C41" s="96">
        <v>1100205510.1859536</v>
      </c>
      <c r="D41" s="87">
        <v>1064954933.0728519</v>
      </c>
      <c r="E41" s="96">
        <v>35250577.113101721</v>
      </c>
      <c r="F41" s="97">
        <v>0.83725416142066822</v>
      </c>
      <c r="G41" s="96">
        <v>1100205510.1859536</v>
      </c>
      <c r="H41" s="97">
        <v>0.83725416142066822</v>
      </c>
      <c r="I41" s="96">
        <v>45841896.257748067</v>
      </c>
      <c r="J41" s="96" t="e">
        <v>#DIV/0!</v>
      </c>
      <c r="K41" s="96"/>
      <c r="M41">
        <v>58</v>
      </c>
      <c r="N41" s="13" t="s">
        <v>145</v>
      </c>
      <c r="O41" s="22">
        <v>0.33628318584070799</v>
      </c>
      <c r="P41" s="13">
        <v>60</v>
      </c>
      <c r="Q41" s="12">
        <v>-22</v>
      </c>
      <c r="R41" s="13">
        <v>113</v>
      </c>
      <c r="S41" s="13">
        <v>38</v>
      </c>
      <c r="T41" s="17">
        <v>58.05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4" t="s">
        <v>41</v>
      </c>
      <c r="G42" s="85" t="s">
        <v>45</v>
      </c>
      <c r="H42" s="84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146</v>
      </c>
      <c r="O42" s="22">
        <v>0.5663716814159292</v>
      </c>
      <c r="P42" s="13">
        <v>60</v>
      </c>
      <c r="Q42" s="12">
        <v>4</v>
      </c>
      <c r="R42" s="13">
        <v>113</v>
      </c>
      <c r="S42" s="13">
        <v>64</v>
      </c>
      <c r="T42" s="17">
        <v>32.049999999999997</v>
      </c>
    </row>
    <row r="43" spans="1:20" ht="15.75" x14ac:dyDescent="0.25">
      <c r="A43" s="19" t="s">
        <v>145</v>
      </c>
      <c r="B43" s="98">
        <v>40000000</v>
      </c>
      <c r="C43" s="87">
        <v>19702264.930524979</v>
      </c>
      <c r="D43" s="87">
        <v>19702264.930524979</v>
      </c>
      <c r="E43" s="87">
        <v>0</v>
      </c>
      <c r="F43" s="88">
        <v>0.49255662326312449</v>
      </c>
      <c r="G43" s="87">
        <v>19702264.930524979</v>
      </c>
      <c r="H43" s="88">
        <v>0.49255662326312449</v>
      </c>
      <c r="I43" s="87">
        <v>820927.70543854078</v>
      </c>
      <c r="J43" s="87" t="e">
        <v>#DIV/0!</v>
      </c>
      <c r="K43" s="87">
        <v>0</v>
      </c>
    </row>
    <row r="44" spans="1:20" ht="15.75" x14ac:dyDescent="0.25">
      <c r="A44" s="19" t="s">
        <v>146</v>
      </c>
      <c r="B44" s="98">
        <v>30000000</v>
      </c>
      <c r="C44" s="87">
        <v>7943645.3323342865</v>
      </c>
      <c r="D44" s="87">
        <v>7943645.3323342865</v>
      </c>
      <c r="E44" s="87">
        <v>0</v>
      </c>
      <c r="F44" s="88">
        <v>0.26478817774447622</v>
      </c>
      <c r="G44" s="87">
        <v>7943645.3323342865</v>
      </c>
      <c r="H44" s="88">
        <v>0.26478817774447622</v>
      </c>
      <c r="I44" s="87">
        <v>330985.22218059527</v>
      </c>
      <c r="J44" s="87" t="e">
        <v>#DIV/0!</v>
      </c>
      <c r="K44" s="87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7CA9-99F9-4CEF-80C7-E4107E25939D}">
  <dimension ref="A1:V44"/>
  <sheetViews>
    <sheetView topLeftCell="F1" workbookViewId="0">
      <selection activeCell="P1" sqref="P1:V42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7109375" bestFit="1" customWidth="1"/>
    <col min="9" max="9" width="34.140625" bestFit="1" customWidth="1"/>
    <col min="10" max="10" width="15" bestFit="1" customWidth="1"/>
    <col min="11" max="11" width="21.85546875" bestFit="1" customWidth="1"/>
    <col min="12" max="12" width="14.140625" bestFit="1" customWidth="1"/>
  </cols>
  <sheetData>
    <row r="1" spans="1:22" ht="15.75" thickBot="1" x14ac:dyDescent="0.3">
      <c r="A1" s="99" t="s">
        <v>206</v>
      </c>
      <c r="B1" s="99" t="s">
        <v>76</v>
      </c>
      <c r="C1" s="99" t="s">
        <v>31</v>
      </c>
      <c r="D1" s="99" t="s">
        <v>32</v>
      </c>
      <c r="E1" s="99" t="s">
        <v>39</v>
      </c>
      <c r="F1" s="99" t="s">
        <v>33</v>
      </c>
      <c r="G1" s="100" t="s">
        <v>41</v>
      </c>
      <c r="H1" s="101" t="s">
        <v>45</v>
      </c>
      <c r="I1" s="100" t="s">
        <v>46</v>
      </c>
      <c r="J1" s="99" t="s">
        <v>35</v>
      </c>
      <c r="K1" s="99" t="s">
        <v>34</v>
      </c>
      <c r="L1" s="99" t="s">
        <v>53</v>
      </c>
      <c r="N1" s="82" t="s">
        <v>206</v>
      </c>
      <c r="P1" s="83" t="s">
        <v>76</v>
      </c>
      <c r="Q1" s="21" t="s">
        <v>43</v>
      </c>
      <c r="R1" s="15" t="s">
        <v>50</v>
      </c>
      <c r="S1" s="7" t="s">
        <v>44</v>
      </c>
      <c r="T1" s="7" t="s">
        <v>48</v>
      </c>
      <c r="U1" s="7" t="s">
        <v>49</v>
      </c>
      <c r="V1" s="7" t="s">
        <v>54</v>
      </c>
    </row>
    <row r="2" spans="1:22" ht="15.75" x14ac:dyDescent="0.25">
      <c r="A2" s="125" t="s">
        <v>207</v>
      </c>
      <c r="B2" s="69" t="s">
        <v>95</v>
      </c>
      <c r="C2" s="102">
        <v>30741977.750715002</v>
      </c>
      <c r="D2" s="103">
        <v>45393596.318009116</v>
      </c>
      <c r="E2" s="103">
        <v>44565213.776346438</v>
      </c>
      <c r="F2" s="103">
        <v>828382.54166267812</v>
      </c>
      <c r="G2" s="104">
        <v>1.4765997388360397</v>
      </c>
      <c r="H2" s="103">
        <v>45393596.318009116</v>
      </c>
      <c r="I2" s="104">
        <v>1.4765997388360397</v>
      </c>
      <c r="J2" s="103">
        <v>1891399.8465837131</v>
      </c>
      <c r="K2" s="103" t="e">
        <v>#DIV/0!</v>
      </c>
      <c r="L2" s="105">
        <v>907871.92636018235</v>
      </c>
      <c r="N2" s="143" t="s">
        <v>37</v>
      </c>
      <c r="O2">
        <v>22</v>
      </c>
      <c r="P2" s="12" t="s">
        <v>97</v>
      </c>
      <c r="Q2" s="22">
        <v>0.84722222222222221</v>
      </c>
      <c r="R2" s="13">
        <v>33</v>
      </c>
      <c r="S2" s="12">
        <v>28</v>
      </c>
      <c r="T2" s="13">
        <v>72</v>
      </c>
      <c r="U2" s="13">
        <v>61</v>
      </c>
      <c r="V2" s="17">
        <v>0.19999999999999574</v>
      </c>
    </row>
    <row r="3" spans="1:22" ht="15.75" x14ac:dyDescent="0.25">
      <c r="A3" s="126"/>
      <c r="B3" s="19" t="s">
        <v>94</v>
      </c>
      <c r="C3" s="106">
        <v>29507360.170365002</v>
      </c>
      <c r="D3" s="87">
        <v>35395968.509754337</v>
      </c>
      <c r="E3" s="87">
        <v>34367103.860738821</v>
      </c>
      <c r="F3" s="87">
        <v>1028864.649015516</v>
      </c>
      <c r="G3" s="88">
        <v>1.1995640513211145</v>
      </c>
      <c r="H3" s="87">
        <v>35395968.509754337</v>
      </c>
      <c r="I3" s="88">
        <v>1.1995640513211145</v>
      </c>
      <c r="J3" s="87">
        <v>1474832.0212397641</v>
      </c>
      <c r="K3" s="87" t="e">
        <v>#DIV/0!</v>
      </c>
      <c r="L3" s="107">
        <v>707919.37019508681</v>
      </c>
      <c r="N3" s="143"/>
      <c r="O3">
        <v>49</v>
      </c>
      <c r="P3" s="13" t="s">
        <v>107</v>
      </c>
      <c r="Q3" s="22">
        <v>0.42259414225941422</v>
      </c>
      <c r="R3" s="13">
        <v>1</v>
      </c>
      <c r="S3" s="12">
        <v>100</v>
      </c>
      <c r="T3" s="13">
        <v>239</v>
      </c>
      <c r="U3" s="13">
        <v>101</v>
      </c>
      <c r="V3" s="17">
        <v>102.15</v>
      </c>
    </row>
    <row r="4" spans="1:22" ht="15.75" x14ac:dyDescent="0.25">
      <c r="A4" s="126"/>
      <c r="B4" s="19" t="s">
        <v>92</v>
      </c>
      <c r="C4" s="106">
        <v>27038125.009665001</v>
      </c>
      <c r="D4" s="87">
        <v>27694208.38973878</v>
      </c>
      <c r="E4" s="87">
        <v>27411105.047851767</v>
      </c>
      <c r="F4" s="87">
        <v>283103.34188701212</v>
      </c>
      <c r="G4" s="88">
        <v>1.0242651211886644</v>
      </c>
      <c r="H4" s="87">
        <v>27694208.389738783</v>
      </c>
      <c r="I4" s="88">
        <v>1.0242651211886644</v>
      </c>
      <c r="J4" s="87">
        <v>1153925.3495724492</v>
      </c>
      <c r="K4" s="87" t="e">
        <v>#DIV/0!</v>
      </c>
      <c r="L4" s="107">
        <v>276942.08389738784</v>
      </c>
      <c r="N4" s="143"/>
      <c r="O4">
        <v>20</v>
      </c>
      <c r="P4" s="13" t="s">
        <v>95</v>
      </c>
      <c r="Q4" s="22">
        <v>0.92920353982300885</v>
      </c>
      <c r="R4" s="13">
        <v>126</v>
      </c>
      <c r="S4" s="12">
        <v>84</v>
      </c>
      <c r="T4" s="13">
        <v>226</v>
      </c>
      <c r="U4" s="13">
        <v>210</v>
      </c>
      <c r="V4" s="17">
        <v>-17.900000000000006</v>
      </c>
    </row>
    <row r="5" spans="1:22" ht="15.75" x14ac:dyDescent="0.25">
      <c r="A5" s="126"/>
      <c r="B5" s="19" t="s">
        <v>90</v>
      </c>
      <c r="C5" s="106">
        <v>27038125.009665001</v>
      </c>
      <c r="D5" s="87">
        <v>34958252.60867209</v>
      </c>
      <c r="E5" s="87">
        <v>33251965.370231558</v>
      </c>
      <c r="F5" s="87">
        <v>1706287.2384405322</v>
      </c>
      <c r="G5" s="88">
        <v>1.2929244389607628</v>
      </c>
      <c r="H5" s="87">
        <v>34958252.60867209</v>
      </c>
      <c r="I5" s="88">
        <v>1.2929244389607628</v>
      </c>
      <c r="J5" s="87">
        <v>1456593.8586946705</v>
      </c>
      <c r="K5" s="87" t="e">
        <v>#DIV/0!</v>
      </c>
      <c r="L5" s="107">
        <v>699165.05217344186</v>
      </c>
      <c r="N5" s="143"/>
      <c r="O5">
        <v>15</v>
      </c>
      <c r="P5" s="13" t="s">
        <v>91</v>
      </c>
      <c r="Q5" s="22">
        <v>0.81538461538461537</v>
      </c>
      <c r="R5" s="13">
        <v>21</v>
      </c>
      <c r="S5" s="12">
        <v>32</v>
      </c>
      <c r="T5" s="13">
        <v>65</v>
      </c>
      <c r="U5" s="13">
        <v>53</v>
      </c>
      <c r="V5" s="17">
        <v>2.25</v>
      </c>
    </row>
    <row r="6" spans="1:22" ht="15.75" x14ac:dyDescent="0.25">
      <c r="A6" s="126"/>
      <c r="B6" s="19" t="s">
        <v>210</v>
      </c>
      <c r="C6" s="106">
        <v>22408309.083352499</v>
      </c>
      <c r="D6" s="87">
        <v>17283627.579417564</v>
      </c>
      <c r="E6" s="87">
        <v>16972113.7561673</v>
      </c>
      <c r="F6" s="87">
        <v>311513.82325026393</v>
      </c>
      <c r="G6" s="88">
        <v>0.77130440833921976</v>
      </c>
      <c r="H6" s="87">
        <v>17283627.579417564</v>
      </c>
      <c r="I6" s="88">
        <v>0.77130440833921976</v>
      </c>
      <c r="J6" s="87">
        <v>720151.1491423985</v>
      </c>
      <c r="K6" s="87" t="e">
        <v>#DIV/0!</v>
      </c>
      <c r="L6" s="107">
        <v>0</v>
      </c>
      <c r="N6" s="143"/>
      <c r="O6">
        <v>19</v>
      </c>
      <c r="P6" s="13" t="s">
        <v>94</v>
      </c>
      <c r="Q6" s="22">
        <v>0.88405797101449279</v>
      </c>
      <c r="R6" s="13">
        <v>100</v>
      </c>
      <c r="S6" s="12">
        <v>83</v>
      </c>
      <c r="T6" s="13">
        <v>207</v>
      </c>
      <c r="U6" s="13">
        <v>183</v>
      </c>
      <c r="V6" s="17">
        <v>-7.0500000000000114</v>
      </c>
    </row>
    <row r="7" spans="1:22" ht="15.75" x14ac:dyDescent="0.25">
      <c r="A7" s="126"/>
      <c r="B7" s="19" t="s">
        <v>86</v>
      </c>
      <c r="C7" s="106">
        <v>26420816.219490003</v>
      </c>
      <c r="D7" s="87">
        <v>26532043.464193381</v>
      </c>
      <c r="E7" s="87">
        <v>24547361.284495667</v>
      </c>
      <c r="F7" s="87">
        <v>1984682.1796977147</v>
      </c>
      <c r="G7" s="88">
        <v>1.0042098337833079</v>
      </c>
      <c r="H7" s="87">
        <v>26532043.464193381</v>
      </c>
      <c r="I7" s="88">
        <v>1.0042098337833079</v>
      </c>
      <c r="J7" s="87">
        <v>1105501.8110080576</v>
      </c>
      <c r="K7" s="87" t="e">
        <v>#DIV/0!</v>
      </c>
      <c r="L7" s="107">
        <v>265320.43464193383</v>
      </c>
      <c r="N7" s="143"/>
      <c r="O7">
        <v>16</v>
      </c>
      <c r="P7" s="13" t="s">
        <v>92</v>
      </c>
      <c r="Q7" s="22">
        <v>0.86363636363636365</v>
      </c>
      <c r="R7" s="13">
        <v>81</v>
      </c>
      <c r="S7" s="12">
        <v>90</v>
      </c>
      <c r="T7" s="13">
        <v>198</v>
      </c>
      <c r="U7" s="13">
        <v>171</v>
      </c>
      <c r="V7" s="17">
        <v>-2.7000000000000171</v>
      </c>
    </row>
    <row r="8" spans="1:22" ht="15.75" x14ac:dyDescent="0.25">
      <c r="A8" s="126"/>
      <c r="B8" s="19" t="s">
        <v>85</v>
      </c>
      <c r="C8" s="106">
        <v>34124829.920874</v>
      </c>
      <c r="D8" s="87">
        <v>36334954.893270783</v>
      </c>
      <c r="E8" s="87">
        <v>35445411.591822572</v>
      </c>
      <c r="F8" s="87">
        <v>889543.30144821107</v>
      </c>
      <c r="G8" s="88">
        <v>1.064765889750116</v>
      </c>
      <c r="H8" s="87">
        <v>36334954.893270783</v>
      </c>
      <c r="I8" s="88">
        <v>1.064765889750116</v>
      </c>
      <c r="J8" s="87">
        <v>1513956.4538862826</v>
      </c>
      <c r="K8" s="87" t="e">
        <v>#DIV/0!</v>
      </c>
      <c r="L8" s="107">
        <v>454186.93616588484</v>
      </c>
      <c r="N8" s="143"/>
      <c r="O8">
        <v>12</v>
      </c>
      <c r="P8" s="13" t="s">
        <v>90</v>
      </c>
      <c r="Q8" s="22">
        <v>0.85915492957746475</v>
      </c>
      <c r="R8" s="13">
        <v>89</v>
      </c>
      <c r="S8" s="12">
        <v>94</v>
      </c>
      <c r="T8" s="13">
        <v>213</v>
      </c>
      <c r="U8" s="13">
        <v>183</v>
      </c>
      <c r="V8" s="17">
        <v>-1.9500000000000171</v>
      </c>
    </row>
    <row r="9" spans="1:22" ht="15.75" x14ac:dyDescent="0.25">
      <c r="A9" s="126"/>
      <c r="B9" s="19" t="s">
        <v>84</v>
      </c>
      <c r="C9" s="106">
        <v>34124829.920874</v>
      </c>
      <c r="D9" s="87">
        <v>40070884.359823771</v>
      </c>
      <c r="E9" s="87">
        <v>39408089.840277895</v>
      </c>
      <c r="F9" s="87">
        <v>662794.51954587549</v>
      </c>
      <c r="G9" s="88">
        <v>1.1742442219561833</v>
      </c>
      <c r="H9" s="87">
        <v>40070884.359823771</v>
      </c>
      <c r="I9" s="88">
        <v>1.1742442219561833</v>
      </c>
      <c r="J9" s="87">
        <v>1669620.1816593239</v>
      </c>
      <c r="K9" s="87" t="e">
        <v>#DIV/0!</v>
      </c>
      <c r="L9" s="107">
        <v>801417.68719647545</v>
      </c>
      <c r="N9" s="143"/>
      <c r="O9">
        <v>11</v>
      </c>
      <c r="P9" s="30" t="s">
        <v>210</v>
      </c>
      <c r="Q9" s="22">
        <v>0.74691358024691357</v>
      </c>
      <c r="R9" s="13">
        <v>92</v>
      </c>
      <c r="S9" s="12">
        <v>29</v>
      </c>
      <c r="T9" s="13">
        <v>162</v>
      </c>
      <c r="U9" s="13">
        <v>121</v>
      </c>
      <c r="V9" s="17">
        <v>16.699999999999989</v>
      </c>
    </row>
    <row r="10" spans="1:22" ht="16.5" thickBot="1" x14ac:dyDescent="0.3">
      <c r="A10" s="127"/>
      <c r="B10" s="3"/>
      <c r="C10" s="108">
        <v>231404373.08500049</v>
      </c>
      <c r="D10" s="108">
        <v>263663536.1228798</v>
      </c>
      <c r="E10" s="109">
        <v>255968364.52793205</v>
      </c>
      <c r="F10" s="108">
        <v>7695171.5949478038</v>
      </c>
      <c r="G10" s="110">
        <v>1.1394060216227191</v>
      </c>
      <c r="H10" s="108">
        <v>263663536.1228798</v>
      </c>
      <c r="I10" s="110">
        <v>1.1394060216227191</v>
      </c>
      <c r="J10" s="108">
        <v>10985980.671786658</v>
      </c>
      <c r="K10" s="111" t="e">
        <v>#DIV/0!</v>
      </c>
      <c r="L10" s="112"/>
      <c r="N10" s="143"/>
      <c r="O10">
        <v>8</v>
      </c>
      <c r="P10" s="13" t="s">
        <v>86</v>
      </c>
      <c r="Q10" s="22">
        <v>0.87113402061855671</v>
      </c>
      <c r="R10" s="13">
        <v>64</v>
      </c>
      <c r="S10" s="12">
        <v>105</v>
      </c>
      <c r="T10" s="13">
        <v>194</v>
      </c>
      <c r="U10" s="13">
        <v>169</v>
      </c>
      <c r="V10" s="17">
        <v>-4.0999999999999943</v>
      </c>
    </row>
    <row r="11" spans="1:22" ht="15.75" x14ac:dyDescent="0.25">
      <c r="A11" s="125" t="s">
        <v>208</v>
      </c>
      <c r="B11" s="69" t="s">
        <v>97</v>
      </c>
      <c r="C11" s="102">
        <v>92354236.647750005</v>
      </c>
      <c r="D11" s="103">
        <v>94799866.546719819</v>
      </c>
      <c r="E11" s="103">
        <v>93863435.05905427</v>
      </c>
      <c r="F11" s="103">
        <v>936431.48766554892</v>
      </c>
      <c r="G11" s="104">
        <v>1.0264809713960144</v>
      </c>
      <c r="H11" s="103">
        <v>94799866.546719819</v>
      </c>
      <c r="I11" s="104">
        <v>1.0264809713960144</v>
      </c>
      <c r="J11" s="103">
        <v>3949994.4394466593</v>
      </c>
      <c r="K11" s="103" t="e">
        <v>#DIV/0!</v>
      </c>
      <c r="L11" s="105">
        <v>473999.33273359912</v>
      </c>
      <c r="N11" s="143"/>
      <c r="O11">
        <v>52</v>
      </c>
      <c r="P11" s="31" t="s">
        <v>112</v>
      </c>
      <c r="Q11" s="32">
        <v>0.57425742574257421</v>
      </c>
      <c r="R11" s="31">
        <v>19</v>
      </c>
      <c r="S11" s="33">
        <v>39</v>
      </c>
      <c r="T11" s="13">
        <v>101</v>
      </c>
      <c r="U11" s="13">
        <v>58</v>
      </c>
      <c r="V11" s="34">
        <v>27.849999999999994</v>
      </c>
    </row>
    <row r="12" spans="1:22" ht="15.75" x14ac:dyDescent="0.25">
      <c r="A12" s="126"/>
      <c r="B12" s="19" t="s">
        <v>107</v>
      </c>
      <c r="C12" s="106">
        <v>30124668.960540004</v>
      </c>
      <c r="D12" s="87">
        <v>22603163.745717153</v>
      </c>
      <c r="E12" s="87">
        <v>22603163.745717153</v>
      </c>
      <c r="F12" s="87">
        <v>0</v>
      </c>
      <c r="G12" s="88">
        <v>0.75032073465520255</v>
      </c>
      <c r="H12" s="87">
        <v>22603163.745717153</v>
      </c>
      <c r="I12" s="88">
        <v>0.75032073465520255</v>
      </c>
      <c r="J12" s="87">
        <v>941798.48940488137</v>
      </c>
      <c r="K12" s="87" t="e">
        <v>#DIV/0!</v>
      </c>
      <c r="L12" s="107">
        <v>0</v>
      </c>
      <c r="N12" s="143"/>
      <c r="O12">
        <v>53</v>
      </c>
      <c r="P12" s="31" t="s">
        <v>108</v>
      </c>
      <c r="Q12" s="32">
        <v>0.65714285714285714</v>
      </c>
      <c r="R12" s="31">
        <v>24</v>
      </c>
      <c r="S12" s="33">
        <v>45</v>
      </c>
      <c r="T12" s="13">
        <v>105</v>
      </c>
      <c r="U12" s="13">
        <v>69</v>
      </c>
      <c r="V12" s="34">
        <v>20.25</v>
      </c>
    </row>
    <row r="13" spans="1:22" ht="15.75" x14ac:dyDescent="0.25">
      <c r="A13" s="126"/>
      <c r="B13" s="19" t="s">
        <v>91</v>
      </c>
      <c r="C13" s="106">
        <v>122251348.64249998</v>
      </c>
      <c r="D13" s="87">
        <v>141940010.40242097</v>
      </c>
      <c r="E13" s="87">
        <v>127305877.76156662</v>
      </c>
      <c r="F13" s="87">
        <v>14634132.640854344</v>
      </c>
      <c r="G13" s="88">
        <v>1.161050671248598</v>
      </c>
      <c r="H13" s="87">
        <v>141940010.40242097</v>
      </c>
      <c r="I13" s="88">
        <v>1.161050671248598</v>
      </c>
      <c r="J13" s="87">
        <v>5914167.100100874</v>
      </c>
      <c r="K13" s="87" t="e">
        <v>#DIV/0!</v>
      </c>
      <c r="L13" s="107">
        <v>1774250.1300302623</v>
      </c>
      <c r="N13" s="143"/>
      <c r="O13">
        <v>5</v>
      </c>
      <c r="P13" s="13" t="s">
        <v>85</v>
      </c>
      <c r="Q13" s="22">
        <v>0.90769230769230769</v>
      </c>
      <c r="R13" s="13">
        <v>144</v>
      </c>
      <c r="S13" s="12">
        <v>92</v>
      </c>
      <c r="T13" s="13">
        <v>260</v>
      </c>
      <c r="U13" s="13">
        <v>236</v>
      </c>
      <c r="V13" s="17">
        <v>-15</v>
      </c>
    </row>
    <row r="14" spans="1:22" ht="16.5" thickBot="1" x14ac:dyDescent="0.3">
      <c r="A14" s="126"/>
      <c r="B14" s="19" t="s">
        <v>112</v>
      </c>
      <c r="C14" s="106">
        <v>40427673.7095</v>
      </c>
      <c r="D14" s="87">
        <v>45912073.796316572</v>
      </c>
      <c r="E14" s="87">
        <v>45568237.209316574</v>
      </c>
      <c r="F14" s="87">
        <v>343836.5869999975</v>
      </c>
      <c r="G14" s="88">
        <v>1.1356595515790908</v>
      </c>
      <c r="H14" s="87">
        <v>45912073.796316572</v>
      </c>
      <c r="I14" s="88">
        <v>1.1356595515790908</v>
      </c>
      <c r="J14" s="87">
        <v>1913003.0748465238</v>
      </c>
      <c r="K14" s="87" t="e">
        <v>#DIV/0!</v>
      </c>
      <c r="L14" s="107">
        <v>688681.10694474855</v>
      </c>
      <c r="N14" s="143"/>
      <c r="O14">
        <v>4</v>
      </c>
      <c r="P14" s="10" t="s">
        <v>84</v>
      </c>
      <c r="Q14" s="22">
        <v>0.87912087912087911</v>
      </c>
      <c r="R14" s="13">
        <v>85</v>
      </c>
      <c r="S14" s="12">
        <v>75</v>
      </c>
      <c r="T14" s="13">
        <v>182</v>
      </c>
      <c r="U14" s="13">
        <v>160</v>
      </c>
      <c r="V14" s="17">
        <v>-5.3000000000000114</v>
      </c>
    </row>
    <row r="15" spans="1:22" ht="16.5" thickBot="1" x14ac:dyDescent="0.3">
      <c r="A15" s="126"/>
      <c r="B15" s="19" t="s">
        <v>108</v>
      </c>
      <c r="C15" s="106">
        <v>40427673.7095</v>
      </c>
      <c r="D15" s="87">
        <v>43411568.362539537</v>
      </c>
      <c r="E15" s="87">
        <v>38423938.748043507</v>
      </c>
      <c r="F15" s="87">
        <v>4987629.6144960299</v>
      </c>
      <c r="G15" s="88">
        <v>1.0738082204403059</v>
      </c>
      <c r="H15" s="87">
        <v>43411568.362539537</v>
      </c>
      <c r="I15" s="88">
        <v>1.0738082204403059</v>
      </c>
      <c r="J15" s="87">
        <v>1808815.3484391475</v>
      </c>
      <c r="K15" s="87" t="e">
        <v>#DIV/0!</v>
      </c>
      <c r="L15" s="107">
        <v>542644.60453174426</v>
      </c>
      <c r="N15" s="144"/>
      <c r="P15" s="9"/>
      <c r="Q15" s="23"/>
      <c r="R15" s="14"/>
      <c r="S15" s="16">
        <v>896</v>
      </c>
      <c r="T15" s="8">
        <v>2224</v>
      </c>
      <c r="U15" s="8">
        <v>1775</v>
      </c>
      <c r="V15" s="8"/>
    </row>
    <row r="16" spans="1:22" ht="16.5" thickBot="1" x14ac:dyDescent="0.3">
      <c r="A16" s="127"/>
      <c r="B16" s="3"/>
      <c r="C16" s="108">
        <v>325585601.66978997</v>
      </c>
      <c r="D16" s="108">
        <v>348666682.85371405</v>
      </c>
      <c r="E16" s="109">
        <v>327764652.52369809</v>
      </c>
      <c r="F16" s="108">
        <v>20902030.330015957</v>
      </c>
      <c r="G16" s="110">
        <v>1.0708909763378696</v>
      </c>
      <c r="H16" s="108">
        <v>348666682.85371405</v>
      </c>
      <c r="I16" s="110">
        <v>1.0708909763378696</v>
      </c>
      <c r="J16" s="108">
        <v>14527778.452238085</v>
      </c>
      <c r="K16" s="111" t="e">
        <v>#DIV/0!</v>
      </c>
      <c r="L16" s="112"/>
      <c r="N16" s="145" t="s">
        <v>38</v>
      </c>
      <c r="O16">
        <v>31</v>
      </c>
      <c r="P16" s="12" t="s">
        <v>101</v>
      </c>
      <c r="Q16" s="22">
        <v>0.87577639751552794</v>
      </c>
      <c r="R16" s="13">
        <v>90</v>
      </c>
      <c r="S16" s="12">
        <v>51</v>
      </c>
      <c r="T16" s="13">
        <v>161</v>
      </c>
      <c r="U16" s="13">
        <v>141</v>
      </c>
      <c r="V16" s="17">
        <v>-4.1500000000000057</v>
      </c>
    </row>
    <row r="17" spans="1:22" ht="15.75" x14ac:dyDescent="0.25">
      <c r="A17" s="128" t="s">
        <v>209</v>
      </c>
      <c r="B17" s="69" t="s">
        <v>82</v>
      </c>
      <c r="C17" s="70">
        <v>27940969.650000002</v>
      </c>
      <c r="D17" s="103">
        <v>23008075.675733715</v>
      </c>
      <c r="E17" s="103">
        <v>21141017.51366502</v>
      </c>
      <c r="F17" s="103">
        <v>1867058.1620686948</v>
      </c>
      <c r="G17" s="104">
        <v>0.82345301412020655</v>
      </c>
      <c r="H17" s="103">
        <v>23008075.675733715</v>
      </c>
      <c r="I17" s="104">
        <v>0.82345301412020655</v>
      </c>
      <c r="J17" s="103">
        <v>958669.81982223818</v>
      </c>
      <c r="K17" s="103" t="e">
        <v>#DIV/0!</v>
      </c>
      <c r="L17" s="105">
        <v>0</v>
      </c>
      <c r="N17" s="143"/>
      <c r="O17">
        <v>54</v>
      </c>
      <c r="P17" s="13" t="s">
        <v>109</v>
      </c>
      <c r="Q17" s="22">
        <v>0.75742574257425743</v>
      </c>
      <c r="R17" s="13">
        <v>92</v>
      </c>
      <c r="S17" s="12">
        <v>61</v>
      </c>
      <c r="T17" s="13">
        <v>202</v>
      </c>
      <c r="U17" s="13">
        <v>153</v>
      </c>
      <c r="V17" s="17">
        <v>18.699999999999989</v>
      </c>
    </row>
    <row r="18" spans="1:22" ht="15.75" x14ac:dyDescent="0.25">
      <c r="A18" s="129"/>
      <c r="B18" s="19" t="s">
        <v>83</v>
      </c>
      <c r="C18" s="71">
        <v>23770958</v>
      </c>
      <c r="D18" s="87">
        <v>21347280.195745856</v>
      </c>
      <c r="E18" s="87">
        <v>20795973.727495987</v>
      </c>
      <c r="F18" s="87">
        <v>551306.4682498686</v>
      </c>
      <c r="G18" s="88">
        <v>0.89804038170215339</v>
      </c>
      <c r="H18" s="87">
        <v>21347280.195745856</v>
      </c>
      <c r="I18" s="88">
        <v>0.89804038170215339</v>
      </c>
      <c r="J18" s="87">
        <v>889470.00815607735</v>
      </c>
      <c r="K18" s="87" t="e">
        <v>#DIV/0!</v>
      </c>
      <c r="L18" s="107">
        <v>0</v>
      </c>
      <c r="N18" s="143"/>
      <c r="O18">
        <v>21</v>
      </c>
      <c r="P18" s="13" t="s">
        <v>96</v>
      </c>
      <c r="Q18" s="22">
        <v>0.88165680473372776</v>
      </c>
      <c r="R18" s="13">
        <v>88</v>
      </c>
      <c r="S18" s="12">
        <v>61</v>
      </c>
      <c r="T18" s="13">
        <v>169</v>
      </c>
      <c r="U18" s="13">
        <v>149</v>
      </c>
      <c r="V18" s="17">
        <v>-5.3499999999999943</v>
      </c>
    </row>
    <row r="19" spans="1:22" ht="15.75" x14ac:dyDescent="0.25">
      <c r="A19" s="129"/>
      <c r="B19" s="19" t="s">
        <v>93</v>
      </c>
      <c r="C19" s="71">
        <v>24625381.109999999</v>
      </c>
      <c r="D19" s="87">
        <v>20914182.851266399</v>
      </c>
      <c r="E19" s="87">
        <v>20409449.258921277</v>
      </c>
      <c r="F19" s="87">
        <v>504733.59234512225</v>
      </c>
      <c r="G19" s="88">
        <v>0.84929377368188064</v>
      </c>
      <c r="H19" s="87">
        <v>20914182.851266399</v>
      </c>
      <c r="I19" s="88">
        <v>0.84929377368188064</v>
      </c>
      <c r="J19" s="87">
        <v>871424.28546943329</v>
      </c>
      <c r="K19" s="87" t="e">
        <v>#DIV/0!</v>
      </c>
      <c r="L19" s="107">
        <v>0</v>
      </c>
      <c r="N19" s="143"/>
      <c r="O19">
        <v>23</v>
      </c>
      <c r="P19" s="13" t="s">
        <v>98</v>
      </c>
      <c r="Q19" s="22">
        <v>0.86875000000000002</v>
      </c>
      <c r="R19" s="13">
        <v>95</v>
      </c>
      <c r="S19" s="12">
        <v>44</v>
      </c>
      <c r="T19" s="13">
        <v>160</v>
      </c>
      <c r="U19" s="13">
        <v>139</v>
      </c>
      <c r="V19" s="17">
        <v>-3</v>
      </c>
    </row>
    <row r="20" spans="1:22" ht="15.75" x14ac:dyDescent="0.25">
      <c r="A20" s="129"/>
      <c r="B20" s="19" t="s">
        <v>96</v>
      </c>
      <c r="C20" s="71">
        <v>31950600</v>
      </c>
      <c r="D20" s="87">
        <v>35530749.500093952</v>
      </c>
      <c r="E20" s="87">
        <v>34626618.946611986</v>
      </c>
      <c r="F20" s="87">
        <v>904130.55348196626</v>
      </c>
      <c r="G20" s="88">
        <v>1.1120526531612538</v>
      </c>
      <c r="H20" s="87">
        <v>35530749.500093952</v>
      </c>
      <c r="I20" s="88">
        <v>1.1120526531612538</v>
      </c>
      <c r="J20" s="87">
        <v>1480447.8958372481</v>
      </c>
      <c r="K20" s="87" t="e">
        <v>#DIV/0!</v>
      </c>
      <c r="L20" s="107">
        <v>532961.24250140926</v>
      </c>
      <c r="N20" s="143"/>
      <c r="O20">
        <v>18</v>
      </c>
      <c r="P20" s="13" t="s">
        <v>93</v>
      </c>
      <c r="Q20" s="22">
        <v>0.90340909090909094</v>
      </c>
      <c r="R20" s="13">
        <v>83</v>
      </c>
      <c r="S20" s="12">
        <v>76</v>
      </c>
      <c r="T20" s="13">
        <v>176</v>
      </c>
      <c r="U20" s="13">
        <v>159</v>
      </c>
      <c r="V20" s="17">
        <v>-9.4000000000000057</v>
      </c>
    </row>
    <row r="21" spans="1:22" ht="15.75" x14ac:dyDescent="0.25">
      <c r="A21" s="129"/>
      <c r="B21" s="19" t="s">
        <v>98</v>
      </c>
      <c r="C21" s="71">
        <v>24246200</v>
      </c>
      <c r="D21" s="87">
        <v>24311433.850570053</v>
      </c>
      <c r="E21" s="87">
        <v>23897306.933388211</v>
      </c>
      <c r="F21" s="87">
        <v>414126.91718184203</v>
      </c>
      <c r="G21" s="88">
        <v>1.002690477294176</v>
      </c>
      <c r="H21" s="87">
        <v>24311433.850570053</v>
      </c>
      <c r="I21" s="88">
        <v>1.002690477294176</v>
      </c>
      <c r="J21" s="87">
        <v>1012976.4104404189</v>
      </c>
      <c r="K21" s="87" t="e">
        <v>#DIV/0!</v>
      </c>
      <c r="L21" s="107">
        <v>243114.33850570052</v>
      </c>
      <c r="N21" s="143"/>
      <c r="O21">
        <v>44</v>
      </c>
      <c r="P21" s="13" t="s">
        <v>161</v>
      </c>
      <c r="Q21" s="22">
        <v>0.85798816568047342</v>
      </c>
      <c r="R21" s="13">
        <v>64</v>
      </c>
      <c r="S21" s="12">
        <v>81</v>
      </c>
      <c r="T21" s="13">
        <v>169</v>
      </c>
      <c r="U21" s="13">
        <v>145</v>
      </c>
      <c r="V21" s="17">
        <v>-1.3499999999999943</v>
      </c>
    </row>
    <row r="22" spans="1:22" ht="15.75" x14ac:dyDescent="0.25">
      <c r="A22" s="129"/>
      <c r="B22" s="19" t="s">
        <v>101</v>
      </c>
      <c r="C22" s="71">
        <v>30231324</v>
      </c>
      <c r="D22" s="87">
        <v>31990809.200218577</v>
      </c>
      <c r="E22" s="87">
        <v>31311977.261892878</v>
      </c>
      <c r="F22" s="87">
        <v>678831.93832569942</v>
      </c>
      <c r="G22" s="88">
        <v>1.0582007324660534</v>
      </c>
      <c r="H22" s="87">
        <v>31990809.200218577</v>
      </c>
      <c r="I22" s="88">
        <v>1.0582007324660534</v>
      </c>
      <c r="J22" s="87">
        <v>1332950.3833424407</v>
      </c>
      <c r="K22" s="87" t="e">
        <v>#DIV/0!</v>
      </c>
      <c r="L22" s="107">
        <v>399885.11500273226</v>
      </c>
      <c r="N22" s="143"/>
      <c r="O22">
        <v>56</v>
      </c>
      <c r="P22" s="13" t="s">
        <v>140</v>
      </c>
      <c r="Q22" s="22">
        <v>0.51515151515151514</v>
      </c>
      <c r="R22" s="13">
        <v>66</v>
      </c>
      <c r="S22" s="12">
        <v>36</v>
      </c>
      <c r="T22" s="13">
        <v>198</v>
      </c>
      <c r="U22" s="13">
        <v>102</v>
      </c>
      <c r="V22" s="17">
        <v>66.299999999999983</v>
      </c>
    </row>
    <row r="23" spans="1:22" ht="15.75" x14ac:dyDescent="0.25">
      <c r="A23" s="129"/>
      <c r="B23" s="19" t="s">
        <v>161</v>
      </c>
      <c r="C23" s="71">
        <v>26129472.600000001</v>
      </c>
      <c r="D23" s="87">
        <v>23951255.389476955</v>
      </c>
      <c r="E23" s="87">
        <v>23685597.93476541</v>
      </c>
      <c r="F23" s="87">
        <v>265657.45471154526</v>
      </c>
      <c r="G23" s="88">
        <v>0.9166375363227558</v>
      </c>
      <c r="H23" s="87">
        <v>23951255.389476955</v>
      </c>
      <c r="I23" s="88">
        <v>0.9166375363227558</v>
      </c>
      <c r="J23" s="87">
        <v>997968.97456153983</v>
      </c>
      <c r="K23" s="87" t="e">
        <v>#DIV/0!</v>
      </c>
      <c r="L23" s="107">
        <v>0</v>
      </c>
      <c r="N23" s="143"/>
      <c r="O23">
        <v>2</v>
      </c>
      <c r="P23" s="13" t="s">
        <v>82</v>
      </c>
      <c r="Q23" s="22">
        <v>0.88405797101449279</v>
      </c>
      <c r="R23" s="13">
        <v>70</v>
      </c>
      <c r="S23" s="12">
        <v>52</v>
      </c>
      <c r="T23" s="13">
        <v>138</v>
      </c>
      <c r="U23" s="13">
        <v>122</v>
      </c>
      <c r="V23" s="17">
        <v>-4.7000000000000028</v>
      </c>
    </row>
    <row r="24" spans="1:22" ht="16.5" thickBot="1" x14ac:dyDescent="0.3">
      <c r="A24" s="129"/>
      <c r="B24" s="19" t="s">
        <v>109</v>
      </c>
      <c r="C24" s="71">
        <v>31899100</v>
      </c>
      <c r="D24" s="87">
        <v>35498698.652202927</v>
      </c>
      <c r="E24" s="87">
        <v>34270013.917461805</v>
      </c>
      <c r="F24" s="87">
        <v>1228684.7347411215</v>
      </c>
      <c r="G24" s="88">
        <v>1.1128432668069923</v>
      </c>
      <c r="H24" s="87">
        <v>35498698.652202927</v>
      </c>
      <c r="I24" s="88">
        <v>1.1128432668069923</v>
      </c>
      <c r="J24" s="87">
        <v>1479112.4438417887</v>
      </c>
      <c r="K24" s="87" t="e">
        <v>#DIV/0!</v>
      </c>
      <c r="L24" s="107">
        <v>532480.47978304385</v>
      </c>
      <c r="N24" s="143"/>
      <c r="O24">
        <v>3</v>
      </c>
      <c r="P24" s="10" t="s">
        <v>83</v>
      </c>
      <c r="Q24" s="22">
        <v>0.91176470588235292</v>
      </c>
      <c r="R24" s="13">
        <v>79</v>
      </c>
      <c r="S24" s="12">
        <v>76</v>
      </c>
      <c r="T24" s="13">
        <v>170</v>
      </c>
      <c r="U24" s="13">
        <v>155</v>
      </c>
      <c r="V24" s="17">
        <v>-10.5</v>
      </c>
    </row>
    <row r="25" spans="1:22" ht="16.5" thickBot="1" x14ac:dyDescent="0.3">
      <c r="A25" s="129"/>
      <c r="B25" s="19" t="s">
        <v>140</v>
      </c>
      <c r="C25" s="71">
        <v>51490431.300000004</v>
      </c>
      <c r="D25" s="87">
        <v>57026560.142817684</v>
      </c>
      <c r="E25" s="87">
        <v>54103973.955256805</v>
      </c>
      <c r="F25" s="87">
        <v>2922586.1875608787</v>
      </c>
      <c r="G25" s="88">
        <v>1.1075176242079308</v>
      </c>
      <c r="H25" s="87">
        <v>57026560.142817676</v>
      </c>
      <c r="I25" s="88">
        <v>1.1075176242079308</v>
      </c>
      <c r="J25" s="87">
        <v>2376106.6726174033</v>
      </c>
      <c r="K25" s="87" t="e">
        <v>#DIV/0!</v>
      </c>
      <c r="L25" s="107">
        <v>855398.40214226511</v>
      </c>
      <c r="N25" s="144"/>
      <c r="P25" s="9"/>
      <c r="Q25" s="23"/>
      <c r="R25" s="14"/>
      <c r="S25" s="16">
        <v>538</v>
      </c>
      <c r="T25" s="8">
        <v>1543</v>
      </c>
      <c r="U25" s="8">
        <v>1265</v>
      </c>
      <c r="V25" s="8"/>
    </row>
    <row r="26" spans="1:22" ht="16.5" thickBot="1" x14ac:dyDescent="0.3">
      <c r="A26" s="130"/>
      <c r="B26" s="72"/>
      <c r="C26" s="111">
        <v>272284436.66000003</v>
      </c>
      <c r="D26" s="111">
        <v>273579045.45812613</v>
      </c>
      <c r="E26" s="109">
        <v>264241929.44945937</v>
      </c>
      <c r="F26" s="111">
        <v>9337116.0086667538</v>
      </c>
      <c r="G26" s="110">
        <v>1.0047546191549048</v>
      </c>
      <c r="H26" s="108">
        <v>273579045.45812613</v>
      </c>
      <c r="I26" s="110">
        <v>1.0047546191549048</v>
      </c>
      <c r="J26" s="108">
        <v>11399126.894088589</v>
      </c>
      <c r="K26" s="111" t="e">
        <v>#DIV/0!</v>
      </c>
      <c r="L26" s="112"/>
      <c r="N26" s="145" t="s">
        <v>223</v>
      </c>
      <c r="O26">
        <v>32</v>
      </c>
      <c r="P26" s="12" t="s">
        <v>212</v>
      </c>
      <c r="Q26" s="22">
        <v>0.8928571428571429</v>
      </c>
      <c r="R26" s="13">
        <v>20</v>
      </c>
      <c r="S26" s="12">
        <v>30</v>
      </c>
      <c r="T26" s="13">
        <v>56</v>
      </c>
      <c r="U26" s="13">
        <v>50</v>
      </c>
      <c r="V26" s="17">
        <v>-2.3999999999999986</v>
      </c>
    </row>
    <row r="27" spans="1:22" ht="15.75" x14ac:dyDescent="0.25">
      <c r="A27" s="125" t="s">
        <v>227</v>
      </c>
      <c r="B27" s="69" t="s">
        <v>212</v>
      </c>
      <c r="C27" s="113">
        <v>78074000</v>
      </c>
      <c r="D27" s="103">
        <v>63653251.999823965</v>
      </c>
      <c r="E27" s="103">
        <v>60993697.249844171</v>
      </c>
      <c r="F27" s="103">
        <v>2659554.749979794</v>
      </c>
      <c r="G27" s="104">
        <v>0.81529384942264982</v>
      </c>
      <c r="H27" s="103">
        <v>63653251.999823958</v>
      </c>
      <c r="I27" s="104">
        <v>0.81529384942264982</v>
      </c>
      <c r="J27" s="103">
        <v>2652218.8333259984</v>
      </c>
      <c r="K27" s="103" t="e">
        <v>#DIV/0!</v>
      </c>
      <c r="L27" s="105">
        <v>0</v>
      </c>
      <c r="N27" s="143"/>
      <c r="O27">
        <v>36</v>
      </c>
      <c r="P27" s="12" t="s">
        <v>214</v>
      </c>
      <c r="Q27" s="22">
        <v>0.59615384615384615</v>
      </c>
      <c r="R27" s="13">
        <v>68</v>
      </c>
      <c r="S27" s="12">
        <v>25</v>
      </c>
      <c r="T27" s="13">
        <v>156</v>
      </c>
      <c r="U27" s="13">
        <v>93</v>
      </c>
      <c r="V27" s="17">
        <v>39.599999999999994</v>
      </c>
    </row>
    <row r="28" spans="1:22" ht="15.75" x14ac:dyDescent="0.25">
      <c r="A28" s="126"/>
      <c r="B28" s="19" t="s">
        <v>214</v>
      </c>
      <c r="C28" s="114">
        <v>21000000</v>
      </c>
      <c r="D28" s="87">
        <v>6100258.9696078347</v>
      </c>
      <c r="E28" s="87">
        <v>5732153.5467419727</v>
      </c>
      <c r="F28" s="87">
        <v>368105.42286586203</v>
      </c>
      <c r="G28" s="88">
        <v>0.29048852236227785</v>
      </c>
      <c r="H28" s="87">
        <v>6100258.9696078347</v>
      </c>
      <c r="I28" s="88">
        <v>0.29048852236227785</v>
      </c>
      <c r="J28" s="87">
        <v>254177.45706699311</v>
      </c>
      <c r="K28" s="87" t="e">
        <v>#DIV/0!</v>
      </c>
      <c r="L28" s="107">
        <v>0</v>
      </c>
      <c r="N28" s="143"/>
      <c r="O28">
        <v>9</v>
      </c>
      <c r="P28" s="12" t="s">
        <v>87</v>
      </c>
      <c r="Q28" s="22">
        <v>0.86335403726708071</v>
      </c>
      <c r="R28" s="13">
        <v>80</v>
      </c>
      <c r="S28" s="12">
        <v>59</v>
      </c>
      <c r="T28" s="13">
        <v>161</v>
      </c>
      <c r="U28" s="13">
        <v>139</v>
      </c>
      <c r="V28" s="17">
        <v>-2.1500000000000057</v>
      </c>
    </row>
    <row r="29" spans="1:22" ht="15.75" x14ac:dyDescent="0.25">
      <c r="A29" s="126"/>
      <c r="B29" s="19" t="s">
        <v>87</v>
      </c>
      <c r="C29" s="114">
        <v>24514000</v>
      </c>
      <c r="D29" s="87">
        <v>19492468.816566739</v>
      </c>
      <c r="E29" s="87">
        <v>19123999.889380991</v>
      </c>
      <c r="F29" s="87">
        <v>368468.92718574777</v>
      </c>
      <c r="G29" s="88">
        <v>0.79515659690653251</v>
      </c>
      <c r="H29" s="87">
        <v>19492468.816566739</v>
      </c>
      <c r="I29" s="88">
        <v>0.79515659690653251</v>
      </c>
      <c r="J29" s="87">
        <v>812186.20069028076</v>
      </c>
      <c r="K29" s="87" t="e">
        <v>#DIV/0!</v>
      </c>
      <c r="L29" s="107">
        <v>0</v>
      </c>
      <c r="N29" s="143"/>
      <c r="O29">
        <v>40</v>
      </c>
      <c r="P29" s="12" t="s">
        <v>213</v>
      </c>
      <c r="Q29" s="22">
        <v>0.50602409638554213</v>
      </c>
      <c r="R29" s="13">
        <v>68</v>
      </c>
      <c r="S29" s="12">
        <v>58</v>
      </c>
      <c r="T29" s="13">
        <v>249</v>
      </c>
      <c r="U29" s="13">
        <v>126</v>
      </c>
      <c r="V29" s="17">
        <v>85.65</v>
      </c>
    </row>
    <row r="30" spans="1:22" ht="15.75" x14ac:dyDescent="0.25">
      <c r="A30" s="126"/>
      <c r="B30" s="19" t="s">
        <v>213</v>
      </c>
      <c r="C30" s="114">
        <v>36412576.297262542</v>
      </c>
      <c r="D30" s="87">
        <v>16503922.715982895</v>
      </c>
      <c r="E30" s="87">
        <v>16440938.962380162</v>
      </c>
      <c r="F30" s="87">
        <v>62983.753602733836</v>
      </c>
      <c r="G30" s="88">
        <v>0.45324787186847976</v>
      </c>
      <c r="H30" s="87">
        <v>16503922.715982895</v>
      </c>
      <c r="I30" s="88">
        <v>0.45324787186847976</v>
      </c>
      <c r="J30" s="87">
        <v>687663.44649928727</v>
      </c>
      <c r="K30" s="87" t="e">
        <v>#DIV/0!</v>
      </c>
      <c r="L30" s="107">
        <v>0</v>
      </c>
      <c r="N30" s="143"/>
      <c r="O30">
        <v>27</v>
      </c>
      <c r="P30" s="12" t="s">
        <v>99</v>
      </c>
      <c r="Q30" s="22">
        <v>0.8928571428571429</v>
      </c>
      <c r="R30" s="13">
        <v>73</v>
      </c>
      <c r="S30" s="12">
        <v>52</v>
      </c>
      <c r="T30" s="13">
        <v>140</v>
      </c>
      <c r="U30" s="13">
        <v>125</v>
      </c>
      <c r="V30" s="17">
        <v>-6</v>
      </c>
    </row>
    <row r="31" spans="1:22" ht="15.75" x14ac:dyDescent="0.25">
      <c r="A31" s="126"/>
      <c r="B31" s="19" t="s">
        <v>99</v>
      </c>
      <c r="C31" s="114">
        <v>24205000</v>
      </c>
      <c r="D31" s="87">
        <v>24517374.682820804</v>
      </c>
      <c r="E31" s="87">
        <v>23357151.213069141</v>
      </c>
      <c r="F31" s="87">
        <v>1160223.4697516635</v>
      </c>
      <c r="G31" s="88">
        <v>1.012905378344177</v>
      </c>
      <c r="H31" s="87">
        <v>24517374.682820804</v>
      </c>
      <c r="I31" s="88">
        <v>1.012905378344177</v>
      </c>
      <c r="J31" s="87">
        <v>1021557.2784508668</v>
      </c>
      <c r="K31" s="87" t="e">
        <v>#DIV/0!</v>
      </c>
      <c r="L31" s="107">
        <v>245173.74682820804</v>
      </c>
      <c r="N31" s="143"/>
      <c r="O31">
        <v>10</v>
      </c>
      <c r="P31" s="12" t="s">
        <v>211</v>
      </c>
      <c r="Q31" s="22">
        <v>0.72928176795580113</v>
      </c>
      <c r="R31" s="13">
        <v>40</v>
      </c>
      <c r="S31" s="12">
        <v>92</v>
      </c>
      <c r="T31" s="13">
        <v>181</v>
      </c>
      <c r="U31" s="13">
        <v>132</v>
      </c>
      <c r="V31" s="17">
        <v>21.849999999999994</v>
      </c>
    </row>
    <row r="32" spans="1:22" ht="15.75" x14ac:dyDescent="0.25">
      <c r="A32" s="126"/>
      <c r="B32" s="19" t="s">
        <v>211</v>
      </c>
      <c r="C32" s="114">
        <v>24000000</v>
      </c>
      <c r="D32" s="87">
        <v>17154799.836579047</v>
      </c>
      <c r="E32" s="87">
        <v>16908593.902502269</v>
      </c>
      <c r="F32" s="87">
        <v>246205.93407677859</v>
      </c>
      <c r="G32" s="88">
        <v>0.71478332652412702</v>
      </c>
      <c r="H32" s="87">
        <v>17154799.836579047</v>
      </c>
      <c r="I32" s="88">
        <v>0.71478332652412702</v>
      </c>
      <c r="J32" s="87">
        <v>714783.32652412693</v>
      </c>
      <c r="K32" s="87" t="e">
        <v>#DIV/0!</v>
      </c>
      <c r="L32" s="107">
        <v>0</v>
      </c>
      <c r="N32" s="143"/>
      <c r="O32">
        <v>28</v>
      </c>
      <c r="P32" s="12" t="s">
        <v>100</v>
      </c>
      <c r="Q32" s="22">
        <v>0.875</v>
      </c>
      <c r="R32" s="13">
        <v>67</v>
      </c>
      <c r="S32" s="12">
        <v>80</v>
      </c>
      <c r="T32" s="13">
        <v>168</v>
      </c>
      <c r="U32" s="13">
        <v>147</v>
      </c>
      <c r="V32" s="17">
        <v>-4.2000000000000171</v>
      </c>
    </row>
    <row r="33" spans="1:22" ht="15.75" x14ac:dyDescent="0.25">
      <c r="A33" s="126"/>
      <c r="B33" s="19" t="s">
        <v>100</v>
      </c>
      <c r="C33" s="114">
        <v>25235000</v>
      </c>
      <c r="D33" s="87">
        <v>17519075.335839655</v>
      </c>
      <c r="E33" s="87">
        <v>17369561.614148464</v>
      </c>
      <c r="F33" s="87">
        <v>149513.7216911912</v>
      </c>
      <c r="G33" s="88">
        <v>0.69423718390488032</v>
      </c>
      <c r="H33" s="87">
        <v>17519075.335839655</v>
      </c>
      <c r="I33" s="88">
        <v>0.69423718390488032</v>
      </c>
      <c r="J33" s="87">
        <v>729961.47232665226</v>
      </c>
      <c r="K33" s="87" t="e">
        <v>#DIV/0!</v>
      </c>
      <c r="L33" s="107">
        <v>0</v>
      </c>
      <c r="N33" s="143"/>
      <c r="O33">
        <v>33</v>
      </c>
      <c r="P33" s="12" t="s">
        <v>139</v>
      </c>
      <c r="Q33" s="22">
        <v>0.81395348837209303</v>
      </c>
      <c r="R33" s="13">
        <v>66</v>
      </c>
      <c r="S33" s="12">
        <v>74</v>
      </c>
      <c r="T33" s="13">
        <v>172</v>
      </c>
      <c r="U33" s="13">
        <v>140</v>
      </c>
      <c r="V33" s="17">
        <v>6.1999999999999886</v>
      </c>
    </row>
    <row r="34" spans="1:22" ht="15.75" x14ac:dyDescent="0.25">
      <c r="A34" s="126"/>
      <c r="B34" s="19" t="s">
        <v>139</v>
      </c>
      <c r="C34" s="114">
        <v>21000000</v>
      </c>
      <c r="D34" s="87">
        <v>11197769.09014947</v>
      </c>
      <c r="E34" s="87">
        <v>10993267.219244162</v>
      </c>
      <c r="F34" s="87">
        <v>204501.87090530805</v>
      </c>
      <c r="G34" s="88">
        <v>0.53322709953092717</v>
      </c>
      <c r="H34" s="87">
        <v>11197769.09014947</v>
      </c>
      <c r="I34" s="88">
        <v>0.53322709953092717</v>
      </c>
      <c r="J34" s="87">
        <v>466573.71208956122</v>
      </c>
      <c r="K34" s="87" t="e">
        <v>#DIV/0!</v>
      </c>
      <c r="L34" s="107">
        <v>0</v>
      </c>
      <c r="N34" s="143"/>
      <c r="O34">
        <v>37</v>
      </c>
      <c r="P34" s="12" t="s">
        <v>104</v>
      </c>
      <c r="Q34" s="22">
        <v>0.72340425531914898</v>
      </c>
      <c r="R34" s="13">
        <v>82</v>
      </c>
      <c r="S34" s="12">
        <v>20</v>
      </c>
      <c r="T34" s="13">
        <v>141</v>
      </c>
      <c r="U34" s="13">
        <v>102</v>
      </c>
      <c r="V34" s="17">
        <v>17.849999999999994</v>
      </c>
    </row>
    <row r="35" spans="1:22" ht="15.75" x14ac:dyDescent="0.25">
      <c r="A35" s="126"/>
      <c r="B35" s="19" t="s">
        <v>104</v>
      </c>
      <c r="C35" s="114">
        <v>23484000</v>
      </c>
      <c r="D35" s="87">
        <v>10613494.78936974</v>
      </c>
      <c r="E35" s="87">
        <v>10509964.217061797</v>
      </c>
      <c r="F35" s="87">
        <v>103530.57230794244</v>
      </c>
      <c r="G35" s="88">
        <v>0.45194578391116247</v>
      </c>
      <c r="H35" s="87">
        <v>10613494.78936974</v>
      </c>
      <c r="I35" s="88">
        <v>0.45194578391116247</v>
      </c>
      <c r="J35" s="87">
        <v>442228.94955707248</v>
      </c>
      <c r="K35" s="87" t="e">
        <v>#DIV/0!</v>
      </c>
      <c r="L35" s="107">
        <v>0</v>
      </c>
      <c r="N35" s="143"/>
      <c r="O35">
        <v>24</v>
      </c>
      <c r="P35" s="12" t="s">
        <v>205</v>
      </c>
      <c r="Q35" s="22">
        <v>0.7191011235955056</v>
      </c>
      <c r="R35" s="13">
        <v>81</v>
      </c>
      <c r="S35" s="12">
        <v>47</v>
      </c>
      <c r="T35" s="13">
        <v>178</v>
      </c>
      <c r="U35" s="13">
        <v>128</v>
      </c>
      <c r="V35" s="17">
        <v>23.299999999999983</v>
      </c>
    </row>
    <row r="36" spans="1:22" ht="15.75" x14ac:dyDescent="0.25">
      <c r="A36" s="126"/>
      <c r="B36" s="19" t="s">
        <v>205</v>
      </c>
      <c r="C36" s="114">
        <v>25235000</v>
      </c>
      <c r="D36" s="87">
        <v>13926527.261858521</v>
      </c>
      <c r="E36" s="87">
        <v>13690253.038083088</v>
      </c>
      <c r="F36" s="87">
        <v>236274.22377543338</v>
      </c>
      <c r="G36" s="88">
        <v>0.55187347976455403</v>
      </c>
      <c r="H36" s="87">
        <v>13926527.261858521</v>
      </c>
      <c r="I36" s="88">
        <v>0.55187347976455403</v>
      </c>
      <c r="J36" s="87">
        <v>580271.96924410504</v>
      </c>
      <c r="K36" s="87" t="e">
        <v>#DIV/0!</v>
      </c>
      <c r="L36" s="107">
        <v>0</v>
      </c>
      <c r="N36" s="143"/>
      <c r="O36">
        <v>7</v>
      </c>
      <c r="P36" s="12" t="s">
        <v>111</v>
      </c>
      <c r="Q36" s="22">
        <v>0.27433628318584069</v>
      </c>
      <c r="R36" s="13">
        <v>0</v>
      </c>
      <c r="S36" s="12">
        <v>31</v>
      </c>
      <c r="T36" s="13">
        <v>113</v>
      </c>
      <c r="U36" s="13">
        <v>31</v>
      </c>
      <c r="V36" s="17">
        <v>65.05</v>
      </c>
    </row>
    <row r="37" spans="1:22" ht="15.75" x14ac:dyDescent="0.25">
      <c r="A37" s="126"/>
      <c r="B37" s="19" t="s">
        <v>111</v>
      </c>
      <c r="C37" s="114">
        <v>114000000</v>
      </c>
      <c r="D37" s="87">
        <v>101537604.46397878</v>
      </c>
      <c r="E37" s="87">
        <v>92863269.600187495</v>
      </c>
      <c r="F37" s="87">
        <v>8674334.8637912869</v>
      </c>
      <c r="G37" s="88">
        <v>0.89068074091209459</v>
      </c>
      <c r="H37" s="87">
        <v>101537604.46397877</v>
      </c>
      <c r="I37" s="88">
        <v>0.89068074091209448</v>
      </c>
      <c r="J37" s="87">
        <v>4230733.519332449</v>
      </c>
      <c r="K37" s="87" t="e">
        <v>#DIV/0!</v>
      </c>
      <c r="L37" s="107">
        <v>0</v>
      </c>
      <c r="N37" s="143"/>
      <c r="O37">
        <v>57</v>
      </c>
      <c r="P37" s="12" t="s">
        <v>215</v>
      </c>
      <c r="Q37" s="22">
        <v>0.22330097087378642</v>
      </c>
      <c r="R37" s="13">
        <v>17</v>
      </c>
      <c r="S37" s="12">
        <v>6</v>
      </c>
      <c r="T37" s="13">
        <v>103</v>
      </c>
      <c r="U37" s="13">
        <v>23</v>
      </c>
      <c r="V37" s="17">
        <v>64.55</v>
      </c>
    </row>
    <row r="38" spans="1:22" ht="16.5" thickBot="1" x14ac:dyDescent="0.3">
      <c r="A38" s="126"/>
      <c r="B38" s="19" t="s">
        <v>215</v>
      </c>
      <c r="C38" s="114">
        <v>33000000</v>
      </c>
      <c r="D38" s="87">
        <v>9981301.8801112529</v>
      </c>
      <c r="E38" s="87">
        <v>9981301.8801112529</v>
      </c>
      <c r="F38" s="87">
        <v>0</v>
      </c>
      <c r="G38" s="88">
        <v>0.30246369333670464</v>
      </c>
      <c r="H38" s="87">
        <v>9981301.8801112529</v>
      </c>
      <c r="I38" s="88">
        <v>0.30246369333670464</v>
      </c>
      <c r="J38" s="87">
        <v>415887.57833796885</v>
      </c>
      <c r="K38" s="87" t="e">
        <v>#DIV/0!</v>
      </c>
      <c r="L38" s="107">
        <v>0</v>
      </c>
      <c r="N38" s="143"/>
      <c r="O38">
        <v>1</v>
      </c>
      <c r="P38" s="12" t="s">
        <v>81</v>
      </c>
      <c r="Q38" s="22">
        <v>0.88976377952755903</v>
      </c>
      <c r="R38" s="13">
        <v>60</v>
      </c>
      <c r="S38" s="12">
        <v>53</v>
      </c>
      <c r="T38" s="13">
        <v>127</v>
      </c>
      <c r="U38" s="13">
        <v>113</v>
      </c>
      <c r="V38" s="17">
        <v>-5.0499999999999972</v>
      </c>
    </row>
    <row r="39" spans="1:22" ht="16.5" thickBot="1" x14ac:dyDescent="0.3">
      <c r="A39" s="126"/>
      <c r="B39" s="19" t="s">
        <v>81</v>
      </c>
      <c r="C39" s="114">
        <v>34629931.18</v>
      </c>
      <c r="D39" s="87">
        <v>26579488.905197218</v>
      </c>
      <c r="E39" s="87">
        <v>25810750.454407562</v>
      </c>
      <c r="F39" s="87">
        <v>768738.45078965649</v>
      </c>
      <c r="G39" s="88">
        <v>0.76752935970452651</v>
      </c>
      <c r="H39" s="87">
        <v>26579488.905197218</v>
      </c>
      <c r="I39" s="88">
        <v>0.76752935970452651</v>
      </c>
      <c r="J39" s="87">
        <v>1107478.7043832175</v>
      </c>
      <c r="K39" s="87" t="e">
        <v>#DIV/0!</v>
      </c>
      <c r="L39" s="107">
        <v>0</v>
      </c>
      <c r="N39" s="144"/>
      <c r="P39" s="9"/>
      <c r="Q39" s="23"/>
      <c r="R39" s="14"/>
      <c r="S39" s="8">
        <v>627</v>
      </c>
      <c r="T39" s="8">
        <v>1945</v>
      </c>
      <c r="U39" s="8">
        <v>1349</v>
      </c>
      <c r="V39" s="8"/>
    </row>
    <row r="40" spans="1:22" ht="16.5" thickBot="1" x14ac:dyDescent="0.3">
      <c r="A40" s="127"/>
      <c r="B40" s="3"/>
      <c r="C40" s="115">
        <v>484789507.47726256</v>
      </c>
      <c r="D40" s="111">
        <v>338777338.74788594</v>
      </c>
      <c r="E40" s="109">
        <v>323774902.78716254</v>
      </c>
      <c r="F40" s="111">
        <v>15002435.9607234</v>
      </c>
      <c r="G40" s="110">
        <v>0.69881326539183641</v>
      </c>
      <c r="H40" s="108">
        <v>338777338.74788594</v>
      </c>
      <c r="I40" s="110">
        <v>0.69881326539183641</v>
      </c>
      <c r="J40" s="108">
        <v>14115722.447828582</v>
      </c>
      <c r="K40" s="111" t="e">
        <v>#DIV/0!</v>
      </c>
      <c r="L40" s="112"/>
      <c r="N40" s="11" t="s">
        <v>42</v>
      </c>
      <c r="P40" s="11"/>
      <c r="Q40" s="24"/>
      <c r="R40" s="6"/>
      <c r="S40" s="8">
        <v>2061</v>
      </c>
      <c r="T40" s="8">
        <v>5712</v>
      </c>
      <c r="U40" s="8">
        <v>4389</v>
      </c>
      <c r="V40" s="8"/>
    </row>
    <row r="41" spans="1:22" ht="16.5" thickBot="1" x14ac:dyDescent="0.3">
      <c r="A41" s="116" t="s">
        <v>42</v>
      </c>
      <c r="B41" s="117"/>
      <c r="C41" s="118">
        <v>1314063949.6125104</v>
      </c>
      <c r="D41" s="118">
        <v>1224686603.1826057</v>
      </c>
      <c r="E41" s="119">
        <v>1171749849.2882519</v>
      </c>
      <c r="F41" s="118">
        <v>52936753.894353867</v>
      </c>
      <c r="G41" s="120">
        <v>0.93198402067398611</v>
      </c>
      <c r="H41" s="118">
        <v>1224686603.1826057</v>
      </c>
      <c r="I41" s="120">
        <v>0.93198402067398611</v>
      </c>
      <c r="J41" s="118">
        <v>51028608.465941906</v>
      </c>
      <c r="K41" s="118" t="e">
        <v>#DIV/0!</v>
      </c>
      <c r="L41" s="121"/>
      <c r="O41">
        <v>58</v>
      </c>
      <c r="P41" s="13" t="s">
        <v>145</v>
      </c>
      <c r="Q41" s="22">
        <v>0.32773109243697479</v>
      </c>
      <c r="R41" s="13">
        <v>60</v>
      </c>
      <c r="S41" s="12">
        <v>-21</v>
      </c>
      <c r="T41" s="13">
        <v>119</v>
      </c>
      <c r="U41" s="13">
        <v>39</v>
      </c>
      <c r="V41" s="17">
        <v>62.149999999999991</v>
      </c>
    </row>
    <row r="42" spans="1:22" x14ac:dyDescent="0.25">
      <c r="B42" s="122" t="s">
        <v>30</v>
      </c>
      <c r="C42" s="122" t="s">
        <v>31</v>
      </c>
      <c r="D42" s="122" t="s">
        <v>32</v>
      </c>
      <c r="E42" s="122" t="s">
        <v>32</v>
      </c>
      <c r="F42" s="122" t="s">
        <v>33</v>
      </c>
      <c r="G42" s="123" t="s">
        <v>41</v>
      </c>
      <c r="H42" s="124" t="s">
        <v>45</v>
      </c>
      <c r="I42" s="123" t="s">
        <v>46</v>
      </c>
      <c r="J42" s="122" t="s">
        <v>35</v>
      </c>
      <c r="K42" s="122" t="s">
        <v>34</v>
      </c>
      <c r="L42" s="122" t="s">
        <v>53</v>
      </c>
      <c r="O42">
        <v>59</v>
      </c>
      <c r="P42" s="13" t="s">
        <v>146</v>
      </c>
      <c r="Q42" s="22">
        <v>0.55462184873949583</v>
      </c>
      <c r="R42" s="13">
        <v>60</v>
      </c>
      <c r="S42" s="12">
        <v>6</v>
      </c>
      <c r="T42" s="13">
        <v>119</v>
      </c>
      <c r="U42" s="13">
        <v>66</v>
      </c>
      <c r="V42" s="17">
        <v>35.149999999999991</v>
      </c>
    </row>
    <row r="43" spans="1:22" ht="15.75" x14ac:dyDescent="0.25">
      <c r="B43" s="19" t="s">
        <v>145</v>
      </c>
      <c r="C43" s="98">
        <v>40000000</v>
      </c>
      <c r="D43" s="87">
        <v>25646776.862735603</v>
      </c>
      <c r="E43" s="87">
        <v>22657877.380181327</v>
      </c>
      <c r="F43" s="87">
        <v>2988899.4825542755</v>
      </c>
      <c r="G43" s="88">
        <v>0.64116942156839007</v>
      </c>
      <c r="H43" s="87">
        <v>25646776.862735607</v>
      </c>
      <c r="I43" s="88">
        <v>0.64116942156839019</v>
      </c>
      <c r="J43" s="87">
        <v>1068615.7026139835</v>
      </c>
      <c r="K43" s="87" t="e">
        <v>#DIV/0!</v>
      </c>
      <c r="L43" s="87">
        <v>0</v>
      </c>
    </row>
    <row r="44" spans="1:22" ht="15.75" x14ac:dyDescent="0.25">
      <c r="B44" s="19" t="s">
        <v>146</v>
      </c>
      <c r="C44" s="98">
        <v>30000000</v>
      </c>
      <c r="D44" s="87">
        <v>17009020.678149343</v>
      </c>
      <c r="E44" s="87">
        <v>16555407.699089281</v>
      </c>
      <c r="F44" s="87">
        <v>453612.97906006128</v>
      </c>
      <c r="G44" s="88">
        <v>0.56696735593831138</v>
      </c>
      <c r="H44" s="87">
        <v>17009020.678149343</v>
      </c>
      <c r="I44" s="88">
        <v>0.56696735593831138</v>
      </c>
      <c r="J44" s="87">
        <v>708709.19492288923</v>
      </c>
      <c r="K44" s="87" t="e">
        <v>#DIV/0!</v>
      </c>
      <c r="L44" s="87">
        <v>0</v>
      </c>
    </row>
  </sheetData>
  <mergeCells count="3">
    <mergeCell ref="N2:N15"/>
    <mergeCell ref="N16:N25"/>
    <mergeCell ref="N26:N39"/>
  </mergeCells>
  <conditionalFormatting sqref="G2:G9 G11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Q16:Q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Q26:Q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Q41:Q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COMISIONES</vt:lpstr>
      <vt:lpstr>AVANCE</vt:lpstr>
      <vt:lpstr>COBERTURA</vt:lpstr>
      <vt:lpstr>Venta C</vt:lpstr>
      <vt:lpstr>Base Cobertura</vt:lpstr>
      <vt:lpstr>Base venta C</vt:lpstr>
      <vt:lpstr>Promedio Horas</vt:lpstr>
      <vt:lpstr>Historico Enero</vt:lpstr>
      <vt:lpstr>Historico Febrero</vt:lpstr>
      <vt:lpstr>Historico Marzo</vt:lpstr>
      <vt:lpstr>Historico Abril</vt:lpstr>
      <vt:lpstr>Historico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Cesar Brixner</cp:lastModifiedBy>
  <dcterms:created xsi:type="dcterms:W3CDTF">2025-06-05T14:03:20Z</dcterms:created>
  <dcterms:modified xsi:type="dcterms:W3CDTF">2026-07-02T17:47:51Z</dcterms:modified>
</cp:coreProperties>
</file>