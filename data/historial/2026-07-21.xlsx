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2B9A2D97-69D7-48CE-A092-8059F3A2613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<sst xmlns="http://schemas.openxmlformats.org/spreadsheetml/2006/main" count="1553" uniqueCount="286">
  <si>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</si>
  <si>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</si>
  <si>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</si>
  <si>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</si>
  <si>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</si>
  <si>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</si>
  <si>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</si>
  <si>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</si>
  <si>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</si>
  <si>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</si>
  <si>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</si>
  <si>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</si>
  <si>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</si>
  <si>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</si>
  <si>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</si>
  <si>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</si>
  <si>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</si>
  <si>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</si>
  <si>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</si>
  <si>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</si>
  <si>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</si>
  <si>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</si>
  <si>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</si>
  <si>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</si>
  <si>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</si>
  <si>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</si>
  <si>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</si>
  <si>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</si>
  <si>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</si>
  <si>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</si>
  <si>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</si>
  <si>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</si>
  <si>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</si>
  <si>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</si>
  <si>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</si>
  <si>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</si>
  <si>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</si>
  <si>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</si>
  <si>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</si>
  <si>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</si>
  <si>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</si>
  <si>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</si>
  <si>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</si>
  <si>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</si>
  <si>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</si>
  <si>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</si>
  <si>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</si>
  <si>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</si>
  <si>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</si>
  <si>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</si>
  <si>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</si>
  <si>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</si>
  <si>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</si>
  <si>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</si>
  <si>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</si>
  <si>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</si>
  <si>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</si>
  <si>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</si>
  <si>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</si>
  <si>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</si>
  <si>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</si>
  <si>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</si>
  <si>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</si>
  <si>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</si>
  <si>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</si>
  <si>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</si>
  <si>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</si>
  <si>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</si>
  <si>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</si>
  <si>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</si>
  <si>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</si>
  <si>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</si>
  <si>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</si>
  <si>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</si>
  <si>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</si>
  <si>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</si>
  <si>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</si>
  <si>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</si>
  <si>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</si>
  <si>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</si>
  <si>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</si>
  <si>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</si>
  <si>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</si>
  <si>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</si>
  <si>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</si>
  <si>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</si>
  <si>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</si>
  <si>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</si>
  <si>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</si>
  <si>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</si>
  <si>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</si>
  <si>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</si>
  <si>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</si>
  <si>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</si>
  <si>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</si>
  <si>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</si>
  <si>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</si>
  <si>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</si>
  <si>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</si>
  <si>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</si>
  <si>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</si>
  <si>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</si>
  <si>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</si>
  <si>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</si>
  <si>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</si>
  <si>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</si>
  <si>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</si>
  <si>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</si>
  <si>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</si>
  <si>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</si>
  <si>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</si>
  <si>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</si>
  <si>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</si>
  <si>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</si>
  <si>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</si>
  <si>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</si>
  <si>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</si>
  <si>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</si>
  <si>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</si>
  <si>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</si>
  <si>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</si>
  <si>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</si>
  <si>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</si>
  <si>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</si>
  <si>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</si>
  <si>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</si>
  <si>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</si>
  <si>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</si>
  <si>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</si>
  <si>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</si>
  <si>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</si>
  <si>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</si>
  <si>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</si>
  <si>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</si>
  <si>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</si>
  <si>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</si>
  <si>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</si>
  <si>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</si>
  <si>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</si>
  <si>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</si>
  <si>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</si>
  <si>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</si>
  <si>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</si>
  <si>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</si>
  <si>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</si>
  <si>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</si>
  <si>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</si>
  <si>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</si>
  <si>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</si>
  <si>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</si>
  <si>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</si>
  <si>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</si>
  <si>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</si>
  <si>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</si>
  <si>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</si>
  <si>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</si>
  <si>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</si>
  <si>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</si>
  <si>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</si>
  <si>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</si>
  <si>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</si>
  <si>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</si>
  <si>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</si>
  <si>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</si>
  <si>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</si>
  <si>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</si>
  <si>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</si>
  <si>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</si>
  <si>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</si>
  <si>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</si>
  <si>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</si>
  <si>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</si>
  <si>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</si>
  <si>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</si>
  <si>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</si>
  <si>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</si>
  <si>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</si>
  <si>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</si>
  <si>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</si>
  <si>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</si>
  <si>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</si>
  <si>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</si>
  <si>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</si>
  <si>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</si>
  <si>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</si>
  <si>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</si>
  <si>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</si>
  <si>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</si>
  <si>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</si>
  <si>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</si>
  <si>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</si>
  <si>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</si>
  <si>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</si>
  <si>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</si>
  <si>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</si>
  <si>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</si>
  <si>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</si>
  <si>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</si>
  <si>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</si>
  <si>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</si>
  <si>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</si>
  <si>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</si>
  <si>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</si>
  <si>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</si>
  <si>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</si>
  <si>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</si>
  <si>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</si>
  <si>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</si>
  <si>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</si>
  <si>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</si>
  <si>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</si>
  <si>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</si>
  <si>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</si>
  <si>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</si>
  <si>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</si>
  <si>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</si>
  <si>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</si>
  <si>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</si>
  <si>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</si>
  <si>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</si>
  <si>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</si>
  <si>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</si>
  <si>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</si>
  <si>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</si>
  <si>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</si>
  <si>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</si>
  <si>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</si>
  <si>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</si>
  <si>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</si>
  <si>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</si>
  <si>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</si>
  <si>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</si>
  <si>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</si>
  <si>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</si>
  <si>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</si>
  <si>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</si>
  <si>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</si>
  <si>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</si>
  <si>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</si>
  <si>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</si>
  <si>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</si>
  <si>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</si>
  <si>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</si>
  <si>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</si>
  <si>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</si>
  <si>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</si>
  <si>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</si>
  <si>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</si>
  <si>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</si>
  <si>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</si>
  <si>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</si>
  <si>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</si>
  <si>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</si>
  <si>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</si>
  <si>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</si>
  <si>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</si>
  <si>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</si>
  <si>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</si>
  <si>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</si>
  <si>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</si>
  <si>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</si>
  <si>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</si>
  <si>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</si>
  <si>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</si>
  <si>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</si>
  <si>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</si>
  <si>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</si>
  <si>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</si>
  <si>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</si>
  <si>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</si>
  <si>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</si>
  <si>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</si>
  <si>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</si>
  <si>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</si>
  <si>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</si>
  <si>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</si>
  <si>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</si>
  <si>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</si>
  <si>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</si>
  <si>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</si>
  <si>
    <t>8 - PARRA MAXIMILIANO</t>
  </si>
  <si>
    <t>52 - RAVAROTTO EMANUEL</t>
  </si>
  <si>
    <t>GENERAL</t>
  </si>
  <si>
    <t>37 - SALAJ EMILIO</t>
  </si>
  <si>
    <t>60 - SILVA ADRIAN</t>
  </si>
  <si>
    <t>24 - SOLIS EMMANUEL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</si>
</sst>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44" fontId="0" fillId="0" borderId="30" xfId="1" applyFont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44" fontId="0" fillId="0" borderId="39" xfId="1" applyFont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4" t="s">
        <v>75</v>
      </c>
      <c r="B1" s="154" t="s">
        <v>146</v>
      </c>
      <c r="C1" s="154" t="s">
        <v>147</v>
      </c>
      <c r="D1" s="154" t="s">
        <v>148</v>
      </c>
      <c r="E1" s="154" t="s">
        <v>149</v>
      </c>
      <c r="F1" s="154" t="s">
        <v>150</v>
      </c>
      <c r="G1" s="154" t="s">
        <v>151</v>
      </c>
      <c r="H1" s="154" t="s">
        <v>152</v>
      </c>
    </row>
    <row r="2" spans="1:8" x14ac:dyDescent="0.25">
      <c r="A2" s="153" t="s">
        <v>153</v>
      </c>
      <c r="B2" s="153">
        <v>0</v>
      </c>
      <c r="C2" s="153">
        <v>69782.683907852901</v>
      </c>
      <c r="D2" s="153">
        <v>342086.26939237863</v>
      </c>
      <c r="E2" s="153">
        <v>1233753383.681329</v>
      </c>
      <c r="F2" s="153">
        <v>0</v>
      </c>
      <c r="G2" s="153">
        <v>555230.14847038162</v>
      </c>
      <c r="H2" s="153">
        <v>555230</v>
      </c>
    </row>
    <row r="3" spans="1:8" x14ac:dyDescent="0.25">
      <c r="A3" s="153" t="s">
        <v>80</v>
      </c>
      <c r="B3" s="153">
        <v>1</v>
      </c>
      <c r="C3" s="153">
        <v>782.18436215880001</v>
      </c>
      <c r="D3" s="153">
        <v>1415.2241235145</v>
      </c>
      <c r="E3" s="153">
        <v>18507671.615679327</v>
      </c>
      <c r="F3" s="153">
        <v>0</v>
      </c>
      <c r="G3" s="153">
        <v>555230.14847038162</v>
      </c>
      <c r="H3" s="153">
        <v>555230</v>
      </c>
    </row>
    <row r="4" spans="1:8" x14ac:dyDescent="0.25">
      <c r="A4" s="153" t="s">
        <v>81</v>
      </c>
      <c r="B4" s="153">
        <v>1</v>
      </c>
      <c r="C4" s="153">
        <v>459.74361772290001</v>
      </c>
      <c r="D4" s="153">
        <v>961.07360713560001</v>
      </c>
      <c r="E4" s="153">
        <v>10945441.658595331</v>
      </c>
      <c r="F4" s="153">
        <v>0</v>
      </c>
      <c r="G4" s="153">
        <v>0</v>
      </c>
      <c r="H4" s="153">
        <v>0</v>
      </c>
    </row>
    <row r="5" spans="1:8" x14ac:dyDescent="0.25">
      <c r="A5" s="153" t="s">
        <v>82</v>
      </c>
      <c r="B5" s="153">
        <v>1</v>
      </c>
      <c r="C5" s="153">
        <v>882.66273809320001</v>
      </c>
      <c r="D5" s="153">
        <v>4177.2386190564002</v>
      </c>
      <c r="E5" s="153">
        <v>19441668.638954449</v>
      </c>
      <c r="F5" s="153">
        <v>0</v>
      </c>
      <c r="G5" s="153">
        <v>0</v>
      </c>
      <c r="H5" s="153">
        <v>0</v>
      </c>
    </row>
    <row r="6" spans="1:8" x14ac:dyDescent="0.25">
      <c r="A6" s="153" t="s">
        <v>83</v>
      </c>
      <c r="B6" s="153">
        <v>1</v>
      </c>
      <c r="C6" s="153">
        <v>1196.582738093</v>
      </c>
      <c r="D6" s="153">
        <v>3285.9331607265999</v>
      </c>
      <c r="E6" s="153">
        <v>27857192.084273212</v>
      </c>
      <c r="F6" s="153">
        <v>0</v>
      </c>
      <c r="G6" s="153">
        <v>0</v>
      </c>
      <c r="H6" s="153">
        <v>0</v>
      </c>
    </row>
    <row r="7" spans="1:8" x14ac:dyDescent="0.25">
      <c r="A7" s="153" t="s">
        <v>84</v>
      </c>
      <c r="B7" s="153">
        <v>1</v>
      </c>
      <c r="C7" s="153">
        <v>1563.0705136652</v>
      </c>
      <c r="D7" s="153">
        <v>6080.6066135534002</v>
      </c>
      <c r="E7" s="153">
        <v>28880063.416228741</v>
      </c>
      <c r="F7" s="153">
        <v>0</v>
      </c>
      <c r="G7" s="153">
        <v>0</v>
      </c>
      <c r="H7" s="153">
        <v>0</v>
      </c>
    </row>
    <row r="8" spans="1:8" x14ac:dyDescent="0.25">
      <c r="A8" s="153" t="s">
        <v>110</v>
      </c>
      <c r="B8" s="153">
        <v>1</v>
      </c>
      <c r="C8" s="153">
        <v>4004.1694444443001</v>
      </c>
      <c r="D8" s="153">
        <v>11123.9499999994</v>
      </c>
      <c r="E8" s="153">
        <v>72015354.910800621</v>
      </c>
      <c r="F8" s="153">
        <v>0</v>
      </c>
      <c r="G8" s="153">
        <v>0</v>
      </c>
      <c r="H8" s="153">
        <v>0</v>
      </c>
    </row>
    <row r="9" spans="1:8" x14ac:dyDescent="0.25">
      <c r="A9" s="153" t="s">
        <v>280</v>
      </c>
      <c r="B9" s="153">
        <v>1</v>
      </c>
      <c r="C9" s="153">
        <v>722.81940476140005</v>
      </c>
      <c r="D9" s="153">
        <v>2627.9930833460999</v>
      </c>
      <c r="E9" s="153">
        <v>14270783.205008721</v>
      </c>
      <c r="F9" s="153">
        <v>0</v>
      </c>
      <c r="G9" s="153">
        <v>0</v>
      </c>
      <c r="H9" s="153">
        <v>0</v>
      </c>
    </row>
    <row r="10" spans="1:8" x14ac:dyDescent="0.25">
      <c r="A10" s="153" t="s">
        <v>86</v>
      </c>
      <c r="B10" s="153">
        <v>1</v>
      </c>
      <c r="C10" s="153">
        <v>390.78269444379998</v>
      </c>
      <c r="D10" s="153">
        <v>1648.699273833</v>
      </c>
      <c r="E10" s="153">
        <v>12182090.472361254</v>
      </c>
      <c r="F10" s="153">
        <v>0</v>
      </c>
      <c r="G10" s="153">
        <v>0</v>
      </c>
      <c r="H10" s="153">
        <v>0</v>
      </c>
    </row>
    <row r="11" spans="1:8" x14ac:dyDescent="0.25">
      <c r="A11" s="153" t="s">
        <v>210</v>
      </c>
      <c r="B11" s="153">
        <v>1</v>
      </c>
      <c r="C11" s="153">
        <v>635.55333333290002</v>
      </c>
      <c r="D11" s="153">
        <v>1707.4062500107</v>
      </c>
      <c r="E11" s="153">
        <v>10871740.75203808</v>
      </c>
      <c r="F11" s="153">
        <v>0</v>
      </c>
      <c r="G11" s="153">
        <v>0</v>
      </c>
      <c r="H11" s="153">
        <v>0</v>
      </c>
    </row>
    <row r="12" spans="1:8" x14ac:dyDescent="0.25">
      <c r="A12" s="153" t="s">
        <v>209</v>
      </c>
      <c r="B12" s="153">
        <v>1</v>
      </c>
      <c r="C12" s="153">
        <v>1172.0635912673999</v>
      </c>
      <c r="D12" s="153">
        <v>4521.3867500201004</v>
      </c>
      <c r="E12" s="153">
        <v>19614033.595704075</v>
      </c>
      <c r="F12" s="153">
        <v>0</v>
      </c>
      <c r="G12" s="153">
        <v>0</v>
      </c>
      <c r="H12" s="153">
        <v>0</v>
      </c>
    </row>
    <row r="13" spans="1:8" x14ac:dyDescent="0.25">
      <c r="A13" s="153" t="s">
        <v>89</v>
      </c>
      <c r="B13" s="153">
        <v>1</v>
      </c>
      <c r="C13" s="153">
        <v>1141.7140595209</v>
      </c>
      <c r="D13" s="153">
        <v>3103.8533095347998</v>
      </c>
      <c r="E13" s="153">
        <v>24149548.818981081</v>
      </c>
      <c r="F13" s="153">
        <v>0</v>
      </c>
      <c r="G13" s="153">
        <v>0</v>
      </c>
      <c r="H13" s="153">
        <v>0</v>
      </c>
    </row>
    <row r="14" spans="1:8" x14ac:dyDescent="0.25">
      <c r="A14" s="153" t="s">
        <v>90</v>
      </c>
      <c r="B14" s="153">
        <v>1</v>
      </c>
      <c r="C14" s="153">
        <v>6489.3796527765999</v>
      </c>
      <c r="D14" s="153">
        <v>32111.143909222501</v>
      </c>
      <c r="E14" s="153">
        <v>101018246.2444049</v>
      </c>
      <c r="F14" s="153">
        <v>0</v>
      </c>
      <c r="G14" s="153">
        <v>0</v>
      </c>
      <c r="H14" s="153">
        <v>0</v>
      </c>
    </row>
    <row r="15" spans="1:8" x14ac:dyDescent="0.25">
      <c r="A15" s="153" t="s">
        <v>91</v>
      </c>
      <c r="B15" s="153">
        <v>1</v>
      </c>
      <c r="C15" s="153">
        <v>1064.8433531736</v>
      </c>
      <c r="D15" s="153">
        <v>3826.3392619128999</v>
      </c>
      <c r="E15" s="153">
        <v>21342756.981411941</v>
      </c>
      <c r="F15" s="153">
        <v>0</v>
      </c>
      <c r="G15" s="153">
        <v>0</v>
      </c>
      <c r="H15" s="153">
        <v>0</v>
      </c>
    </row>
    <row r="16" spans="1:8" x14ac:dyDescent="0.25">
      <c r="A16" s="153" t="s">
        <v>92</v>
      </c>
      <c r="B16" s="153">
        <v>1</v>
      </c>
      <c r="C16" s="153">
        <v>687.99720238019995</v>
      </c>
      <c r="D16" s="153">
        <v>2847.4109524042001</v>
      </c>
      <c r="E16" s="153">
        <v>17524748.002732955</v>
      </c>
      <c r="F16" s="153">
        <v>0</v>
      </c>
      <c r="G16" s="153">
        <v>0</v>
      </c>
      <c r="H16" s="153">
        <v>0</v>
      </c>
    </row>
    <row r="17" spans="1:8" x14ac:dyDescent="0.25">
      <c r="A17" s="153" t="s">
        <v>93</v>
      </c>
      <c r="B17" s="153">
        <v>1</v>
      </c>
      <c r="C17" s="153">
        <v>1508.8667261901001</v>
      </c>
      <c r="D17" s="153">
        <v>4907.3453393010004</v>
      </c>
      <c r="E17" s="153">
        <v>32029868.374792028</v>
      </c>
      <c r="F17" s="153">
        <v>0</v>
      </c>
      <c r="G17" s="153">
        <v>0</v>
      </c>
      <c r="H17" s="153">
        <v>0</v>
      </c>
    </row>
    <row r="18" spans="1:8" x14ac:dyDescent="0.25">
      <c r="A18" s="153" t="s">
        <v>94</v>
      </c>
      <c r="B18" s="153">
        <v>1</v>
      </c>
      <c r="C18" s="153">
        <v>1717.1043452363001</v>
      </c>
      <c r="D18" s="153">
        <v>8493.3993452610994</v>
      </c>
      <c r="E18" s="153">
        <v>35791988.101176962</v>
      </c>
      <c r="F18" s="153">
        <v>0</v>
      </c>
      <c r="G18" s="153">
        <v>0</v>
      </c>
      <c r="H18" s="153">
        <v>0</v>
      </c>
    </row>
    <row r="19" spans="1:8" x14ac:dyDescent="0.25">
      <c r="A19" s="153" t="s">
        <v>95</v>
      </c>
      <c r="B19" s="153">
        <v>1</v>
      </c>
      <c r="C19" s="153">
        <v>1364.0995634896999</v>
      </c>
      <c r="D19" s="153">
        <v>5265.4041666757003</v>
      </c>
      <c r="E19" s="153">
        <v>28666317.617154609</v>
      </c>
      <c r="F19" s="153">
        <v>0</v>
      </c>
      <c r="G19" s="153">
        <v>0</v>
      </c>
      <c r="H19" s="153">
        <v>0</v>
      </c>
    </row>
    <row r="20" spans="1:8" x14ac:dyDescent="0.25">
      <c r="A20" s="153" t="s">
        <v>96</v>
      </c>
      <c r="B20" s="153">
        <v>1</v>
      </c>
      <c r="C20" s="153">
        <v>4868.9132440467001</v>
      </c>
      <c r="D20" s="153">
        <v>29075.658528265001</v>
      </c>
      <c r="E20" s="153">
        <v>89577590.388599753</v>
      </c>
      <c r="F20" s="153">
        <v>0</v>
      </c>
      <c r="G20" s="153">
        <v>0</v>
      </c>
      <c r="H20" s="153">
        <v>0</v>
      </c>
    </row>
    <row r="21" spans="1:8" x14ac:dyDescent="0.25">
      <c r="A21" s="153" t="s">
        <v>97</v>
      </c>
      <c r="B21" s="153">
        <v>1</v>
      </c>
      <c r="C21" s="153">
        <v>432.36406745800002</v>
      </c>
      <c r="D21" s="153">
        <v>1747.3532857350001</v>
      </c>
      <c r="E21" s="153">
        <v>10995320.756714804</v>
      </c>
      <c r="F21" s="153">
        <v>0</v>
      </c>
      <c r="G21" s="153">
        <v>0</v>
      </c>
      <c r="H21" s="153">
        <v>0</v>
      </c>
    </row>
    <row r="22" spans="1:8" x14ac:dyDescent="0.25">
      <c r="A22" s="153" t="s">
        <v>285</v>
      </c>
      <c r="B22" s="153">
        <v>1</v>
      </c>
      <c r="C22" s="153">
        <v>366.03779761940001</v>
      </c>
      <c r="D22" s="153">
        <v>1529.5073333548</v>
      </c>
      <c r="E22" s="153">
        <v>7386058.4852437498</v>
      </c>
      <c r="F22" s="153">
        <v>0</v>
      </c>
      <c r="G22" s="153">
        <v>0</v>
      </c>
      <c r="H22" s="153">
        <v>0</v>
      </c>
    </row>
    <row r="23" spans="1:8" x14ac:dyDescent="0.25">
      <c r="A23" s="153" t="s">
        <v>267</v>
      </c>
      <c r="B23" s="153">
        <v>1</v>
      </c>
      <c r="C23" s="153">
        <v>3710.5168849196002</v>
      </c>
      <c r="D23" s="153">
        <v>19402.899797620299</v>
      </c>
      <c r="E23" s="153">
        <v>64650647.266790837</v>
      </c>
      <c r="F23" s="153">
        <v>0</v>
      </c>
      <c r="G23" s="153">
        <v>0</v>
      </c>
      <c r="H23" s="153">
        <v>0</v>
      </c>
    </row>
    <row r="24" spans="1:8" x14ac:dyDescent="0.25">
      <c r="A24" s="153" t="s">
        <v>266</v>
      </c>
      <c r="B24" s="153">
        <v>1</v>
      </c>
      <c r="C24" s="153">
        <v>3109.9988095231001</v>
      </c>
      <c r="D24" s="153">
        <v>28105.333214282498</v>
      </c>
      <c r="E24" s="153">
        <v>55230537.47476542</v>
      </c>
      <c r="F24" s="153">
        <v>0</v>
      </c>
      <c r="G24" s="153">
        <v>0</v>
      </c>
      <c r="H24" s="153">
        <v>0</v>
      </c>
    </row>
    <row r="25" spans="1:8" x14ac:dyDescent="0.25">
      <c r="A25" s="153" t="s">
        <v>98</v>
      </c>
      <c r="B25" s="153">
        <v>1</v>
      </c>
      <c r="C25" s="153">
        <v>831.88398015689995</v>
      </c>
      <c r="D25" s="153">
        <v>3832.0030000085999</v>
      </c>
      <c r="E25" s="153">
        <v>18982495.4539265</v>
      </c>
      <c r="F25" s="153">
        <v>0</v>
      </c>
      <c r="G25" s="153">
        <v>0</v>
      </c>
      <c r="H25" s="153">
        <v>0</v>
      </c>
    </row>
    <row r="26" spans="1:8" x14ac:dyDescent="0.25">
      <c r="A26" s="153" t="s">
        <v>99</v>
      </c>
      <c r="B26" s="153">
        <v>1</v>
      </c>
      <c r="C26" s="153">
        <v>807.06396824980004</v>
      </c>
      <c r="D26" s="153">
        <v>2300.6805357000999</v>
      </c>
      <c r="E26" s="153">
        <v>13415803.821920868</v>
      </c>
      <c r="F26" s="153">
        <v>0</v>
      </c>
      <c r="G26" s="153">
        <v>0</v>
      </c>
      <c r="H26" s="153">
        <v>0</v>
      </c>
    </row>
    <row r="27" spans="1:8" x14ac:dyDescent="0.25">
      <c r="A27" s="153" t="s">
        <v>217</v>
      </c>
      <c r="B27" s="153">
        <v>1</v>
      </c>
      <c r="C27" s="153">
        <v>7495.9722222224</v>
      </c>
      <c r="D27" s="153">
        <v>25764.67</v>
      </c>
      <c r="E27" s="153">
        <v>90546077.087252945</v>
      </c>
      <c r="F27" s="153">
        <v>0</v>
      </c>
      <c r="G27" s="153">
        <v>0</v>
      </c>
      <c r="H27" s="153">
        <v>0</v>
      </c>
    </row>
    <row r="28" spans="1:8" x14ac:dyDescent="0.25">
      <c r="A28" s="153" t="s">
        <v>219</v>
      </c>
      <c r="B28" s="153">
        <v>1</v>
      </c>
      <c r="C28" s="153">
        <v>1057.7248214245001</v>
      </c>
      <c r="D28" s="153">
        <v>4289.6615952396996</v>
      </c>
      <c r="E28" s="153">
        <v>21177946.841268685</v>
      </c>
      <c r="F28" s="153">
        <v>0</v>
      </c>
      <c r="G28" s="153">
        <v>0</v>
      </c>
      <c r="H28" s="153">
        <v>0</v>
      </c>
    </row>
    <row r="29" spans="1:8" x14ac:dyDescent="0.25">
      <c r="A29" s="153" t="s">
        <v>211</v>
      </c>
      <c r="B29" s="153">
        <v>1</v>
      </c>
      <c r="C29" s="153">
        <v>2919.8811507931</v>
      </c>
      <c r="D29" s="153">
        <v>14935.124500002899</v>
      </c>
      <c r="E29" s="153">
        <v>47303676.242511839</v>
      </c>
      <c r="F29" s="153">
        <v>0</v>
      </c>
      <c r="G29" s="153">
        <v>0</v>
      </c>
      <c r="H29" s="153">
        <v>0</v>
      </c>
    </row>
    <row r="30" spans="1:8" x14ac:dyDescent="0.25">
      <c r="A30" s="153" t="s">
        <v>138</v>
      </c>
      <c r="B30" s="153">
        <v>1</v>
      </c>
      <c r="C30" s="153">
        <v>365.82367063309999</v>
      </c>
      <c r="D30" s="153">
        <v>1362.5884285694999</v>
      </c>
      <c r="E30" s="153">
        <v>8114444.2051009573</v>
      </c>
      <c r="F30" s="153">
        <v>0</v>
      </c>
      <c r="G30" s="153">
        <v>0</v>
      </c>
      <c r="H30" s="153">
        <v>0</v>
      </c>
    </row>
    <row r="31" spans="1:8" x14ac:dyDescent="0.25">
      <c r="A31" s="153" t="s">
        <v>213</v>
      </c>
      <c r="B31" s="153">
        <v>1</v>
      </c>
      <c r="C31" s="153">
        <v>706.52499999889994</v>
      </c>
      <c r="D31" s="153">
        <v>1978.9850000105</v>
      </c>
      <c r="E31" s="153">
        <v>10109279.970613899</v>
      </c>
      <c r="F31" s="153">
        <v>0</v>
      </c>
      <c r="G31" s="153">
        <v>0</v>
      </c>
      <c r="H31" s="153">
        <v>0</v>
      </c>
    </row>
    <row r="32" spans="1:8" x14ac:dyDescent="0.25">
      <c r="A32" s="153" t="s">
        <v>283</v>
      </c>
      <c r="B32" s="153">
        <v>1</v>
      </c>
      <c r="C32" s="153">
        <v>127.02456349080001</v>
      </c>
      <c r="D32" s="153">
        <v>694.45541666149995</v>
      </c>
      <c r="E32" s="153">
        <v>4790514.0275135869</v>
      </c>
      <c r="F32" s="153">
        <v>0</v>
      </c>
      <c r="G32" s="153">
        <v>0</v>
      </c>
      <c r="H32" s="153">
        <v>0</v>
      </c>
    </row>
    <row r="33" spans="1:8" x14ac:dyDescent="0.25">
      <c r="A33" s="153" t="s">
        <v>212</v>
      </c>
      <c r="B33" s="153">
        <v>1</v>
      </c>
      <c r="C33" s="153">
        <v>1080.5431018506999</v>
      </c>
      <c r="D33" s="153">
        <v>4252.5194999981004</v>
      </c>
      <c r="E33" s="153">
        <v>15601357.664009722</v>
      </c>
      <c r="F33" s="153">
        <v>0</v>
      </c>
      <c r="G33" s="153">
        <v>0</v>
      </c>
      <c r="H33" s="153">
        <v>0</v>
      </c>
    </row>
    <row r="34" spans="1:8" x14ac:dyDescent="0.25">
      <c r="A34" s="153" t="s">
        <v>270</v>
      </c>
      <c r="B34" s="153">
        <v>1</v>
      </c>
      <c r="C34" s="153">
        <v>128.93754668540001</v>
      </c>
      <c r="D34" s="153">
        <v>1568.7814166665</v>
      </c>
      <c r="E34" s="153">
        <v>4254255.0832535876</v>
      </c>
      <c r="F34" s="153">
        <v>0</v>
      </c>
      <c r="G34" s="153">
        <v>0</v>
      </c>
      <c r="H34" s="153">
        <v>0</v>
      </c>
    </row>
    <row r="35" spans="1:8" x14ac:dyDescent="0.25">
      <c r="A35" s="153" t="s">
        <v>268</v>
      </c>
      <c r="B35" s="153">
        <v>1</v>
      </c>
      <c r="C35" s="153">
        <v>1827.5875000000001</v>
      </c>
      <c r="D35" s="153">
        <v>11987.440000000201</v>
      </c>
      <c r="E35" s="153">
        <v>24185979.343219414</v>
      </c>
      <c r="F35" s="153">
        <v>0</v>
      </c>
      <c r="G35" s="153">
        <v>0</v>
      </c>
      <c r="H35" s="153">
        <v>0</v>
      </c>
    </row>
    <row r="36" spans="1:8" x14ac:dyDescent="0.25">
      <c r="A36" s="153" t="s">
        <v>160</v>
      </c>
      <c r="B36" s="153">
        <v>1</v>
      </c>
      <c r="C36" s="153">
        <v>813.16071428509997</v>
      </c>
      <c r="D36" s="153">
        <v>3721.8896905021002</v>
      </c>
      <c r="E36" s="153">
        <v>19261973.48798969</v>
      </c>
      <c r="F36" s="153">
        <v>0</v>
      </c>
      <c r="G36" s="153">
        <v>0</v>
      </c>
      <c r="H36" s="153">
        <v>0</v>
      </c>
    </row>
    <row r="37" spans="1:8" x14ac:dyDescent="0.25">
      <c r="A37" s="153" t="s">
        <v>106</v>
      </c>
      <c r="B37" s="153">
        <v>1</v>
      </c>
      <c r="C37" s="153">
        <v>931.51646825420005</v>
      </c>
      <c r="D37" s="153">
        <v>5626.3775000129999</v>
      </c>
      <c r="E37" s="153">
        <v>19513439.214218836</v>
      </c>
      <c r="F37" s="153">
        <v>0</v>
      </c>
      <c r="G37" s="153">
        <v>0</v>
      </c>
      <c r="H37" s="153">
        <v>0</v>
      </c>
    </row>
    <row r="38" spans="1:8" x14ac:dyDescent="0.25">
      <c r="A38" s="153" t="s">
        <v>281</v>
      </c>
      <c r="B38" s="153">
        <v>1</v>
      </c>
      <c r="C38" s="153">
        <v>1257.4166666665999</v>
      </c>
      <c r="D38" s="153">
        <v>13830.219999997</v>
      </c>
      <c r="E38" s="153">
        <v>31503766.220523559</v>
      </c>
      <c r="F38" s="153">
        <v>0</v>
      </c>
      <c r="G38" s="153">
        <v>0</v>
      </c>
      <c r="H38" s="153">
        <v>0</v>
      </c>
    </row>
    <row r="39" spans="1:8" x14ac:dyDescent="0.25">
      <c r="A39" s="153" t="s">
        <v>107</v>
      </c>
      <c r="B39" s="153">
        <v>1</v>
      </c>
      <c r="C39" s="153">
        <v>1176.6521103896</v>
      </c>
      <c r="D39" s="153">
        <v>14108.245000000499</v>
      </c>
      <c r="E39" s="153">
        <v>27650397.121402435</v>
      </c>
      <c r="F39" s="153">
        <v>0</v>
      </c>
      <c r="G39" s="153">
        <v>0</v>
      </c>
      <c r="H39" s="153">
        <v>0</v>
      </c>
    </row>
    <row r="40" spans="1:8" x14ac:dyDescent="0.25">
      <c r="A40" s="153" t="s">
        <v>220</v>
      </c>
      <c r="B40" s="153">
        <v>1</v>
      </c>
      <c r="C40" s="153">
        <v>2185.5857308167001</v>
      </c>
      <c r="D40" s="153">
        <v>11908.5039717443</v>
      </c>
      <c r="E40" s="153">
        <v>33894922.067494407</v>
      </c>
      <c r="F40" s="153">
        <v>0</v>
      </c>
      <c r="G40" s="153">
        <v>0</v>
      </c>
      <c r="H40" s="153">
        <v>0</v>
      </c>
    </row>
    <row r="41" spans="1:8" x14ac:dyDescent="0.25">
      <c r="A41" s="153" t="s">
        <v>139</v>
      </c>
      <c r="B41" s="153">
        <v>1</v>
      </c>
      <c r="C41" s="153">
        <v>3622.4315476196002</v>
      </c>
      <c r="D41" s="153">
        <v>24150.0158333324</v>
      </c>
      <c r="E41" s="153">
        <v>43189960.10274037</v>
      </c>
      <c r="F41" s="153">
        <v>0</v>
      </c>
      <c r="G41" s="153">
        <v>0</v>
      </c>
      <c r="H41" s="153">
        <v>0</v>
      </c>
    </row>
    <row r="42" spans="1:8" x14ac:dyDescent="0.25">
      <c r="A42" s="153" t="s">
        <v>214</v>
      </c>
      <c r="B42" s="153">
        <v>1</v>
      </c>
      <c r="C42" s="153">
        <v>655.19444444440001</v>
      </c>
      <c r="D42" s="153">
        <v>5627.7799999994004</v>
      </c>
      <c r="E42" s="153">
        <v>13027385.083473394</v>
      </c>
      <c r="F42" s="153">
        <v>0</v>
      </c>
      <c r="G42" s="153">
        <v>0</v>
      </c>
      <c r="H42" s="153">
        <v>0</v>
      </c>
    </row>
    <row r="43" spans="1:8" x14ac:dyDescent="0.25">
      <c r="A43" s="153" t="s">
        <v>144</v>
      </c>
      <c r="B43" s="153">
        <v>1</v>
      </c>
      <c r="C43" s="153">
        <v>532.58407738059998</v>
      </c>
      <c r="D43" s="153">
        <v>2243.9944318442999</v>
      </c>
      <c r="E43" s="153">
        <v>21810259.731919419</v>
      </c>
      <c r="F43" s="153">
        <v>0</v>
      </c>
      <c r="G43" s="153">
        <v>0</v>
      </c>
      <c r="H43" s="153">
        <v>0</v>
      </c>
    </row>
    <row r="44" spans="1:8" x14ac:dyDescent="0.25">
      <c r="A44" s="153" t="s">
        <v>145</v>
      </c>
      <c r="B44" s="153">
        <v>1</v>
      </c>
      <c r="C44" s="153">
        <v>561.16200396850002</v>
      </c>
      <c r="D44" s="153">
        <v>3551.0444881028002</v>
      </c>
      <c r="E44" s="153">
        <v>11107366.78759611</v>
      </c>
      <c r="F44" s="153">
        <v>0</v>
      </c>
      <c r="G44" s="153">
        <v>0</v>
      </c>
      <c r="H44" s="153">
        <v>0</v>
      </c>
    </row>
    <row r="45" spans="1:8" x14ac:dyDescent="0.25">
      <c r="A45" s="153" t="s">
        <v>284</v>
      </c>
      <c r="B45" s="153">
        <v>1</v>
      </c>
      <c r="C45" s="153">
        <v>221.03095238110001</v>
      </c>
      <c r="D45" s="153">
        <v>81.504999999600003</v>
      </c>
      <c r="E45" s="153">
        <v>2482456.6086097513</v>
      </c>
      <c r="F45" s="153">
        <v>0</v>
      </c>
      <c r="G45" s="153">
        <v>0</v>
      </c>
      <c r="H45" s="153">
        <v>0</v>
      </c>
    </row>
    <row r="46" spans="1:8" x14ac:dyDescent="0.25">
      <c r="A46" s="153" t="s">
        <v>154</v>
      </c>
      <c r="B46" s="153">
        <v>1</v>
      </c>
      <c r="C46" s="153">
        <v>1103.0105059511</v>
      </c>
      <c r="D46" s="153">
        <v>2454.9699568370002</v>
      </c>
      <c r="E46" s="153">
        <v>11766244.307231961</v>
      </c>
      <c r="F46" s="153">
        <v>0</v>
      </c>
      <c r="G46" s="153">
        <v>0</v>
      </c>
      <c r="H46" s="153">
        <v>0</v>
      </c>
    </row>
    <row r="47" spans="1:8" x14ac:dyDescent="0.25">
      <c r="A47" s="153" t="s">
        <v>218</v>
      </c>
      <c r="B47" s="153">
        <v>1</v>
      </c>
      <c r="C47" s="153">
        <v>1102.5030158727</v>
      </c>
      <c r="D47" s="153">
        <v>3849.6542023830002</v>
      </c>
      <c r="E47" s="153">
        <v>17113714.345124301</v>
      </c>
      <c r="F47" s="153">
        <v>0</v>
      </c>
      <c r="G47" s="153">
        <v>0</v>
      </c>
      <c r="H47" s="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8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4" width="18.85546875" style="2" bestFit="1" customWidth="1"/>
    <col min="5" max="5" width="18.8554687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4" t="s">
        <v>206</v>
      </c>
      <c r="B2" s="57" t="s">
        <v>94</v>
      </c>
      <c r="C2" s="58">
        <v>32279076.638250753</v>
      </c>
      <c r="D2" s="59">
        <f>IFERROR(+VLOOKUP(B2,COMISIONES!A:E,5,FALSE),"0")*1</f>
        <v>35791988.101176962</v>
      </c>
      <c r="E2" s="59">
        <v>34636817.084585764</v>
      </c>
      <c r="F2" s="59">
        <f t="shared" ref="F2:F9" si="0">+D2-E2</f>
        <v>1155171.0165911987</v>
      </c>
      <c r="G2" s="60">
        <f t="shared" ref="G2:G47" si="1">+D2/C2</f>
        <v>1.1088293665365696</v>
      </c>
      <c r="H2" s="59">
        <f>+D2/$N$3*$N$4</f>
        <v>54740687.684152998</v>
      </c>
      <c r="I2" s="60">
        <f t="shared" ref="I2:I48" si="2">+H2/C2</f>
        <v>1.6958566782324003</v>
      </c>
      <c r="J2" s="59">
        <f>+D2/$N$3</f>
        <v>2105411.0647751153</v>
      </c>
      <c r="K2" s="59">
        <f t="shared" ref="K2:K38" si="3">+(C2-D2)/$N$2</f>
        <v>-390323.49588068988</v>
      </c>
      <c r="L2" s="61" cm="1">
        <f t="array" ref="L2">+_xlfn.IFS(I2&gt;114%,H2*0.02,I2&gt;109%,H2*0.015,I2&gt;104%,H2*0.0125,I2&gt;99%,H2*0.01,I2&lt;99%,H2*0)</f>
        <v>1094813.7536830599</v>
      </c>
      <c r="M2" s="53" t="s">
        <v>36</v>
      </c>
      <c r="N2">
        <v>9</v>
      </c>
    </row>
    <row r="3" spans="1:14" ht="16.5" thickBot="1" x14ac:dyDescent="0.3">
      <c r="A3" s="145"/>
      <c r="B3" s="36" t="s">
        <v>93</v>
      </c>
      <c r="C3" s="62">
        <v>30982728.178883255</v>
      </c>
      <c r="D3" s="4">
        <f>IFERROR(+VLOOKUP(B3,COMISIONES!A:E,5,FALSE),"0")*1</f>
        <v>32029868.374792028</v>
      </c>
      <c r="E3" s="4">
        <v>29601621.7447985</v>
      </c>
      <c r="F3" s="59">
        <f t="shared" si="0"/>
        <v>2428246.6299935281</v>
      </c>
      <c r="G3" s="5">
        <f t="shared" si="1"/>
        <v>1.0337975464866411</v>
      </c>
      <c r="H3" s="4">
        <f t="shared" ref="H3:H38" si="4">+D3/$N$3*$N$4</f>
        <v>48986857.514387801</v>
      </c>
      <c r="I3" s="5">
        <f t="shared" si="2"/>
        <v>1.5811021299207451</v>
      </c>
      <c r="J3" s="4">
        <f t="shared" ref="J3:J38" si="5">+D3/$N$3</f>
        <v>1884109.904399531</v>
      </c>
      <c r="K3" s="4">
        <f t="shared" si="3"/>
        <v>-116348.91065653041</v>
      </c>
      <c r="L3" s="63" cm="1">
        <f t="array" ref="L3">+_xlfn.IFS(I3&gt;114%,H3*0.02,I3&gt;109%,H3*0.015,I3&gt;104%,H3*0.0125,I3&gt;99%,H3*0.01,I3&lt;99%,H3*0)</f>
        <v>979737.150287756</v>
      </c>
      <c r="M3" s="53" t="s">
        <v>40</v>
      </c>
      <c r="N3">
        <f>N4-N2</f>
        <v>17</v>
      </c>
    </row>
    <row r="4" spans="1:14" ht="16.5" thickBot="1" x14ac:dyDescent="0.3">
      <c r="A4" s="145"/>
      <c r="B4" s="36" t="s">
        <v>91</v>
      </c>
      <c r="C4" s="62">
        <v>28390031.260148253</v>
      </c>
      <c r="D4" s="4">
        <f>IFERROR(+VLOOKUP(B4,COMISIONES!A:E,5,FALSE),"0")*1</f>
        <v>21342756.981411941</v>
      </c>
      <c r="E4" s="4">
        <v>20213457.668997444</v>
      </c>
      <c r="F4" s="59">
        <f t="shared" si="0"/>
        <v>1129299.3124144971</v>
      </c>
      <c r="G4" s="5">
        <f t="shared" si="1"/>
        <v>0.75176940757269495</v>
      </c>
      <c r="H4" s="4">
        <f t="shared" si="4"/>
        <v>32641863.618630029</v>
      </c>
      <c r="I4" s="5">
        <f t="shared" si="2"/>
        <v>1.1497649762876512</v>
      </c>
      <c r="J4" s="4">
        <f t="shared" si="5"/>
        <v>1255456.2930242319</v>
      </c>
      <c r="K4" s="4">
        <f t="shared" si="3"/>
        <v>783030.47541514575</v>
      </c>
      <c r="L4" s="63" cm="1">
        <f t="array" ref="L4">+_xlfn.IFS(I4&gt;114%,H4*0.02,I4&gt;109%,H4*0.015,I4&gt;104%,H4*0.0125,I4&gt;99%,H4*0.01,I4&lt;99%,H4*0)</f>
        <v>652837.27237260062</v>
      </c>
      <c r="M4" s="53" t="s">
        <v>47</v>
      </c>
      <c r="N4">
        <v>26</v>
      </c>
    </row>
    <row r="5" spans="1:14" ht="16.5" thickBot="1" x14ac:dyDescent="0.3">
      <c r="A5" s="145"/>
      <c r="B5" s="36" t="s">
        <v>89</v>
      </c>
      <c r="C5" s="62">
        <v>28390031.260148253</v>
      </c>
      <c r="D5" s="4">
        <f>IFERROR(+VLOOKUP(B5,COMISIONES!A:E,5,FALSE),"0")*1</f>
        <v>24149548.818981081</v>
      </c>
      <c r="E5" s="4">
        <v>23024470.106936067</v>
      </c>
      <c r="F5" s="59">
        <f t="shared" si="0"/>
        <v>1125078.7120450139</v>
      </c>
      <c r="G5" s="5">
        <f t="shared" si="1"/>
        <v>0.85063480901764155</v>
      </c>
      <c r="H5" s="4">
        <f t="shared" si="4"/>
        <v>36934604.076088712</v>
      </c>
      <c r="I5" s="5">
        <f t="shared" si="2"/>
        <v>1.3009708843799221</v>
      </c>
      <c r="J5" s="4">
        <f t="shared" si="5"/>
        <v>1420561.6952341814</v>
      </c>
      <c r="K5" s="4">
        <f t="shared" si="3"/>
        <v>471164.71568524133</v>
      </c>
      <c r="L5" s="63" cm="1">
        <f t="array" ref="L5">+_xlfn.IFS(I5&gt;114%,H5*0.02,I5&gt;109%,H5*0.015,I5&gt;104%,H5*0.0125,I5&gt;99%,H5*0.01,I5&lt;99%,H5*0)</f>
        <v>738692.08152177429</v>
      </c>
    </row>
    <row r="6" spans="1:14" ht="16.5" thickBot="1" x14ac:dyDescent="0.3">
      <c r="A6" s="145"/>
      <c r="B6" s="36" t="s">
        <v>209</v>
      </c>
      <c r="C6" s="62">
        <v>23528724.537520126</v>
      </c>
      <c r="D6" s="4">
        <f>IFERROR(+VLOOKUP(B6,COMISIONES!A:E,5,FALSE),"0")*1</f>
        <v>19614033.595704075</v>
      </c>
      <c r="E6" s="4">
        <v>19446755.345531441</v>
      </c>
      <c r="F6" s="59">
        <f t="shared" si="0"/>
        <v>167278.25017263368</v>
      </c>
      <c r="G6" s="5">
        <f t="shared" si="1"/>
        <v>0.83362077550895375</v>
      </c>
      <c r="H6" s="4">
        <f t="shared" si="4"/>
        <v>29997933.734606232</v>
      </c>
      <c r="I6" s="5">
        <f t="shared" si="2"/>
        <v>1.274949421366635</v>
      </c>
      <c r="J6" s="4">
        <f t="shared" si="5"/>
        <v>1153766.6821002397</v>
      </c>
      <c r="K6" s="4">
        <f t="shared" si="3"/>
        <v>434965.66020178341</v>
      </c>
      <c r="L6" s="63" cm="1">
        <f t="array" ref="L6">+_xlfn.IFS(I6&gt;114%,H6*0.02,I6&gt;109%,H6*0.015,I6&gt;104%,H6*0.0125,I6&gt;99%,H6*0.01,I6&lt;99%,H6*0)</f>
        <v>599958.67469212471</v>
      </c>
    </row>
    <row r="7" spans="1:14" ht="16.5" thickBot="1" x14ac:dyDescent="0.3">
      <c r="A7" s="145"/>
      <c r="B7" s="36" t="s">
        <v>280</v>
      </c>
      <c r="C7" s="62">
        <v>27741857.030464504</v>
      </c>
      <c r="D7" s="4">
        <f>IFERROR(+VLOOKUP(B7,COMISIONES!A:E,5,FALSE),"0")*1</f>
        <v>14270783.205008721</v>
      </c>
      <c r="E7" s="4">
        <v>13484931.678405605</v>
      </c>
      <c r="F7" s="59">
        <f t="shared" si="0"/>
        <v>785851.52660311572</v>
      </c>
      <c r="G7" s="5">
        <f t="shared" si="1"/>
        <v>0.51441340748520803</v>
      </c>
      <c r="H7" s="4">
        <f t="shared" si="4"/>
        <v>21825903.725307457</v>
      </c>
      <c r="I7" s="5">
        <f t="shared" si="2"/>
        <v>0.78674991733031829</v>
      </c>
      <c r="J7" s="4">
        <f t="shared" si="5"/>
        <v>839457.83558874833</v>
      </c>
      <c r="K7" s="4">
        <f t="shared" si="3"/>
        <v>1496785.9806061981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5"/>
      <c r="B8" s="36" t="s">
        <v>84</v>
      </c>
      <c r="C8" s="62">
        <v>35831071.416917704</v>
      </c>
      <c r="D8" s="4">
        <f>IFERROR(+VLOOKUP(B8,COMISIONES!A:E,5,FALSE),"0")*1</f>
        <v>28880063.416228741</v>
      </c>
      <c r="E8" s="4">
        <v>27951045.991585337</v>
      </c>
      <c r="F8" s="59">
        <f t="shared" si="0"/>
        <v>929017.42464340478</v>
      </c>
      <c r="G8" s="5">
        <f t="shared" si="1"/>
        <v>0.80600613585316816</v>
      </c>
      <c r="H8" s="4">
        <f t="shared" si="4"/>
        <v>44169508.754232191</v>
      </c>
      <c r="I8" s="5">
        <f t="shared" si="2"/>
        <v>1.2327152665989629</v>
      </c>
      <c r="J8" s="4">
        <f t="shared" si="5"/>
        <v>1698827.2597781613</v>
      </c>
      <c r="K8" s="4">
        <f t="shared" si="3"/>
        <v>772334.22229877359</v>
      </c>
      <c r="L8" s="63" cm="1">
        <f t="array" ref="L8">+_xlfn.IFS(I8&gt;114%,H8*0.02,I8&gt;109%,H8*0.015,I8&gt;104%,H8*0.0125,I8&gt;99%,H8*0.01,I8&lt;99%,H8*0)</f>
        <v>883390.17508464388</v>
      </c>
    </row>
    <row r="9" spans="1:14" ht="15.75" x14ac:dyDescent="0.25">
      <c r="A9" s="145"/>
      <c r="B9" s="36" t="s">
        <v>83</v>
      </c>
      <c r="C9" s="62">
        <v>35831071.416917704</v>
      </c>
      <c r="D9" s="4">
        <f>IFERROR(+VLOOKUP(B9,COMISIONES!A:E,5,FALSE),"0")*1</f>
        <v>27857192.084273212</v>
      </c>
      <c r="E9" s="4">
        <v>26424850.268304307</v>
      </c>
      <c r="F9" s="59">
        <f t="shared" si="0"/>
        <v>1432341.8159689046</v>
      </c>
      <c r="G9" s="5">
        <f t="shared" si="1"/>
        <v>0.77745908739754821</v>
      </c>
      <c r="H9" s="4">
        <f t="shared" si="4"/>
        <v>42605117.305359028</v>
      </c>
      <c r="I9" s="5">
        <f t="shared" si="2"/>
        <v>1.1890550748433089</v>
      </c>
      <c r="J9" s="4">
        <f t="shared" si="5"/>
        <v>1638658.3578984241</v>
      </c>
      <c r="K9" s="4">
        <f t="shared" si="3"/>
        <v>885986.59251605475</v>
      </c>
      <c r="L9" s="63" cm="1">
        <f t="array" ref="L9">+_xlfn.IFS(I9&gt;114%,H9*0.02,I9&gt;109%,H9*0.015,I9&gt;104%,H9*0.0125,I9&gt;99%,H9*0.01,I9&lt;99%,H9*0)</f>
        <v>852102.34610718058</v>
      </c>
    </row>
    <row r="10" spans="1:14" ht="16.5" thickBot="1" x14ac:dyDescent="0.3">
      <c r="A10" s="146"/>
      <c r="B10" s="3"/>
      <c r="C10" s="64">
        <v>242974591.73925051</v>
      </c>
      <c r="D10" s="64">
        <f>+SUM(D2:D9)</f>
        <v>203936234.57757676</v>
      </c>
      <c r="E10" s="65">
        <v>194783949.88914448</v>
      </c>
      <c r="F10" s="67">
        <f>+D10-E10</f>
        <v>9152284.6884322762</v>
      </c>
      <c r="G10" s="66">
        <f t="shared" si="1"/>
        <v>0.83933152482228279</v>
      </c>
      <c r="H10" s="64">
        <f t="shared" si="4"/>
        <v>311902476.41276449</v>
      </c>
      <c r="I10" s="66">
        <f t="shared" si="2"/>
        <v>1.2836835085517266</v>
      </c>
      <c r="J10" s="64">
        <f t="shared" si="5"/>
        <v>11996249.092798634</v>
      </c>
      <c r="K10" s="67">
        <f t="shared" si="3"/>
        <v>4337595.2401859723</v>
      </c>
      <c r="L10" s="68"/>
    </row>
    <row r="11" spans="1:14" ht="16.5" thickBot="1" x14ac:dyDescent="0.3">
      <c r="A11" s="144" t="s">
        <v>207</v>
      </c>
      <c r="B11" s="57" t="s">
        <v>96</v>
      </c>
      <c r="C11" s="58">
        <v>96971948.480137512</v>
      </c>
      <c r="D11" s="59">
        <f>IFERROR(+VLOOKUP(B11,COMISIONES!A:E,5,FALSE),"0")*1</f>
        <v>89577590.388599753</v>
      </c>
      <c r="E11" s="59">
        <v>85627592.570512027</v>
      </c>
      <c r="F11" s="59">
        <f t="shared" ref="F11:F14" si="6">+D11-E11</f>
        <v>3949997.8180877268</v>
      </c>
      <c r="G11" s="60">
        <f t="shared" si="1"/>
        <v>0.92374745266614577</v>
      </c>
      <c r="H11" s="59">
        <f t="shared" si="4"/>
        <v>137001020.59432903</v>
      </c>
      <c r="I11" s="60">
        <f t="shared" si="2"/>
        <v>1.4127902217246935</v>
      </c>
      <c r="J11" s="59">
        <f t="shared" si="5"/>
        <v>5269270.0228588087</v>
      </c>
      <c r="K11" s="59">
        <f t="shared" si="3"/>
        <v>821595.34350419545</v>
      </c>
      <c r="L11" s="61" cm="1">
        <f t="array" ref="L11">+_xlfn.IFS(I11&gt;114%,H11*0.0125,I11&gt;109%,H11*0.01,I11&gt;104%,H11*0.0075,I11&gt;99%,H11*0.005,I11&lt;99%,H11*0)</f>
        <v>1712512.7574291129</v>
      </c>
    </row>
    <row r="12" spans="1:14" ht="16.5" thickBot="1" x14ac:dyDescent="0.3">
      <c r="A12" s="145"/>
      <c r="B12" s="36" t="s">
        <v>90</v>
      </c>
      <c r="C12" s="62">
        <v>128363916.07462499</v>
      </c>
      <c r="D12" s="4">
        <f>IFERROR(+VLOOKUP(B12,COMISIONES!A:E,5,FALSE),"0")*1</f>
        <v>101018246.2444049</v>
      </c>
      <c r="E12" s="4">
        <v>99405134.980583191</v>
      </c>
      <c r="F12" s="59">
        <f t="shared" si="6"/>
        <v>1613111.2638217062</v>
      </c>
      <c r="G12" s="5">
        <f t="shared" si="1"/>
        <v>0.78696762558784394</v>
      </c>
      <c r="H12" s="4">
        <f t="shared" si="4"/>
        <v>154498494.25614867</v>
      </c>
      <c r="I12" s="5">
        <f t="shared" si="2"/>
        <v>1.2035975450167025</v>
      </c>
      <c r="J12" s="4">
        <f t="shared" si="5"/>
        <v>5942249.779082641</v>
      </c>
      <c r="K12" s="4">
        <f t="shared" si="3"/>
        <v>3038407.7589133433</v>
      </c>
      <c r="L12" s="63" cm="1">
        <f t="array" ref="L12">+_xlfn.IFS(I12&gt;114%,H12*0.0125,I12&gt;109%,H12*0.01,I12&gt;104%,H12*0.0075,I12&gt;99%,H12*0.005,I12&lt;99%,H12*0)</f>
        <v>1931231.1782018584</v>
      </c>
      <c r="M12" s="53" t="s">
        <v>61</v>
      </c>
      <c r="N12" s="25">
        <v>0.02</v>
      </c>
    </row>
    <row r="13" spans="1:14" ht="16.5" thickBot="1" x14ac:dyDescent="0.3">
      <c r="A13" s="145"/>
      <c r="B13" s="36" t="s">
        <v>281</v>
      </c>
      <c r="C13" s="62">
        <v>42449057.394974999</v>
      </c>
      <c r="D13" s="4">
        <f>IFERROR(+VLOOKUP(B13,COMISIONES!A:E,5,FALSE),"0")*1</f>
        <v>31503766.220523559</v>
      </c>
      <c r="E13" s="4">
        <v>27389336.418321561</v>
      </c>
      <c r="F13" s="59">
        <f t="shared" si="6"/>
        <v>4114429.8022019975</v>
      </c>
      <c r="G13" s="5">
        <f t="shared" si="1"/>
        <v>0.74215467088917941</v>
      </c>
      <c r="H13" s="4">
        <f t="shared" si="4"/>
        <v>48182230.690212503</v>
      </c>
      <c r="I13" s="5">
        <f t="shared" si="2"/>
        <v>1.1350600848893333</v>
      </c>
      <c r="J13" s="4">
        <f t="shared" si="5"/>
        <v>1853162.718854327</v>
      </c>
      <c r="K13" s="4">
        <f t="shared" si="3"/>
        <v>1216143.4638279378</v>
      </c>
      <c r="L13" s="63" cm="1">
        <f t="array" ref="L13">+_xlfn.IFS(I13&gt;109%,H13*0.015,I13&gt;104%,H13*0.0125,I13&gt;99%,H13*0.01,I13&lt;99%,H13*0)</f>
        <v>722733.46035318752</v>
      </c>
      <c r="N13" s="28"/>
    </row>
    <row r="14" spans="1:14" ht="15.75" x14ac:dyDescent="0.25">
      <c r="A14" s="145"/>
      <c r="B14" s="36" t="s">
        <v>107</v>
      </c>
      <c r="C14" s="62">
        <v>42449057.394974999</v>
      </c>
      <c r="D14" s="4">
        <f>IFERROR(+VLOOKUP(B14,COMISIONES!A:E,5,FALSE),"0")*1</f>
        <v>27650397.121402435</v>
      </c>
      <c r="E14" s="4">
        <v>25637938.078033075</v>
      </c>
      <c r="F14" s="59">
        <f t="shared" si="6"/>
        <v>2012459.0433693603</v>
      </c>
      <c r="G14" s="5">
        <f t="shared" si="1"/>
        <v>0.65137835368461239</v>
      </c>
      <c r="H14" s="4">
        <f t="shared" si="4"/>
        <v>42288842.656262547</v>
      </c>
      <c r="I14" s="5">
        <f t="shared" si="2"/>
        <v>0.99622571739999533</v>
      </c>
      <c r="J14" s="4">
        <f t="shared" si="5"/>
        <v>1626493.9483177904</v>
      </c>
      <c r="K14" s="4">
        <f t="shared" si="3"/>
        <v>1644295.5859525071</v>
      </c>
      <c r="L14" s="63" cm="1">
        <f t="array" ref="L14">+_xlfn.IFS(I14&gt;109%,H14*0.015,I14&gt;104%,H14*0.0125,I14&gt;99%,H14*0.01,I14&lt;99%,H14*0)</f>
        <v>422888.42656262545</v>
      </c>
    </row>
    <row r="15" spans="1:14" ht="16.5" thickBot="1" x14ac:dyDescent="0.3">
      <c r="A15" s="146"/>
      <c r="B15" s="3"/>
      <c r="C15" s="64">
        <v>341864881.75327951</v>
      </c>
      <c r="D15" s="64">
        <f>+SUM(D11:D14)</f>
        <v>249749999.97493067</v>
      </c>
      <c r="E15" s="65">
        <v>238060002.04744983</v>
      </c>
      <c r="F15" s="67">
        <f>+D15-E15</f>
        <v>11689997.927480847</v>
      </c>
      <c r="G15" s="66">
        <f t="shared" si="1"/>
        <v>0.73055178611523131</v>
      </c>
      <c r="H15" s="64">
        <f t="shared" si="4"/>
        <v>381970588.19695282</v>
      </c>
      <c r="I15" s="66">
        <f t="shared" si="2"/>
        <v>1.1173144964115302</v>
      </c>
      <c r="J15" s="64">
        <f t="shared" si="5"/>
        <v>14691176.46911357</v>
      </c>
      <c r="K15" s="67">
        <f t="shared" si="3"/>
        <v>10234986.864260981</v>
      </c>
      <c r="L15" s="68"/>
    </row>
    <row r="16" spans="1:14" ht="16.5" thickBot="1" x14ac:dyDescent="0.3">
      <c r="A16" s="147" t="s">
        <v>208</v>
      </c>
      <c r="B16" s="69" t="s">
        <v>81</v>
      </c>
      <c r="C16" s="70">
        <v>28430000</v>
      </c>
      <c r="D16" s="59">
        <f>IFERROR(+VLOOKUP(B16,COMISIONES!A:E,5,FALSE),"0")*1</f>
        <v>10945441.658595331</v>
      </c>
      <c r="E16" s="59">
        <v>10244944.189263707</v>
      </c>
      <c r="F16" s="59">
        <f t="shared" ref="F16:F46" si="7">+D16-E16</f>
        <v>700497.46933162399</v>
      </c>
      <c r="G16" s="60">
        <f t="shared" si="1"/>
        <v>0.38499618918731376</v>
      </c>
      <c r="H16" s="59">
        <f t="shared" si="4"/>
        <v>16740087.242557567</v>
      </c>
      <c r="I16" s="60">
        <f t="shared" si="2"/>
        <v>0.58881770111000942</v>
      </c>
      <c r="J16" s="59">
        <f t="shared" si="5"/>
        <v>643849.50932913716</v>
      </c>
      <c r="K16" s="59">
        <f t="shared" si="3"/>
        <v>1942728.7046005188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8"/>
      <c r="B17" s="19" t="s">
        <v>82</v>
      </c>
      <c r="C17" s="71">
        <v>25000000</v>
      </c>
      <c r="D17" s="4">
        <f>IFERROR(+VLOOKUP(B17,COMISIONES!A:E,5,FALSE),"0")*1</f>
        <v>19441668.638954449</v>
      </c>
      <c r="E17" s="4">
        <v>18446349.452480137</v>
      </c>
      <c r="F17" s="59">
        <f t="shared" si="7"/>
        <v>995319.1864743121</v>
      </c>
      <c r="G17" s="5">
        <f t="shared" si="1"/>
        <v>0.77766674555817794</v>
      </c>
      <c r="H17" s="4">
        <f t="shared" si="4"/>
        <v>29734316.741930336</v>
      </c>
      <c r="I17" s="5">
        <f t="shared" si="2"/>
        <v>1.1893726696772133</v>
      </c>
      <c r="J17" s="4">
        <f t="shared" si="5"/>
        <v>1143627.5669973206</v>
      </c>
      <c r="K17" s="4">
        <f t="shared" si="3"/>
        <v>617592.37344950566</v>
      </c>
      <c r="L17" s="63" cm="1">
        <f t="array" ref="L17">+_xlfn.IFS(I17&gt;114%,H17*0.02,I17&gt;109%,H17*0.015,I17&gt;104%,H17*0.0125,I17&gt;99%,H17*0.01,I17&lt;99%,H17*0)</f>
        <v>594686.33483860677</v>
      </c>
    </row>
    <row r="18" spans="1:13" ht="16.5" thickBot="1" x14ac:dyDescent="0.3">
      <c r="A18" s="148"/>
      <c r="B18" s="19" t="s">
        <v>92</v>
      </c>
      <c r="C18" s="71">
        <v>25500000</v>
      </c>
      <c r="D18" s="4">
        <f>IFERROR(+VLOOKUP(B18,COMISIONES!A:E,5,FALSE),"0")*1</f>
        <v>17524748.002732955</v>
      </c>
      <c r="E18" s="4">
        <v>16800585.600070711</v>
      </c>
      <c r="F18" s="59">
        <f t="shared" si="7"/>
        <v>724162.40266224369</v>
      </c>
      <c r="G18" s="5">
        <f t="shared" si="1"/>
        <v>0.68724501971501784</v>
      </c>
      <c r="H18" s="4">
        <f t="shared" si="4"/>
        <v>26802555.768885698</v>
      </c>
      <c r="I18" s="5">
        <f t="shared" si="2"/>
        <v>1.0510806183876744</v>
      </c>
      <c r="J18" s="4">
        <f t="shared" si="5"/>
        <v>1030867.5295725268</v>
      </c>
      <c r="K18" s="4">
        <f t="shared" si="3"/>
        <v>886139.11080744944</v>
      </c>
      <c r="L18" s="63" cm="1">
        <f t="array" ref="L18">+_xlfn.IFS(I18&gt;114%,H18*0.02,I18&gt;109%,H18*0.015,I18&gt;104%,H18*0.0125,I18&gt;99%,H18*0.01,I18&lt;99%,H18*0)</f>
        <v>335031.94711107126</v>
      </c>
    </row>
    <row r="19" spans="1:13" ht="16.5" thickBot="1" x14ac:dyDescent="0.3">
      <c r="A19" s="148"/>
      <c r="B19" s="19" t="s">
        <v>95</v>
      </c>
      <c r="C19" s="71">
        <v>35200000</v>
      </c>
      <c r="D19" s="4">
        <f>IFERROR(+VLOOKUP(B19,COMISIONES!A:E,5,FALSE),"0")*1</f>
        <v>28666317.617154609</v>
      </c>
      <c r="E19" s="4">
        <v>27536387.15666249</v>
      </c>
      <c r="F19" s="59">
        <f t="shared" si="7"/>
        <v>1129930.4604921192</v>
      </c>
      <c r="G19" s="5">
        <f t="shared" si="1"/>
        <v>0.81438402321461956</v>
      </c>
      <c r="H19" s="4">
        <f t="shared" si="4"/>
        <v>43842603.41447176</v>
      </c>
      <c r="I19" s="5">
        <f t="shared" si="2"/>
        <v>1.2455285060929477</v>
      </c>
      <c r="J19" s="4">
        <f t="shared" si="5"/>
        <v>1686253.977479683</v>
      </c>
      <c r="K19" s="4">
        <f t="shared" si="3"/>
        <v>725964.70920504339</v>
      </c>
      <c r="L19" s="63" cm="1">
        <f t="array" ref="L19">+_xlfn.IFS(I19&gt;114%,H19*0.02,I19&gt;109%,H19*0.015,I19&gt;104%,H19*0.0125,I19&gt;99%,H19*0.01,I19&lt;99%,H19*0)</f>
        <v>876852.06828943524</v>
      </c>
    </row>
    <row r="20" spans="1:13" ht="16.5" thickBot="1" x14ac:dyDescent="0.3">
      <c r="A20" s="148"/>
      <c r="B20" s="19" t="s">
        <v>97</v>
      </c>
      <c r="C20" s="71">
        <v>26100000</v>
      </c>
      <c r="D20" s="4">
        <f>IFERROR(+VLOOKUP(B20,COMISIONES!A:E,5,FALSE),"0")*1</f>
        <v>10995320.756714804</v>
      </c>
      <c r="E20" s="4">
        <v>9944168.6461451221</v>
      </c>
      <c r="F20" s="59">
        <f t="shared" si="7"/>
        <v>1051152.110569682</v>
      </c>
      <c r="G20" s="5">
        <f t="shared" si="1"/>
        <v>0.42127665734539477</v>
      </c>
      <c r="H20" s="4">
        <f t="shared" si="4"/>
        <v>16816372.922034405</v>
      </c>
      <c r="I20" s="5">
        <f t="shared" si="2"/>
        <v>0.64430547594001553</v>
      </c>
      <c r="J20" s="4">
        <f t="shared" si="5"/>
        <v>646783.57392440026</v>
      </c>
      <c r="K20" s="4">
        <f t="shared" si="3"/>
        <v>1678297.693698355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8"/>
      <c r="B21" s="19" t="s">
        <v>219</v>
      </c>
      <c r="C21" s="71">
        <v>32600000</v>
      </c>
      <c r="D21" s="4">
        <f>IFERROR(+VLOOKUP(B21,COMISIONES!A:E,5,FALSE),"0")*1</f>
        <v>21177946.841268685</v>
      </c>
      <c r="E21" s="4">
        <v>19186446.531805631</v>
      </c>
      <c r="F21" s="59">
        <f t="shared" si="7"/>
        <v>1991500.3094630539</v>
      </c>
      <c r="G21" s="5">
        <f t="shared" si="1"/>
        <v>0.64963027120456085</v>
      </c>
      <c r="H21" s="4">
        <f t="shared" si="4"/>
        <v>32389801.051352106</v>
      </c>
      <c r="I21" s="5">
        <f t="shared" si="2"/>
        <v>0.99355217948932839</v>
      </c>
      <c r="J21" s="4">
        <f t="shared" si="5"/>
        <v>1245761.5788981579</v>
      </c>
      <c r="K21" s="4">
        <f t="shared" si="3"/>
        <v>1269117.0176368128</v>
      </c>
      <c r="L21" s="63" cm="1">
        <f t="array" ref="L21">+_xlfn.IFS(I21&gt;114%,H21*0.02,I21&gt;109%,H21*0.015,I21&gt;104%,H21*0.0125,I21&gt;99%,H21*0.01,I21&lt;99%,H21*0)</f>
        <v>323898.01051352109</v>
      </c>
    </row>
    <row r="22" spans="1:13" ht="16.5" thickBot="1" x14ac:dyDescent="0.3">
      <c r="A22" s="148"/>
      <c r="B22" s="19" t="s">
        <v>160</v>
      </c>
      <c r="C22" s="71">
        <v>28200000</v>
      </c>
      <c r="D22" s="4">
        <f>IFERROR(+VLOOKUP(B22,COMISIONES!A:E,5,FALSE),"0")*1</f>
        <v>19261973.48798969</v>
      </c>
      <c r="E22" s="4">
        <v>18001937.866596915</v>
      </c>
      <c r="F22" s="59">
        <f t="shared" si="7"/>
        <v>1260035.6213927753</v>
      </c>
      <c r="G22" s="5">
        <f t="shared" si="1"/>
        <v>0.68304870524786132</v>
      </c>
      <c r="H22" s="4">
        <f t="shared" si="4"/>
        <v>29459488.863984231</v>
      </c>
      <c r="I22" s="5">
        <f t="shared" si="2"/>
        <v>1.0446627256731997</v>
      </c>
      <c r="J22" s="4">
        <f t="shared" si="5"/>
        <v>1133057.2639993934</v>
      </c>
      <c r="K22" s="4">
        <f t="shared" si="3"/>
        <v>993114.05689003447</v>
      </c>
      <c r="L22" s="63" cm="1">
        <f t="array" ref="L22">+_xlfn.IFS(I22&gt;114%,H22*0.02,I22&gt;109%,H22*0.015,I22&gt;104%,H22*0.0125,I22&gt;99%,H22*0.01,I22&lt;99%,H22*0)</f>
        <v>368243.61079980293</v>
      </c>
    </row>
    <row r="23" spans="1:13" ht="15.75" x14ac:dyDescent="0.25">
      <c r="A23" s="148"/>
      <c r="B23" s="19" t="s">
        <v>220</v>
      </c>
      <c r="C23" s="71">
        <v>36600000</v>
      </c>
      <c r="D23" s="4">
        <f>IFERROR(+VLOOKUP(B23,COMISIONES!A:E,5,FALSE),"0")*1</f>
        <v>33894922.067494407</v>
      </c>
      <c r="E23" s="4">
        <v>33845317.868406594</v>
      </c>
      <c r="F23" s="59">
        <f t="shared" si="7"/>
        <v>49604.199087813497</v>
      </c>
      <c r="G23" s="5">
        <f t="shared" si="1"/>
        <v>0.92609076687143188</v>
      </c>
      <c r="H23" s="4">
        <f t="shared" si="4"/>
        <v>51839292.573814981</v>
      </c>
      <c r="I23" s="5">
        <f t="shared" si="2"/>
        <v>1.4163741140386608</v>
      </c>
      <c r="J23" s="4">
        <f t="shared" si="5"/>
        <v>1993818.9451467299</v>
      </c>
      <c r="K23" s="4">
        <f t="shared" si="3"/>
        <v>300564.21472284361</v>
      </c>
      <c r="L23" s="63" cm="1">
        <f t="array" ref="L23">+_xlfn.IFS(I23&gt;114%,H23*0.02,I23&gt;109%,H23*0.015,I23&gt;104%,H23*0.0125,I23&gt;99%,H23*0.01,I23&lt;99%,H23*0)</f>
        <v>1036785.8514762997</v>
      </c>
    </row>
    <row r="24" spans="1:13" ht="16.5" thickBot="1" x14ac:dyDescent="0.3">
      <c r="A24" s="149"/>
      <c r="B24" s="72"/>
      <c r="C24" s="67">
        <v>237630000</v>
      </c>
      <c r="D24" s="67">
        <f>+SUM(D16:D23)</f>
        <v>161908339.07090494</v>
      </c>
      <c r="E24" s="65">
        <v>154006137.31143132</v>
      </c>
      <c r="F24" s="67">
        <f>+D24-E24</f>
        <v>7902201.7594736218</v>
      </c>
      <c r="G24" s="66">
        <f t="shared" si="1"/>
        <v>0.68134637491438343</v>
      </c>
      <c r="H24" s="64">
        <f t="shared" si="4"/>
        <v>247624518.57903111</v>
      </c>
      <c r="I24" s="66">
        <f t="shared" si="2"/>
        <v>1.0420591616337631</v>
      </c>
      <c r="J24" s="64">
        <f t="shared" si="5"/>
        <v>9524019.9453473501</v>
      </c>
      <c r="K24" s="67">
        <f t="shared" si="3"/>
        <v>8413517.8810105622</v>
      </c>
      <c r="L24" s="68"/>
    </row>
    <row r="25" spans="1:13" ht="16.5" thickBot="1" x14ac:dyDescent="0.3">
      <c r="A25" s="144" t="s">
        <v>216</v>
      </c>
      <c r="B25" s="57" t="s">
        <v>211</v>
      </c>
      <c r="C25" s="73">
        <v>84027142.5</v>
      </c>
      <c r="D25" s="59">
        <f>IFERROR(+VLOOKUP(B25,COMISIONES!A:E,5,FALSE),"0")*1</f>
        <v>47303676.242511839</v>
      </c>
      <c r="E25" s="59">
        <v>41789697.80136086</v>
      </c>
      <c r="F25" s="59">
        <f t="shared" si="7"/>
        <v>5513978.4411509782</v>
      </c>
      <c r="G25" s="60">
        <f t="shared" si="1"/>
        <v>0.56295709737495636</v>
      </c>
      <c r="H25" s="59">
        <f t="shared" si="4"/>
        <v>72346798.959135756</v>
      </c>
      <c r="I25" s="60">
        <f t="shared" si="2"/>
        <v>0.86099320774993338</v>
      </c>
      <c r="J25" s="59">
        <f t="shared" si="5"/>
        <v>2782569.1907359906</v>
      </c>
      <c r="K25" s="59">
        <f t="shared" si="3"/>
        <v>4080385.139720907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5"/>
      <c r="B26" s="36" t="s">
        <v>213</v>
      </c>
      <c r="C26" s="74">
        <v>21524999.999999996</v>
      </c>
      <c r="D26" s="4">
        <f>IFERROR(+VLOOKUP(B26,COMISIONES!A:E,5,FALSE),"0")*1</f>
        <v>10109279.970613899</v>
      </c>
      <c r="E26" s="4">
        <v>9690497.1002872288</v>
      </c>
      <c r="F26" s="59">
        <f t="shared" si="7"/>
        <v>418782.87032666989</v>
      </c>
      <c r="G26" s="5">
        <f t="shared" si="1"/>
        <v>0.469652960307266</v>
      </c>
      <c r="H26" s="4">
        <f t="shared" si="4"/>
        <v>15461251.719762433</v>
      </c>
      <c r="I26" s="5">
        <f t="shared" si="2"/>
        <v>0.71829276282287735</v>
      </c>
      <c r="J26" s="4">
        <f t="shared" si="5"/>
        <v>594663.52768317051</v>
      </c>
      <c r="K26" s="4">
        <f t="shared" si="3"/>
        <v>1268413.3365984552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5"/>
      <c r="B27" s="36" t="s">
        <v>86</v>
      </c>
      <c r="C27" s="74">
        <v>26383192.499999996</v>
      </c>
      <c r="D27" s="4">
        <f>IFERROR(+VLOOKUP(B27,COMISIONES!A:E,5,FALSE),"0")*1</f>
        <v>12182090.472361254</v>
      </c>
      <c r="E27" s="4">
        <v>10984023.400301171</v>
      </c>
      <c r="F27" s="59">
        <f t="shared" si="7"/>
        <v>1198067.0720600821</v>
      </c>
      <c r="G27" s="5">
        <f t="shared" si="1"/>
        <v>0.4617367845972869</v>
      </c>
      <c r="H27" s="4">
        <f t="shared" si="4"/>
        <v>18631432.487140737</v>
      </c>
      <c r="I27" s="5">
        <f t="shared" si="2"/>
        <v>0.70618567056055637</v>
      </c>
      <c r="J27" s="4">
        <f t="shared" si="5"/>
        <v>716593.55719772074</v>
      </c>
      <c r="K27" s="4">
        <f t="shared" si="3"/>
        <v>1577900.2252931937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5"/>
      <c r="B28" s="36" t="s">
        <v>212</v>
      </c>
      <c r="C28" s="74">
        <v>39189035.239928812</v>
      </c>
      <c r="D28" s="4">
        <f>IFERROR(+VLOOKUP(B28,COMISIONES!A:E,5,FALSE),"0")*1</f>
        <v>15601357.664009722</v>
      </c>
      <c r="E28" s="4">
        <v>15010020.968485685</v>
      </c>
      <c r="F28" s="59">
        <f t="shared" si="7"/>
        <v>591336.69552403688</v>
      </c>
      <c r="G28" s="5">
        <f t="shared" si="1"/>
        <v>0.39810517325810191</v>
      </c>
      <c r="H28" s="4">
        <f t="shared" si="4"/>
        <v>23860899.956720755</v>
      </c>
      <c r="I28" s="5">
        <f t="shared" si="2"/>
        <v>0.60886673557121485</v>
      </c>
      <c r="J28" s="4">
        <f t="shared" si="5"/>
        <v>917726.92141233664</v>
      </c>
      <c r="K28" s="4">
        <f t="shared" si="3"/>
        <v>2620853.0639910102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5"/>
      <c r="B29" s="36" t="s">
        <v>98</v>
      </c>
      <c r="C29" s="74">
        <v>26050631.249999996</v>
      </c>
      <c r="D29" s="4">
        <f>IFERROR(+VLOOKUP(B29,COMISIONES!A:E,5,FALSE),"0")*1</f>
        <v>18982495.4539265</v>
      </c>
      <c r="E29" s="4">
        <v>18657877.885657337</v>
      </c>
      <c r="F29" s="59">
        <f t="shared" si="7"/>
        <v>324617.56826916337</v>
      </c>
      <c r="G29" s="5">
        <f t="shared" si="1"/>
        <v>0.72867698566523231</v>
      </c>
      <c r="H29" s="4">
        <f t="shared" si="4"/>
        <v>29032051.870711118</v>
      </c>
      <c r="I29" s="5">
        <f t="shared" si="2"/>
        <v>1.114447154546826</v>
      </c>
      <c r="J29" s="4">
        <f t="shared" si="5"/>
        <v>1116617.3796427352</v>
      </c>
      <c r="K29" s="4">
        <f t="shared" si="3"/>
        <v>785348.42178594403</v>
      </c>
      <c r="L29" s="63" cm="1">
        <f t="array" ref="L29">+_xlfn.IFS(I29&gt;114%,H29*0.02,I29&gt;109%,H29*0.015,I29&gt;104%,H29*0.0125,I29&gt;99%,H29*0.01,I29&lt;99%,H29*0)</f>
        <v>435480.77806066675</v>
      </c>
      <c r="M29" s="27"/>
    </row>
    <row r="30" spans="1:13" ht="16.5" thickBot="1" x14ac:dyDescent="0.3">
      <c r="A30" s="145"/>
      <c r="B30" s="36" t="s">
        <v>210</v>
      </c>
      <c r="C30" s="74">
        <v>25829999.999999996</v>
      </c>
      <c r="D30" s="4">
        <f>IFERROR(+VLOOKUP(B30,COMISIONES!A:E,5,FALSE),"0")*1</f>
        <v>10871740.75203808</v>
      </c>
      <c r="E30" s="4">
        <v>10234304.241930768</v>
      </c>
      <c r="F30" s="59">
        <f t="shared" si="7"/>
        <v>637436.51010731235</v>
      </c>
      <c r="G30" s="5">
        <f t="shared" si="1"/>
        <v>0.42089588664491218</v>
      </c>
      <c r="H30" s="4">
        <f t="shared" si="4"/>
        <v>16627368.208999418</v>
      </c>
      <c r="I30" s="5">
        <f t="shared" si="2"/>
        <v>0.64372312075104221</v>
      </c>
      <c r="J30" s="4">
        <f t="shared" si="5"/>
        <v>639514.16188459296</v>
      </c>
      <c r="K30" s="4">
        <f t="shared" si="3"/>
        <v>1662028.8053291019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5"/>
      <c r="B31" s="36" t="s">
        <v>99</v>
      </c>
      <c r="C31" s="74">
        <v>27159168.749999996</v>
      </c>
      <c r="D31" s="4">
        <f>IFERROR(+VLOOKUP(B31,COMISIONES!A:E,5,FALSE),"0")*1</f>
        <v>13415803.821920868</v>
      </c>
      <c r="E31" s="4">
        <v>12177286.311005162</v>
      </c>
      <c r="F31" s="59">
        <f t="shared" si="7"/>
        <v>1238517.5109157059</v>
      </c>
      <c r="G31" s="5">
        <f t="shared" si="1"/>
        <v>0.4939696036139129</v>
      </c>
      <c r="H31" s="4">
        <f t="shared" si="4"/>
        <v>20518288.198231917</v>
      </c>
      <c r="I31" s="5">
        <f t="shared" si="2"/>
        <v>0.75548292317421972</v>
      </c>
      <c r="J31" s="4">
        <f t="shared" si="5"/>
        <v>789164.93070122751</v>
      </c>
      <c r="K31" s="4">
        <f t="shared" si="3"/>
        <v>1527040.5475643475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5"/>
      <c r="B32" s="36" t="s">
        <v>138</v>
      </c>
      <c r="C32" s="74">
        <v>21524999.999999996</v>
      </c>
      <c r="D32" s="4">
        <f>IFERROR(+VLOOKUP(B32,COMISIONES!A:E,5,FALSE),"0")*1</f>
        <v>8114444.2051009573</v>
      </c>
      <c r="E32" s="4">
        <v>7752198.343937817</v>
      </c>
      <c r="F32" s="59">
        <f t="shared" si="7"/>
        <v>362245.86116314027</v>
      </c>
      <c r="G32" s="5">
        <f t="shared" si="1"/>
        <v>0.37697766341932443</v>
      </c>
      <c r="H32" s="4">
        <f t="shared" si="4"/>
        <v>12410326.431330876</v>
      </c>
      <c r="I32" s="5">
        <f t="shared" si="2"/>
        <v>0.57655407346484921</v>
      </c>
      <c r="J32" s="4">
        <f t="shared" si="5"/>
        <v>477320.24735887983</v>
      </c>
      <c r="K32" s="4">
        <f t="shared" si="3"/>
        <v>1490061.7549887821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5"/>
      <c r="B33" s="19" t="s">
        <v>283</v>
      </c>
      <c r="C33" s="74">
        <v>25274654.999999996</v>
      </c>
      <c r="D33" s="4">
        <f>IFERROR(+VLOOKUP(B33,COMISIONES!A:E,5,FALSE),"0")*1</f>
        <v>4790514.0275135869</v>
      </c>
      <c r="E33" s="4">
        <v>4515425.6022782261</v>
      </c>
      <c r="F33" s="59">
        <f t="shared" si="7"/>
        <v>275088.42523536086</v>
      </c>
      <c r="G33" s="5">
        <f t="shared" si="1"/>
        <v>0.18953825591342741</v>
      </c>
      <c r="H33" s="4">
        <f t="shared" si="4"/>
        <v>7326668.5126678385</v>
      </c>
      <c r="I33" s="5">
        <f t="shared" si="2"/>
        <v>0.28988203845583016</v>
      </c>
      <c r="J33" s="4">
        <f t="shared" si="5"/>
        <v>281794.94279491686</v>
      </c>
      <c r="K33" s="4">
        <f t="shared" si="3"/>
        <v>2276015.6636096011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5"/>
      <c r="B34" s="36" t="s">
        <v>285</v>
      </c>
      <c r="C34" s="74">
        <v>25865874.999999996</v>
      </c>
      <c r="D34" s="4">
        <f>IFERROR(+VLOOKUP(B34,COMISIONES!A:E,5,FALSE),"0")*1</f>
        <v>7386058.4852437498</v>
      </c>
      <c r="E34" s="4">
        <v>7007884.9023565045</v>
      </c>
      <c r="F34" s="59">
        <f t="shared" si="7"/>
        <v>378173.58288724534</v>
      </c>
      <c r="G34" s="5">
        <f t="shared" si="1"/>
        <v>0.28555223765844961</v>
      </c>
      <c r="H34" s="4">
        <f t="shared" si="4"/>
        <v>11296324.742137499</v>
      </c>
      <c r="I34" s="5">
        <f t="shared" si="2"/>
        <v>0.43672695171292297</v>
      </c>
      <c r="J34" s="4">
        <f t="shared" si="5"/>
        <v>434474.02854375</v>
      </c>
      <c r="K34" s="4">
        <f t="shared" si="3"/>
        <v>2053312.9460840274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5"/>
      <c r="B35" s="36" t="s">
        <v>110</v>
      </c>
      <c r="C35" s="74">
        <v>125062043.74999999</v>
      </c>
      <c r="D35" s="4">
        <f>IFERROR(+VLOOKUP(B35,COMISIONES!A:E,5,FALSE),"0")*1</f>
        <v>72015354.910800621</v>
      </c>
      <c r="E35" s="4">
        <v>72094790.402024508</v>
      </c>
      <c r="F35" s="59">
        <f t="shared" si="7"/>
        <v>-79435.491223886609</v>
      </c>
      <c r="G35" s="5">
        <f t="shared" si="1"/>
        <v>0.57583702258024738</v>
      </c>
      <c r="H35" s="4">
        <f t="shared" si="4"/>
        <v>110141131.040048</v>
      </c>
      <c r="I35" s="5">
        <f t="shared" si="2"/>
        <v>0.88069191688743709</v>
      </c>
      <c r="J35" s="4">
        <f t="shared" si="5"/>
        <v>4236197.3476941539</v>
      </c>
      <c r="K35" s="4">
        <f t="shared" si="3"/>
        <v>5894076.5376888178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5"/>
      <c r="B36" s="36" t="s">
        <v>214</v>
      </c>
      <c r="C36" s="74">
        <v>36592500</v>
      </c>
      <c r="D36" s="4">
        <f>IFERROR(+VLOOKUP(B36,COMISIONES!A:E,5,FALSE),"0")*1</f>
        <v>13027385.083473394</v>
      </c>
      <c r="E36" s="4">
        <v>12933155.345973395</v>
      </c>
      <c r="F36" s="59">
        <f t="shared" si="7"/>
        <v>94229.737499998882</v>
      </c>
      <c r="G36" s="5">
        <f t="shared" si="1"/>
        <v>0.35601243652315073</v>
      </c>
      <c r="H36" s="4">
        <f t="shared" si="4"/>
        <v>19924236.010018133</v>
      </c>
      <c r="I36" s="5">
        <f t="shared" si="2"/>
        <v>0.54448960880011299</v>
      </c>
      <c r="J36" s="4">
        <f t="shared" si="5"/>
        <v>766316.76961608196</v>
      </c>
      <c r="K36" s="4">
        <f t="shared" si="3"/>
        <v>2618346.1018362897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5"/>
      <c r="B37" s="36" t="s">
        <v>80</v>
      </c>
      <c r="C37" s="74">
        <v>37270463.432474993</v>
      </c>
      <c r="D37" s="4">
        <f>IFERROR(+VLOOKUP(B37,COMISIONES!A:E,5,FALSE),"0")*1</f>
        <v>18507671.615679327</v>
      </c>
      <c r="E37" s="4">
        <v>17953434.324961767</v>
      </c>
      <c r="F37" s="59">
        <f t="shared" si="7"/>
        <v>554237.2907175608</v>
      </c>
      <c r="G37" s="5">
        <f t="shared" si="1"/>
        <v>0.49657744796253267</v>
      </c>
      <c r="H37" s="4">
        <f t="shared" si="4"/>
        <v>28305850.706333086</v>
      </c>
      <c r="I37" s="5">
        <f t="shared" si="2"/>
        <v>0.7594713910015205</v>
      </c>
      <c r="J37" s="4">
        <f t="shared" si="5"/>
        <v>1088686.5656281956</v>
      </c>
      <c r="K37" s="4">
        <f t="shared" si="3"/>
        <v>2084754.6463106296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6"/>
      <c r="B38" s="3"/>
      <c r="C38" s="75">
        <v>521754707.42240375</v>
      </c>
      <c r="D38" s="67">
        <f>+SUM(D25:D37)</f>
        <v>252307872.70519376</v>
      </c>
      <c r="E38" s="65">
        <v>240800596.63056046</v>
      </c>
      <c r="F38" s="67">
        <f>+D38-E38</f>
        <v>11507276.0746333</v>
      </c>
      <c r="G38" s="66">
        <f t="shared" si="1"/>
        <v>0.48357565176873352</v>
      </c>
      <c r="H38" s="64">
        <f t="shared" si="4"/>
        <v>385882628.84323752</v>
      </c>
      <c r="I38" s="66">
        <f t="shared" si="2"/>
        <v>0.73958629094041595</v>
      </c>
      <c r="J38" s="64">
        <f t="shared" si="5"/>
        <v>14841639.57089375</v>
      </c>
      <c r="K38" s="67">
        <f t="shared" si="3"/>
        <v>29938537.19080111</v>
      </c>
      <c r="L38" s="68"/>
    </row>
    <row r="39" spans="1:12" ht="16.5" thickBot="1" x14ac:dyDescent="0.3">
      <c r="A39" s="144" t="s">
        <v>265</v>
      </c>
      <c r="B39" s="138" t="s">
        <v>144</v>
      </c>
      <c r="C39" s="4">
        <v>35000000</v>
      </c>
      <c r="D39" s="4">
        <f>IFERROR(+VLOOKUP(B39,COMISIONES!A:E,5,FALSE),"0")*1</f>
        <v>21810259.731919419</v>
      </c>
      <c r="E39" s="4">
        <v>21818625.306719419</v>
      </c>
      <c r="F39" s="59">
        <f t="shared" si="7"/>
        <v>-8365.5747999995947</v>
      </c>
      <c r="G39" s="5">
        <f t="shared" si="1"/>
        <v>0.62315027805484058</v>
      </c>
      <c r="H39" s="4">
        <f t="shared" ref="H39:H47" si="8">+D39/$N$3*$N$4</f>
        <v>33356867.825288523</v>
      </c>
      <c r="I39" s="5">
        <f t="shared" ref="I39:I47" si="9">+H39/C39</f>
        <v>0.95305336643681493</v>
      </c>
      <c r="J39" s="4">
        <f t="shared" ref="J39:J47" si="10">+D39/$N$3</f>
        <v>1282956.4548187894</v>
      </c>
      <c r="K39" s="4">
        <f t="shared" ref="K39:K47" si="11">+(C39-D39)/$N$2</f>
        <v>1465526.6964533979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5"/>
      <c r="B40" s="138" t="s">
        <v>145</v>
      </c>
      <c r="C40" s="4">
        <v>30000000</v>
      </c>
      <c r="D40" s="4">
        <f>IFERROR(+VLOOKUP(B40,COMISIONES!A:E,5,FALSE),"0")*1</f>
        <v>11107366.78759611</v>
      </c>
      <c r="E40" s="4">
        <v>11107366.78759611</v>
      </c>
      <c r="F40" s="59">
        <f t="shared" si="7"/>
        <v>0</v>
      </c>
      <c r="G40" s="5">
        <f t="shared" si="1"/>
        <v>0.37024555958653699</v>
      </c>
      <c r="H40" s="4">
        <f t="shared" si="8"/>
        <v>16987737.439852875</v>
      </c>
      <c r="I40" s="5">
        <f t="shared" si="9"/>
        <v>0.56625791466176245</v>
      </c>
      <c r="J40" s="4">
        <f t="shared" si="10"/>
        <v>653374.51691741822</v>
      </c>
      <c r="K40" s="4">
        <f t="shared" si="11"/>
        <v>2099181.4680448766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5"/>
      <c r="B41" s="138" t="s">
        <v>106</v>
      </c>
      <c r="C41" s="4">
        <v>32421674.968781177</v>
      </c>
      <c r="D41" s="4">
        <f>IFERROR(+VLOOKUP(B41,COMISIONES!A:E,5,FALSE),"0")*1</f>
        <v>19513439.214218836</v>
      </c>
      <c r="E41" s="4">
        <v>19513439.214218836</v>
      </c>
      <c r="F41" s="59">
        <f t="shared" si="7"/>
        <v>0</v>
      </c>
      <c r="G41" s="5">
        <f t="shared" si="1"/>
        <v>0.60186400711895116</v>
      </c>
      <c r="H41" s="4">
        <f t="shared" si="8"/>
        <v>29844083.504099395</v>
      </c>
      <c r="I41" s="5">
        <f t="shared" si="9"/>
        <v>0.92049789324074882</v>
      </c>
      <c r="J41" s="4">
        <f t="shared" si="10"/>
        <v>1147849.3655422844</v>
      </c>
      <c r="K41" s="4">
        <f t="shared" si="11"/>
        <v>1434248.4171735933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5"/>
      <c r="B42" s="139" t="s">
        <v>139</v>
      </c>
      <c r="C42" s="4">
        <v>55416576.686625004</v>
      </c>
      <c r="D42" s="4">
        <f>IFERROR(+VLOOKUP(B42,COMISIONES!A:E,5,FALSE),"0")*1</f>
        <v>43189960.10274037</v>
      </c>
      <c r="E42" s="4">
        <v>43231018.929500557</v>
      </c>
      <c r="F42" s="59">
        <f t="shared" si="7"/>
        <v>-41058.826760187745</v>
      </c>
      <c r="G42" s="5">
        <f t="shared" si="1"/>
        <v>0.77936896656347276</v>
      </c>
      <c r="H42" s="4">
        <f t="shared" si="8"/>
        <v>66055233.098308802</v>
      </c>
      <c r="I42" s="5">
        <f t="shared" si="9"/>
        <v>1.1919760665088408</v>
      </c>
      <c r="J42" s="4">
        <f t="shared" si="10"/>
        <v>2540585.8883964922</v>
      </c>
      <c r="K42" s="4">
        <f t="shared" si="11"/>
        <v>1358512.9537649592</v>
      </c>
      <c r="L42" s="63" cm="1">
        <f t="array" ref="L42">+_xlfn.IFS(I42&gt;114%,H42*0.02,I42&gt;109%,H42*0.015,I42&gt;104%,H42*0.0125,I42&gt;99%,H42*0.01,I42&lt;99%,H42*0)</f>
        <v>1321104.661966176</v>
      </c>
    </row>
    <row r="43" spans="1:12" ht="16.5" thickBot="1" x14ac:dyDescent="0.3">
      <c r="A43" s="145"/>
      <c r="B43" s="140" t="s">
        <v>266</v>
      </c>
      <c r="C43" s="4">
        <v>100000000</v>
      </c>
      <c r="D43" s="4">
        <f>IFERROR(+VLOOKUP(B43,COMISIONES!A:E,5,FALSE),"0")*1</f>
        <v>55230537.47476542</v>
      </c>
      <c r="E43" s="4">
        <v>44401504.5077115</v>
      </c>
      <c r="F43" s="59">
        <f t="shared" si="7"/>
        <v>10829032.96705392</v>
      </c>
      <c r="G43" s="5">
        <f t="shared" si="1"/>
        <v>0.55230537474765418</v>
      </c>
      <c r="H43" s="4">
        <f t="shared" si="8"/>
        <v>84470233.784935355</v>
      </c>
      <c r="I43" s="5">
        <f t="shared" si="9"/>
        <v>0.84470233784935356</v>
      </c>
      <c r="J43" s="4">
        <f t="shared" si="10"/>
        <v>3248855.1455744365</v>
      </c>
      <c r="K43" s="4">
        <f t="shared" si="11"/>
        <v>4974384.7250260646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5"/>
      <c r="B44" s="140" t="s">
        <v>267</v>
      </c>
      <c r="C44" s="4">
        <v>100000000</v>
      </c>
      <c r="D44" s="4">
        <f>IFERROR(+VLOOKUP(B44,COMISIONES!A:E,5,FALSE),"0")*1</f>
        <v>64650647.266790837</v>
      </c>
      <c r="E44" s="4">
        <v>64676960.564390838</v>
      </c>
      <c r="F44" s="59">
        <f t="shared" si="7"/>
        <v>-26313.297600001097</v>
      </c>
      <c r="G44" s="5">
        <f t="shared" si="1"/>
        <v>0.64650647266790839</v>
      </c>
      <c r="H44" s="4">
        <f t="shared" si="8"/>
        <v>98877460.52568011</v>
      </c>
      <c r="I44" s="5">
        <f t="shared" si="9"/>
        <v>0.98877460525680105</v>
      </c>
      <c r="J44" s="4">
        <f t="shared" si="10"/>
        <v>3802979.2509876965</v>
      </c>
      <c r="K44" s="4">
        <f t="shared" si="11"/>
        <v>3927705.8592454623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45"/>
      <c r="B45" s="140" t="s">
        <v>284</v>
      </c>
      <c r="C45" s="4">
        <v>25000000</v>
      </c>
      <c r="D45" s="4">
        <f>IFERROR(+VLOOKUP(B45,COMISIONES!A:E,5,FALSE),"0")*1</f>
        <v>2482456.6086097513</v>
      </c>
      <c r="E45" s="4">
        <v>2482456.6086097513</v>
      </c>
      <c r="F45" s="59">
        <f t="shared" si="7"/>
        <v>0</v>
      </c>
      <c r="G45" s="5">
        <f t="shared" si="1"/>
        <v>9.9298264344390055E-2</v>
      </c>
      <c r="H45" s="4">
        <f t="shared" si="8"/>
        <v>3796698.3425796195</v>
      </c>
      <c r="I45" s="5">
        <f t="shared" si="9"/>
        <v>0.15186793370318477</v>
      </c>
      <c r="J45" s="4">
        <f t="shared" si="10"/>
        <v>146026.85932998537</v>
      </c>
      <c r="K45" s="4">
        <f t="shared" si="11"/>
        <v>2501949.2657100279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45"/>
      <c r="B46" s="140" t="s">
        <v>268</v>
      </c>
      <c r="C46" s="4">
        <v>100000000</v>
      </c>
      <c r="D46" s="4">
        <f>IFERROR(+VLOOKUP(B46,COMISIONES!A:E,5,FALSE),"0")*1</f>
        <v>24185979.343219414</v>
      </c>
      <c r="E46" s="4">
        <v>24185979.343219414</v>
      </c>
      <c r="F46" s="59">
        <f t="shared" si="7"/>
        <v>0</v>
      </c>
      <c r="G46" s="5">
        <f t="shared" si="1"/>
        <v>0.24185979343219413</v>
      </c>
      <c r="H46" s="4">
        <f t="shared" si="8"/>
        <v>36990321.348453224</v>
      </c>
      <c r="I46" s="5">
        <f t="shared" si="9"/>
        <v>0.36990321348453226</v>
      </c>
      <c r="J46" s="4">
        <f t="shared" si="10"/>
        <v>1422704.6672482009</v>
      </c>
      <c r="K46" s="4">
        <f t="shared" si="11"/>
        <v>8423780.0729756206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6"/>
      <c r="B47" s="137"/>
      <c r="C47" s="67">
        <v>455695855.27356702</v>
      </c>
      <c r="D47" s="67">
        <f>SUM(D39:D46)</f>
        <v>242170646.5298602</v>
      </c>
      <c r="E47" s="67">
        <v>231417351.26196647</v>
      </c>
      <c r="F47" s="67">
        <f>+SUM(F39:F46)</f>
        <v>10753295.267893732</v>
      </c>
      <c r="G47" s="66">
        <f t="shared" si="1"/>
        <v>0.53143043485545494</v>
      </c>
      <c r="H47" s="64">
        <f t="shared" si="8"/>
        <v>370378635.86919796</v>
      </c>
      <c r="I47" s="66">
        <f t="shared" si="9"/>
        <v>0.8127759591906959</v>
      </c>
      <c r="J47" s="64">
        <f t="shared" si="10"/>
        <v>14245332.148815306</v>
      </c>
      <c r="K47" s="67">
        <f t="shared" si="11"/>
        <v>23725023.193745203</v>
      </c>
      <c r="L47" s="68"/>
    </row>
    <row r="48" spans="1:12" ht="16.5" thickBot="1" x14ac:dyDescent="0.3">
      <c r="A48" s="76" t="s">
        <v>282</v>
      </c>
      <c r="B48" s="77"/>
      <c r="C48" s="78">
        <v>1379767147.0931361</v>
      </c>
      <c r="D48" s="78">
        <f>+D38+D24+D10+D15+D47</f>
        <v>1110073092.8584664</v>
      </c>
      <c r="E48" s="79">
        <v>1059068037.1405525</v>
      </c>
      <c r="F48" s="78">
        <f>+D48-E48</f>
        <v>51005055.717913866</v>
      </c>
      <c r="G48" s="80">
        <f>+D48/C48</f>
        <v>0.8045365445880811</v>
      </c>
      <c r="H48" s="78">
        <f>+D48/$N$3*$N$4</f>
        <v>1697758847.9011838</v>
      </c>
      <c r="I48" s="142">
        <f t="shared" si="2"/>
        <v>1.2304676564288299</v>
      </c>
      <c r="J48" s="78">
        <f>+D48/$N$3</f>
        <v>65298417.226968609</v>
      </c>
      <c r="K48" s="78">
        <f>+(C48-D48)/$N$2</f>
        <v>29966006.026074409</v>
      </c>
      <c r="L48" s="81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5" workbookViewId="0">
      <selection activeCell="D43" sqref="D43:I44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205</v>
      </c>
      <c r="C1" s="83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3" t="s">
        <v>37</v>
      </c>
      <c r="B2">
        <v>22</v>
      </c>
      <c r="C2" s="12" t="str">
        <f>+AVANCE!B11</f>
        <v>22 - ALMIRON NICOLAS</v>
      </c>
      <c r="D2" s="22">
        <f>H2/G2</f>
        <v>0.78481012658227844</v>
      </c>
      <c r="E2" s="13">
        <v>33</v>
      </c>
      <c r="F2" s="12">
        <f>+H2-E2</f>
        <v>29</v>
      </c>
      <c r="G2" s="13">
        <f>VLOOKUP(B2,'Base Cobertura'!$A:$C,3,FALSE)</f>
        <v>79</v>
      </c>
      <c r="H2" s="13">
        <f>VLOOKUP(B2,'Base Cobertura'!$A:$C,2,FALSE)</f>
        <v>62</v>
      </c>
      <c r="I2" s="17">
        <f>(+G2*$M$2)-H2</f>
        <v>5.1499999999999915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3"/>
      <c r="B3">
        <v>20</v>
      </c>
      <c r="C3" s="13" t="str">
        <f>+AVANCE!B2</f>
        <v>20 - FLORES JAVIER</v>
      </c>
      <c r="D3" s="22">
        <f t="shared" ref="D3:D7" si="0">H3/G3</f>
        <v>0.89035087719298245</v>
      </c>
      <c r="E3" s="13">
        <v>126</v>
      </c>
      <c r="F3" s="12">
        <f t="shared" ref="F3:F13" si="1">+H3-E3</f>
        <v>77</v>
      </c>
      <c r="G3" s="13">
        <f>VLOOKUP(B3,'Base Cobertura'!$A:$C,3,FALSE)</f>
        <v>228</v>
      </c>
      <c r="H3" s="13">
        <f>VLOOKUP(B3,'Base Cobertura'!$A:$C,2,FALSE)</f>
        <v>203</v>
      </c>
      <c r="I3" s="17">
        <f t="shared" ref="I3:I13" si="2">(+G3*$M$2)-H3</f>
        <v>-9.2000000000000171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44</v>
      </c>
      <c r="T3" s="12">
        <v>173</v>
      </c>
      <c r="U3" s="41">
        <f>+S3/T3</f>
        <v>0.25433526011560692</v>
      </c>
    </row>
    <row r="4" spans="1:21" x14ac:dyDescent="0.25">
      <c r="A4" s="143"/>
      <c r="B4">
        <v>15</v>
      </c>
      <c r="C4" s="13" t="str">
        <f>+AVANCE!B12</f>
        <v>15 - GALARZA GERARDO</v>
      </c>
      <c r="D4" s="22">
        <f t="shared" si="0"/>
        <v>0.75384615384615383</v>
      </c>
      <c r="E4" s="13">
        <v>21</v>
      </c>
      <c r="F4" s="12">
        <f t="shared" si="1"/>
        <v>28</v>
      </c>
      <c r="G4" s="13">
        <f>VLOOKUP(B4,'Base Cobertura'!$A:$C,3,FALSE)</f>
        <v>65</v>
      </c>
      <c r="H4" s="13">
        <f>VLOOKUP(B4,'Base Cobertura'!$A:$C,2,FALSE)</f>
        <v>49</v>
      </c>
      <c r="I4" s="17">
        <f t="shared" si="2"/>
        <v>6.25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32</v>
      </c>
      <c r="T4" s="13">
        <v>173</v>
      </c>
      <c r="U4" s="5">
        <f t="shared" ref="U4:U11" si="3">+S4/T4</f>
        <v>0.18497109826589594</v>
      </c>
    </row>
    <row r="5" spans="1:21" x14ac:dyDescent="0.25">
      <c r="A5" s="143"/>
      <c r="B5">
        <v>19</v>
      </c>
      <c r="C5" s="13" t="str">
        <f>+AVANCE!B3</f>
        <v>19 - GONZALEZ MARCELO</v>
      </c>
      <c r="D5" s="22">
        <f t="shared" si="0"/>
        <v>0.85576923076923073</v>
      </c>
      <c r="E5" s="13">
        <v>100</v>
      </c>
      <c r="F5" s="12">
        <f t="shared" si="1"/>
        <v>78</v>
      </c>
      <c r="G5" s="13">
        <f>VLOOKUP(B5,'Base Cobertura'!$A:$C,3,FALSE)</f>
        <v>208</v>
      </c>
      <c r="H5" s="13">
        <f>VLOOKUP(B5,'Base Cobertura'!$A:$C,2,FALSE)</f>
        <v>178</v>
      </c>
      <c r="I5" s="17">
        <f t="shared" si="2"/>
        <v>-1.2000000000000171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44</v>
      </c>
      <c r="T5" s="13">
        <v>173</v>
      </c>
      <c r="U5" s="5">
        <f t="shared" si="3"/>
        <v>0.25433526011560692</v>
      </c>
    </row>
    <row r="6" spans="1:21" x14ac:dyDescent="0.25">
      <c r="A6" s="143"/>
      <c r="B6">
        <v>16</v>
      </c>
      <c r="C6" s="13" t="str">
        <f>+AVANCE!B4</f>
        <v>16 - GOMEZ MATÍAS</v>
      </c>
      <c r="D6" s="22">
        <f t="shared" si="0"/>
        <v>0.78894472361809043</v>
      </c>
      <c r="E6" s="13">
        <v>81</v>
      </c>
      <c r="F6" s="12">
        <f t="shared" si="1"/>
        <v>76</v>
      </c>
      <c r="G6" s="13">
        <f>VLOOKUP(B6,'Base Cobertura'!$A:$C,3,FALSE)</f>
        <v>199</v>
      </c>
      <c r="H6" s="13">
        <f>VLOOKUP(B6,'Base Cobertura'!$A:$C,2,FALSE)</f>
        <v>157</v>
      </c>
      <c r="I6" s="17">
        <f t="shared" si="2"/>
        <v>12.150000000000006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45</v>
      </c>
      <c r="T6" s="13">
        <v>173</v>
      </c>
      <c r="U6" s="5">
        <f t="shared" si="3"/>
        <v>0.26011560693641617</v>
      </c>
    </row>
    <row r="7" spans="1:21" x14ac:dyDescent="0.25">
      <c r="A7" s="143"/>
      <c r="B7">
        <v>12</v>
      </c>
      <c r="C7" s="13" t="str">
        <f>+AVANCE!B5</f>
        <v>12 - GUTIERREZ MARCOS DAVID</v>
      </c>
      <c r="D7" s="22">
        <f t="shared" si="0"/>
        <v>0.80373831775700932</v>
      </c>
      <c r="E7" s="13">
        <v>89</v>
      </c>
      <c r="F7" s="12">
        <f t="shared" si="1"/>
        <v>83</v>
      </c>
      <c r="G7" s="13">
        <f>VLOOKUP(B7,'Base Cobertura'!$A:$C,3,FALSE)</f>
        <v>214</v>
      </c>
      <c r="H7" s="13">
        <f>VLOOKUP(B7,'Base Cobertura'!$A:$C,2,FALSE)</f>
        <v>172</v>
      </c>
      <c r="I7" s="17">
        <f t="shared" si="2"/>
        <v>9.9000000000000057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55</v>
      </c>
      <c r="T7" s="13">
        <v>173</v>
      </c>
      <c r="U7" s="5">
        <f t="shared" si="3"/>
        <v>0.31791907514450868</v>
      </c>
    </row>
    <row r="8" spans="1:21" x14ac:dyDescent="0.25">
      <c r="A8" s="143"/>
      <c r="B8">
        <v>11</v>
      </c>
      <c r="C8" s="13" t="str">
        <f>+AVANCE!B6</f>
        <v>11 - SANCHEZ RICARDO</v>
      </c>
      <c r="D8" s="22">
        <f>H8/G8</f>
        <v>0.76190476190476186</v>
      </c>
      <c r="E8" s="13">
        <v>92</v>
      </c>
      <c r="F8" s="12">
        <f t="shared" si="1"/>
        <v>36</v>
      </c>
      <c r="G8" s="13">
        <f>VLOOKUP(B8,'Base Cobertura'!$A:$C,3,FALSE)</f>
        <v>168</v>
      </c>
      <c r="H8" s="13">
        <f>VLOOKUP(B8,'Base Cobertura'!$A:$C,2,FALSE)</f>
        <v>128</v>
      </c>
      <c r="I8" s="17">
        <f t="shared" si="2"/>
        <v>14.799999999999983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48</v>
      </c>
      <c r="T8" s="13">
        <v>173</v>
      </c>
      <c r="U8" s="5">
        <f t="shared" si="3"/>
        <v>0.2774566473988439</v>
      </c>
    </row>
    <row r="9" spans="1:21" x14ac:dyDescent="0.25">
      <c r="A9" s="143"/>
      <c r="B9">
        <v>8</v>
      </c>
      <c r="C9" s="13" t="str">
        <f>+AVANCE!B7</f>
        <v>8 - PARRA MAXIMILIANO</v>
      </c>
      <c r="D9" s="22">
        <f t="shared" ref="D9:D13" si="4">H9/G9</f>
        <v>0.55897435897435899</v>
      </c>
      <c r="E9" s="13">
        <v>64</v>
      </c>
      <c r="F9" s="12">
        <f t="shared" si="1"/>
        <v>45</v>
      </c>
      <c r="G9" s="13">
        <f>VLOOKUP(B9,'Base Cobertura'!$A:$C,3,FALSE)</f>
        <v>195</v>
      </c>
      <c r="H9" s="13">
        <f>VLOOKUP(B9,'Base Cobertura'!$A:$C,2,FALSE)</f>
        <v>109</v>
      </c>
      <c r="I9" s="17">
        <f t="shared" si="2"/>
        <v>56.75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49</v>
      </c>
      <c r="T9" s="13">
        <v>173</v>
      </c>
      <c r="U9" s="5">
        <f t="shared" si="3"/>
        <v>0.2832369942196532</v>
      </c>
    </row>
    <row r="10" spans="1:21" x14ac:dyDescent="0.25">
      <c r="A10" s="143"/>
      <c r="B10">
        <v>52</v>
      </c>
      <c r="C10" s="31" t="str">
        <f>+AVANCE!B13</f>
        <v>52 - RAVAROTTO EMANUEL</v>
      </c>
      <c r="D10" s="32">
        <f t="shared" si="4"/>
        <v>0.46153846153846156</v>
      </c>
      <c r="E10" s="31">
        <v>19</v>
      </c>
      <c r="F10" s="33">
        <f t="shared" si="1"/>
        <v>29</v>
      </c>
      <c r="G10" s="13">
        <f>VLOOKUP(B10,'Base Cobertura'!$A:$C,3,FALSE)</f>
        <v>104</v>
      </c>
      <c r="H10" s="13">
        <f>VLOOKUP(B10,'Base Cobertura'!$A:$C,2,FALSE)</f>
        <v>48</v>
      </c>
      <c r="I10" s="34">
        <f t="shared" si="2"/>
        <v>40.399999999999991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33</v>
      </c>
      <c r="T10" s="13">
        <v>173</v>
      </c>
      <c r="U10" s="5">
        <f t="shared" si="3"/>
        <v>0.19075144508670519</v>
      </c>
    </row>
    <row r="11" spans="1:21" x14ac:dyDescent="0.25">
      <c r="A11" s="143"/>
      <c r="B11">
        <v>53</v>
      </c>
      <c r="C11" s="31" t="str">
        <f>+AVANCE!B14</f>
        <v>53 - SANDOVAL RODRIGO</v>
      </c>
      <c r="D11" s="32">
        <f t="shared" si="4"/>
        <v>0.46666666666666667</v>
      </c>
      <c r="E11" s="31">
        <v>24</v>
      </c>
      <c r="F11" s="33">
        <f t="shared" si="1"/>
        <v>25</v>
      </c>
      <c r="G11" s="13">
        <f>VLOOKUP(B11,'Base Cobertura'!$A:$C,3,FALSE)</f>
        <v>105</v>
      </c>
      <c r="H11" s="13">
        <f>VLOOKUP(B11,'Base Cobertura'!$A:$C,2,FALSE)</f>
        <v>49</v>
      </c>
      <c r="I11" s="34">
        <f t="shared" si="2"/>
        <v>40.25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20</v>
      </c>
      <c r="T11" s="13">
        <v>173</v>
      </c>
      <c r="U11" s="5">
        <f t="shared" si="3"/>
        <v>0.11560693641618497</v>
      </c>
    </row>
    <row r="12" spans="1:21" x14ac:dyDescent="0.25">
      <c r="A12" s="143"/>
      <c r="B12">
        <v>5</v>
      </c>
      <c r="C12" s="13" t="str">
        <f>+AVANCE!B8</f>
        <v>5 - SCHELOVER RAUL</v>
      </c>
      <c r="D12" s="22">
        <f t="shared" si="4"/>
        <v>0.8122605363984674</v>
      </c>
      <c r="E12" s="13">
        <v>144</v>
      </c>
      <c r="F12" s="12">
        <f t="shared" si="1"/>
        <v>68</v>
      </c>
      <c r="G12" s="13">
        <f>VLOOKUP(B12,'Base Cobertura'!$A:$C,3,FALSE)</f>
        <v>261</v>
      </c>
      <c r="H12" s="13">
        <f>VLOOKUP(B12,'Base Cobertura'!$A:$C,2,FALSE)</f>
        <v>212</v>
      </c>
      <c r="I12" s="17">
        <f t="shared" si="2"/>
        <v>9.8499999999999943</v>
      </c>
      <c r="J12" t="s">
        <v>59</v>
      </c>
    </row>
    <row r="13" spans="1:21" ht="15.75" thickBot="1" x14ac:dyDescent="0.3">
      <c r="A13" s="143"/>
      <c r="B13">
        <v>4</v>
      </c>
      <c r="C13" s="10" t="str">
        <f>+AVANCE!B9</f>
        <v>4 - TUR SPRINGER FERNANDO</v>
      </c>
      <c r="D13" s="22">
        <f t="shared" si="4"/>
        <v>0.76373626373626369</v>
      </c>
      <c r="E13" s="13">
        <v>85</v>
      </c>
      <c r="F13" s="12">
        <f t="shared" si="1"/>
        <v>54</v>
      </c>
      <c r="G13" s="13">
        <f>VLOOKUP(B13,'Base Cobertura'!$A:$C,3,FALSE)</f>
        <v>182</v>
      </c>
      <c r="H13" s="13">
        <f>VLOOKUP(B13,'Base Cobertura'!$A:$C,2,FALSE)</f>
        <v>139</v>
      </c>
      <c r="I13" s="17">
        <f t="shared" si="2"/>
        <v>15.699999999999989</v>
      </c>
      <c r="J13" t="s">
        <v>57</v>
      </c>
      <c r="K13" t="s">
        <v>64</v>
      </c>
    </row>
    <row r="14" spans="1:21" ht="15.75" thickBot="1" x14ac:dyDescent="0.3">
      <c r="A14" s="143"/>
      <c r="C14" s="9"/>
      <c r="D14" s="23"/>
      <c r="E14" s="14"/>
      <c r="F14" s="16">
        <f>+SUM(F1:F13)</f>
        <v>628</v>
      </c>
      <c r="G14" s="8">
        <f>+SUM(G1:G13)</f>
        <v>2008</v>
      </c>
      <c r="H14" s="8">
        <f>+SUM(H1:H13)</f>
        <v>1506</v>
      </c>
      <c r="I14" s="8"/>
      <c r="J14" t="s">
        <v>55</v>
      </c>
      <c r="K14" t="s">
        <v>64</v>
      </c>
    </row>
    <row r="15" spans="1:21" x14ac:dyDescent="0.25">
      <c r="A15" s="15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0.67484662576687116</v>
      </c>
      <c r="E15" s="13">
        <v>90</v>
      </c>
      <c r="F15" s="12">
        <f t="shared" ref="F15:F36" si="6">+H15-E15</f>
        <v>20</v>
      </c>
      <c r="G15" s="13">
        <f>VLOOKUP(B15,'Base Cobertura'!$A:$C,3,FALSE)</f>
        <v>163</v>
      </c>
      <c r="H15" s="13">
        <f>VLOOKUP(B15,'Base Cobertura'!$A:$C,2,FALSE)</f>
        <v>110</v>
      </c>
      <c r="I15" s="17">
        <f t="shared" ref="I15:I36" si="7">(+G15*$M$2)-H15</f>
        <v>28.549999999999983</v>
      </c>
      <c r="J15" t="s">
        <v>55</v>
      </c>
      <c r="K15" t="s">
        <v>55</v>
      </c>
    </row>
    <row r="16" spans="1:21" x14ac:dyDescent="0.25">
      <c r="A16" s="151"/>
      <c r="B16">
        <v>54</v>
      </c>
      <c r="C16" s="13" t="str">
        <f>+AVANCE!B23</f>
        <v>54 - BARTSCHAT EMILIANO NAHUEL</v>
      </c>
      <c r="D16" s="22">
        <f t="shared" si="5"/>
        <v>0.70854271356783916</v>
      </c>
      <c r="E16" s="13">
        <v>92</v>
      </c>
      <c r="F16" s="12">
        <f t="shared" si="6"/>
        <v>49</v>
      </c>
      <c r="G16" s="13">
        <f>VLOOKUP(B16,'Base Cobertura'!$A:$C,3,FALSE)</f>
        <v>199</v>
      </c>
      <c r="H16" s="13">
        <f>VLOOKUP(B16,'Base Cobertura'!$A:$C,2,FALSE)</f>
        <v>141</v>
      </c>
      <c r="I16" s="17">
        <f t="shared" si="7"/>
        <v>28.150000000000006</v>
      </c>
      <c r="J16" t="s">
        <v>55</v>
      </c>
      <c r="K16" t="s">
        <v>63</v>
      </c>
    </row>
    <row r="17" spans="1:11" x14ac:dyDescent="0.25">
      <c r="A17" s="151"/>
      <c r="B17">
        <v>21</v>
      </c>
      <c r="C17" s="13" t="str">
        <f>+AVANCE!B19</f>
        <v>21 - CATAN MATIAS</v>
      </c>
      <c r="D17" s="22">
        <f t="shared" si="5"/>
        <v>0.81176470588235294</v>
      </c>
      <c r="E17" s="13">
        <v>88</v>
      </c>
      <c r="F17" s="12">
        <f t="shared" si="6"/>
        <v>50</v>
      </c>
      <c r="G17" s="13">
        <f>VLOOKUP(B17,'Base Cobertura'!$A:$C,3,FALSE)</f>
        <v>170</v>
      </c>
      <c r="H17" s="13">
        <f>VLOOKUP(B17,'Base Cobertura'!$A:$C,2,FALSE)</f>
        <v>138</v>
      </c>
      <c r="I17" s="17">
        <f t="shared" si="7"/>
        <v>6.5</v>
      </c>
      <c r="J17" t="s">
        <v>58</v>
      </c>
      <c r="K17" t="s">
        <v>55</v>
      </c>
    </row>
    <row r="18" spans="1:11" x14ac:dyDescent="0.25">
      <c r="A18" s="151"/>
      <c r="B18">
        <v>23</v>
      </c>
      <c r="C18" s="13" t="str">
        <f>+AVANCE!B20</f>
        <v>23 - DELGADO JOSÉ</v>
      </c>
      <c r="D18" s="22">
        <f t="shared" si="5"/>
        <v>0.68387096774193545</v>
      </c>
      <c r="E18" s="13">
        <v>95</v>
      </c>
      <c r="F18" s="12">
        <f t="shared" si="6"/>
        <v>11</v>
      </c>
      <c r="G18" s="13">
        <f>VLOOKUP(B18,'Base Cobertura'!$A:$C,3,FALSE)</f>
        <v>155</v>
      </c>
      <c r="H18" s="13">
        <f>VLOOKUP(B18,'Base Cobertura'!$A:$C,2,FALSE)</f>
        <v>106</v>
      </c>
      <c r="I18" s="17">
        <f t="shared" si="7"/>
        <v>25.75</v>
      </c>
      <c r="J18" t="s">
        <v>58</v>
      </c>
      <c r="K18" t="s">
        <v>64</v>
      </c>
    </row>
    <row r="19" spans="1:11" x14ac:dyDescent="0.25">
      <c r="A19" s="151"/>
      <c r="B19">
        <v>18</v>
      </c>
      <c r="C19" s="13" t="str">
        <f>+AVANCE!B18</f>
        <v>18 - HERRERA PABLO</v>
      </c>
      <c r="D19" s="22">
        <f t="shared" si="5"/>
        <v>0.80219780219780223</v>
      </c>
      <c r="E19" s="13">
        <v>83</v>
      </c>
      <c r="F19" s="12">
        <f t="shared" si="6"/>
        <v>63</v>
      </c>
      <c r="G19" s="13">
        <f>VLOOKUP(B19,'Base Cobertura'!$A:$C,3,FALSE)</f>
        <v>182</v>
      </c>
      <c r="H19" s="13">
        <f>VLOOKUP(B19,'Base Cobertura'!$A:$C,2,FALSE)</f>
        <v>146</v>
      </c>
      <c r="I19" s="17">
        <f t="shared" si="7"/>
        <v>8.6999999999999886</v>
      </c>
      <c r="J19" t="s">
        <v>55</v>
      </c>
      <c r="K19" t="s">
        <v>55</v>
      </c>
    </row>
    <row r="20" spans="1:11" x14ac:dyDescent="0.25">
      <c r="A20" s="151"/>
      <c r="B20">
        <v>44</v>
      </c>
      <c r="C20" s="13" t="str">
        <f>+AVANCE!B22</f>
        <v>44 - MONGES CESAR LUIS</v>
      </c>
      <c r="D20" s="22">
        <f t="shared" si="5"/>
        <v>0.74285714285714288</v>
      </c>
      <c r="E20" s="13">
        <v>64</v>
      </c>
      <c r="F20" s="12">
        <f t="shared" si="6"/>
        <v>66</v>
      </c>
      <c r="G20" s="13">
        <f>VLOOKUP(B20,'Base Cobertura'!$A:$C,3,FALSE)</f>
        <v>175</v>
      </c>
      <c r="H20" s="13">
        <f>VLOOKUP(B20,'Base Cobertura'!$A:$C,2,FALSE)</f>
        <v>130</v>
      </c>
      <c r="I20" s="17">
        <f t="shared" si="7"/>
        <v>18.75</v>
      </c>
      <c r="J20" t="s">
        <v>58</v>
      </c>
      <c r="K20" t="s">
        <v>64</v>
      </c>
    </row>
    <row r="21" spans="1:11" x14ac:dyDescent="0.25">
      <c r="A21" s="151"/>
      <c r="B21">
        <v>2</v>
      </c>
      <c r="C21" s="13" t="str">
        <f>+AVANCE!B16</f>
        <v>2 - OJEDA NORBERTO</v>
      </c>
      <c r="D21" s="22">
        <f t="shared" si="5"/>
        <v>0.71186440677966101</v>
      </c>
      <c r="E21" s="13">
        <v>70</v>
      </c>
      <c r="F21" s="12">
        <f t="shared" si="6"/>
        <v>14</v>
      </c>
      <c r="G21" s="13">
        <f>VLOOKUP(B21,'Base Cobertura'!$A:$C,3,FALSE)</f>
        <v>118</v>
      </c>
      <c r="H21" s="13">
        <f>VLOOKUP(B21,'Base Cobertura'!$A:$C,2,FALSE)</f>
        <v>84</v>
      </c>
      <c r="I21" s="17">
        <f t="shared" si="7"/>
        <v>16.299999999999997</v>
      </c>
      <c r="J21" t="s">
        <v>58</v>
      </c>
      <c r="K21" t="s">
        <v>66</v>
      </c>
    </row>
    <row r="22" spans="1:11" ht="15.75" thickBot="1" x14ac:dyDescent="0.3">
      <c r="A22" s="151"/>
      <c r="B22">
        <v>3</v>
      </c>
      <c r="C22" s="10" t="str">
        <f>+AVANCE!B17</f>
        <v>3 - VIDAL NAHUEL</v>
      </c>
      <c r="D22" s="22">
        <f t="shared" si="5"/>
        <v>0.86627906976744184</v>
      </c>
      <c r="E22" s="13">
        <v>79</v>
      </c>
      <c r="F22" s="12">
        <f t="shared" si="6"/>
        <v>70</v>
      </c>
      <c r="G22" s="13">
        <f>VLOOKUP(B22,'Base Cobertura'!$A:$C,3,FALSE)</f>
        <v>172</v>
      </c>
      <c r="H22" s="13">
        <f>VLOOKUP(B22,'Base Cobertura'!$A:$C,2,FALSE)</f>
        <v>149</v>
      </c>
      <c r="I22" s="17">
        <f t="shared" si="7"/>
        <v>-2.8000000000000114</v>
      </c>
      <c r="J22" t="s">
        <v>60</v>
      </c>
      <c r="K22" t="s">
        <v>64</v>
      </c>
    </row>
    <row r="23" spans="1:11" ht="15.75" thickBot="1" x14ac:dyDescent="0.3">
      <c r="A23" s="152"/>
      <c r="C23" s="9"/>
      <c r="D23" s="23"/>
      <c r="E23" s="14"/>
      <c r="F23" s="16">
        <f>+SUM(F15:F22)</f>
        <v>343</v>
      </c>
      <c r="G23" s="8">
        <f>+SUM(G15:G22)</f>
        <v>1334</v>
      </c>
      <c r="H23" s="8">
        <f>+SUM(H15:H22)</f>
        <v>1004</v>
      </c>
      <c r="I23" s="8"/>
    </row>
    <row r="24" spans="1:11" x14ac:dyDescent="0.25">
      <c r="A24" s="150" t="s">
        <v>215</v>
      </c>
      <c r="B24">
        <v>32</v>
      </c>
      <c r="C24" s="12" t="str">
        <f>+AVANCE!B25</f>
        <v>32 - CABRAL GONZALO</v>
      </c>
      <c r="D24" s="22">
        <f t="shared" si="5"/>
        <v>0.65517241379310343</v>
      </c>
      <c r="E24" s="13">
        <v>20</v>
      </c>
      <c r="F24" s="12">
        <f>+H24-E24</f>
        <v>18</v>
      </c>
      <c r="G24" s="13">
        <f>VLOOKUP(B24,'Base Cobertura'!$A:$C,3,FALSE)</f>
        <v>58</v>
      </c>
      <c r="H24" s="13">
        <f>VLOOKUP(B24,'Base Cobertura'!$A:$C,2,FALSE)</f>
        <v>38</v>
      </c>
      <c r="I24" s="17">
        <f t="shared" si="7"/>
        <v>11.299999999999997</v>
      </c>
      <c r="J24" t="s">
        <v>55</v>
      </c>
      <c r="K24" t="s">
        <v>66</v>
      </c>
    </row>
    <row r="25" spans="1:11" x14ac:dyDescent="0.25">
      <c r="A25" s="151"/>
      <c r="B25">
        <v>36</v>
      </c>
      <c r="C25" s="12" t="str">
        <f>+AVANCE!B26</f>
        <v>36 - COSARINSKI DIEGO</v>
      </c>
      <c r="D25" s="22">
        <f t="shared" si="5"/>
        <v>0.60897435897435892</v>
      </c>
      <c r="E25" s="13">
        <v>68</v>
      </c>
      <c r="F25" s="12">
        <f t="shared" si="6"/>
        <v>27</v>
      </c>
      <c r="G25" s="13">
        <f>VLOOKUP(B25,'Base Cobertura'!$A:$C,3,FALSE)</f>
        <v>156</v>
      </c>
      <c r="H25" s="13">
        <f>VLOOKUP(B25,'Base Cobertura'!$A:$C,2,FALSE)</f>
        <v>95</v>
      </c>
      <c r="I25" s="17">
        <f t="shared" si="7"/>
        <v>37.599999999999994</v>
      </c>
      <c r="J25" t="s">
        <v>58</v>
      </c>
      <c r="K25" t="s">
        <v>66</v>
      </c>
    </row>
    <row r="26" spans="1:11" x14ac:dyDescent="0.25">
      <c r="A26" s="151"/>
      <c r="B26">
        <v>9</v>
      </c>
      <c r="C26" s="12" t="str">
        <f>+AVANCE!B27</f>
        <v>9 - ESTIGARRIBIA DAVID</v>
      </c>
      <c r="D26" s="22">
        <f t="shared" si="5"/>
        <v>0.75641025641025639</v>
      </c>
      <c r="E26" s="13">
        <v>80</v>
      </c>
      <c r="F26" s="12">
        <f t="shared" si="6"/>
        <v>38</v>
      </c>
      <c r="G26" s="13">
        <f>VLOOKUP(B26,'Base Cobertura'!$A:$C,3,FALSE)</f>
        <v>156</v>
      </c>
      <c r="H26" s="13">
        <f>VLOOKUP(B26,'Base Cobertura'!$A:$C,2,FALSE)</f>
        <v>118</v>
      </c>
      <c r="I26" s="17">
        <f t="shared" si="7"/>
        <v>14.599999999999994</v>
      </c>
      <c r="J26" t="s">
        <v>58</v>
      </c>
      <c r="K26" t="s">
        <v>55</v>
      </c>
    </row>
    <row r="27" spans="1:11" x14ac:dyDescent="0.25">
      <c r="A27" s="151"/>
      <c r="B27">
        <v>40</v>
      </c>
      <c r="C27" s="12" t="str">
        <f>+AVANCE!B28</f>
        <v>40 - IBARROLA JORGE</v>
      </c>
      <c r="D27" s="22">
        <f t="shared" si="5"/>
        <v>0.51351351351351349</v>
      </c>
      <c r="E27" s="13">
        <v>68</v>
      </c>
      <c r="F27" s="12">
        <f t="shared" si="6"/>
        <v>46</v>
      </c>
      <c r="G27" s="13">
        <f>VLOOKUP(B27,'Base Cobertura'!$A:$C,3,FALSE)</f>
        <v>222</v>
      </c>
      <c r="H27" s="13">
        <f>VLOOKUP(B27,'Base Cobertura'!$A:$C,2,FALSE)</f>
        <v>114</v>
      </c>
      <c r="I27" s="17">
        <f t="shared" si="7"/>
        <v>74.699999999999989</v>
      </c>
      <c r="J27" t="s">
        <v>58</v>
      </c>
      <c r="K27" t="s">
        <v>66</v>
      </c>
    </row>
    <row r="28" spans="1:11" x14ac:dyDescent="0.25">
      <c r="A28" s="151"/>
      <c r="B28">
        <v>27</v>
      </c>
      <c r="C28" s="12" t="str">
        <f>+AVANCE!B29</f>
        <v>27 - GOMEZ ADRIÁN</v>
      </c>
      <c r="D28" s="22">
        <f t="shared" si="5"/>
        <v>0.92481203007518797</v>
      </c>
      <c r="E28" s="13">
        <v>73</v>
      </c>
      <c r="F28" s="12">
        <f t="shared" si="6"/>
        <v>50</v>
      </c>
      <c r="G28" s="13">
        <f>VLOOKUP(B28,'Base Cobertura'!$A:$C,3,FALSE)</f>
        <v>133</v>
      </c>
      <c r="H28" s="13">
        <f>VLOOKUP(B28,'Base Cobertura'!$A:$C,2,FALSE)</f>
        <v>123</v>
      </c>
      <c r="I28" s="17">
        <f t="shared" si="7"/>
        <v>-9.9500000000000028</v>
      </c>
      <c r="J28" t="s">
        <v>55</v>
      </c>
      <c r="K28" t="s">
        <v>66</v>
      </c>
    </row>
    <row r="29" spans="1:11" x14ac:dyDescent="0.25">
      <c r="A29" s="151"/>
      <c r="B29">
        <v>10</v>
      </c>
      <c r="C29" s="12" t="str">
        <f>+AVANCE!B30</f>
        <v>10 - BRITEZ EMMANUEL</v>
      </c>
      <c r="D29" s="22">
        <f t="shared" si="5"/>
        <v>0.62365591397849462</v>
      </c>
      <c r="E29" s="13">
        <v>40</v>
      </c>
      <c r="F29" s="12">
        <f t="shared" si="6"/>
        <v>76</v>
      </c>
      <c r="G29" s="13">
        <f>VLOOKUP(B29,'Base Cobertura'!$A:$C,3,FALSE)</f>
        <v>186</v>
      </c>
      <c r="H29" s="13">
        <f>VLOOKUP(B29,'Base Cobertura'!$A:$C,2,FALSE)</f>
        <v>116</v>
      </c>
      <c r="I29" s="17">
        <f t="shared" si="7"/>
        <v>42.099999999999994</v>
      </c>
      <c r="J29" t="s">
        <v>58</v>
      </c>
      <c r="K29" t="s">
        <v>66</v>
      </c>
    </row>
    <row r="30" spans="1:11" x14ac:dyDescent="0.25">
      <c r="A30" s="151"/>
      <c r="B30">
        <v>28</v>
      </c>
      <c r="C30" s="12" t="str">
        <f>+AVANCE!B31</f>
        <v>28 - GOMEZ PABLO</v>
      </c>
      <c r="D30" s="22">
        <f t="shared" si="5"/>
        <v>0.8214285714285714</v>
      </c>
      <c r="E30" s="13">
        <v>67</v>
      </c>
      <c r="F30" s="12">
        <f t="shared" si="6"/>
        <v>71</v>
      </c>
      <c r="G30" s="13">
        <f>VLOOKUP(B30,'Base Cobertura'!$A:$C,3,FALSE)</f>
        <v>168</v>
      </c>
      <c r="H30" s="13">
        <f>VLOOKUP(B30,'Base Cobertura'!$A:$C,2,FALSE)</f>
        <v>138</v>
      </c>
      <c r="I30" s="17">
        <f t="shared" si="7"/>
        <v>4.7999999999999829</v>
      </c>
      <c r="J30" t="s">
        <v>58</v>
      </c>
      <c r="K30" t="s">
        <v>66</v>
      </c>
    </row>
    <row r="31" spans="1:11" x14ac:dyDescent="0.25">
      <c r="A31" s="151"/>
      <c r="B31">
        <v>33</v>
      </c>
      <c r="C31" s="12" t="str">
        <f>+AVANCE!B32</f>
        <v>33 - NICOLAS AZULA</v>
      </c>
      <c r="D31" s="22">
        <f t="shared" si="5"/>
        <v>0.71856287425149701</v>
      </c>
      <c r="E31" s="13">
        <v>66</v>
      </c>
      <c r="F31" s="12">
        <f t="shared" si="6"/>
        <v>54</v>
      </c>
      <c r="G31" s="13">
        <f>VLOOKUP(B31,'Base Cobertura'!$A:$C,3,FALSE)</f>
        <v>167</v>
      </c>
      <c r="H31" s="13">
        <f>VLOOKUP(B31,'Base Cobertura'!$A:$C,2,FALSE)</f>
        <v>120</v>
      </c>
      <c r="I31" s="17">
        <f t="shared" si="7"/>
        <v>21.949999999999989</v>
      </c>
      <c r="J31" t="s">
        <v>58</v>
      </c>
      <c r="K31" t="s">
        <v>66</v>
      </c>
    </row>
    <row r="32" spans="1:11" x14ac:dyDescent="0.25">
      <c r="A32" s="151"/>
      <c r="B32">
        <v>37</v>
      </c>
      <c r="C32" s="12" t="str">
        <f>+AVANCE!B33</f>
        <v>37 - SALAJ EMILIO</v>
      </c>
      <c r="D32" s="22">
        <f t="shared" si="5"/>
        <v>0.41333333333333333</v>
      </c>
      <c r="E32" s="13">
        <v>82</v>
      </c>
      <c r="F32" s="12">
        <f t="shared" si="6"/>
        <v>-20</v>
      </c>
      <c r="G32" s="13">
        <f>VLOOKUP(B32,'Base Cobertura'!$A:$C,3,FALSE)</f>
        <v>150</v>
      </c>
      <c r="H32" s="13">
        <f>VLOOKUP(B32,'Base Cobertura'!$A:$C,2,FALSE)</f>
        <v>62</v>
      </c>
      <c r="I32" s="17">
        <f t="shared" si="7"/>
        <v>65.5</v>
      </c>
      <c r="J32" t="s">
        <v>55</v>
      </c>
      <c r="K32" t="s">
        <v>66</v>
      </c>
    </row>
    <row r="33" spans="1:12" x14ac:dyDescent="0.25">
      <c r="A33" s="151"/>
      <c r="B33">
        <v>24</v>
      </c>
      <c r="C33" s="12" t="str">
        <f>+AVANCE!B34</f>
        <v>24 - SOLIS EMMANUEL</v>
      </c>
      <c r="D33" s="22">
        <f t="shared" si="5"/>
        <v>0.5</v>
      </c>
      <c r="E33" s="13">
        <v>81</v>
      </c>
      <c r="F33" s="12">
        <f t="shared" si="6"/>
        <v>10</v>
      </c>
      <c r="G33" s="13">
        <f>VLOOKUP(B33,'Base Cobertura'!$A:$C,3,FALSE)</f>
        <v>182</v>
      </c>
      <c r="H33" s="13">
        <f>VLOOKUP(B33,'Base Cobertura'!$A:$C,2,FALSE)</f>
        <v>91</v>
      </c>
      <c r="I33" s="17">
        <f t="shared" si="7"/>
        <v>63.699999999999989</v>
      </c>
      <c r="J33" t="s">
        <v>58</v>
      </c>
      <c r="K33" t="s">
        <v>66</v>
      </c>
    </row>
    <row r="34" spans="1:12" x14ac:dyDescent="0.25">
      <c r="A34" s="151"/>
      <c r="B34">
        <v>7</v>
      </c>
      <c r="C34" s="12" t="str">
        <f>+AVANCE!B35</f>
        <v>7 - VALLEJOS EDUARDO</v>
      </c>
      <c r="D34" s="22">
        <f t="shared" si="5"/>
        <v>0.11206896551724138</v>
      </c>
      <c r="E34" s="13">
        <v>0</v>
      </c>
      <c r="F34" s="12">
        <f t="shared" si="6"/>
        <v>13</v>
      </c>
      <c r="G34" s="13">
        <f>VLOOKUP(B34,'Base Cobertura'!$A:$C,3,FALSE)</f>
        <v>116</v>
      </c>
      <c r="H34" s="13">
        <f>VLOOKUP(B34,'Base Cobertura'!$A:$C,2,FALSE)</f>
        <v>13</v>
      </c>
      <c r="I34" s="17">
        <f t="shared" si="7"/>
        <v>85.6</v>
      </c>
      <c r="J34" t="s">
        <v>58</v>
      </c>
    </row>
    <row r="35" spans="1:12" x14ac:dyDescent="0.25">
      <c r="A35" s="151"/>
      <c r="B35">
        <v>57</v>
      </c>
      <c r="C35" s="12" t="str">
        <f>+AVANCE!B36</f>
        <v>57 - ROUBINEAU SEBASTIAN</v>
      </c>
      <c r="D35" s="22">
        <f t="shared" si="5"/>
        <v>0.27619047619047621</v>
      </c>
      <c r="E35" s="13">
        <v>17</v>
      </c>
      <c r="F35" s="12">
        <f t="shared" si="6"/>
        <v>12</v>
      </c>
      <c r="G35" s="13">
        <f>VLOOKUP(B35,'Base Cobertura'!$A:$C,3,FALSE)</f>
        <v>105</v>
      </c>
      <c r="H35" s="13">
        <f>VLOOKUP(B35,'Base Cobertura'!$A:$C,2,FALSE)</f>
        <v>29</v>
      </c>
      <c r="I35" s="17">
        <f t="shared" si="7"/>
        <v>60.25</v>
      </c>
      <c r="J35" t="s">
        <v>59</v>
      </c>
    </row>
    <row r="36" spans="1:12" ht="15.75" thickBot="1" x14ac:dyDescent="0.3">
      <c r="A36" s="151"/>
      <c r="B36">
        <v>1</v>
      </c>
      <c r="C36" s="12" t="str">
        <f>+AVANCE!B37</f>
        <v>1 - VERA ERNESTO</v>
      </c>
      <c r="D36" s="22">
        <f t="shared" si="5"/>
        <v>0.78632478632478631</v>
      </c>
      <c r="E36" s="13">
        <v>60</v>
      </c>
      <c r="F36" s="12">
        <f t="shared" si="6"/>
        <v>32</v>
      </c>
      <c r="G36" s="13">
        <f>VLOOKUP(B36,'Base Cobertura'!$A:$C,3,FALSE)</f>
        <v>117</v>
      </c>
      <c r="H36" s="13">
        <f>VLOOKUP(B36,'Base Cobertura'!$A:$C,2,FALSE)</f>
        <v>92</v>
      </c>
      <c r="I36" s="17">
        <f t="shared" si="7"/>
        <v>7.4500000000000028</v>
      </c>
      <c r="J36" t="s">
        <v>55</v>
      </c>
      <c r="K36" t="s">
        <v>55</v>
      </c>
    </row>
    <row r="37" spans="1:12" ht="15.75" thickBot="1" x14ac:dyDescent="0.3">
      <c r="A37" s="152"/>
      <c r="C37" s="9"/>
      <c r="D37" s="23"/>
      <c r="E37" s="14"/>
      <c r="F37" s="8">
        <f>+SUM(F24:F36)</f>
        <v>427</v>
      </c>
      <c r="G37" s="8">
        <f>+SUM(G24:G36)</f>
        <v>1916</v>
      </c>
      <c r="H37" s="8">
        <f>+SUM(H24:H36)</f>
        <v>1149</v>
      </c>
      <c r="I37" s="8"/>
    </row>
    <row r="38" spans="1:12" x14ac:dyDescent="0.25">
      <c r="A38" s="150" t="s">
        <v>269</v>
      </c>
      <c r="B38">
        <v>58</v>
      </c>
      <c r="C38" t="str">
        <f>+AVANCE!B39</f>
        <v>58 - BLADIMIR LEZCANO</v>
      </c>
      <c r="D38" s="22">
        <f t="shared" ref="D38:D45" si="8">H38/G38</f>
        <v>0.25409836065573771</v>
      </c>
      <c r="E38" s="13">
        <v>60</v>
      </c>
      <c r="F38" s="12">
        <f t="shared" ref="F38:F45" si="9">+H38-E38</f>
        <v>-29</v>
      </c>
      <c r="G38" s="13">
        <f>VLOOKUP(B38,'Base Cobertura'!$A:$C,3,FALSE)</f>
        <v>122</v>
      </c>
      <c r="H38" s="13">
        <f>VLOOKUP(B38,'Base Cobertura'!$A:$C,2,FALSE)</f>
        <v>31</v>
      </c>
      <c r="I38" s="17">
        <f t="shared" ref="I38:I45" si="10">(+G38*$M$2)-H38</f>
        <v>72.7</v>
      </c>
    </row>
    <row r="39" spans="1:12" x14ac:dyDescent="0.25">
      <c r="A39" s="151"/>
      <c r="B39">
        <v>59</v>
      </c>
      <c r="C39" t="str">
        <f>+AVANCE!B40</f>
        <v>59 - LEIVA SILVIO</v>
      </c>
      <c r="D39" s="22">
        <f t="shared" si="8"/>
        <v>0.44444444444444442</v>
      </c>
      <c r="E39" s="13">
        <v>60</v>
      </c>
      <c r="F39" s="12">
        <f t="shared" si="9"/>
        <v>-4</v>
      </c>
      <c r="G39" s="13">
        <f>VLOOKUP(B39,'Base Cobertura'!$A:$C,3,FALSE)</f>
        <v>126</v>
      </c>
      <c r="H39" s="13">
        <f>VLOOKUP(B39,'Base Cobertura'!$A:$C,2,FALSE)</f>
        <v>56</v>
      </c>
      <c r="I39" s="17">
        <f t="shared" si="10"/>
        <v>51.099999999999994</v>
      </c>
    </row>
    <row r="40" spans="1:12" x14ac:dyDescent="0.25">
      <c r="A40" s="151"/>
      <c r="B40">
        <v>49</v>
      </c>
      <c r="C40" t="str">
        <f>+AVANCE!B41</f>
        <v>49 - ESCOBAR RAÚL</v>
      </c>
      <c r="D40" s="22">
        <f t="shared" si="8"/>
        <v>0.39344262295081966</v>
      </c>
      <c r="E40" s="13">
        <v>60</v>
      </c>
      <c r="F40" s="12">
        <f t="shared" si="9"/>
        <v>36</v>
      </c>
      <c r="G40" s="13">
        <f>VLOOKUP(B40,'Base Cobertura'!$A:$C,3,FALSE)</f>
        <v>244</v>
      </c>
      <c r="H40" s="13">
        <f>VLOOKUP(B40,'Base Cobertura'!$A:$C,2,FALSE)</f>
        <v>96</v>
      </c>
      <c r="I40" s="17">
        <f t="shared" si="10"/>
        <v>111.4</v>
      </c>
    </row>
    <row r="41" spans="1:12" x14ac:dyDescent="0.25">
      <c r="A41" s="151"/>
      <c r="B41">
        <v>56</v>
      </c>
      <c r="C41" t="str">
        <f>+AVANCE!B42</f>
        <v>56 - JUAN ANDRES SANCHEZ</v>
      </c>
      <c r="D41" s="22">
        <f t="shared" si="8"/>
        <v>0.43434343434343436</v>
      </c>
      <c r="E41" s="13">
        <v>60</v>
      </c>
      <c r="F41" s="12">
        <f t="shared" si="9"/>
        <v>26</v>
      </c>
      <c r="G41" s="13">
        <f>VLOOKUP(B41,'Base Cobertura'!$A:$C,3,FALSE)</f>
        <v>198</v>
      </c>
      <c r="H41" s="13">
        <f>VLOOKUP(B41,'Base Cobertura'!$A:$C,2,FALSE)</f>
        <v>86</v>
      </c>
      <c r="I41" s="17">
        <f t="shared" si="10"/>
        <v>82.299999999999983</v>
      </c>
    </row>
    <row r="42" spans="1:12" x14ac:dyDescent="0.25">
      <c r="A42" s="151"/>
      <c r="B42">
        <v>26</v>
      </c>
      <c r="C42" t="str">
        <f>+AVANCE!B43</f>
        <v>26 - PUJOL ERNESTO</v>
      </c>
      <c r="D42" s="22">
        <f t="shared" si="8"/>
        <v>0.35714285714285715</v>
      </c>
      <c r="E42" s="13">
        <v>60</v>
      </c>
      <c r="F42" s="12">
        <f t="shared" si="9"/>
        <v>0</v>
      </c>
      <c r="G42" s="13">
        <f>VLOOKUP(B42,'Base Cobertura'!$A:$C,3,FALSE)</f>
        <v>168</v>
      </c>
      <c r="H42" s="13">
        <f>VLOOKUP(B42,'Base Cobertura'!$A:$C,2,FALSE)</f>
        <v>60</v>
      </c>
      <c r="I42" s="17">
        <f t="shared" si="10"/>
        <v>82.799999999999983</v>
      </c>
    </row>
    <row r="43" spans="1:12" x14ac:dyDescent="0.25">
      <c r="A43" s="151"/>
      <c r="B43">
        <v>25</v>
      </c>
      <c r="C43" t="str">
        <f>+AVANCE!B44</f>
        <v>25 - KALATAKI GUSTAVO</v>
      </c>
      <c r="D43" s="22">
        <f t="shared" si="8"/>
        <v>0.45664739884393063</v>
      </c>
      <c r="E43" s="13">
        <v>60</v>
      </c>
      <c r="F43" s="12">
        <f t="shared" si="9"/>
        <v>19</v>
      </c>
      <c r="G43" s="13">
        <f>VLOOKUP(B43,'Base Cobertura'!$A:$C,3,FALSE)</f>
        <v>173</v>
      </c>
      <c r="H43" s="13">
        <f>VLOOKUP(B43,'Base Cobertura'!$A:$C,2,FALSE)</f>
        <v>79</v>
      </c>
      <c r="I43" s="17">
        <f t="shared" si="10"/>
        <v>68.049999999999983</v>
      </c>
    </row>
    <row r="44" spans="1:12" x14ac:dyDescent="0.25">
      <c r="A44" s="151"/>
      <c r="B44">
        <v>60</v>
      </c>
      <c r="C44" t="str">
        <f>+AVANCE!B45</f>
        <v>60 - SILVA ADRIAN</v>
      </c>
      <c r="D44" s="22">
        <f t="shared" ref="D44" si="11">H44/G44</f>
        <v>0.2857142857142857</v>
      </c>
      <c r="E44" s="13">
        <v>61</v>
      </c>
      <c r="F44" s="12">
        <f t="shared" ref="F44" si="12">+H44-E44</f>
        <v>-45</v>
      </c>
      <c r="G44" s="13">
        <f>VLOOKUP(B44,'Base Cobertura'!$A:$C,3,FALSE)</f>
        <v>56</v>
      </c>
      <c r="H44" s="13">
        <f>VLOOKUP(B44,'Base Cobertura'!$A:$C,2,FALSE)</f>
        <v>16</v>
      </c>
      <c r="I44" s="17">
        <f t="shared" ref="I44" si="13">(+G44*$M$2)-H44</f>
        <v>31.6</v>
      </c>
    </row>
    <row r="45" spans="1:12" ht="15.75" thickBot="1" x14ac:dyDescent="0.3">
      <c r="A45" s="151"/>
      <c r="B45">
        <v>43</v>
      </c>
      <c r="C45" t="str">
        <f>+AVANCE!B46</f>
        <v>43 - COLHER DIEGO</v>
      </c>
      <c r="D45" s="22">
        <f t="shared" si="8"/>
        <v>0.21505376344086022</v>
      </c>
      <c r="E45" s="13">
        <v>60</v>
      </c>
      <c r="F45" s="12">
        <f t="shared" si="9"/>
        <v>-40</v>
      </c>
      <c r="G45" s="13">
        <f>VLOOKUP(B45,'Base Cobertura'!$A:$C,3,FALSE)</f>
        <v>93</v>
      </c>
      <c r="H45" s="13">
        <f>VLOOKUP(B45,'Base Cobertura'!$A:$C,2,FALSE)</f>
        <v>20</v>
      </c>
      <c r="I45" s="17">
        <f t="shared" si="10"/>
        <v>59.05</v>
      </c>
    </row>
    <row r="46" spans="1:12" ht="15.75" thickBot="1" x14ac:dyDescent="0.3">
      <c r="A46" s="136"/>
      <c r="C46" s="9"/>
      <c r="D46" s="23"/>
      <c r="E46" s="13"/>
      <c r="F46" s="12"/>
      <c r="G46" s="8">
        <f>+SUM(G32:G45)</f>
        <v>3766</v>
      </c>
      <c r="H46" s="8">
        <f>+SUM(H32:H45)</f>
        <v>1880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9024</v>
      </c>
      <c r="H47" s="8">
        <f>+H46+H23+H37+H14</f>
        <v>5539</v>
      </c>
      <c r="I47" s="8"/>
      <c r="L47" s="1">
        <f>+H47/G47</f>
        <v>0.61380762411347523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6</v>
      </c>
      <c r="C3" s="51">
        <v>3535</v>
      </c>
      <c r="G3" t="s">
        <v>271</v>
      </c>
      <c r="H3" s="51">
        <v>5</v>
      </c>
      <c r="I3" s="51">
        <v>3535</v>
      </c>
    </row>
    <row r="4" spans="1:9" x14ac:dyDescent="0.25">
      <c r="A4">
        <v>1</v>
      </c>
      <c r="B4" s="51">
        <v>92</v>
      </c>
      <c r="C4" s="51">
        <v>117</v>
      </c>
      <c r="G4" t="s">
        <v>272</v>
      </c>
      <c r="H4">
        <v>1</v>
      </c>
      <c r="I4" s="51">
        <v>3535</v>
      </c>
    </row>
    <row r="5" spans="1:9" x14ac:dyDescent="0.25">
      <c r="A5">
        <v>10</v>
      </c>
      <c r="B5" s="51">
        <v>116</v>
      </c>
      <c r="C5" s="51">
        <v>186</v>
      </c>
      <c r="G5" t="s">
        <v>273</v>
      </c>
      <c r="H5" s="51">
        <v>3</v>
      </c>
      <c r="I5" s="51">
        <v>3535</v>
      </c>
    </row>
    <row r="6" spans="1:9" x14ac:dyDescent="0.25">
      <c r="A6">
        <v>100</v>
      </c>
      <c r="B6" s="51">
        <v>40</v>
      </c>
      <c r="C6" s="51">
        <v>2033</v>
      </c>
      <c r="G6" t="s">
        <v>274</v>
      </c>
      <c r="H6" s="51">
        <v>1</v>
      </c>
      <c r="I6" s="51">
        <v>3535</v>
      </c>
    </row>
    <row r="7" spans="1:9" x14ac:dyDescent="0.25">
      <c r="A7">
        <v>11</v>
      </c>
      <c r="B7" s="51">
        <v>128</v>
      </c>
      <c r="C7" s="51">
        <v>168</v>
      </c>
      <c r="G7" t="s">
        <v>275</v>
      </c>
      <c r="H7" s="51">
        <v>3</v>
      </c>
      <c r="I7" s="51">
        <v>3535</v>
      </c>
    </row>
    <row r="8" spans="1:9" x14ac:dyDescent="0.25">
      <c r="A8">
        <v>12</v>
      </c>
      <c r="B8" s="51">
        <v>172</v>
      </c>
      <c r="C8" s="51">
        <v>214</v>
      </c>
      <c r="G8" t="s">
        <v>276</v>
      </c>
      <c r="H8" s="51">
        <v>3</v>
      </c>
      <c r="I8" s="51">
        <v>3535</v>
      </c>
    </row>
    <row r="9" spans="1:9" x14ac:dyDescent="0.25">
      <c r="A9">
        <v>123</v>
      </c>
      <c r="B9" s="51">
        <v>32</v>
      </c>
      <c r="C9" s="51">
        <v>481</v>
      </c>
      <c r="G9" t="s">
        <v>277</v>
      </c>
      <c r="H9" s="51">
        <v>2</v>
      </c>
      <c r="I9" s="51">
        <v>3535</v>
      </c>
    </row>
    <row r="10" spans="1:9" x14ac:dyDescent="0.25">
      <c r="A10">
        <v>15</v>
      </c>
      <c r="B10" s="51">
        <v>49</v>
      </c>
      <c r="C10" s="51">
        <v>65</v>
      </c>
      <c r="G10" t="s">
        <v>278</v>
      </c>
      <c r="I10" s="51">
        <v>3535</v>
      </c>
    </row>
    <row r="11" spans="1:9" x14ac:dyDescent="0.25">
      <c r="A11">
        <v>16</v>
      </c>
      <c r="B11" s="51">
        <v>157</v>
      </c>
      <c r="C11" s="51">
        <v>199</v>
      </c>
      <c r="G11" t="s">
        <v>279</v>
      </c>
      <c r="H11" s="51"/>
      <c r="I11" s="51">
        <v>3535</v>
      </c>
    </row>
    <row r="12" spans="1:9" x14ac:dyDescent="0.25">
      <c r="A12">
        <v>18</v>
      </c>
      <c r="B12" s="51">
        <v>146</v>
      </c>
      <c r="C12" s="51">
        <v>182</v>
      </c>
      <c r="E12">
        <f>+F12</f>
        <v>1</v>
      </c>
      <c r="F12">
        <v>1</v>
      </c>
      <c r="G12" t="s">
        <v>271</v>
      </c>
      <c r="H12">
        <v>42</v>
      </c>
      <c r="I12" s="51">
        <v>117</v>
      </c>
    </row>
    <row r="13" spans="1:9" x14ac:dyDescent="0.25">
      <c r="A13">
        <v>19</v>
      </c>
      <c r="B13" s="51">
        <v>178</v>
      </c>
      <c r="C13" s="51">
        <v>208</v>
      </c>
      <c r="E13">
        <f>+$E$12</f>
        <v>1</v>
      </c>
      <c r="G13" t="s">
        <v>272</v>
      </c>
      <c r="H13" s="51">
        <v>34</v>
      </c>
      <c r="I13" s="51">
        <v>117</v>
      </c>
    </row>
    <row r="14" spans="1:9" x14ac:dyDescent="0.25">
      <c r="A14">
        <v>2</v>
      </c>
      <c r="B14" s="51">
        <v>84</v>
      </c>
      <c r="C14" s="51">
        <v>118</v>
      </c>
      <c r="E14">
        <f t="shared" ref="E14:E20" si="0">+$E$12</f>
        <v>1</v>
      </c>
      <c r="G14" t="s">
        <v>273</v>
      </c>
      <c r="H14" s="51">
        <v>48</v>
      </c>
      <c r="I14" s="51">
        <v>117</v>
      </c>
    </row>
    <row r="15" spans="1:9" x14ac:dyDescent="0.25">
      <c r="A15">
        <v>20</v>
      </c>
      <c r="B15" s="51">
        <v>203</v>
      </c>
      <c r="C15" s="51">
        <v>228</v>
      </c>
      <c r="E15">
        <f t="shared" si="0"/>
        <v>1</v>
      </c>
      <c r="G15" t="s">
        <v>274</v>
      </c>
      <c r="H15" s="51">
        <v>35</v>
      </c>
      <c r="I15" s="51">
        <v>117</v>
      </c>
    </row>
    <row r="16" spans="1:9" x14ac:dyDescent="0.25">
      <c r="A16">
        <v>21</v>
      </c>
      <c r="B16" s="51">
        <v>138</v>
      </c>
      <c r="C16" s="51">
        <v>170</v>
      </c>
      <c r="E16">
        <f t="shared" si="0"/>
        <v>1</v>
      </c>
      <c r="G16" t="s">
        <v>275</v>
      </c>
      <c r="H16" s="51">
        <v>58</v>
      </c>
      <c r="I16" s="51">
        <v>117</v>
      </c>
    </row>
    <row r="17" spans="1:9" x14ac:dyDescent="0.25">
      <c r="A17">
        <v>22</v>
      </c>
      <c r="B17" s="51">
        <v>62</v>
      </c>
      <c r="C17" s="51">
        <v>79</v>
      </c>
      <c r="E17">
        <f t="shared" si="0"/>
        <v>1</v>
      </c>
      <c r="G17" t="s">
        <v>276</v>
      </c>
      <c r="H17" s="51">
        <v>52</v>
      </c>
      <c r="I17" s="51">
        <v>117</v>
      </c>
    </row>
    <row r="18" spans="1:9" x14ac:dyDescent="0.25">
      <c r="A18">
        <v>23</v>
      </c>
      <c r="B18" s="51">
        <v>106</v>
      </c>
      <c r="C18" s="51">
        <v>155</v>
      </c>
      <c r="E18">
        <f t="shared" si="0"/>
        <v>1</v>
      </c>
      <c r="G18" t="s">
        <v>277</v>
      </c>
      <c r="H18" s="51">
        <v>24</v>
      </c>
      <c r="I18" s="51">
        <v>117</v>
      </c>
    </row>
    <row r="19" spans="1:9" x14ac:dyDescent="0.25">
      <c r="A19">
        <v>24</v>
      </c>
      <c r="B19" s="51">
        <v>91</v>
      </c>
      <c r="C19" s="51">
        <v>182</v>
      </c>
      <c r="E19">
        <f t="shared" si="0"/>
        <v>1</v>
      </c>
      <c r="G19" t="s">
        <v>278</v>
      </c>
      <c r="H19" s="51">
        <v>28</v>
      </c>
      <c r="I19" s="51">
        <v>117</v>
      </c>
    </row>
    <row r="20" spans="1:9" x14ac:dyDescent="0.25">
      <c r="A20">
        <v>25</v>
      </c>
      <c r="B20" s="51">
        <v>79</v>
      </c>
      <c r="C20" s="51">
        <v>173</v>
      </c>
      <c r="E20">
        <f t="shared" si="0"/>
        <v>1</v>
      </c>
      <c r="G20" t="s">
        <v>279</v>
      </c>
      <c r="H20">
        <v>34</v>
      </c>
      <c r="I20" s="51">
        <v>117</v>
      </c>
    </row>
    <row r="21" spans="1:9" x14ac:dyDescent="0.25">
      <c r="A21">
        <v>26</v>
      </c>
      <c r="B21" s="51">
        <v>60</v>
      </c>
      <c r="C21" s="51">
        <v>168</v>
      </c>
      <c r="E21">
        <f>+$F$21</f>
        <v>10</v>
      </c>
      <c r="F21">
        <v>10</v>
      </c>
      <c r="G21" t="s">
        <v>271</v>
      </c>
      <c r="H21" s="51">
        <v>22</v>
      </c>
      <c r="I21" s="51">
        <v>186</v>
      </c>
    </row>
    <row r="22" spans="1:9" x14ac:dyDescent="0.25">
      <c r="A22">
        <v>27</v>
      </c>
      <c r="B22" s="51">
        <v>123</v>
      </c>
      <c r="C22" s="51">
        <v>133</v>
      </c>
      <c r="E22">
        <f t="shared" ref="E22:E29" si="1">+$F$21</f>
        <v>10</v>
      </c>
      <c r="G22" t="s">
        <v>272</v>
      </c>
      <c r="H22" s="51">
        <v>14</v>
      </c>
      <c r="I22" s="51">
        <v>186</v>
      </c>
    </row>
    <row r="23" spans="1:9" x14ac:dyDescent="0.25">
      <c r="A23">
        <v>28</v>
      </c>
      <c r="B23" s="51">
        <v>138</v>
      </c>
      <c r="C23" s="51">
        <v>168</v>
      </c>
      <c r="E23">
        <f t="shared" si="1"/>
        <v>10</v>
      </c>
      <c r="G23" t="s">
        <v>273</v>
      </c>
      <c r="H23" s="51">
        <v>61</v>
      </c>
      <c r="I23" s="51">
        <v>186</v>
      </c>
    </row>
    <row r="24" spans="1:9" x14ac:dyDescent="0.25">
      <c r="A24">
        <v>3</v>
      </c>
      <c r="B24" s="51">
        <v>149</v>
      </c>
      <c r="C24" s="51">
        <v>172</v>
      </c>
      <c r="E24">
        <f t="shared" si="1"/>
        <v>10</v>
      </c>
      <c r="G24" t="s">
        <v>274</v>
      </c>
      <c r="H24" s="51">
        <v>53</v>
      </c>
      <c r="I24" s="51">
        <v>186</v>
      </c>
    </row>
    <row r="25" spans="1:9" x14ac:dyDescent="0.25">
      <c r="A25">
        <v>30</v>
      </c>
      <c r="B25" s="51">
        <v>22</v>
      </c>
      <c r="C25" s="51">
        <v>121</v>
      </c>
      <c r="E25">
        <f t="shared" si="1"/>
        <v>10</v>
      </c>
      <c r="G25" t="s">
        <v>275</v>
      </c>
      <c r="H25" s="51">
        <v>55</v>
      </c>
      <c r="I25" s="51">
        <v>186</v>
      </c>
    </row>
    <row r="26" spans="1:9" x14ac:dyDescent="0.25">
      <c r="A26">
        <v>31</v>
      </c>
      <c r="B26" s="51">
        <v>110</v>
      </c>
      <c r="C26" s="51">
        <v>163</v>
      </c>
      <c r="E26">
        <f t="shared" si="1"/>
        <v>10</v>
      </c>
      <c r="G26" t="s">
        <v>276</v>
      </c>
      <c r="H26" s="51">
        <v>37</v>
      </c>
      <c r="I26" s="51">
        <v>186</v>
      </c>
    </row>
    <row r="27" spans="1:9" x14ac:dyDescent="0.25">
      <c r="A27">
        <v>32</v>
      </c>
      <c r="B27" s="51">
        <v>38</v>
      </c>
      <c r="C27" s="51">
        <v>58</v>
      </c>
      <c r="E27">
        <f t="shared" si="1"/>
        <v>10</v>
      </c>
      <c r="G27" t="s">
        <v>277</v>
      </c>
      <c r="H27" s="51">
        <v>16</v>
      </c>
      <c r="I27" s="51">
        <v>186</v>
      </c>
    </row>
    <row r="28" spans="1:9" x14ac:dyDescent="0.25">
      <c r="A28">
        <v>33</v>
      </c>
      <c r="B28" s="51">
        <v>120</v>
      </c>
      <c r="C28" s="51">
        <v>167</v>
      </c>
      <c r="E28">
        <f t="shared" si="1"/>
        <v>10</v>
      </c>
      <c r="G28" t="s">
        <v>278</v>
      </c>
      <c r="H28" s="51">
        <v>17</v>
      </c>
      <c r="I28" s="51">
        <v>186</v>
      </c>
    </row>
    <row r="29" spans="1:9" x14ac:dyDescent="0.25">
      <c r="A29">
        <v>36</v>
      </c>
      <c r="B29" s="51">
        <v>95</v>
      </c>
      <c r="C29" s="51">
        <v>156</v>
      </c>
      <c r="E29">
        <f t="shared" si="1"/>
        <v>10</v>
      </c>
      <c r="G29" t="s">
        <v>279</v>
      </c>
      <c r="H29" s="51">
        <v>12</v>
      </c>
      <c r="I29" s="51">
        <v>186</v>
      </c>
    </row>
    <row r="30" spans="1:9" x14ac:dyDescent="0.25">
      <c r="A30">
        <v>37</v>
      </c>
      <c r="B30" s="51">
        <v>62</v>
      </c>
      <c r="C30" s="51">
        <v>150</v>
      </c>
      <c r="E30">
        <f>+$F$30</f>
        <v>100</v>
      </c>
      <c r="F30">
        <v>100</v>
      </c>
      <c r="G30" t="s">
        <v>271</v>
      </c>
      <c r="H30" s="51">
        <v>21</v>
      </c>
      <c r="I30" s="51">
        <v>2033</v>
      </c>
    </row>
    <row r="31" spans="1:9" x14ac:dyDescent="0.25">
      <c r="A31">
        <v>4</v>
      </c>
      <c r="B31" s="51">
        <v>139</v>
      </c>
      <c r="C31" s="51">
        <v>182</v>
      </c>
      <c r="E31">
        <f t="shared" ref="E31:E38" si="2">+$F$30</f>
        <v>100</v>
      </c>
      <c r="G31" t="s">
        <v>272</v>
      </c>
      <c r="H31" s="51">
        <v>19</v>
      </c>
      <c r="I31" s="51">
        <v>2033</v>
      </c>
    </row>
    <row r="32" spans="1:9" x14ac:dyDescent="0.25">
      <c r="A32">
        <v>40</v>
      </c>
      <c r="B32" s="51">
        <v>114</v>
      </c>
      <c r="C32" s="51">
        <v>222</v>
      </c>
      <c r="E32">
        <f t="shared" si="2"/>
        <v>100</v>
      </c>
      <c r="G32" t="s">
        <v>273</v>
      </c>
      <c r="H32" s="51">
        <v>18</v>
      </c>
      <c r="I32" s="51">
        <v>2033</v>
      </c>
    </row>
    <row r="33" spans="1:9" x14ac:dyDescent="0.25">
      <c r="A33">
        <v>42</v>
      </c>
      <c r="B33" s="51">
        <v>13</v>
      </c>
      <c r="C33" s="51">
        <v>52</v>
      </c>
      <c r="E33">
        <f t="shared" si="2"/>
        <v>100</v>
      </c>
      <c r="G33" t="s">
        <v>274</v>
      </c>
      <c r="H33" s="51">
        <v>14</v>
      </c>
      <c r="I33" s="51">
        <v>2033</v>
      </c>
    </row>
    <row r="34" spans="1:9" x14ac:dyDescent="0.25">
      <c r="A34">
        <v>43</v>
      </c>
      <c r="B34" s="51">
        <v>20</v>
      </c>
      <c r="C34" s="51">
        <v>93</v>
      </c>
      <c r="E34">
        <f t="shared" si="2"/>
        <v>100</v>
      </c>
      <c r="G34" t="s">
        <v>275</v>
      </c>
      <c r="H34" s="51">
        <v>22</v>
      </c>
      <c r="I34" s="51">
        <v>2033</v>
      </c>
    </row>
    <row r="35" spans="1:9" x14ac:dyDescent="0.25">
      <c r="A35">
        <v>44</v>
      </c>
      <c r="B35" s="51">
        <v>130</v>
      </c>
      <c r="C35" s="51">
        <v>175</v>
      </c>
      <c r="E35">
        <f t="shared" si="2"/>
        <v>100</v>
      </c>
      <c r="G35" t="s">
        <v>276</v>
      </c>
      <c r="H35" s="51">
        <v>18</v>
      </c>
      <c r="I35" s="51">
        <v>2033</v>
      </c>
    </row>
    <row r="36" spans="1:9" x14ac:dyDescent="0.25">
      <c r="A36">
        <v>49</v>
      </c>
      <c r="B36" s="51">
        <v>96</v>
      </c>
      <c r="C36" s="51">
        <v>244</v>
      </c>
      <c r="E36">
        <f t="shared" si="2"/>
        <v>100</v>
      </c>
      <c r="G36" t="s">
        <v>277</v>
      </c>
      <c r="H36" s="51">
        <v>18</v>
      </c>
      <c r="I36" s="51">
        <v>2033</v>
      </c>
    </row>
    <row r="37" spans="1:9" x14ac:dyDescent="0.25">
      <c r="A37">
        <v>5</v>
      </c>
      <c r="B37" s="51">
        <v>212</v>
      </c>
      <c r="C37" s="51">
        <v>261</v>
      </c>
      <c r="E37">
        <f t="shared" si="2"/>
        <v>100</v>
      </c>
      <c r="G37" t="s">
        <v>278</v>
      </c>
      <c r="H37" s="51">
        <v>9</v>
      </c>
      <c r="I37" s="51">
        <v>2033</v>
      </c>
    </row>
    <row r="38" spans="1:9" x14ac:dyDescent="0.25">
      <c r="A38">
        <v>52</v>
      </c>
      <c r="B38" s="51">
        <v>48</v>
      </c>
      <c r="C38" s="51">
        <v>104</v>
      </c>
      <c r="E38">
        <f t="shared" si="2"/>
        <v>100</v>
      </c>
      <c r="G38" t="s">
        <v>279</v>
      </c>
      <c r="H38" s="51">
        <v>3</v>
      </c>
      <c r="I38" s="51">
        <v>2033</v>
      </c>
    </row>
    <row r="39" spans="1:9" x14ac:dyDescent="0.25">
      <c r="A39">
        <v>53</v>
      </c>
      <c r="B39" s="51">
        <v>49</v>
      </c>
      <c r="C39" s="51">
        <v>105</v>
      </c>
      <c r="E39">
        <f>+$F$39</f>
        <v>11</v>
      </c>
      <c r="F39">
        <v>11</v>
      </c>
      <c r="G39" t="s">
        <v>271</v>
      </c>
      <c r="H39" s="51">
        <v>57</v>
      </c>
      <c r="I39" s="51">
        <v>168</v>
      </c>
    </row>
    <row r="40" spans="1:9" x14ac:dyDescent="0.25">
      <c r="A40">
        <v>54</v>
      </c>
      <c r="B40" s="51">
        <v>141</v>
      </c>
      <c r="C40" s="51">
        <v>199</v>
      </c>
      <c r="E40">
        <f t="shared" ref="E40:E47" si="3">+$F$39</f>
        <v>11</v>
      </c>
      <c r="G40" t="s">
        <v>272</v>
      </c>
      <c r="H40" s="51">
        <v>34</v>
      </c>
      <c r="I40" s="51">
        <v>168</v>
      </c>
    </row>
    <row r="41" spans="1:9" x14ac:dyDescent="0.25">
      <c r="A41">
        <v>56</v>
      </c>
      <c r="B41">
        <v>86</v>
      </c>
      <c r="C41" s="51">
        <v>198</v>
      </c>
      <c r="E41">
        <f t="shared" si="3"/>
        <v>11</v>
      </c>
      <c r="G41" t="s">
        <v>273</v>
      </c>
      <c r="H41" s="51">
        <v>79</v>
      </c>
      <c r="I41" s="51">
        <v>168</v>
      </c>
    </row>
    <row r="42" spans="1:9" x14ac:dyDescent="0.25">
      <c r="A42">
        <v>57</v>
      </c>
      <c r="B42" s="51">
        <v>29</v>
      </c>
      <c r="C42" s="51">
        <v>105</v>
      </c>
      <c r="E42">
        <f t="shared" si="3"/>
        <v>11</v>
      </c>
      <c r="G42" t="s">
        <v>274</v>
      </c>
      <c r="H42" s="51">
        <v>46</v>
      </c>
      <c r="I42" s="51">
        <v>168</v>
      </c>
    </row>
    <row r="43" spans="1:9" x14ac:dyDescent="0.25">
      <c r="A43">
        <v>58</v>
      </c>
      <c r="B43" s="51">
        <v>31</v>
      </c>
      <c r="C43" s="51">
        <v>122</v>
      </c>
      <c r="E43">
        <f t="shared" si="3"/>
        <v>11</v>
      </c>
      <c r="G43" t="s">
        <v>275</v>
      </c>
      <c r="H43" s="51">
        <v>93</v>
      </c>
      <c r="I43" s="51">
        <v>168</v>
      </c>
    </row>
    <row r="44" spans="1:9" x14ac:dyDescent="0.25">
      <c r="A44">
        <v>59</v>
      </c>
      <c r="B44" s="51">
        <v>56</v>
      </c>
      <c r="C44" s="51">
        <v>126</v>
      </c>
      <c r="E44">
        <f t="shared" si="3"/>
        <v>11</v>
      </c>
      <c r="G44" t="s">
        <v>276</v>
      </c>
      <c r="H44" s="51">
        <v>54</v>
      </c>
      <c r="I44" s="51">
        <v>168</v>
      </c>
    </row>
    <row r="45" spans="1:9" x14ac:dyDescent="0.25">
      <c r="A45">
        <v>60</v>
      </c>
      <c r="B45" s="51">
        <v>16</v>
      </c>
      <c r="C45" s="51">
        <v>56</v>
      </c>
      <c r="E45">
        <f t="shared" si="3"/>
        <v>11</v>
      </c>
      <c r="G45" t="s">
        <v>277</v>
      </c>
      <c r="H45" s="51">
        <v>13</v>
      </c>
      <c r="I45" s="51">
        <v>168</v>
      </c>
    </row>
    <row r="46" spans="1:9" x14ac:dyDescent="0.25">
      <c r="A46">
        <v>7</v>
      </c>
      <c r="B46" s="51">
        <v>13</v>
      </c>
      <c r="C46" s="51">
        <v>116</v>
      </c>
      <c r="E46">
        <f t="shared" si="3"/>
        <v>11</v>
      </c>
      <c r="G46" t="s">
        <v>278</v>
      </c>
      <c r="H46" s="51">
        <v>21</v>
      </c>
      <c r="I46" s="51">
        <v>168</v>
      </c>
    </row>
    <row r="47" spans="1:9" x14ac:dyDescent="0.25">
      <c r="A47">
        <v>8</v>
      </c>
      <c r="B47" s="51">
        <v>109</v>
      </c>
      <c r="C47" s="51">
        <v>195</v>
      </c>
      <c r="E47">
        <f t="shared" si="3"/>
        <v>11</v>
      </c>
      <c r="G47" t="s">
        <v>279</v>
      </c>
      <c r="H47" s="51">
        <v>19</v>
      </c>
      <c r="I47" s="51">
        <v>168</v>
      </c>
    </row>
    <row r="48" spans="1:9" x14ac:dyDescent="0.25">
      <c r="A48">
        <v>9</v>
      </c>
      <c r="B48" s="51">
        <v>118</v>
      </c>
      <c r="C48" s="51">
        <v>156</v>
      </c>
      <c r="E48">
        <f>+$F$48</f>
        <v>12</v>
      </c>
      <c r="F48">
        <v>12</v>
      </c>
      <c r="G48" t="s">
        <v>271</v>
      </c>
      <c r="H48" s="51">
        <v>61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272</v>
      </c>
      <c r="H49" s="51">
        <v>64</v>
      </c>
      <c r="I49" s="51">
        <v>214</v>
      </c>
    </row>
    <row r="50" spans="2:9" x14ac:dyDescent="0.25">
      <c r="E50">
        <f t="shared" si="4"/>
        <v>12</v>
      </c>
      <c r="G50" t="s">
        <v>273</v>
      </c>
      <c r="H50" s="51">
        <v>67</v>
      </c>
      <c r="I50" s="51">
        <v>214</v>
      </c>
    </row>
    <row r="51" spans="2:9" x14ac:dyDescent="0.25">
      <c r="E51">
        <f t="shared" si="4"/>
        <v>12</v>
      </c>
      <c r="G51" t="s">
        <v>274</v>
      </c>
      <c r="H51" s="51">
        <v>61</v>
      </c>
      <c r="I51" s="51">
        <v>214</v>
      </c>
    </row>
    <row r="52" spans="2:9" x14ac:dyDescent="0.25">
      <c r="E52">
        <f t="shared" si="4"/>
        <v>12</v>
      </c>
      <c r="G52" t="s">
        <v>275</v>
      </c>
      <c r="H52" s="51">
        <v>92</v>
      </c>
      <c r="I52" s="51">
        <v>214</v>
      </c>
    </row>
    <row r="53" spans="2:9" x14ac:dyDescent="0.25">
      <c r="E53">
        <f t="shared" si="4"/>
        <v>12</v>
      </c>
      <c r="G53" t="s">
        <v>276</v>
      </c>
      <c r="H53" s="51">
        <v>69</v>
      </c>
      <c r="I53" s="51">
        <v>214</v>
      </c>
    </row>
    <row r="54" spans="2:9" x14ac:dyDescent="0.25">
      <c r="E54">
        <f t="shared" si="4"/>
        <v>12</v>
      </c>
      <c r="G54" t="s">
        <v>277</v>
      </c>
      <c r="H54" s="51">
        <v>21</v>
      </c>
      <c r="I54" s="51">
        <v>214</v>
      </c>
    </row>
    <row r="55" spans="2:9" x14ac:dyDescent="0.25">
      <c r="E55">
        <f t="shared" si="4"/>
        <v>12</v>
      </c>
      <c r="G55" t="s">
        <v>278</v>
      </c>
      <c r="H55" s="51">
        <v>34</v>
      </c>
      <c r="I55" s="51">
        <v>214</v>
      </c>
    </row>
    <row r="56" spans="2:9" x14ac:dyDescent="0.25">
      <c r="E56">
        <f t="shared" si="4"/>
        <v>12</v>
      </c>
      <c r="G56" t="s">
        <v>279</v>
      </c>
      <c r="H56" s="51">
        <v>37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271</v>
      </c>
      <c r="H57" s="51">
        <v>20</v>
      </c>
      <c r="I57" s="51">
        <v>481</v>
      </c>
    </row>
    <row r="58" spans="2:9" x14ac:dyDescent="0.25">
      <c r="E58">
        <f t="shared" ref="E58:E65" si="5">+$F$57</f>
        <v>123</v>
      </c>
      <c r="G58" t="s">
        <v>272</v>
      </c>
      <c r="H58" s="51">
        <v>22</v>
      </c>
      <c r="I58" s="51">
        <v>481</v>
      </c>
    </row>
    <row r="59" spans="2:9" x14ac:dyDescent="0.25">
      <c r="E59">
        <f t="shared" si="5"/>
        <v>123</v>
      </c>
      <c r="G59" t="s">
        <v>273</v>
      </c>
      <c r="H59" s="51">
        <v>19</v>
      </c>
      <c r="I59" s="51">
        <v>481</v>
      </c>
    </row>
    <row r="60" spans="2:9" x14ac:dyDescent="0.25">
      <c r="E60">
        <f t="shared" si="5"/>
        <v>123</v>
      </c>
      <c r="G60" t="s">
        <v>274</v>
      </c>
      <c r="H60" s="51">
        <v>15</v>
      </c>
      <c r="I60" s="51">
        <v>481</v>
      </c>
    </row>
    <row r="61" spans="2:9" x14ac:dyDescent="0.25">
      <c r="E61">
        <f t="shared" si="5"/>
        <v>123</v>
      </c>
      <c r="G61" t="s">
        <v>275</v>
      </c>
      <c r="H61" s="51">
        <v>21</v>
      </c>
      <c r="I61" s="51">
        <v>481</v>
      </c>
    </row>
    <row r="62" spans="2:9" x14ac:dyDescent="0.25">
      <c r="E62">
        <f t="shared" si="5"/>
        <v>123</v>
      </c>
      <c r="G62" t="s">
        <v>276</v>
      </c>
      <c r="H62" s="51">
        <v>14</v>
      </c>
      <c r="I62" s="51">
        <v>481</v>
      </c>
    </row>
    <row r="63" spans="2:9" x14ac:dyDescent="0.25">
      <c r="E63">
        <f t="shared" si="5"/>
        <v>123</v>
      </c>
      <c r="G63" t="s">
        <v>277</v>
      </c>
      <c r="H63" s="51">
        <v>12</v>
      </c>
      <c r="I63" s="51">
        <v>481</v>
      </c>
    </row>
    <row r="64" spans="2:9" x14ac:dyDescent="0.25">
      <c r="E64">
        <f t="shared" si="5"/>
        <v>123</v>
      </c>
      <c r="G64" t="s">
        <v>278</v>
      </c>
      <c r="H64" s="51">
        <v>6</v>
      </c>
      <c r="I64" s="51">
        <v>481</v>
      </c>
    </row>
    <row r="65" spans="5:9" x14ac:dyDescent="0.25">
      <c r="E65">
        <f t="shared" si="5"/>
        <v>123</v>
      </c>
      <c r="G65" t="s">
        <v>279</v>
      </c>
      <c r="H65" s="51">
        <v>6</v>
      </c>
      <c r="I65" s="51">
        <v>481</v>
      </c>
    </row>
    <row r="66" spans="5:9" x14ac:dyDescent="0.25">
      <c r="E66">
        <f>+$F$66</f>
        <v>15</v>
      </c>
      <c r="F66">
        <v>15</v>
      </c>
      <c r="G66" t="s">
        <v>271</v>
      </c>
      <c r="H66" s="51">
        <v>31</v>
      </c>
      <c r="I66" s="51">
        <v>65</v>
      </c>
    </row>
    <row r="67" spans="5:9" x14ac:dyDescent="0.25">
      <c r="E67">
        <f t="shared" ref="E67:E74" si="6">+$F$66</f>
        <v>15</v>
      </c>
      <c r="G67" t="s">
        <v>272</v>
      </c>
      <c r="H67" s="51">
        <v>9</v>
      </c>
      <c r="I67" s="51">
        <v>65</v>
      </c>
    </row>
    <row r="68" spans="5:9" x14ac:dyDescent="0.25">
      <c r="E68">
        <f t="shared" si="6"/>
        <v>15</v>
      </c>
      <c r="G68" t="s">
        <v>273</v>
      </c>
      <c r="H68" s="51">
        <v>27</v>
      </c>
      <c r="I68" s="51">
        <v>65</v>
      </c>
    </row>
    <row r="69" spans="5:9" x14ac:dyDescent="0.25">
      <c r="E69">
        <f t="shared" si="6"/>
        <v>15</v>
      </c>
      <c r="G69" t="s">
        <v>274</v>
      </c>
      <c r="H69" s="51">
        <v>20</v>
      </c>
      <c r="I69" s="51">
        <v>65</v>
      </c>
    </row>
    <row r="70" spans="5:9" x14ac:dyDescent="0.25">
      <c r="E70">
        <f t="shared" si="6"/>
        <v>15</v>
      </c>
      <c r="G70" t="s">
        <v>275</v>
      </c>
      <c r="H70" s="51">
        <v>37</v>
      </c>
      <c r="I70" s="51">
        <v>65</v>
      </c>
    </row>
    <row r="71" spans="5:9" x14ac:dyDescent="0.25">
      <c r="E71">
        <f t="shared" si="6"/>
        <v>15</v>
      </c>
      <c r="G71" t="s">
        <v>276</v>
      </c>
      <c r="H71" s="51">
        <v>18</v>
      </c>
      <c r="I71" s="51">
        <v>65</v>
      </c>
    </row>
    <row r="72" spans="5:9" x14ac:dyDescent="0.25">
      <c r="E72">
        <f t="shared" si="6"/>
        <v>15</v>
      </c>
      <c r="G72" t="s">
        <v>277</v>
      </c>
      <c r="H72" s="51">
        <v>19</v>
      </c>
      <c r="I72" s="51">
        <v>65</v>
      </c>
    </row>
    <row r="73" spans="5:9" x14ac:dyDescent="0.25">
      <c r="E73">
        <f t="shared" si="6"/>
        <v>15</v>
      </c>
      <c r="G73" t="s">
        <v>278</v>
      </c>
      <c r="H73" s="51">
        <v>10</v>
      </c>
      <c r="I73" s="51">
        <v>65</v>
      </c>
    </row>
    <row r="74" spans="5:9" x14ac:dyDescent="0.25">
      <c r="E74">
        <f t="shared" si="6"/>
        <v>15</v>
      </c>
      <c r="G74" t="s">
        <v>279</v>
      </c>
      <c r="H74" s="51">
        <v>13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271</v>
      </c>
      <c r="H75" s="51">
        <v>40</v>
      </c>
      <c r="I75" s="51">
        <v>199</v>
      </c>
    </row>
    <row r="76" spans="5:9" x14ac:dyDescent="0.25">
      <c r="E76">
        <f t="shared" ref="E76:E83" si="7">+$F$75</f>
        <v>16</v>
      </c>
      <c r="G76" t="s">
        <v>272</v>
      </c>
      <c r="H76">
        <v>36</v>
      </c>
      <c r="I76" s="51">
        <v>199</v>
      </c>
    </row>
    <row r="77" spans="5:9" x14ac:dyDescent="0.25">
      <c r="E77">
        <f t="shared" si="7"/>
        <v>16</v>
      </c>
      <c r="G77" t="s">
        <v>273</v>
      </c>
      <c r="H77" s="51">
        <v>77</v>
      </c>
      <c r="I77" s="51">
        <v>199</v>
      </c>
    </row>
    <row r="78" spans="5:9" x14ac:dyDescent="0.25">
      <c r="E78">
        <f t="shared" si="7"/>
        <v>16</v>
      </c>
      <c r="G78" t="s">
        <v>274</v>
      </c>
      <c r="H78" s="51">
        <v>51</v>
      </c>
      <c r="I78" s="51">
        <v>199</v>
      </c>
    </row>
    <row r="79" spans="5:9" x14ac:dyDescent="0.25">
      <c r="E79">
        <f t="shared" si="7"/>
        <v>16</v>
      </c>
      <c r="G79" t="s">
        <v>275</v>
      </c>
      <c r="H79" s="51">
        <v>92</v>
      </c>
      <c r="I79" s="51">
        <v>199</v>
      </c>
    </row>
    <row r="80" spans="5:9" x14ac:dyDescent="0.25">
      <c r="E80">
        <f t="shared" si="7"/>
        <v>16</v>
      </c>
      <c r="G80" t="s">
        <v>276</v>
      </c>
      <c r="H80" s="51">
        <v>65</v>
      </c>
      <c r="I80" s="51">
        <v>199</v>
      </c>
    </row>
    <row r="81" spans="5:9" x14ac:dyDescent="0.25">
      <c r="E81">
        <f t="shared" si="7"/>
        <v>16</v>
      </c>
      <c r="G81" t="s">
        <v>277</v>
      </c>
      <c r="H81" s="51">
        <v>12</v>
      </c>
      <c r="I81" s="51">
        <v>199</v>
      </c>
    </row>
    <row r="82" spans="5:9" x14ac:dyDescent="0.25">
      <c r="E82">
        <f t="shared" si="7"/>
        <v>16</v>
      </c>
      <c r="G82" t="s">
        <v>278</v>
      </c>
      <c r="H82" s="51">
        <v>39</v>
      </c>
      <c r="I82" s="51">
        <v>199</v>
      </c>
    </row>
    <row r="83" spans="5:9" x14ac:dyDescent="0.25">
      <c r="E83">
        <f t="shared" si="7"/>
        <v>16</v>
      </c>
      <c r="G83" t="s">
        <v>279</v>
      </c>
      <c r="H83" s="51">
        <v>24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271</v>
      </c>
      <c r="H84" s="51">
        <v>49</v>
      </c>
      <c r="I84" s="51">
        <v>182</v>
      </c>
    </row>
    <row r="85" spans="5:9" x14ac:dyDescent="0.25">
      <c r="E85">
        <f t="shared" ref="E85:E92" si="8">+$F$84</f>
        <v>18</v>
      </c>
      <c r="G85" t="s">
        <v>272</v>
      </c>
      <c r="H85" s="51">
        <v>48</v>
      </c>
      <c r="I85" s="51">
        <v>182</v>
      </c>
    </row>
    <row r="86" spans="5:9" x14ac:dyDescent="0.25">
      <c r="E86">
        <f t="shared" si="8"/>
        <v>18</v>
      </c>
      <c r="G86" t="s">
        <v>273</v>
      </c>
      <c r="H86" s="51">
        <v>62</v>
      </c>
      <c r="I86" s="51">
        <v>182</v>
      </c>
    </row>
    <row r="87" spans="5:9" x14ac:dyDescent="0.25">
      <c r="E87">
        <f t="shared" si="8"/>
        <v>18</v>
      </c>
      <c r="G87" t="s">
        <v>274</v>
      </c>
      <c r="H87" s="51">
        <v>60</v>
      </c>
      <c r="I87" s="51">
        <v>182</v>
      </c>
    </row>
    <row r="88" spans="5:9" x14ac:dyDescent="0.25">
      <c r="E88">
        <f t="shared" si="8"/>
        <v>18</v>
      </c>
      <c r="G88" t="s">
        <v>275</v>
      </c>
      <c r="H88" s="51">
        <v>106</v>
      </c>
      <c r="I88" s="51">
        <v>182</v>
      </c>
    </row>
    <row r="89" spans="5:9" x14ac:dyDescent="0.25">
      <c r="E89">
        <f t="shared" si="8"/>
        <v>18</v>
      </c>
      <c r="G89" t="s">
        <v>276</v>
      </c>
      <c r="H89" s="51">
        <v>76</v>
      </c>
      <c r="I89" s="51">
        <v>182</v>
      </c>
    </row>
    <row r="90" spans="5:9" x14ac:dyDescent="0.25">
      <c r="E90">
        <f t="shared" si="8"/>
        <v>18</v>
      </c>
      <c r="G90" t="s">
        <v>277</v>
      </c>
      <c r="H90" s="51">
        <v>17</v>
      </c>
      <c r="I90" s="51">
        <v>182</v>
      </c>
    </row>
    <row r="91" spans="5:9" x14ac:dyDescent="0.25">
      <c r="E91">
        <f t="shared" si="8"/>
        <v>18</v>
      </c>
      <c r="G91" t="s">
        <v>278</v>
      </c>
      <c r="H91" s="51">
        <v>36</v>
      </c>
      <c r="I91" s="51">
        <v>182</v>
      </c>
    </row>
    <row r="92" spans="5:9" x14ac:dyDescent="0.25">
      <c r="E92">
        <f t="shared" si="8"/>
        <v>18</v>
      </c>
      <c r="G92" t="s">
        <v>279</v>
      </c>
      <c r="H92" s="51">
        <v>47</v>
      </c>
      <c r="I92" s="51">
        <v>182</v>
      </c>
    </row>
    <row r="93" spans="5:9" x14ac:dyDescent="0.25">
      <c r="E93">
        <f>+$F$93</f>
        <v>19</v>
      </c>
      <c r="F93">
        <v>19</v>
      </c>
      <c r="G93" t="s">
        <v>271</v>
      </c>
      <c r="H93" s="51">
        <v>51</v>
      </c>
      <c r="I93" s="51">
        <v>208</v>
      </c>
    </row>
    <row r="94" spans="5:9" x14ac:dyDescent="0.25">
      <c r="E94">
        <f t="shared" ref="E94:E101" si="9">+$F$93</f>
        <v>19</v>
      </c>
      <c r="G94" t="s">
        <v>272</v>
      </c>
      <c r="H94" s="51">
        <v>46</v>
      </c>
      <c r="I94" s="51">
        <v>208</v>
      </c>
    </row>
    <row r="95" spans="5:9" x14ac:dyDescent="0.25">
      <c r="E95">
        <f t="shared" si="9"/>
        <v>19</v>
      </c>
      <c r="G95" t="s">
        <v>273</v>
      </c>
      <c r="H95" s="51">
        <v>85</v>
      </c>
      <c r="I95" s="51">
        <v>208</v>
      </c>
    </row>
    <row r="96" spans="5:9" x14ac:dyDescent="0.25">
      <c r="E96">
        <f t="shared" si="9"/>
        <v>19</v>
      </c>
      <c r="G96" t="s">
        <v>274</v>
      </c>
      <c r="H96" s="51">
        <v>69</v>
      </c>
      <c r="I96" s="51">
        <v>208</v>
      </c>
    </row>
    <row r="97" spans="5:9" x14ac:dyDescent="0.25">
      <c r="E97">
        <f t="shared" si="9"/>
        <v>19</v>
      </c>
      <c r="G97" t="s">
        <v>275</v>
      </c>
      <c r="H97" s="51">
        <v>111</v>
      </c>
      <c r="I97" s="51">
        <v>208</v>
      </c>
    </row>
    <row r="98" spans="5:9" x14ac:dyDescent="0.25">
      <c r="E98">
        <f t="shared" si="9"/>
        <v>19</v>
      </c>
      <c r="G98" t="s">
        <v>276</v>
      </c>
      <c r="H98" s="51">
        <v>85</v>
      </c>
      <c r="I98" s="51">
        <v>208</v>
      </c>
    </row>
    <row r="99" spans="5:9" x14ac:dyDescent="0.25">
      <c r="E99">
        <f t="shared" si="9"/>
        <v>19</v>
      </c>
      <c r="G99" t="s">
        <v>277</v>
      </c>
      <c r="H99" s="51">
        <v>13</v>
      </c>
      <c r="I99" s="51">
        <v>208</v>
      </c>
    </row>
    <row r="100" spans="5:9" x14ac:dyDescent="0.25">
      <c r="E100">
        <f t="shared" si="9"/>
        <v>19</v>
      </c>
      <c r="G100" t="s">
        <v>278</v>
      </c>
      <c r="H100" s="51">
        <v>37</v>
      </c>
      <c r="I100" s="51">
        <v>208</v>
      </c>
    </row>
    <row r="101" spans="5:9" x14ac:dyDescent="0.25">
      <c r="E101">
        <f t="shared" si="9"/>
        <v>19</v>
      </c>
      <c r="G101" t="s">
        <v>279</v>
      </c>
      <c r="H101" s="51">
        <v>40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271</v>
      </c>
      <c r="H102" s="51">
        <v>24</v>
      </c>
      <c r="I102" s="51">
        <v>118</v>
      </c>
    </row>
    <row r="103" spans="5:9" x14ac:dyDescent="0.25">
      <c r="E103">
        <f t="shared" ref="E103:E110" si="10">+$F$102</f>
        <v>2</v>
      </c>
      <c r="G103" t="s">
        <v>272</v>
      </c>
      <c r="H103" s="51">
        <v>13</v>
      </c>
      <c r="I103" s="51">
        <v>118</v>
      </c>
    </row>
    <row r="104" spans="5:9" x14ac:dyDescent="0.25">
      <c r="E104">
        <f t="shared" si="10"/>
        <v>2</v>
      </c>
      <c r="G104" t="s">
        <v>273</v>
      </c>
      <c r="H104" s="51">
        <v>39</v>
      </c>
      <c r="I104" s="51">
        <v>118</v>
      </c>
    </row>
    <row r="105" spans="5:9" x14ac:dyDescent="0.25">
      <c r="E105">
        <f t="shared" si="10"/>
        <v>2</v>
      </c>
      <c r="G105" t="s">
        <v>274</v>
      </c>
      <c r="H105" s="51">
        <v>39</v>
      </c>
      <c r="I105" s="51">
        <v>118</v>
      </c>
    </row>
    <row r="106" spans="5:9" x14ac:dyDescent="0.25">
      <c r="E106">
        <f t="shared" si="10"/>
        <v>2</v>
      </c>
      <c r="G106" t="s">
        <v>275</v>
      </c>
      <c r="H106" s="51">
        <v>53</v>
      </c>
      <c r="I106" s="51">
        <v>118</v>
      </c>
    </row>
    <row r="107" spans="5:9" x14ac:dyDescent="0.25">
      <c r="E107">
        <f t="shared" si="10"/>
        <v>2</v>
      </c>
      <c r="G107" t="s">
        <v>276</v>
      </c>
      <c r="H107" s="51">
        <v>32</v>
      </c>
      <c r="I107" s="51">
        <v>118</v>
      </c>
    </row>
    <row r="108" spans="5:9" x14ac:dyDescent="0.25">
      <c r="E108">
        <f t="shared" si="10"/>
        <v>2</v>
      </c>
      <c r="G108" t="s">
        <v>277</v>
      </c>
      <c r="H108" s="51">
        <v>16</v>
      </c>
      <c r="I108" s="51">
        <v>118</v>
      </c>
    </row>
    <row r="109" spans="5:9" x14ac:dyDescent="0.25">
      <c r="E109">
        <f t="shared" si="10"/>
        <v>2</v>
      </c>
      <c r="G109" t="s">
        <v>278</v>
      </c>
      <c r="H109" s="51">
        <v>14</v>
      </c>
      <c r="I109" s="51">
        <v>118</v>
      </c>
    </row>
    <row r="110" spans="5:9" x14ac:dyDescent="0.25">
      <c r="E110">
        <f t="shared" si="10"/>
        <v>2</v>
      </c>
      <c r="G110" t="s">
        <v>279</v>
      </c>
      <c r="H110" s="51">
        <v>21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271</v>
      </c>
      <c r="H111" s="51">
        <v>61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272</v>
      </c>
      <c r="H112" s="51">
        <v>52</v>
      </c>
      <c r="I112" s="51">
        <v>228</v>
      </c>
    </row>
    <row r="113" spans="5:9" x14ac:dyDescent="0.25">
      <c r="E113">
        <f t="shared" si="11"/>
        <v>20</v>
      </c>
      <c r="G113" t="s">
        <v>273</v>
      </c>
      <c r="H113" s="51">
        <v>121</v>
      </c>
      <c r="I113" s="51">
        <v>228</v>
      </c>
    </row>
    <row r="114" spans="5:9" x14ac:dyDescent="0.25">
      <c r="E114">
        <f t="shared" si="11"/>
        <v>20</v>
      </c>
      <c r="G114" t="s">
        <v>274</v>
      </c>
      <c r="H114" s="51">
        <v>80</v>
      </c>
      <c r="I114" s="51">
        <v>228</v>
      </c>
    </row>
    <row r="115" spans="5:9" x14ac:dyDescent="0.25">
      <c r="E115">
        <f t="shared" si="11"/>
        <v>20</v>
      </c>
      <c r="G115" t="s">
        <v>275</v>
      </c>
      <c r="H115" s="51">
        <v>135</v>
      </c>
      <c r="I115" s="51">
        <v>228</v>
      </c>
    </row>
    <row r="116" spans="5:9" x14ac:dyDescent="0.25">
      <c r="E116">
        <f t="shared" si="11"/>
        <v>20</v>
      </c>
      <c r="G116" t="s">
        <v>276</v>
      </c>
      <c r="H116">
        <v>86</v>
      </c>
      <c r="I116" s="51">
        <v>228</v>
      </c>
    </row>
    <row r="117" spans="5:9" x14ac:dyDescent="0.25">
      <c r="E117">
        <f t="shared" si="11"/>
        <v>20</v>
      </c>
      <c r="G117" t="s">
        <v>277</v>
      </c>
      <c r="H117" s="51">
        <v>14</v>
      </c>
      <c r="I117" s="51">
        <v>228</v>
      </c>
    </row>
    <row r="118" spans="5:9" x14ac:dyDescent="0.25">
      <c r="E118">
        <f t="shared" si="11"/>
        <v>20</v>
      </c>
      <c r="G118" t="s">
        <v>278</v>
      </c>
      <c r="H118" s="51">
        <v>38</v>
      </c>
      <c r="I118" s="51">
        <v>228</v>
      </c>
    </row>
    <row r="119" spans="5:9" x14ac:dyDescent="0.25">
      <c r="E119">
        <f t="shared" si="11"/>
        <v>20</v>
      </c>
      <c r="G119" t="s">
        <v>279</v>
      </c>
      <c r="H119" s="51">
        <v>37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271</v>
      </c>
      <c r="H120" s="51">
        <v>53</v>
      </c>
      <c r="I120" s="51">
        <v>170</v>
      </c>
    </row>
    <row r="121" spans="5:9" x14ac:dyDescent="0.25">
      <c r="E121">
        <f t="shared" ref="E121:E128" si="12">+$F$120</f>
        <v>21</v>
      </c>
      <c r="G121" t="s">
        <v>272</v>
      </c>
      <c r="H121" s="51">
        <v>47</v>
      </c>
      <c r="I121" s="51">
        <v>170</v>
      </c>
    </row>
    <row r="122" spans="5:9" x14ac:dyDescent="0.25">
      <c r="E122">
        <f t="shared" si="12"/>
        <v>21</v>
      </c>
      <c r="G122" t="s">
        <v>273</v>
      </c>
      <c r="H122" s="51">
        <v>88</v>
      </c>
      <c r="I122" s="51">
        <v>170</v>
      </c>
    </row>
    <row r="123" spans="5:9" x14ac:dyDescent="0.25">
      <c r="E123">
        <f t="shared" si="12"/>
        <v>21</v>
      </c>
      <c r="G123" t="s">
        <v>274</v>
      </c>
      <c r="H123" s="51">
        <v>59</v>
      </c>
      <c r="I123" s="51">
        <v>170</v>
      </c>
    </row>
    <row r="124" spans="5:9" x14ac:dyDescent="0.25">
      <c r="E124">
        <f t="shared" si="12"/>
        <v>21</v>
      </c>
      <c r="G124" t="s">
        <v>275</v>
      </c>
      <c r="H124">
        <v>122</v>
      </c>
      <c r="I124" s="51">
        <v>170</v>
      </c>
    </row>
    <row r="125" spans="5:9" x14ac:dyDescent="0.25">
      <c r="E125">
        <f t="shared" si="12"/>
        <v>21</v>
      </c>
      <c r="G125" t="s">
        <v>276</v>
      </c>
      <c r="H125" s="51">
        <v>83</v>
      </c>
      <c r="I125" s="51">
        <v>170</v>
      </c>
    </row>
    <row r="126" spans="5:9" x14ac:dyDescent="0.25">
      <c r="E126">
        <f t="shared" si="12"/>
        <v>21</v>
      </c>
      <c r="G126" t="s">
        <v>277</v>
      </c>
      <c r="H126" s="51">
        <v>20</v>
      </c>
      <c r="I126" s="51">
        <v>170</v>
      </c>
    </row>
    <row r="127" spans="5:9" x14ac:dyDescent="0.25">
      <c r="E127">
        <f t="shared" si="12"/>
        <v>21</v>
      </c>
      <c r="G127" t="s">
        <v>278</v>
      </c>
      <c r="H127" s="51">
        <v>21</v>
      </c>
      <c r="I127" s="51">
        <v>170</v>
      </c>
    </row>
    <row r="128" spans="5:9" x14ac:dyDescent="0.25">
      <c r="E128">
        <f t="shared" si="12"/>
        <v>21</v>
      </c>
      <c r="G128" t="s">
        <v>279</v>
      </c>
      <c r="H128" s="51">
        <v>23</v>
      </c>
      <c r="I128" s="51">
        <v>170</v>
      </c>
    </row>
    <row r="129" spans="5:9" x14ac:dyDescent="0.25">
      <c r="E129">
        <f>+$F$129</f>
        <v>22</v>
      </c>
      <c r="F129">
        <v>22</v>
      </c>
      <c r="G129" t="s">
        <v>271</v>
      </c>
      <c r="H129" s="51">
        <v>48</v>
      </c>
      <c r="I129" s="51">
        <v>79</v>
      </c>
    </row>
    <row r="130" spans="5:9" x14ac:dyDescent="0.25">
      <c r="E130">
        <f t="shared" ref="E130:E137" si="13">+$F$129</f>
        <v>22</v>
      </c>
      <c r="G130" t="s">
        <v>272</v>
      </c>
      <c r="H130" s="51">
        <v>40</v>
      </c>
      <c r="I130" s="51">
        <v>79</v>
      </c>
    </row>
    <row r="131" spans="5:9" x14ac:dyDescent="0.25">
      <c r="E131">
        <f t="shared" si="13"/>
        <v>22</v>
      </c>
      <c r="G131" t="s">
        <v>273</v>
      </c>
      <c r="H131" s="51">
        <v>33</v>
      </c>
      <c r="I131" s="51">
        <v>79</v>
      </c>
    </row>
    <row r="132" spans="5:9" x14ac:dyDescent="0.25">
      <c r="E132">
        <f t="shared" si="13"/>
        <v>22</v>
      </c>
      <c r="G132" t="s">
        <v>274</v>
      </c>
      <c r="H132" s="51">
        <v>41</v>
      </c>
      <c r="I132" s="51">
        <v>79</v>
      </c>
    </row>
    <row r="133" spans="5:9" x14ac:dyDescent="0.25">
      <c r="E133">
        <f t="shared" si="13"/>
        <v>22</v>
      </c>
      <c r="G133" t="s">
        <v>275</v>
      </c>
      <c r="H133" s="51">
        <v>50</v>
      </c>
      <c r="I133" s="51">
        <v>79</v>
      </c>
    </row>
    <row r="134" spans="5:9" x14ac:dyDescent="0.25">
      <c r="E134">
        <f t="shared" si="13"/>
        <v>22</v>
      </c>
      <c r="G134" t="s">
        <v>276</v>
      </c>
      <c r="H134" s="51">
        <v>41</v>
      </c>
      <c r="I134" s="51">
        <v>79</v>
      </c>
    </row>
    <row r="135" spans="5:9" x14ac:dyDescent="0.25">
      <c r="E135">
        <f t="shared" si="13"/>
        <v>22</v>
      </c>
      <c r="G135" t="s">
        <v>277</v>
      </c>
      <c r="H135" s="51">
        <v>46</v>
      </c>
      <c r="I135" s="51">
        <v>79</v>
      </c>
    </row>
    <row r="136" spans="5:9" x14ac:dyDescent="0.25">
      <c r="E136">
        <f t="shared" si="13"/>
        <v>22</v>
      </c>
      <c r="G136" t="s">
        <v>278</v>
      </c>
      <c r="H136" s="51">
        <v>31</v>
      </c>
      <c r="I136" s="51">
        <v>79</v>
      </c>
    </row>
    <row r="137" spans="5:9" x14ac:dyDescent="0.25">
      <c r="E137">
        <f t="shared" si="13"/>
        <v>22</v>
      </c>
      <c r="G137" t="s">
        <v>279</v>
      </c>
      <c r="H137" s="51">
        <v>37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271</v>
      </c>
      <c r="H138" s="51">
        <v>36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272</v>
      </c>
      <c r="H139" s="51">
        <v>27</v>
      </c>
      <c r="I139" s="51">
        <v>155</v>
      </c>
    </row>
    <row r="140" spans="5:9" x14ac:dyDescent="0.25">
      <c r="E140">
        <f t="shared" si="14"/>
        <v>23</v>
      </c>
      <c r="G140" t="s">
        <v>273</v>
      </c>
      <c r="H140">
        <v>51</v>
      </c>
      <c r="I140" s="51">
        <v>155</v>
      </c>
    </row>
    <row r="141" spans="5:9" x14ac:dyDescent="0.25">
      <c r="E141">
        <f t="shared" si="14"/>
        <v>23</v>
      </c>
      <c r="G141" t="s">
        <v>274</v>
      </c>
      <c r="H141" s="51">
        <v>36</v>
      </c>
      <c r="I141" s="51">
        <v>155</v>
      </c>
    </row>
    <row r="142" spans="5:9" x14ac:dyDescent="0.25">
      <c r="E142">
        <f t="shared" si="14"/>
        <v>23</v>
      </c>
      <c r="G142" t="s">
        <v>275</v>
      </c>
      <c r="H142" s="51">
        <v>76</v>
      </c>
      <c r="I142" s="51">
        <v>155</v>
      </c>
    </row>
    <row r="143" spans="5:9" x14ac:dyDescent="0.25">
      <c r="E143">
        <f t="shared" si="14"/>
        <v>23</v>
      </c>
      <c r="G143" t="s">
        <v>276</v>
      </c>
      <c r="H143" s="51">
        <v>55</v>
      </c>
      <c r="I143" s="51">
        <v>155</v>
      </c>
    </row>
    <row r="144" spans="5:9" x14ac:dyDescent="0.25">
      <c r="E144">
        <f t="shared" si="14"/>
        <v>23</v>
      </c>
      <c r="G144" t="s">
        <v>277</v>
      </c>
      <c r="H144" s="51">
        <v>11</v>
      </c>
      <c r="I144" s="51">
        <v>155</v>
      </c>
    </row>
    <row r="145" spans="5:9" x14ac:dyDescent="0.25">
      <c r="E145">
        <f t="shared" si="14"/>
        <v>23</v>
      </c>
      <c r="G145" t="s">
        <v>278</v>
      </c>
      <c r="H145" s="51">
        <v>15</v>
      </c>
      <c r="I145" s="51">
        <v>155</v>
      </c>
    </row>
    <row r="146" spans="5:9" x14ac:dyDescent="0.25">
      <c r="E146">
        <f t="shared" si="14"/>
        <v>23</v>
      </c>
      <c r="G146" t="s">
        <v>279</v>
      </c>
      <c r="H146" s="51">
        <v>14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271</v>
      </c>
      <c r="H147" s="51">
        <v>19</v>
      </c>
      <c r="I147" s="51">
        <v>182</v>
      </c>
    </row>
    <row r="148" spans="5:9" x14ac:dyDescent="0.25">
      <c r="E148">
        <f t="shared" ref="E148:E155" si="15">+$F$147</f>
        <v>24</v>
      </c>
      <c r="G148" t="s">
        <v>272</v>
      </c>
      <c r="H148">
        <v>12</v>
      </c>
      <c r="I148" s="51">
        <v>182</v>
      </c>
    </row>
    <row r="149" spans="5:9" x14ac:dyDescent="0.25">
      <c r="E149">
        <f t="shared" si="15"/>
        <v>24</v>
      </c>
      <c r="G149" t="s">
        <v>273</v>
      </c>
      <c r="H149" s="51">
        <v>40</v>
      </c>
      <c r="I149" s="51">
        <v>182</v>
      </c>
    </row>
    <row r="150" spans="5:9" x14ac:dyDescent="0.25">
      <c r="E150">
        <f t="shared" si="15"/>
        <v>24</v>
      </c>
      <c r="G150" t="s">
        <v>274</v>
      </c>
      <c r="H150" s="51">
        <v>33</v>
      </c>
      <c r="I150" s="51">
        <v>182</v>
      </c>
    </row>
    <row r="151" spans="5:9" x14ac:dyDescent="0.25">
      <c r="E151">
        <f t="shared" si="15"/>
        <v>24</v>
      </c>
      <c r="G151" t="s">
        <v>275</v>
      </c>
      <c r="H151" s="51">
        <v>47</v>
      </c>
      <c r="I151" s="51">
        <v>182</v>
      </c>
    </row>
    <row r="152" spans="5:9" x14ac:dyDescent="0.25">
      <c r="E152">
        <f t="shared" si="15"/>
        <v>24</v>
      </c>
      <c r="G152" t="s">
        <v>276</v>
      </c>
      <c r="H152" s="51">
        <v>36</v>
      </c>
      <c r="I152" s="51">
        <v>182</v>
      </c>
    </row>
    <row r="153" spans="5:9" x14ac:dyDescent="0.25">
      <c r="E153">
        <f t="shared" si="15"/>
        <v>24</v>
      </c>
      <c r="G153" t="s">
        <v>277</v>
      </c>
      <c r="H153" s="51">
        <v>16</v>
      </c>
      <c r="I153" s="51">
        <v>182</v>
      </c>
    </row>
    <row r="154" spans="5:9" x14ac:dyDescent="0.25">
      <c r="E154">
        <f t="shared" si="15"/>
        <v>24</v>
      </c>
      <c r="G154" t="s">
        <v>278</v>
      </c>
      <c r="H154" s="51">
        <v>15</v>
      </c>
      <c r="I154" s="51">
        <v>182</v>
      </c>
    </row>
    <row r="155" spans="5:9" x14ac:dyDescent="0.25">
      <c r="E155">
        <f t="shared" si="15"/>
        <v>24</v>
      </c>
      <c r="G155" t="s">
        <v>279</v>
      </c>
      <c r="H155" s="51">
        <v>13</v>
      </c>
      <c r="I155" s="51">
        <v>182</v>
      </c>
    </row>
    <row r="156" spans="5:9" x14ac:dyDescent="0.25">
      <c r="E156">
        <f>+$F$156</f>
        <v>25</v>
      </c>
      <c r="F156">
        <v>25</v>
      </c>
      <c r="G156" t="s">
        <v>271</v>
      </c>
      <c r="H156" s="51">
        <v>44</v>
      </c>
      <c r="I156" s="51">
        <v>173</v>
      </c>
    </row>
    <row r="157" spans="5:9" x14ac:dyDescent="0.25">
      <c r="E157">
        <f t="shared" ref="E157:E164" si="16">+$F$156</f>
        <v>25</v>
      </c>
      <c r="G157" t="s">
        <v>272</v>
      </c>
      <c r="H157" s="51">
        <v>32</v>
      </c>
      <c r="I157" s="51">
        <v>173</v>
      </c>
    </row>
    <row r="158" spans="5:9" x14ac:dyDescent="0.25">
      <c r="E158">
        <f t="shared" si="16"/>
        <v>25</v>
      </c>
      <c r="G158" t="s">
        <v>273</v>
      </c>
      <c r="H158" s="51">
        <v>44</v>
      </c>
      <c r="I158" s="51">
        <v>173</v>
      </c>
    </row>
    <row r="159" spans="5:9" x14ac:dyDescent="0.25">
      <c r="E159">
        <f t="shared" si="16"/>
        <v>25</v>
      </c>
      <c r="G159" t="s">
        <v>274</v>
      </c>
      <c r="H159" s="51">
        <v>45</v>
      </c>
      <c r="I159" s="51">
        <v>173</v>
      </c>
    </row>
    <row r="160" spans="5:9" x14ac:dyDescent="0.25">
      <c r="E160">
        <f t="shared" si="16"/>
        <v>25</v>
      </c>
      <c r="G160" t="s">
        <v>275</v>
      </c>
      <c r="H160" s="51">
        <v>55</v>
      </c>
      <c r="I160" s="51">
        <v>173</v>
      </c>
    </row>
    <row r="161" spans="5:9" x14ac:dyDescent="0.25">
      <c r="E161">
        <f t="shared" si="16"/>
        <v>25</v>
      </c>
      <c r="G161" t="s">
        <v>276</v>
      </c>
      <c r="H161" s="51">
        <v>48</v>
      </c>
      <c r="I161" s="51">
        <v>173</v>
      </c>
    </row>
    <row r="162" spans="5:9" x14ac:dyDescent="0.25">
      <c r="E162">
        <f t="shared" si="16"/>
        <v>25</v>
      </c>
      <c r="G162" t="s">
        <v>277</v>
      </c>
      <c r="H162" s="51">
        <v>49</v>
      </c>
      <c r="I162" s="51">
        <v>173</v>
      </c>
    </row>
    <row r="163" spans="5:9" x14ac:dyDescent="0.25">
      <c r="E163">
        <f t="shared" si="16"/>
        <v>25</v>
      </c>
      <c r="G163" t="s">
        <v>278</v>
      </c>
      <c r="H163" s="51">
        <v>33</v>
      </c>
      <c r="I163" s="51">
        <v>173</v>
      </c>
    </row>
    <row r="164" spans="5:9" x14ac:dyDescent="0.25">
      <c r="E164">
        <f t="shared" si="16"/>
        <v>25</v>
      </c>
      <c r="G164" t="s">
        <v>279</v>
      </c>
      <c r="H164">
        <v>20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271</v>
      </c>
      <c r="H165" s="51">
        <v>32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272</v>
      </c>
      <c r="H166" s="51">
        <v>12</v>
      </c>
      <c r="I166" s="51">
        <v>168</v>
      </c>
    </row>
    <row r="167" spans="5:9" x14ac:dyDescent="0.25">
      <c r="E167">
        <f t="shared" si="17"/>
        <v>26</v>
      </c>
      <c r="G167" t="s">
        <v>273</v>
      </c>
      <c r="H167" s="51">
        <v>11</v>
      </c>
      <c r="I167" s="51">
        <v>168</v>
      </c>
    </row>
    <row r="168" spans="5:9" x14ac:dyDescent="0.25">
      <c r="E168">
        <f t="shared" si="17"/>
        <v>26</v>
      </c>
      <c r="G168" t="s">
        <v>274</v>
      </c>
      <c r="H168" s="51">
        <v>22</v>
      </c>
      <c r="I168" s="51">
        <v>168</v>
      </c>
    </row>
    <row r="169" spans="5:9" x14ac:dyDescent="0.25">
      <c r="E169">
        <f t="shared" si="17"/>
        <v>26</v>
      </c>
      <c r="G169" t="s">
        <v>275</v>
      </c>
      <c r="H169" s="51">
        <v>30</v>
      </c>
      <c r="I169" s="51">
        <v>168</v>
      </c>
    </row>
    <row r="170" spans="5:9" x14ac:dyDescent="0.25">
      <c r="E170">
        <f t="shared" si="17"/>
        <v>26</v>
      </c>
      <c r="G170" t="s">
        <v>276</v>
      </c>
      <c r="H170" s="51">
        <v>19</v>
      </c>
      <c r="I170" s="51">
        <v>168</v>
      </c>
    </row>
    <row r="171" spans="5:9" x14ac:dyDescent="0.25">
      <c r="E171">
        <f t="shared" si="17"/>
        <v>26</v>
      </c>
      <c r="G171" t="s">
        <v>277</v>
      </c>
      <c r="H171" s="51">
        <v>27</v>
      </c>
      <c r="I171" s="51">
        <v>168</v>
      </c>
    </row>
    <row r="172" spans="5:9" x14ac:dyDescent="0.25">
      <c r="E172">
        <f t="shared" si="17"/>
        <v>26</v>
      </c>
      <c r="G172" t="s">
        <v>278</v>
      </c>
      <c r="H172" s="51">
        <v>14</v>
      </c>
      <c r="I172" s="51">
        <v>168</v>
      </c>
    </row>
    <row r="173" spans="5:9" x14ac:dyDescent="0.25">
      <c r="E173">
        <f t="shared" si="17"/>
        <v>26</v>
      </c>
      <c r="G173" t="s">
        <v>279</v>
      </c>
      <c r="H173" s="51">
        <v>8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271</v>
      </c>
      <c r="H174" s="51">
        <v>45</v>
      </c>
      <c r="I174" s="51">
        <v>133</v>
      </c>
    </row>
    <row r="175" spans="5:9" x14ac:dyDescent="0.25">
      <c r="E175">
        <f t="shared" ref="E175:E182" si="18">+$F$174</f>
        <v>27</v>
      </c>
      <c r="G175" t="s">
        <v>272</v>
      </c>
      <c r="H175" s="51">
        <v>32</v>
      </c>
      <c r="I175" s="51">
        <v>133</v>
      </c>
    </row>
    <row r="176" spans="5:9" x14ac:dyDescent="0.25">
      <c r="E176">
        <f t="shared" si="18"/>
        <v>27</v>
      </c>
      <c r="G176" t="s">
        <v>273</v>
      </c>
      <c r="H176" s="51">
        <v>51</v>
      </c>
      <c r="I176" s="51">
        <v>133</v>
      </c>
    </row>
    <row r="177" spans="5:9" x14ac:dyDescent="0.25">
      <c r="E177">
        <f t="shared" si="18"/>
        <v>27</v>
      </c>
      <c r="G177" t="s">
        <v>274</v>
      </c>
      <c r="H177" s="51">
        <v>58</v>
      </c>
      <c r="I177" s="51">
        <v>133</v>
      </c>
    </row>
    <row r="178" spans="5:9" x14ac:dyDescent="0.25">
      <c r="E178">
        <f t="shared" si="18"/>
        <v>27</v>
      </c>
      <c r="G178" t="s">
        <v>275</v>
      </c>
      <c r="H178" s="51">
        <v>92</v>
      </c>
      <c r="I178" s="51">
        <v>133</v>
      </c>
    </row>
    <row r="179" spans="5:9" x14ac:dyDescent="0.25">
      <c r="E179">
        <f t="shared" si="18"/>
        <v>27</v>
      </c>
      <c r="G179" t="s">
        <v>276</v>
      </c>
      <c r="H179" s="51">
        <v>64</v>
      </c>
      <c r="I179" s="51">
        <v>133</v>
      </c>
    </row>
    <row r="180" spans="5:9" x14ac:dyDescent="0.25">
      <c r="E180">
        <f t="shared" si="18"/>
        <v>27</v>
      </c>
      <c r="G180" t="s">
        <v>277</v>
      </c>
      <c r="H180">
        <v>28</v>
      </c>
      <c r="I180" s="51">
        <v>133</v>
      </c>
    </row>
    <row r="181" spans="5:9" x14ac:dyDescent="0.25">
      <c r="E181">
        <f t="shared" si="18"/>
        <v>27</v>
      </c>
      <c r="G181" t="s">
        <v>278</v>
      </c>
      <c r="H181" s="51">
        <v>32</v>
      </c>
      <c r="I181" s="51">
        <v>133</v>
      </c>
    </row>
    <row r="182" spans="5:9" x14ac:dyDescent="0.25">
      <c r="E182">
        <f t="shared" si="18"/>
        <v>27</v>
      </c>
      <c r="G182" t="s">
        <v>279</v>
      </c>
      <c r="H182" s="51">
        <v>19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271</v>
      </c>
      <c r="H183" s="51">
        <v>34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272</v>
      </c>
      <c r="H184" s="51">
        <v>21</v>
      </c>
      <c r="I184" s="51">
        <v>168</v>
      </c>
    </row>
    <row r="185" spans="5:9" x14ac:dyDescent="0.25">
      <c r="E185">
        <f t="shared" si="19"/>
        <v>28</v>
      </c>
      <c r="G185" t="s">
        <v>273</v>
      </c>
      <c r="H185" s="51">
        <v>46</v>
      </c>
      <c r="I185" s="51">
        <v>168</v>
      </c>
    </row>
    <row r="186" spans="5:9" x14ac:dyDescent="0.25">
      <c r="E186">
        <f t="shared" si="19"/>
        <v>28</v>
      </c>
      <c r="G186" t="s">
        <v>274</v>
      </c>
      <c r="H186">
        <v>54</v>
      </c>
      <c r="I186" s="51">
        <v>168</v>
      </c>
    </row>
    <row r="187" spans="5:9" x14ac:dyDescent="0.25">
      <c r="E187">
        <f t="shared" si="19"/>
        <v>28</v>
      </c>
      <c r="G187" t="s">
        <v>275</v>
      </c>
      <c r="H187" s="51">
        <v>79</v>
      </c>
      <c r="I187" s="51">
        <v>168</v>
      </c>
    </row>
    <row r="188" spans="5:9" x14ac:dyDescent="0.25">
      <c r="E188">
        <f t="shared" si="19"/>
        <v>28</v>
      </c>
      <c r="G188" t="s">
        <v>276</v>
      </c>
      <c r="H188" s="51">
        <v>64</v>
      </c>
      <c r="I188" s="51">
        <v>168</v>
      </c>
    </row>
    <row r="189" spans="5:9" x14ac:dyDescent="0.25">
      <c r="E189">
        <f t="shared" si="19"/>
        <v>28</v>
      </c>
      <c r="G189" t="s">
        <v>277</v>
      </c>
      <c r="H189" s="51">
        <v>15</v>
      </c>
      <c r="I189" s="51">
        <v>168</v>
      </c>
    </row>
    <row r="190" spans="5:9" x14ac:dyDescent="0.25">
      <c r="E190">
        <f t="shared" si="19"/>
        <v>28</v>
      </c>
      <c r="G190" t="s">
        <v>278</v>
      </c>
      <c r="H190" s="51">
        <v>29</v>
      </c>
      <c r="I190" s="51">
        <v>168</v>
      </c>
    </row>
    <row r="191" spans="5:9" x14ac:dyDescent="0.25">
      <c r="E191">
        <f t="shared" si="19"/>
        <v>28</v>
      </c>
      <c r="G191" t="s">
        <v>279</v>
      </c>
      <c r="H191" s="51">
        <v>13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271</v>
      </c>
      <c r="H192" s="51">
        <v>50</v>
      </c>
      <c r="I192" s="51">
        <v>172</v>
      </c>
    </row>
    <row r="193" spans="5:9" x14ac:dyDescent="0.25">
      <c r="E193">
        <f t="shared" ref="E193:E200" si="20">+$F$192</f>
        <v>3</v>
      </c>
      <c r="G193" t="s">
        <v>272</v>
      </c>
      <c r="H193" s="51">
        <v>44</v>
      </c>
      <c r="I193" s="51">
        <v>172</v>
      </c>
    </row>
    <row r="194" spans="5:9" x14ac:dyDescent="0.25">
      <c r="E194">
        <f t="shared" si="20"/>
        <v>3</v>
      </c>
      <c r="G194" t="s">
        <v>273</v>
      </c>
      <c r="H194" s="51">
        <v>82</v>
      </c>
      <c r="I194" s="51">
        <v>172</v>
      </c>
    </row>
    <row r="195" spans="5:9" x14ac:dyDescent="0.25">
      <c r="E195">
        <f t="shared" si="20"/>
        <v>3</v>
      </c>
      <c r="G195" t="s">
        <v>274</v>
      </c>
      <c r="H195" s="51">
        <v>61</v>
      </c>
      <c r="I195" s="51">
        <v>172</v>
      </c>
    </row>
    <row r="196" spans="5:9" x14ac:dyDescent="0.25">
      <c r="E196">
        <f t="shared" si="20"/>
        <v>3</v>
      </c>
      <c r="G196" t="s">
        <v>275</v>
      </c>
      <c r="H196">
        <v>93</v>
      </c>
      <c r="I196" s="51">
        <v>172</v>
      </c>
    </row>
    <row r="197" spans="5:9" x14ac:dyDescent="0.25">
      <c r="E197">
        <f t="shared" si="20"/>
        <v>3</v>
      </c>
      <c r="G197" t="s">
        <v>276</v>
      </c>
      <c r="H197" s="51">
        <v>75</v>
      </c>
      <c r="I197" s="51">
        <v>172</v>
      </c>
    </row>
    <row r="198" spans="5:9" x14ac:dyDescent="0.25">
      <c r="E198">
        <f t="shared" si="20"/>
        <v>3</v>
      </c>
      <c r="G198" t="s">
        <v>277</v>
      </c>
      <c r="H198" s="51">
        <v>18</v>
      </c>
      <c r="I198" s="51">
        <v>172</v>
      </c>
    </row>
    <row r="199" spans="5:9" x14ac:dyDescent="0.25">
      <c r="E199">
        <f t="shared" si="20"/>
        <v>3</v>
      </c>
      <c r="G199" t="s">
        <v>278</v>
      </c>
      <c r="H199" s="51">
        <v>24</v>
      </c>
      <c r="I199" s="51">
        <v>172</v>
      </c>
    </row>
    <row r="200" spans="5:9" x14ac:dyDescent="0.25">
      <c r="E200">
        <f t="shared" si="20"/>
        <v>3</v>
      </c>
      <c r="G200" t="s">
        <v>279</v>
      </c>
      <c r="H200" s="51">
        <v>31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271</v>
      </c>
      <c r="H201" s="51">
        <v>10</v>
      </c>
      <c r="I201" s="51">
        <v>121</v>
      </c>
    </row>
    <row r="202" spans="5:9" x14ac:dyDescent="0.25">
      <c r="E202">
        <f t="shared" ref="E202:E209" si="21">+$F$201</f>
        <v>30</v>
      </c>
      <c r="G202" t="s">
        <v>272</v>
      </c>
      <c r="H202" s="51">
        <v>3</v>
      </c>
      <c r="I202" s="51">
        <v>121</v>
      </c>
    </row>
    <row r="203" spans="5:9" x14ac:dyDescent="0.25">
      <c r="E203">
        <f t="shared" si="21"/>
        <v>30</v>
      </c>
      <c r="G203" t="s">
        <v>273</v>
      </c>
      <c r="H203" s="51">
        <v>9</v>
      </c>
      <c r="I203" s="51">
        <v>121</v>
      </c>
    </row>
    <row r="204" spans="5:9" x14ac:dyDescent="0.25">
      <c r="E204">
        <f t="shared" si="21"/>
        <v>30</v>
      </c>
      <c r="G204" t="s">
        <v>274</v>
      </c>
      <c r="H204" s="51">
        <v>2</v>
      </c>
      <c r="I204" s="51">
        <v>121</v>
      </c>
    </row>
    <row r="205" spans="5:9" x14ac:dyDescent="0.25">
      <c r="E205">
        <f t="shared" si="21"/>
        <v>30</v>
      </c>
      <c r="G205" t="s">
        <v>275</v>
      </c>
      <c r="H205" s="51">
        <v>8</v>
      </c>
      <c r="I205" s="51">
        <v>121</v>
      </c>
    </row>
    <row r="206" spans="5:9" x14ac:dyDescent="0.25">
      <c r="E206">
        <f t="shared" si="21"/>
        <v>30</v>
      </c>
      <c r="G206" t="s">
        <v>276</v>
      </c>
      <c r="H206" s="51">
        <v>1</v>
      </c>
      <c r="I206" s="51">
        <v>121</v>
      </c>
    </row>
    <row r="207" spans="5:9" x14ac:dyDescent="0.25">
      <c r="E207">
        <f t="shared" si="21"/>
        <v>30</v>
      </c>
      <c r="G207" t="s">
        <v>277</v>
      </c>
      <c r="H207" s="51">
        <v>12</v>
      </c>
      <c r="I207" s="51">
        <v>121</v>
      </c>
    </row>
    <row r="208" spans="5:9" x14ac:dyDescent="0.25">
      <c r="E208">
        <f t="shared" si="21"/>
        <v>30</v>
      </c>
      <c r="G208" t="s">
        <v>278</v>
      </c>
      <c r="H208" s="51"/>
      <c r="I208" s="51">
        <v>121</v>
      </c>
    </row>
    <row r="209" spans="5:9" x14ac:dyDescent="0.25">
      <c r="E209">
        <f t="shared" si="21"/>
        <v>30</v>
      </c>
      <c r="G209" t="s">
        <v>279</v>
      </c>
      <c r="H209" s="51">
        <v>1</v>
      </c>
      <c r="I209" s="51">
        <v>121</v>
      </c>
    </row>
    <row r="210" spans="5:9" x14ac:dyDescent="0.25">
      <c r="E210">
        <f>+$F$210</f>
        <v>31</v>
      </c>
      <c r="F210">
        <v>31</v>
      </c>
      <c r="G210" t="s">
        <v>271</v>
      </c>
      <c r="H210" s="51">
        <v>28</v>
      </c>
      <c r="I210" s="51">
        <v>163</v>
      </c>
    </row>
    <row r="211" spans="5:9" x14ac:dyDescent="0.25">
      <c r="E211">
        <f t="shared" ref="E211:E218" si="22">+$F$210</f>
        <v>31</v>
      </c>
      <c r="G211" t="s">
        <v>272</v>
      </c>
      <c r="H211" s="51">
        <v>41</v>
      </c>
      <c r="I211" s="51">
        <v>163</v>
      </c>
    </row>
    <row r="212" spans="5:9" x14ac:dyDescent="0.25">
      <c r="E212">
        <f t="shared" si="22"/>
        <v>31</v>
      </c>
      <c r="G212" t="s">
        <v>273</v>
      </c>
      <c r="H212">
        <v>62</v>
      </c>
      <c r="I212" s="51">
        <v>163</v>
      </c>
    </row>
    <row r="213" spans="5:9" x14ac:dyDescent="0.25">
      <c r="E213">
        <f t="shared" si="22"/>
        <v>31</v>
      </c>
      <c r="G213" t="s">
        <v>274</v>
      </c>
      <c r="H213" s="51">
        <v>46</v>
      </c>
      <c r="I213" s="51">
        <v>163</v>
      </c>
    </row>
    <row r="214" spans="5:9" x14ac:dyDescent="0.25">
      <c r="E214">
        <f t="shared" si="22"/>
        <v>31</v>
      </c>
      <c r="G214" t="s">
        <v>275</v>
      </c>
      <c r="H214" s="51">
        <v>85</v>
      </c>
      <c r="I214" s="51">
        <v>163</v>
      </c>
    </row>
    <row r="215" spans="5:9" x14ac:dyDescent="0.25">
      <c r="E215">
        <f t="shared" si="22"/>
        <v>31</v>
      </c>
      <c r="G215" t="s">
        <v>276</v>
      </c>
      <c r="H215" s="51">
        <v>63</v>
      </c>
      <c r="I215" s="51">
        <v>163</v>
      </c>
    </row>
    <row r="216" spans="5:9" x14ac:dyDescent="0.25">
      <c r="E216">
        <f t="shared" si="22"/>
        <v>31</v>
      </c>
      <c r="G216" t="s">
        <v>277</v>
      </c>
      <c r="H216" s="51">
        <v>23</v>
      </c>
      <c r="I216" s="51">
        <v>163</v>
      </c>
    </row>
    <row r="217" spans="5:9" x14ac:dyDescent="0.25">
      <c r="E217">
        <f t="shared" si="22"/>
        <v>31</v>
      </c>
      <c r="G217" t="s">
        <v>278</v>
      </c>
      <c r="H217" s="51">
        <v>25</v>
      </c>
      <c r="I217" s="51">
        <v>163</v>
      </c>
    </row>
    <row r="218" spans="5:9" x14ac:dyDescent="0.25">
      <c r="E218">
        <f t="shared" si="22"/>
        <v>31</v>
      </c>
      <c r="G218" t="s">
        <v>279</v>
      </c>
      <c r="H218" s="51">
        <v>19</v>
      </c>
      <c r="I218" s="51">
        <v>163</v>
      </c>
    </row>
    <row r="219" spans="5:9" x14ac:dyDescent="0.25">
      <c r="E219">
        <f>+$F$219</f>
        <v>32</v>
      </c>
      <c r="F219">
        <v>32</v>
      </c>
      <c r="G219" t="s">
        <v>271</v>
      </c>
      <c r="H219" s="51">
        <v>25</v>
      </c>
      <c r="I219" s="51">
        <v>58</v>
      </c>
    </row>
    <row r="220" spans="5:9" x14ac:dyDescent="0.25">
      <c r="E220">
        <f t="shared" ref="E220:E227" si="23">+$F$219</f>
        <v>32</v>
      </c>
      <c r="G220" t="s">
        <v>272</v>
      </c>
      <c r="H220" s="51">
        <v>8</v>
      </c>
      <c r="I220" s="51">
        <v>58</v>
      </c>
    </row>
    <row r="221" spans="5:9" x14ac:dyDescent="0.25">
      <c r="E221">
        <f t="shared" si="23"/>
        <v>32</v>
      </c>
      <c r="G221" t="s">
        <v>273</v>
      </c>
      <c r="H221" s="51">
        <v>12</v>
      </c>
      <c r="I221" s="51">
        <v>58</v>
      </c>
    </row>
    <row r="222" spans="5:9" x14ac:dyDescent="0.25">
      <c r="E222">
        <f t="shared" si="23"/>
        <v>32</v>
      </c>
      <c r="G222" t="s">
        <v>274</v>
      </c>
      <c r="H222" s="51">
        <v>22</v>
      </c>
      <c r="I222" s="51">
        <v>58</v>
      </c>
    </row>
    <row r="223" spans="5:9" x14ac:dyDescent="0.25">
      <c r="E223">
        <f t="shared" si="23"/>
        <v>32</v>
      </c>
      <c r="G223" t="s">
        <v>275</v>
      </c>
      <c r="H223" s="51">
        <v>32</v>
      </c>
      <c r="I223" s="51">
        <v>58</v>
      </c>
    </row>
    <row r="224" spans="5:9" x14ac:dyDescent="0.25">
      <c r="E224">
        <f t="shared" si="23"/>
        <v>32</v>
      </c>
      <c r="G224" t="s">
        <v>276</v>
      </c>
      <c r="H224" s="51">
        <v>21</v>
      </c>
      <c r="I224" s="51">
        <v>58</v>
      </c>
    </row>
    <row r="225" spans="5:9" x14ac:dyDescent="0.25">
      <c r="E225">
        <f t="shared" si="23"/>
        <v>32</v>
      </c>
      <c r="G225" t="s">
        <v>277</v>
      </c>
      <c r="H225" s="51">
        <v>21</v>
      </c>
      <c r="I225" s="51">
        <v>58</v>
      </c>
    </row>
    <row r="226" spans="5:9" x14ac:dyDescent="0.25">
      <c r="E226">
        <f t="shared" si="23"/>
        <v>32</v>
      </c>
      <c r="G226" t="s">
        <v>278</v>
      </c>
      <c r="H226" s="51">
        <v>9</v>
      </c>
      <c r="I226" s="51">
        <v>58</v>
      </c>
    </row>
    <row r="227" spans="5:9" x14ac:dyDescent="0.25">
      <c r="E227">
        <f t="shared" si="23"/>
        <v>32</v>
      </c>
      <c r="G227" t="s">
        <v>279</v>
      </c>
      <c r="H227" s="51">
        <v>15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271</v>
      </c>
      <c r="H228" s="51">
        <v>27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272</v>
      </c>
      <c r="H229" s="51">
        <v>27</v>
      </c>
      <c r="I229" s="51">
        <v>167</v>
      </c>
    </row>
    <row r="230" spans="5:9" x14ac:dyDescent="0.25">
      <c r="E230">
        <f t="shared" si="24"/>
        <v>33</v>
      </c>
      <c r="G230" t="s">
        <v>273</v>
      </c>
      <c r="H230" s="51">
        <v>53</v>
      </c>
      <c r="I230" s="51">
        <v>167</v>
      </c>
    </row>
    <row r="231" spans="5:9" x14ac:dyDescent="0.25">
      <c r="E231">
        <f t="shared" si="24"/>
        <v>33</v>
      </c>
      <c r="G231" t="s">
        <v>274</v>
      </c>
      <c r="H231" s="51">
        <v>42</v>
      </c>
      <c r="I231" s="51">
        <v>167</v>
      </c>
    </row>
    <row r="232" spans="5:9" x14ac:dyDescent="0.25">
      <c r="E232">
        <f t="shared" si="24"/>
        <v>33</v>
      </c>
      <c r="G232" t="s">
        <v>275</v>
      </c>
      <c r="H232" s="51">
        <v>69</v>
      </c>
      <c r="I232" s="51">
        <v>167</v>
      </c>
    </row>
    <row r="233" spans="5:9" x14ac:dyDescent="0.25">
      <c r="E233">
        <f t="shared" si="24"/>
        <v>33</v>
      </c>
      <c r="G233" t="s">
        <v>276</v>
      </c>
      <c r="H233" s="51">
        <v>56</v>
      </c>
      <c r="I233" s="51">
        <v>167</v>
      </c>
    </row>
    <row r="234" spans="5:9" x14ac:dyDescent="0.25">
      <c r="E234">
        <f t="shared" si="24"/>
        <v>33</v>
      </c>
      <c r="G234" t="s">
        <v>277</v>
      </c>
      <c r="H234" s="51">
        <v>11</v>
      </c>
      <c r="I234" s="51">
        <v>167</v>
      </c>
    </row>
    <row r="235" spans="5:9" x14ac:dyDescent="0.25">
      <c r="E235">
        <f t="shared" si="24"/>
        <v>33</v>
      </c>
      <c r="G235" t="s">
        <v>278</v>
      </c>
      <c r="H235" s="51">
        <v>22</v>
      </c>
      <c r="I235" s="51">
        <v>167</v>
      </c>
    </row>
    <row r="236" spans="5:9" x14ac:dyDescent="0.25">
      <c r="E236">
        <f t="shared" si="24"/>
        <v>33</v>
      </c>
      <c r="G236" t="s">
        <v>279</v>
      </c>
      <c r="H236">
        <v>16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271</v>
      </c>
      <c r="H237" s="51">
        <v>27</v>
      </c>
      <c r="I237" s="51">
        <v>156</v>
      </c>
    </row>
    <row r="238" spans="5:9" x14ac:dyDescent="0.25">
      <c r="E238">
        <f t="shared" ref="E238:E245" si="25">+$F$237</f>
        <v>36</v>
      </c>
      <c r="G238" t="s">
        <v>272</v>
      </c>
      <c r="H238" s="51">
        <v>17</v>
      </c>
      <c r="I238" s="51">
        <v>156</v>
      </c>
    </row>
    <row r="239" spans="5:9" x14ac:dyDescent="0.25">
      <c r="E239">
        <f t="shared" si="25"/>
        <v>36</v>
      </c>
      <c r="G239" t="s">
        <v>273</v>
      </c>
      <c r="H239" s="51">
        <v>47</v>
      </c>
      <c r="I239" s="51">
        <v>156</v>
      </c>
    </row>
    <row r="240" spans="5:9" x14ac:dyDescent="0.25">
      <c r="E240">
        <f t="shared" si="25"/>
        <v>36</v>
      </c>
      <c r="G240" t="s">
        <v>274</v>
      </c>
      <c r="H240" s="51">
        <v>39</v>
      </c>
      <c r="I240" s="51">
        <v>156</v>
      </c>
    </row>
    <row r="241" spans="5:9" x14ac:dyDescent="0.25">
      <c r="E241">
        <f t="shared" si="25"/>
        <v>36</v>
      </c>
      <c r="G241" t="s">
        <v>275</v>
      </c>
      <c r="H241" s="51">
        <v>61</v>
      </c>
      <c r="I241" s="51">
        <v>156</v>
      </c>
    </row>
    <row r="242" spans="5:9" x14ac:dyDescent="0.25">
      <c r="E242">
        <f t="shared" si="25"/>
        <v>36</v>
      </c>
      <c r="G242" t="s">
        <v>276</v>
      </c>
      <c r="H242" s="51">
        <v>28</v>
      </c>
      <c r="I242" s="51">
        <v>156</v>
      </c>
    </row>
    <row r="243" spans="5:9" x14ac:dyDescent="0.25">
      <c r="E243">
        <f t="shared" si="25"/>
        <v>36</v>
      </c>
      <c r="G243" t="s">
        <v>277</v>
      </c>
      <c r="H243" s="51">
        <v>21</v>
      </c>
      <c r="I243" s="51">
        <v>156</v>
      </c>
    </row>
    <row r="244" spans="5:9" x14ac:dyDescent="0.25">
      <c r="E244">
        <f t="shared" si="25"/>
        <v>36</v>
      </c>
      <c r="G244" t="s">
        <v>278</v>
      </c>
      <c r="H244">
        <v>14</v>
      </c>
      <c r="I244" s="51">
        <v>156</v>
      </c>
    </row>
    <row r="245" spans="5:9" x14ac:dyDescent="0.25">
      <c r="E245">
        <f t="shared" si="25"/>
        <v>36</v>
      </c>
      <c r="G245" t="s">
        <v>279</v>
      </c>
      <c r="H245" s="51">
        <v>13</v>
      </c>
      <c r="I245" s="51">
        <v>156</v>
      </c>
    </row>
    <row r="246" spans="5:9" x14ac:dyDescent="0.25">
      <c r="E246">
        <f>+$F$246</f>
        <v>37</v>
      </c>
      <c r="F246">
        <v>37</v>
      </c>
      <c r="G246" t="s">
        <v>271</v>
      </c>
      <c r="H246" s="51">
        <v>18</v>
      </c>
      <c r="I246" s="51">
        <v>150</v>
      </c>
    </row>
    <row r="247" spans="5:9" x14ac:dyDescent="0.25">
      <c r="E247">
        <f t="shared" ref="E247:E254" si="26">+$F$246</f>
        <v>37</v>
      </c>
      <c r="G247" t="s">
        <v>272</v>
      </c>
      <c r="H247" s="51">
        <v>7</v>
      </c>
      <c r="I247" s="51">
        <v>150</v>
      </c>
    </row>
    <row r="248" spans="5:9" x14ac:dyDescent="0.25">
      <c r="E248">
        <f t="shared" si="26"/>
        <v>37</v>
      </c>
      <c r="G248" t="s">
        <v>273</v>
      </c>
      <c r="H248" s="51">
        <v>18</v>
      </c>
      <c r="I248" s="51">
        <v>150</v>
      </c>
    </row>
    <row r="249" spans="5:9" x14ac:dyDescent="0.25">
      <c r="E249">
        <f t="shared" si="26"/>
        <v>37</v>
      </c>
      <c r="G249" t="s">
        <v>274</v>
      </c>
      <c r="H249" s="51">
        <v>28</v>
      </c>
      <c r="I249" s="51">
        <v>150</v>
      </c>
    </row>
    <row r="250" spans="5:9" x14ac:dyDescent="0.25">
      <c r="E250">
        <f t="shared" si="26"/>
        <v>37</v>
      </c>
      <c r="G250" t="s">
        <v>275</v>
      </c>
      <c r="H250" s="51">
        <v>42</v>
      </c>
      <c r="I250" s="51">
        <v>150</v>
      </c>
    </row>
    <row r="251" spans="5:9" x14ac:dyDescent="0.25">
      <c r="E251">
        <f t="shared" si="26"/>
        <v>37</v>
      </c>
      <c r="G251" t="s">
        <v>276</v>
      </c>
      <c r="H251" s="51">
        <v>22</v>
      </c>
      <c r="I251" s="51">
        <v>150</v>
      </c>
    </row>
    <row r="252" spans="5:9" x14ac:dyDescent="0.25">
      <c r="E252">
        <f t="shared" si="26"/>
        <v>37</v>
      </c>
      <c r="G252" t="s">
        <v>277</v>
      </c>
      <c r="H252">
        <v>11</v>
      </c>
      <c r="I252" s="51">
        <v>150</v>
      </c>
    </row>
    <row r="253" spans="5:9" x14ac:dyDescent="0.25">
      <c r="E253">
        <f t="shared" si="26"/>
        <v>37</v>
      </c>
      <c r="G253" t="s">
        <v>278</v>
      </c>
      <c r="H253" s="51">
        <v>23</v>
      </c>
      <c r="I253" s="51">
        <v>150</v>
      </c>
    </row>
    <row r="254" spans="5:9" x14ac:dyDescent="0.25">
      <c r="E254">
        <f t="shared" si="26"/>
        <v>37</v>
      </c>
      <c r="G254" t="s">
        <v>279</v>
      </c>
      <c r="H254" s="51">
        <v>15</v>
      </c>
      <c r="I254" s="51">
        <v>150</v>
      </c>
    </row>
    <row r="255" spans="5:9" x14ac:dyDescent="0.25">
      <c r="E255">
        <f>+$F$255</f>
        <v>4</v>
      </c>
      <c r="F255">
        <v>4</v>
      </c>
      <c r="G255" t="s">
        <v>271</v>
      </c>
      <c r="H255" s="51">
        <v>40</v>
      </c>
      <c r="I255" s="51">
        <v>182</v>
      </c>
    </row>
    <row r="256" spans="5:9" x14ac:dyDescent="0.25">
      <c r="E256">
        <f t="shared" ref="E256:E263" si="27">+$F$255</f>
        <v>4</v>
      </c>
      <c r="G256" t="s">
        <v>272</v>
      </c>
      <c r="H256" s="51">
        <v>40</v>
      </c>
      <c r="I256" s="51">
        <v>182</v>
      </c>
    </row>
    <row r="257" spans="5:9" x14ac:dyDescent="0.25">
      <c r="E257">
        <f t="shared" si="27"/>
        <v>4</v>
      </c>
      <c r="G257" t="s">
        <v>273</v>
      </c>
      <c r="H257" s="51">
        <v>66</v>
      </c>
      <c r="I257" s="51">
        <v>182</v>
      </c>
    </row>
    <row r="258" spans="5:9" x14ac:dyDescent="0.25">
      <c r="E258">
        <f t="shared" si="27"/>
        <v>4</v>
      </c>
      <c r="G258" t="s">
        <v>274</v>
      </c>
      <c r="H258">
        <v>56</v>
      </c>
      <c r="I258" s="51">
        <v>182</v>
      </c>
    </row>
    <row r="259" spans="5:9" x14ac:dyDescent="0.25">
      <c r="E259">
        <f t="shared" si="27"/>
        <v>4</v>
      </c>
      <c r="G259" t="s">
        <v>275</v>
      </c>
      <c r="H259" s="51">
        <v>83</v>
      </c>
      <c r="I259" s="51">
        <v>182</v>
      </c>
    </row>
    <row r="260" spans="5:9" x14ac:dyDescent="0.25">
      <c r="E260">
        <f t="shared" si="27"/>
        <v>4</v>
      </c>
      <c r="G260" t="s">
        <v>276</v>
      </c>
      <c r="H260">
        <v>59</v>
      </c>
      <c r="I260" s="51">
        <v>182</v>
      </c>
    </row>
    <row r="261" spans="5:9" x14ac:dyDescent="0.25">
      <c r="E261">
        <f t="shared" si="27"/>
        <v>4</v>
      </c>
      <c r="G261" t="s">
        <v>277</v>
      </c>
      <c r="H261" s="51">
        <v>18</v>
      </c>
      <c r="I261" s="51">
        <v>182</v>
      </c>
    </row>
    <row r="262" spans="5:9" x14ac:dyDescent="0.25">
      <c r="E262">
        <f t="shared" si="27"/>
        <v>4</v>
      </c>
      <c r="G262" t="s">
        <v>278</v>
      </c>
      <c r="H262" s="51">
        <v>26</v>
      </c>
      <c r="I262" s="51">
        <v>182</v>
      </c>
    </row>
    <row r="263" spans="5:9" x14ac:dyDescent="0.25">
      <c r="E263">
        <f t="shared" si="27"/>
        <v>4</v>
      </c>
      <c r="G263" t="s">
        <v>279</v>
      </c>
      <c r="H263" s="51">
        <v>37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271</v>
      </c>
      <c r="H264" s="51">
        <v>24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272</v>
      </c>
      <c r="H265">
        <v>21</v>
      </c>
      <c r="I265" s="51">
        <v>222</v>
      </c>
    </row>
    <row r="266" spans="5:9" x14ac:dyDescent="0.25">
      <c r="E266">
        <f t="shared" si="28"/>
        <v>40</v>
      </c>
      <c r="G266" t="s">
        <v>273</v>
      </c>
      <c r="H266" s="51">
        <v>44</v>
      </c>
      <c r="I266" s="51">
        <v>222</v>
      </c>
    </row>
    <row r="267" spans="5:9" x14ac:dyDescent="0.25">
      <c r="E267">
        <f t="shared" si="28"/>
        <v>40</v>
      </c>
      <c r="G267" t="s">
        <v>274</v>
      </c>
      <c r="H267" s="51">
        <v>40</v>
      </c>
      <c r="I267" s="51">
        <v>222</v>
      </c>
    </row>
    <row r="268" spans="5:9" x14ac:dyDescent="0.25">
      <c r="E268">
        <f t="shared" si="28"/>
        <v>40</v>
      </c>
      <c r="G268" t="s">
        <v>275</v>
      </c>
      <c r="H268">
        <v>60</v>
      </c>
      <c r="I268" s="51">
        <v>222</v>
      </c>
    </row>
    <row r="269" spans="5:9" x14ac:dyDescent="0.25">
      <c r="E269">
        <f t="shared" si="28"/>
        <v>40</v>
      </c>
      <c r="G269" t="s">
        <v>276</v>
      </c>
      <c r="H269" s="51">
        <v>45</v>
      </c>
      <c r="I269" s="51">
        <v>222</v>
      </c>
    </row>
    <row r="270" spans="5:9" x14ac:dyDescent="0.25">
      <c r="E270">
        <f t="shared" si="28"/>
        <v>40</v>
      </c>
      <c r="G270" t="s">
        <v>277</v>
      </c>
      <c r="H270" s="51">
        <v>33</v>
      </c>
      <c r="I270" s="51">
        <v>222</v>
      </c>
    </row>
    <row r="271" spans="5:9" x14ac:dyDescent="0.25">
      <c r="E271">
        <f t="shared" si="28"/>
        <v>40</v>
      </c>
      <c r="G271" t="s">
        <v>278</v>
      </c>
      <c r="H271" s="51">
        <v>24</v>
      </c>
      <c r="I271" s="51">
        <v>222</v>
      </c>
    </row>
    <row r="272" spans="5:9" x14ac:dyDescent="0.25">
      <c r="E272">
        <f t="shared" si="28"/>
        <v>40</v>
      </c>
      <c r="G272" t="s">
        <v>279</v>
      </c>
      <c r="H272" s="51">
        <v>13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271</v>
      </c>
      <c r="H273" s="51">
        <v>2</v>
      </c>
      <c r="I273" s="51">
        <v>52</v>
      </c>
    </row>
    <row r="274" spans="5:9" x14ac:dyDescent="0.25">
      <c r="E274">
        <f t="shared" ref="E274:E281" si="29">+$F$273</f>
        <v>42</v>
      </c>
      <c r="G274" t="s">
        <v>272</v>
      </c>
      <c r="H274" s="51">
        <v>4</v>
      </c>
      <c r="I274" s="51">
        <v>52</v>
      </c>
    </row>
    <row r="275" spans="5:9" x14ac:dyDescent="0.25">
      <c r="E275">
        <f t="shared" si="29"/>
        <v>42</v>
      </c>
      <c r="G275" t="s">
        <v>273</v>
      </c>
      <c r="H275" s="51">
        <v>4</v>
      </c>
      <c r="I275" s="51">
        <v>52</v>
      </c>
    </row>
    <row r="276" spans="5:9" x14ac:dyDescent="0.25">
      <c r="E276">
        <f t="shared" si="29"/>
        <v>42</v>
      </c>
      <c r="G276" t="s">
        <v>274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275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276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277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278</v>
      </c>
      <c r="H280" s="51">
        <v>8</v>
      </c>
      <c r="I280" s="51">
        <v>52</v>
      </c>
    </row>
    <row r="281" spans="5:9" x14ac:dyDescent="0.25">
      <c r="E281">
        <f t="shared" si="29"/>
        <v>42</v>
      </c>
      <c r="G281" t="s">
        <v>279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271</v>
      </c>
      <c r="H282" s="51">
        <v>12</v>
      </c>
      <c r="I282" s="51">
        <v>93</v>
      </c>
    </row>
    <row r="283" spans="5:9" x14ac:dyDescent="0.25">
      <c r="E283">
        <f t="shared" ref="E283:E290" si="30">+$F$282</f>
        <v>43</v>
      </c>
      <c r="G283" t="s">
        <v>272</v>
      </c>
      <c r="H283" s="51">
        <v>1</v>
      </c>
      <c r="I283" s="51">
        <v>93</v>
      </c>
    </row>
    <row r="284" spans="5:9" x14ac:dyDescent="0.25">
      <c r="E284">
        <f t="shared" si="30"/>
        <v>43</v>
      </c>
      <c r="G284" t="s">
        <v>273</v>
      </c>
      <c r="H284">
        <v>4</v>
      </c>
      <c r="I284" s="51">
        <v>93</v>
      </c>
    </row>
    <row r="285" spans="5:9" x14ac:dyDescent="0.25">
      <c r="E285">
        <f t="shared" si="30"/>
        <v>43</v>
      </c>
      <c r="G285" t="s">
        <v>274</v>
      </c>
      <c r="I285" s="51">
        <v>93</v>
      </c>
    </row>
    <row r="286" spans="5:9" x14ac:dyDescent="0.25">
      <c r="E286">
        <f t="shared" si="30"/>
        <v>43</v>
      </c>
      <c r="G286" t="s">
        <v>275</v>
      </c>
      <c r="H286">
        <v>1</v>
      </c>
      <c r="I286" s="51">
        <v>93</v>
      </c>
    </row>
    <row r="287" spans="5:9" x14ac:dyDescent="0.25">
      <c r="E287">
        <f t="shared" si="30"/>
        <v>43</v>
      </c>
      <c r="G287" t="s">
        <v>276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277</v>
      </c>
      <c r="H288">
        <v>6</v>
      </c>
      <c r="I288" s="51">
        <v>93</v>
      </c>
    </row>
    <row r="289" spans="5:9" x14ac:dyDescent="0.25">
      <c r="E289">
        <f t="shared" si="30"/>
        <v>43</v>
      </c>
      <c r="G289" t="s">
        <v>278</v>
      </c>
      <c r="H289" s="51">
        <v>3</v>
      </c>
      <c r="I289" s="51">
        <v>93</v>
      </c>
    </row>
    <row r="290" spans="5:9" x14ac:dyDescent="0.25">
      <c r="E290">
        <f t="shared" si="30"/>
        <v>43</v>
      </c>
      <c r="G290" t="s">
        <v>279</v>
      </c>
      <c r="H290">
        <v>4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271</v>
      </c>
      <c r="H291">
        <v>35</v>
      </c>
      <c r="I291" s="51">
        <v>175</v>
      </c>
    </row>
    <row r="292" spans="5:9" x14ac:dyDescent="0.25">
      <c r="E292">
        <f t="shared" ref="E292:E299" si="31">+$F$291</f>
        <v>44</v>
      </c>
      <c r="G292" t="s">
        <v>272</v>
      </c>
      <c r="H292">
        <v>44</v>
      </c>
      <c r="I292" s="51">
        <v>175</v>
      </c>
    </row>
    <row r="293" spans="5:9" x14ac:dyDescent="0.25">
      <c r="E293">
        <f t="shared" si="31"/>
        <v>44</v>
      </c>
      <c r="G293" t="s">
        <v>273</v>
      </c>
      <c r="H293">
        <v>88</v>
      </c>
      <c r="I293" s="51">
        <v>175</v>
      </c>
    </row>
    <row r="294" spans="5:9" x14ac:dyDescent="0.25">
      <c r="E294">
        <f t="shared" si="31"/>
        <v>44</v>
      </c>
      <c r="G294" t="s">
        <v>274</v>
      </c>
      <c r="H294">
        <v>50</v>
      </c>
      <c r="I294" s="51">
        <v>175</v>
      </c>
    </row>
    <row r="295" spans="5:9" x14ac:dyDescent="0.25">
      <c r="E295">
        <f t="shared" si="31"/>
        <v>44</v>
      </c>
      <c r="G295" t="s">
        <v>275</v>
      </c>
      <c r="H295">
        <v>102</v>
      </c>
      <c r="I295" s="51">
        <v>175</v>
      </c>
    </row>
    <row r="296" spans="5:9" x14ac:dyDescent="0.25">
      <c r="E296">
        <f t="shared" si="31"/>
        <v>44</v>
      </c>
      <c r="G296" t="s">
        <v>276</v>
      </c>
      <c r="H296">
        <v>80</v>
      </c>
      <c r="I296" s="51">
        <v>175</v>
      </c>
    </row>
    <row r="297" spans="5:9" x14ac:dyDescent="0.25">
      <c r="E297">
        <f t="shared" si="31"/>
        <v>44</v>
      </c>
      <c r="G297" t="s">
        <v>277</v>
      </c>
      <c r="H297" s="51">
        <v>18</v>
      </c>
      <c r="I297" s="51">
        <v>175</v>
      </c>
    </row>
    <row r="298" spans="5:9" x14ac:dyDescent="0.25">
      <c r="E298">
        <f t="shared" si="31"/>
        <v>44</v>
      </c>
      <c r="G298" t="s">
        <v>278</v>
      </c>
      <c r="H298">
        <v>29</v>
      </c>
      <c r="I298" s="51">
        <v>175</v>
      </c>
    </row>
    <row r="299" spans="5:9" x14ac:dyDescent="0.25">
      <c r="E299">
        <f t="shared" si="31"/>
        <v>44</v>
      </c>
      <c r="G299" t="s">
        <v>279</v>
      </c>
      <c r="H299" s="51">
        <v>31</v>
      </c>
      <c r="I299" s="51">
        <v>175</v>
      </c>
    </row>
    <row r="300" spans="5:9" x14ac:dyDescent="0.25">
      <c r="E300">
        <f>+$F$300</f>
        <v>49</v>
      </c>
      <c r="F300">
        <v>49</v>
      </c>
      <c r="G300" t="s">
        <v>271</v>
      </c>
      <c r="H300" s="51">
        <v>15</v>
      </c>
      <c r="I300" s="51">
        <v>244</v>
      </c>
    </row>
    <row r="301" spans="5:9" x14ac:dyDescent="0.25">
      <c r="E301">
        <f t="shared" ref="E301:E308" si="32">+$F$300</f>
        <v>49</v>
      </c>
      <c r="G301" t="s">
        <v>272</v>
      </c>
      <c r="H301" s="51">
        <v>18</v>
      </c>
      <c r="I301" s="51">
        <v>244</v>
      </c>
    </row>
    <row r="302" spans="5:9" x14ac:dyDescent="0.25">
      <c r="E302">
        <f t="shared" si="32"/>
        <v>49</v>
      </c>
      <c r="G302" t="s">
        <v>273</v>
      </c>
      <c r="H302" s="51">
        <v>52</v>
      </c>
      <c r="I302" s="51">
        <v>244</v>
      </c>
    </row>
    <row r="303" spans="5:9" x14ac:dyDescent="0.25">
      <c r="E303">
        <f t="shared" si="32"/>
        <v>49</v>
      </c>
      <c r="G303" t="s">
        <v>274</v>
      </c>
      <c r="H303" s="51">
        <v>18</v>
      </c>
      <c r="I303" s="51">
        <v>244</v>
      </c>
    </row>
    <row r="304" spans="5:9" x14ac:dyDescent="0.25">
      <c r="E304">
        <f t="shared" si="32"/>
        <v>49</v>
      </c>
      <c r="G304" t="s">
        <v>275</v>
      </c>
      <c r="H304" s="51">
        <v>43</v>
      </c>
      <c r="I304" s="51">
        <v>244</v>
      </c>
    </row>
    <row r="305" spans="5:9" x14ac:dyDescent="0.25">
      <c r="E305">
        <f t="shared" si="32"/>
        <v>49</v>
      </c>
      <c r="G305" t="s">
        <v>276</v>
      </c>
      <c r="H305" s="51">
        <v>22</v>
      </c>
      <c r="I305" s="51">
        <v>244</v>
      </c>
    </row>
    <row r="306" spans="5:9" x14ac:dyDescent="0.25">
      <c r="E306">
        <f t="shared" si="32"/>
        <v>49</v>
      </c>
      <c r="G306" t="s">
        <v>277</v>
      </c>
      <c r="H306" s="51">
        <v>33</v>
      </c>
      <c r="I306" s="51">
        <v>244</v>
      </c>
    </row>
    <row r="307" spans="5:9" x14ac:dyDescent="0.25">
      <c r="E307">
        <f t="shared" si="32"/>
        <v>49</v>
      </c>
      <c r="G307" t="s">
        <v>278</v>
      </c>
      <c r="H307">
        <v>17</v>
      </c>
      <c r="I307" s="51">
        <v>244</v>
      </c>
    </row>
    <row r="308" spans="5:9" x14ac:dyDescent="0.25">
      <c r="E308">
        <f t="shared" si="32"/>
        <v>49</v>
      </c>
      <c r="G308" t="s">
        <v>279</v>
      </c>
      <c r="H308">
        <v>24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271</v>
      </c>
      <c r="H309">
        <v>90</v>
      </c>
      <c r="I309" s="51">
        <v>261</v>
      </c>
    </row>
    <row r="310" spans="5:9" x14ac:dyDescent="0.25">
      <c r="E310">
        <f t="shared" ref="E310:E317" si="33">+$F$309</f>
        <v>5</v>
      </c>
      <c r="G310" t="s">
        <v>272</v>
      </c>
      <c r="H310">
        <v>56</v>
      </c>
      <c r="I310" s="51">
        <v>261</v>
      </c>
    </row>
    <row r="311" spans="5:9" x14ac:dyDescent="0.25">
      <c r="E311">
        <f t="shared" si="33"/>
        <v>5</v>
      </c>
      <c r="G311" t="s">
        <v>273</v>
      </c>
      <c r="H311">
        <v>125</v>
      </c>
      <c r="I311" s="51">
        <v>261</v>
      </c>
    </row>
    <row r="312" spans="5:9" x14ac:dyDescent="0.25">
      <c r="E312">
        <f t="shared" si="33"/>
        <v>5</v>
      </c>
      <c r="G312" t="s">
        <v>274</v>
      </c>
      <c r="H312">
        <v>71</v>
      </c>
      <c r="I312" s="51">
        <v>261</v>
      </c>
    </row>
    <row r="313" spans="5:9" x14ac:dyDescent="0.25">
      <c r="E313">
        <f t="shared" si="33"/>
        <v>5</v>
      </c>
      <c r="G313" t="s">
        <v>275</v>
      </c>
      <c r="H313">
        <v>150</v>
      </c>
      <c r="I313" s="51">
        <v>261</v>
      </c>
    </row>
    <row r="314" spans="5:9" x14ac:dyDescent="0.25">
      <c r="E314">
        <f t="shared" si="33"/>
        <v>5</v>
      </c>
      <c r="G314" t="s">
        <v>276</v>
      </c>
      <c r="H314">
        <v>108</v>
      </c>
      <c r="I314" s="51">
        <v>261</v>
      </c>
    </row>
    <row r="315" spans="5:9" x14ac:dyDescent="0.25">
      <c r="E315">
        <f t="shared" si="33"/>
        <v>5</v>
      </c>
      <c r="G315" t="s">
        <v>277</v>
      </c>
      <c r="H315" s="51">
        <v>42</v>
      </c>
      <c r="I315" s="51">
        <v>261</v>
      </c>
    </row>
    <row r="316" spans="5:9" x14ac:dyDescent="0.25">
      <c r="E316">
        <f t="shared" si="33"/>
        <v>5</v>
      </c>
      <c r="G316" t="s">
        <v>278</v>
      </c>
      <c r="H316">
        <v>34</v>
      </c>
      <c r="I316" s="51">
        <v>261</v>
      </c>
    </row>
    <row r="317" spans="5:9" x14ac:dyDescent="0.25">
      <c r="E317">
        <f t="shared" si="33"/>
        <v>5</v>
      </c>
      <c r="G317" t="s">
        <v>279</v>
      </c>
      <c r="H317" s="51">
        <v>41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271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272</v>
      </c>
      <c r="H319" s="51">
        <v>4</v>
      </c>
      <c r="I319" s="51">
        <v>104</v>
      </c>
    </row>
    <row r="320" spans="5:9" x14ac:dyDescent="0.25">
      <c r="E320">
        <f t="shared" si="34"/>
        <v>52</v>
      </c>
      <c r="G320" t="s">
        <v>273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274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275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276</v>
      </c>
      <c r="I323" s="51">
        <v>104</v>
      </c>
    </row>
    <row r="324" spans="5:9" x14ac:dyDescent="0.25">
      <c r="E324">
        <f t="shared" si="34"/>
        <v>52</v>
      </c>
      <c r="G324" t="s">
        <v>277</v>
      </c>
      <c r="H324" s="51">
        <v>48</v>
      </c>
      <c r="I324" s="51">
        <v>104</v>
      </c>
    </row>
    <row r="325" spans="5:9" x14ac:dyDescent="0.25">
      <c r="E325">
        <f t="shared" si="34"/>
        <v>52</v>
      </c>
      <c r="G325" t="s">
        <v>278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279</v>
      </c>
      <c r="H326" s="51">
        <v>1</v>
      </c>
      <c r="I326" s="51">
        <v>104</v>
      </c>
    </row>
    <row r="327" spans="5:9" x14ac:dyDescent="0.25">
      <c r="E327">
        <f>+$F$327</f>
        <v>53</v>
      </c>
      <c r="F327">
        <v>53</v>
      </c>
      <c r="G327" t="s">
        <v>271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272</v>
      </c>
      <c r="H328">
        <v>5</v>
      </c>
      <c r="I328" s="51">
        <v>105</v>
      </c>
    </row>
    <row r="329" spans="5:9" x14ac:dyDescent="0.25">
      <c r="E329">
        <f t="shared" si="35"/>
        <v>53</v>
      </c>
      <c r="G329" t="s">
        <v>273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274</v>
      </c>
      <c r="I330" s="51">
        <v>105</v>
      </c>
    </row>
    <row r="331" spans="5:9" x14ac:dyDescent="0.25">
      <c r="E331">
        <f t="shared" si="35"/>
        <v>53</v>
      </c>
      <c r="G331" t="s">
        <v>275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276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277</v>
      </c>
      <c r="H333" s="51">
        <v>48</v>
      </c>
      <c r="I333" s="51">
        <v>105</v>
      </c>
    </row>
    <row r="334" spans="5:9" x14ac:dyDescent="0.25">
      <c r="E334">
        <f t="shared" si="35"/>
        <v>53</v>
      </c>
      <c r="G334" t="s">
        <v>278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279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271</v>
      </c>
      <c r="H336" s="51">
        <v>48</v>
      </c>
      <c r="I336" s="51">
        <v>199</v>
      </c>
    </row>
    <row r="337" spans="5:9" x14ac:dyDescent="0.25">
      <c r="E337">
        <f t="shared" ref="E337:E344" si="36">+$F$336</f>
        <v>54</v>
      </c>
      <c r="G337" t="s">
        <v>272</v>
      </c>
      <c r="H337" s="51">
        <v>40</v>
      </c>
      <c r="I337" s="51">
        <v>199</v>
      </c>
    </row>
    <row r="338" spans="5:9" x14ac:dyDescent="0.25">
      <c r="E338">
        <f t="shared" si="36"/>
        <v>54</v>
      </c>
      <c r="G338" t="s">
        <v>273</v>
      </c>
      <c r="H338" s="51">
        <v>87</v>
      </c>
      <c r="I338" s="51">
        <v>199</v>
      </c>
    </row>
    <row r="339" spans="5:9" x14ac:dyDescent="0.25">
      <c r="E339">
        <f t="shared" si="36"/>
        <v>54</v>
      </c>
      <c r="G339" t="s">
        <v>274</v>
      </c>
      <c r="H339" s="51">
        <v>69</v>
      </c>
      <c r="I339" s="51">
        <v>199</v>
      </c>
    </row>
    <row r="340" spans="5:9" x14ac:dyDescent="0.25">
      <c r="E340">
        <f t="shared" si="36"/>
        <v>54</v>
      </c>
      <c r="G340" t="s">
        <v>275</v>
      </c>
      <c r="H340">
        <v>94</v>
      </c>
      <c r="I340" s="51">
        <v>199</v>
      </c>
    </row>
    <row r="341" spans="5:9" x14ac:dyDescent="0.25">
      <c r="E341">
        <f t="shared" si="36"/>
        <v>54</v>
      </c>
      <c r="G341" t="s">
        <v>276</v>
      </c>
      <c r="H341" s="51">
        <v>63</v>
      </c>
      <c r="I341" s="51">
        <v>199</v>
      </c>
    </row>
    <row r="342" spans="5:9" x14ac:dyDescent="0.25">
      <c r="E342">
        <f t="shared" si="36"/>
        <v>54</v>
      </c>
      <c r="G342" t="s">
        <v>277</v>
      </c>
      <c r="H342" s="51">
        <v>25</v>
      </c>
      <c r="I342" s="51">
        <v>199</v>
      </c>
    </row>
    <row r="343" spans="5:9" x14ac:dyDescent="0.25">
      <c r="E343">
        <f t="shared" si="36"/>
        <v>54</v>
      </c>
      <c r="G343" t="s">
        <v>278</v>
      </c>
      <c r="H343" s="51">
        <v>34</v>
      </c>
      <c r="I343" s="51">
        <v>199</v>
      </c>
    </row>
    <row r="344" spans="5:9" x14ac:dyDescent="0.25">
      <c r="E344">
        <f t="shared" si="36"/>
        <v>54</v>
      </c>
      <c r="G344" t="s">
        <v>279</v>
      </c>
      <c r="H344" s="51">
        <v>30</v>
      </c>
      <c r="I344" s="51">
        <v>199</v>
      </c>
    </row>
    <row r="345" spans="5:9" x14ac:dyDescent="0.25">
      <c r="E345">
        <f>+$F$345</f>
        <v>56</v>
      </c>
      <c r="F345">
        <v>56</v>
      </c>
      <c r="G345" t="s">
        <v>271</v>
      </c>
      <c r="H345">
        <v>19</v>
      </c>
      <c r="I345" s="51">
        <v>198</v>
      </c>
    </row>
    <row r="346" spans="5:9" x14ac:dyDescent="0.25">
      <c r="E346">
        <f t="shared" ref="E346:E353" si="37">+$F$345</f>
        <v>56</v>
      </c>
      <c r="G346" t="s">
        <v>272</v>
      </c>
      <c r="H346" s="51">
        <v>10</v>
      </c>
      <c r="I346" s="51">
        <v>198</v>
      </c>
    </row>
    <row r="347" spans="5:9" x14ac:dyDescent="0.25">
      <c r="E347">
        <f t="shared" si="37"/>
        <v>56</v>
      </c>
      <c r="G347" t="s">
        <v>273</v>
      </c>
      <c r="H347" s="51">
        <v>53</v>
      </c>
      <c r="I347" s="51">
        <v>198</v>
      </c>
    </row>
    <row r="348" spans="5:9" x14ac:dyDescent="0.25">
      <c r="E348">
        <f t="shared" si="37"/>
        <v>56</v>
      </c>
      <c r="G348" t="s">
        <v>274</v>
      </c>
      <c r="H348">
        <v>26</v>
      </c>
      <c r="I348" s="51">
        <v>198</v>
      </c>
    </row>
    <row r="349" spans="5:9" x14ac:dyDescent="0.25">
      <c r="E349">
        <f t="shared" si="37"/>
        <v>56</v>
      </c>
      <c r="G349" t="s">
        <v>275</v>
      </c>
      <c r="H349" s="51">
        <v>33</v>
      </c>
      <c r="I349" s="51">
        <v>198</v>
      </c>
    </row>
    <row r="350" spans="5:9" x14ac:dyDescent="0.25">
      <c r="E350">
        <f t="shared" si="37"/>
        <v>56</v>
      </c>
      <c r="G350" t="s">
        <v>276</v>
      </c>
      <c r="H350" s="51">
        <v>26</v>
      </c>
      <c r="I350" s="51">
        <v>198</v>
      </c>
    </row>
    <row r="351" spans="5:9" x14ac:dyDescent="0.25">
      <c r="E351">
        <f t="shared" si="37"/>
        <v>56</v>
      </c>
      <c r="G351" t="s">
        <v>277</v>
      </c>
      <c r="H351" s="51">
        <v>37</v>
      </c>
      <c r="I351" s="51">
        <v>198</v>
      </c>
    </row>
    <row r="352" spans="5:9" x14ac:dyDescent="0.25">
      <c r="E352">
        <f t="shared" si="37"/>
        <v>56</v>
      </c>
      <c r="G352" t="s">
        <v>278</v>
      </c>
      <c r="H352">
        <v>14</v>
      </c>
      <c r="I352" s="51">
        <v>198</v>
      </c>
    </row>
    <row r="353" spans="5:9" x14ac:dyDescent="0.25">
      <c r="E353">
        <f t="shared" si="37"/>
        <v>56</v>
      </c>
      <c r="G353" t="s">
        <v>279</v>
      </c>
      <c r="H353" s="51">
        <v>16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271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272</v>
      </c>
      <c r="H355" s="51">
        <v>7</v>
      </c>
      <c r="I355" s="51">
        <v>105</v>
      </c>
    </row>
    <row r="356" spans="5:9" x14ac:dyDescent="0.25">
      <c r="E356">
        <f t="shared" si="38"/>
        <v>57</v>
      </c>
      <c r="G356" t="s">
        <v>273</v>
      </c>
      <c r="H356" s="51">
        <v>1</v>
      </c>
      <c r="I356" s="51">
        <v>105</v>
      </c>
    </row>
    <row r="357" spans="5:9" x14ac:dyDescent="0.25">
      <c r="E357">
        <f t="shared" si="38"/>
        <v>57</v>
      </c>
      <c r="G357" t="s">
        <v>274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275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276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277</v>
      </c>
      <c r="H360" s="51">
        <v>29</v>
      </c>
      <c r="I360" s="51">
        <v>105</v>
      </c>
    </row>
    <row r="361" spans="5:9" x14ac:dyDescent="0.25">
      <c r="E361">
        <f t="shared" si="38"/>
        <v>57</v>
      </c>
      <c r="G361" t="s">
        <v>278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279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271</v>
      </c>
      <c r="H363" s="51">
        <v>4</v>
      </c>
      <c r="I363" s="51">
        <v>122</v>
      </c>
    </row>
    <row r="364" spans="5:9" x14ac:dyDescent="0.25">
      <c r="E364">
        <f t="shared" ref="E364:E371" si="39">+$F$363</f>
        <v>58</v>
      </c>
      <c r="G364" t="s">
        <v>272</v>
      </c>
      <c r="H364" s="51">
        <v>12</v>
      </c>
      <c r="I364" s="51">
        <v>122</v>
      </c>
    </row>
    <row r="365" spans="5:9" x14ac:dyDescent="0.25">
      <c r="E365">
        <f t="shared" si="39"/>
        <v>58</v>
      </c>
      <c r="G365" t="s">
        <v>273</v>
      </c>
      <c r="H365" s="51">
        <v>9</v>
      </c>
      <c r="I365" s="51">
        <v>122</v>
      </c>
    </row>
    <row r="366" spans="5:9" x14ac:dyDescent="0.25">
      <c r="E366">
        <f t="shared" si="39"/>
        <v>58</v>
      </c>
      <c r="G366" t="s">
        <v>274</v>
      </c>
      <c r="H366" s="51">
        <v>19</v>
      </c>
      <c r="I366" s="51">
        <v>122</v>
      </c>
    </row>
    <row r="367" spans="5:9" x14ac:dyDescent="0.25">
      <c r="E367">
        <f t="shared" si="39"/>
        <v>58</v>
      </c>
      <c r="G367" t="s">
        <v>275</v>
      </c>
      <c r="H367" s="51">
        <v>20</v>
      </c>
      <c r="I367" s="51">
        <v>122</v>
      </c>
    </row>
    <row r="368" spans="5:9" x14ac:dyDescent="0.25">
      <c r="E368">
        <f t="shared" si="39"/>
        <v>58</v>
      </c>
      <c r="G368" t="s">
        <v>276</v>
      </c>
      <c r="H368" s="51">
        <v>24</v>
      </c>
      <c r="I368" s="51">
        <v>122</v>
      </c>
    </row>
    <row r="369" spans="5:9" x14ac:dyDescent="0.25">
      <c r="E369">
        <f t="shared" si="39"/>
        <v>58</v>
      </c>
      <c r="G369" t="s">
        <v>277</v>
      </c>
      <c r="H369" s="51">
        <v>7</v>
      </c>
      <c r="I369" s="51">
        <v>122</v>
      </c>
    </row>
    <row r="370" spans="5:9" x14ac:dyDescent="0.25">
      <c r="E370">
        <f t="shared" si="39"/>
        <v>58</v>
      </c>
      <c r="G370" t="s">
        <v>278</v>
      </c>
      <c r="H370" s="51">
        <v>5</v>
      </c>
      <c r="I370" s="51">
        <v>122</v>
      </c>
    </row>
    <row r="371" spans="5:9" x14ac:dyDescent="0.25">
      <c r="E371">
        <f t="shared" si="39"/>
        <v>58</v>
      </c>
      <c r="G371" t="s">
        <v>279</v>
      </c>
      <c r="H371" s="35">
        <v>6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271</v>
      </c>
      <c r="H372">
        <v>26</v>
      </c>
      <c r="I372">
        <v>126</v>
      </c>
    </row>
    <row r="373" spans="5:9" x14ac:dyDescent="0.25">
      <c r="E373">
        <f t="shared" ref="E373:E380" si="40">+$F$372</f>
        <v>59</v>
      </c>
      <c r="G373" t="s">
        <v>272</v>
      </c>
      <c r="H373">
        <v>19</v>
      </c>
      <c r="I373">
        <v>126</v>
      </c>
    </row>
    <row r="374" spans="5:9" x14ac:dyDescent="0.25">
      <c r="E374">
        <f t="shared" si="40"/>
        <v>59</v>
      </c>
      <c r="G374" t="s">
        <v>273</v>
      </c>
      <c r="H374">
        <v>14</v>
      </c>
      <c r="I374">
        <v>126</v>
      </c>
    </row>
    <row r="375" spans="5:9" x14ac:dyDescent="0.25">
      <c r="E375">
        <f t="shared" si="40"/>
        <v>59</v>
      </c>
      <c r="G375" t="s">
        <v>274</v>
      </c>
      <c r="H375">
        <v>30</v>
      </c>
      <c r="I375">
        <v>126</v>
      </c>
    </row>
    <row r="376" spans="5:9" x14ac:dyDescent="0.25">
      <c r="E376">
        <f t="shared" si="40"/>
        <v>59</v>
      </c>
      <c r="G376" t="s">
        <v>275</v>
      </c>
      <c r="H376">
        <v>35</v>
      </c>
      <c r="I376">
        <v>126</v>
      </c>
    </row>
    <row r="377" spans="5:9" x14ac:dyDescent="0.25">
      <c r="E377">
        <f t="shared" si="40"/>
        <v>59</v>
      </c>
      <c r="G377" t="s">
        <v>276</v>
      </c>
      <c r="H377">
        <v>26</v>
      </c>
      <c r="I377">
        <v>126</v>
      </c>
    </row>
    <row r="378" spans="5:9" x14ac:dyDescent="0.25">
      <c r="E378">
        <f t="shared" si="40"/>
        <v>59</v>
      </c>
      <c r="G378" t="s">
        <v>277</v>
      </c>
      <c r="H378">
        <v>8</v>
      </c>
      <c r="I378">
        <v>126</v>
      </c>
    </row>
    <row r="379" spans="5:9" x14ac:dyDescent="0.25">
      <c r="E379">
        <f t="shared" si="40"/>
        <v>59</v>
      </c>
      <c r="G379" t="s">
        <v>278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279</v>
      </c>
      <c r="H380">
        <v>3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271</v>
      </c>
      <c r="H381">
        <v>7</v>
      </c>
      <c r="I381">
        <v>56</v>
      </c>
    </row>
    <row r="382" spans="5:9" x14ac:dyDescent="0.25">
      <c r="E382">
        <f t="shared" ref="E382:E389" si="41">+$F$381</f>
        <v>60</v>
      </c>
      <c r="G382" t="s">
        <v>272</v>
      </c>
      <c r="H382">
        <v>6</v>
      </c>
      <c r="I382">
        <v>56</v>
      </c>
    </row>
    <row r="383" spans="5:9" x14ac:dyDescent="0.25">
      <c r="E383">
        <f t="shared" si="41"/>
        <v>60</v>
      </c>
      <c r="G383" t="s">
        <v>273</v>
      </c>
      <c r="H383">
        <v>10</v>
      </c>
      <c r="I383">
        <v>56</v>
      </c>
    </row>
    <row r="384" spans="5:9" x14ac:dyDescent="0.25">
      <c r="E384">
        <f t="shared" si="41"/>
        <v>60</v>
      </c>
      <c r="G384" t="s">
        <v>274</v>
      </c>
      <c r="H384">
        <v>5</v>
      </c>
      <c r="I384">
        <v>56</v>
      </c>
    </row>
    <row r="385" spans="5:9" x14ac:dyDescent="0.25">
      <c r="E385">
        <f t="shared" si="41"/>
        <v>60</v>
      </c>
      <c r="G385" t="s">
        <v>275</v>
      </c>
      <c r="H385">
        <v>5</v>
      </c>
      <c r="I385">
        <v>56</v>
      </c>
    </row>
    <row r="386" spans="5:9" x14ac:dyDescent="0.25">
      <c r="E386">
        <f t="shared" si="41"/>
        <v>60</v>
      </c>
      <c r="G386" t="s">
        <v>276</v>
      </c>
      <c r="H386">
        <v>5</v>
      </c>
      <c r="I386">
        <v>56</v>
      </c>
    </row>
    <row r="387" spans="5:9" x14ac:dyDescent="0.25">
      <c r="E387">
        <f t="shared" si="41"/>
        <v>60</v>
      </c>
      <c r="G387" t="s">
        <v>277</v>
      </c>
      <c r="I387">
        <v>56</v>
      </c>
    </row>
    <row r="388" spans="5:9" x14ac:dyDescent="0.25">
      <c r="E388">
        <f t="shared" si="41"/>
        <v>60</v>
      </c>
      <c r="G388" t="s">
        <v>278</v>
      </c>
      <c r="H388">
        <v>2</v>
      </c>
      <c r="I388">
        <v>56</v>
      </c>
    </row>
    <row r="389" spans="5:9" x14ac:dyDescent="0.25">
      <c r="E389">
        <f t="shared" si="41"/>
        <v>60</v>
      </c>
      <c r="G389" t="s">
        <v>279</v>
      </c>
      <c r="H389">
        <v>8</v>
      </c>
      <c r="I389">
        <v>56</v>
      </c>
    </row>
    <row r="390" spans="5:9" x14ac:dyDescent="0.25">
      <c r="E390">
        <f>+$F$390</f>
        <v>7</v>
      </c>
      <c r="F390">
        <v>7</v>
      </c>
      <c r="G390" t="s">
        <v>271</v>
      </c>
      <c r="H390">
        <v>2</v>
      </c>
      <c r="I390">
        <v>116</v>
      </c>
    </row>
    <row r="391" spans="5:9" x14ac:dyDescent="0.25">
      <c r="E391">
        <f t="shared" ref="E391:E398" si="42">+$F$390</f>
        <v>7</v>
      </c>
      <c r="G391" t="s">
        <v>272</v>
      </c>
      <c r="H391">
        <v>2</v>
      </c>
      <c r="I391">
        <v>116</v>
      </c>
    </row>
    <row r="392" spans="5:9" x14ac:dyDescent="0.25">
      <c r="E392">
        <f t="shared" si="42"/>
        <v>7</v>
      </c>
      <c r="G392" t="s">
        <v>273</v>
      </c>
      <c r="H392">
        <v>6</v>
      </c>
      <c r="I392">
        <v>116</v>
      </c>
    </row>
    <row r="393" spans="5:9" x14ac:dyDescent="0.25">
      <c r="E393">
        <f t="shared" si="42"/>
        <v>7</v>
      </c>
      <c r="G393" t="s">
        <v>274</v>
      </c>
      <c r="I393">
        <v>116</v>
      </c>
    </row>
    <row r="394" spans="5:9" x14ac:dyDescent="0.25">
      <c r="E394">
        <f t="shared" si="42"/>
        <v>7</v>
      </c>
      <c r="G394" t="s">
        <v>275</v>
      </c>
      <c r="H394">
        <v>5</v>
      </c>
      <c r="I394">
        <v>116</v>
      </c>
    </row>
    <row r="395" spans="5:9" x14ac:dyDescent="0.25">
      <c r="E395">
        <f t="shared" si="42"/>
        <v>7</v>
      </c>
      <c r="G395" t="s">
        <v>276</v>
      </c>
      <c r="H395">
        <v>1</v>
      </c>
      <c r="I395">
        <v>116</v>
      </c>
    </row>
    <row r="396" spans="5:9" x14ac:dyDescent="0.25">
      <c r="E396">
        <f t="shared" si="42"/>
        <v>7</v>
      </c>
      <c r="G396" t="s">
        <v>277</v>
      </c>
      <c r="H396">
        <v>11</v>
      </c>
      <c r="I396">
        <v>116</v>
      </c>
    </row>
    <row r="397" spans="5:9" x14ac:dyDescent="0.25">
      <c r="E397">
        <f t="shared" si="42"/>
        <v>7</v>
      </c>
      <c r="G397" t="s">
        <v>278</v>
      </c>
      <c r="H397">
        <v>3</v>
      </c>
      <c r="I397">
        <v>116</v>
      </c>
    </row>
    <row r="398" spans="5:9" x14ac:dyDescent="0.25">
      <c r="E398">
        <f t="shared" si="42"/>
        <v>7</v>
      </c>
      <c r="G398" t="s">
        <v>279</v>
      </c>
      <c r="H398">
        <v>6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271</v>
      </c>
      <c r="H399">
        <v>31</v>
      </c>
      <c r="I399">
        <v>195</v>
      </c>
    </row>
    <row r="400" spans="5:9" x14ac:dyDescent="0.25">
      <c r="E400">
        <f t="shared" ref="E400:E407" si="43">+$F$399</f>
        <v>8</v>
      </c>
      <c r="G400" t="s">
        <v>272</v>
      </c>
      <c r="H400">
        <v>19</v>
      </c>
      <c r="I400">
        <v>195</v>
      </c>
    </row>
    <row r="401" spans="5:9" x14ac:dyDescent="0.25">
      <c r="E401">
        <f t="shared" si="43"/>
        <v>8</v>
      </c>
      <c r="G401" t="s">
        <v>273</v>
      </c>
      <c r="H401">
        <v>58</v>
      </c>
      <c r="I401">
        <v>195</v>
      </c>
    </row>
    <row r="402" spans="5:9" x14ac:dyDescent="0.25">
      <c r="E402">
        <f t="shared" si="43"/>
        <v>8</v>
      </c>
      <c r="G402" t="s">
        <v>274</v>
      </c>
      <c r="H402">
        <v>39</v>
      </c>
      <c r="I402">
        <v>195</v>
      </c>
    </row>
    <row r="403" spans="5:9" x14ac:dyDescent="0.25">
      <c r="E403">
        <f t="shared" si="43"/>
        <v>8</v>
      </c>
      <c r="G403" t="s">
        <v>275</v>
      </c>
      <c r="H403">
        <v>74</v>
      </c>
      <c r="I403">
        <v>195</v>
      </c>
    </row>
    <row r="404" spans="5:9" x14ac:dyDescent="0.25">
      <c r="E404">
        <f t="shared" si="43"/>
        <v>8</v>
      </c>
      <c r="G404" t="s">
        <v>276</v>
      </c>
      <c r="H404">
        <v>50</v>
      </c>
      <c r="I404">
        <v>195</v>
      </c>
    </row>
    <row r="405" spans="5:9" x14ac:dyDescent="0.25">
      <c r="E405">
        <f t="shared" si="43"/>
        <v>8</v>
      </c>
      <c r="G405" t="s">
        <v>277</v>
      </c>
      <c r="H405">
        <v>10</v>
      </c>
      <c r="I405">
        <v>195</v>
      </c>
    </row>
    <row r="406" spans="5:9" x14ac:dyDescent="0.25">
      <c r="E406">
        <f t="shared" si="43"/>
        <v>8</v>
      </c>
      <c r="G406" t="s">
        <v>278</v>
      </c>
      <c r="H406">
        <v>17</v>
      </c>
      <c r="I406">
        <v>195</v>
      </c>
    </row>
    <row r="407" spans="5:9" x14ac:dyDescent="0.25">
      <c r="E407">
        <f t="shared" si="43"/>
        <v>8</v>
      </c>
      <c r="G407" t="s">
        <v>279</v>
      </c>
      <c r="H407">
        <v>25</v>
      </c>
      <c r="I407">
        <v>195</v>
      </c>
    </row>
    <row r="408" spans="5:9" x14ac:dyDescent="0.25">
      <c r="E408">
        <f>+$F$408</f>
        <v>9</v>
      </c>
      <c r="F408">
        <v>9</v>
      </c>
      <c r="G408" t="s">
        <v>271</v>
      </c>
      <c r="H408">
        <v>32</v>
      </c>
      <c r="I408">
        <v>156</v>
      </c>
    </row>
    <row r="409" spans="5:9" x14ac:dyDescent="0.25">
      <c r="E409">
        <f t="shared" ref="E409:E416" si="44">+$F$408</f>
        <v>9</v>
      </c>
      <c r="G409" t="s">
        <v>272</v>
      </c>
      <c r="H409">
        <v>35</v>
      </c>
      <c r="I409">
        <v>156</v>
      </c>
    </row>
    <row r="410" spans="5:9" x14ac:dyDescent="0.25">
      <c r="E410">
        <f t="shared" si="44"/>
        <v>9</v>
      </c>
      <c r="G410" t="s">
        <v>273</v>
      </c>
      <c r="H410">
        <v>46</v>
      </c>
      <c r="I410">
        <v>156</v>
      </c>
    </row>
    <row r="411" spans="5:9" x14ac:dyDescent="0.25">
      <c r="E411">
        <f t="shared" si="44"/>
        <v>9</v>
      </c>
      <c r="G411" t="s">
        <v>274</v>
      </c>
      <c r="H411">
        <v>42</v>
      </c>
      <c r="I411">
        <v>156</v>
      </c>
    </row>
    <row r="412" spans="5:9" x14ac:dyDescent="0.25">
      <c r="E412">
        <f t="shared" si="44"/>
        <v>9</v>
      </c>
      <c r="G412" t="s">
        <v>275</v>
      </c>
      <c r="H412">
        <v>72</v>
      </c>
      <c r="I412">
        <v>156</v>
      </c>
    </row>
    <row r="413" spans="5:9" x14ac:dyDescent="0.25">
      <c r="E413">
        <f t="shared" si="44"/>
        <v>9</v>
      </c>
      <c r="G413" t="s">
        <v>276</v>
      </c>
      <c r="H413">
        <v>51</v>
      </c>
      <c r="I413">
        <v>156</v>
      </c>
    </row>
    <row r="414" spans="5:9" x14ac:dyDescent="0.25">
      <c r="E414">
        <f t="shared" si="44"/>
        <v>9</v>
      </c>
      <c r="G414" t="s">
        <v>277</v>
      </c>
      <c r="H414">
        <v>9</v>
      </c>
      <c r="I414">
        <v>156</v>
      </c>
    </row>
    <row r="415" spans="5:9" x14ac:dyDescent="0.25">
      <c r="E415">
        <f t="shared" si="44"/>
        <v>9</v>
      </c>
      <c r="G415" t="s">
        <v>278</v>
      </c>
      <c r="H415">
        <v>18</v>
      </c>
      <c r="I415">
        <v>156</v>
      </c>
    </row>
    <row r="416" spans="5:9" x14ac:dyDescent="0.25">
      <c r="E416">
        <f t="shared" si="44"/>
        <v>9</v>
      </c>
      <c r="G416" t="s">
        <v>279</v>
      </c>
      <c r="H416">
        <v>28</v>
      </c>
      <c r="I416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2" t="s">
        <v>228</v>
      </c>
      <c r="C1" s="133"/>
      <c r="D1" s="134" t="s">
        <v>229</v>
      </c>
    </row>
    <row r="2" spans="1:4" x14ac:dyDescent="0.25">
      <c r="A2" s="135" t="s">
        <v>230</v>
      </c>
      <c r="B2" s="135" t="str">
        <f>+AVANCE!B16</f>
        <v>2 - OJEDA NORBERTO</v>
      </c>
      <c r="C2" s="133"/>
      <c r="D2" s="133">
        <v>0.16083260995370369</v>
      </c>
    </row>
    <row r="3" spans="1:4" x14ac:dyDescent="0.25">
      <c r="A3" s="135" t="s">
        <v>231</v>
      </c>
      <c r="B3" s="135" t="str">
        <f>+AVANCE!B17</f>
        <v>3 - VIDAL NAHUEL</v>
      </c>
      <c r="C3" s="133"/>
      <c r="D3" s="133">
        <v>0.26214838927469131</v>
      </c>
    </row>
    <row r="4" spans="1:4" x14ac:dyDescent="0.25">
      <c r="A4" s="135" t="s">
        <v>232</v>
      </c>
      <c r="B4" s="135" t="str">
        <f>+AVANCE!B18</f>
        <v>18 - HERRERA PABLO</v>
      </c>
      <c r="C4" s="133"/>
      <c r="D4" s="133">
        <v>0.24214395254629628</v>
      </c>
    </row>
    <row r="5" spans="1:4" x14ac:dyDescent="0.25">
      <c r="A5" s="135" t="s">
        <v>233</v>
      </c>
      <c r="B5" s="135" t="str">
        <f>+AVANCE!B19</f>
        <v>21 - CATAN MATIAS</v>
      </c>
      <c r="C5" s="133"/>
      <c r="D5" s="133">
        <v>0.24788913001543211</v>
      </c>
    </row>
    <row r="6" spans="1:4" x14ac:dyDescent="0.25">
      <c r="A6" s="135" t="s">
        <v>234</v>
      </c>
      <c r="B6" s="135" t="str">
        <f>+AVANCE!B20</f>
        <v>23 - DELGADO JOSÉ</v>
      </c>
      <c r="C6" s="133"/>
      <c r="D6" s="133">
        <v>0.20494651813271603</v>
      </c>
    </row>
    <row r="7" spans="1:4" x14ac:dyDescent="0.25">
      <c r="A7" s="135" t="s">
        <v>235</v>
      </c>
      <c r="B7" s="135" t="str">
        <f>+AVANCE!B21</f>
        <v>31 - RENZO RAMOS</v>
      </c>
      <c r="C7" s="133"/>
      <c r="D7" s="133">
        <v>0.23621368634259263</v>
      </c>
    </row>
    <row r="8" spans="1:4" x14ac:dyDescent="0.25">
      <c r="A8" s="135" t="s">
        <v>236</v>
      </c>
      <c r="B8" s="135" t="str">
        <f>+AVANCE!B22</f>
        <v>44 - MONGES CESAR LUIS</v>
      </c>
      <c r="C8" s="133"/>
      <c r="D8" s="133">
        <v>0.2312447916666667</v>
      </c>
    </row>
    <row r="9" spans="1:4" x14ac:dyDescent="0.25">
      <c r="A9" s="135" t="s">
        <v>237</v>
      </c>
      <c r="B9" s="135" t="str">
        <f>+AVANCE!B23</f>
        <v>54 - BARTSCHAT EMILIANO NAHUEL</v>
      </c>
      <c r="C9" s="133"/>
      <c r="D9" s="133">
        <v>0.22072410300925926</v>
      </c>
    </row>
    <row r="10" spans="1:4" x14ac:dyDescent="0.25">
      <c r="A10" s="135" t="s">
        <v>238</v>
      </c>
      <c r="B10" s="135" t="str">
        <f>+AVANCE!B42</f>
        <v>56 - JUAN ANDRES SANCHEZ</v>
      </c>
      <c r="C10" s="133"/>
      <c r="D10" s="133">
        <v>8.559919945987654E-2</v>
      </c>
    </row>
    <row r="11" spans="1:4" x14ac:dyDescent="0.25">
      <c r="A11" s="135" t="s">
        <v>239</v>
      </c>
      <c r="B11" s="135" t="str">
        <f>+AVANCE!B9</f>
        <v>4 - TUR SPRINGER FERNANDO</v>
      </c>
      <c r="C11" s="133"/>
      <c r="D11" s="133">
        <v>0.24326070601851851</v>
      </c>
    </row>
    <row r="12" spans="1:4" x14ac:dyDescent="0.25">
      <c r="A12" s="135" t="s">
        <v>240</v>
      </c>
      <c r="B12" s="135" t="str">
        <f>+AVANCE!B8</f>
        <v>5 - SCHELOVER RAUL</v>
      </c>
      <c r="C12" s="133"/>
      <c r="D12" s="133">
        <v>0.28180478395061725</v>
      </c>
    </row>
    <row r="13" spans="1:4" x14ac:dyDescent="0.25">
      <c r="A13" s="135" t="s">
        <v>241</v>
      </c>
      <c r="B13" s="135" t="str">
        <f>+AVANCE!B7</f>
        <v>8 - PARRA MAXIMILIANO</v>
      </c>
      <c r="C13" s="133"/>
      <c r="D13" s="133">
        <v>0.24319984567901232</v>
      </c>
    </row>
    <row r="14" spans="1:4" x14ac:dyDescent="0.25">
      <c r="A14" s="135" t="s">
        <v>242</v>
      </c>
      <c r="B14" s="135" t="str">
        <f>+AVANCE!B6</f>
        <v>11 - SANCHEZ RICARDO</v>
      </c>
      <c r="C14" s="133"/>
      <c r="D14" s="133">
        <v>0.26286467978395062</v>
      </c>
    </row>
    <row r="15" spans="1:4" x14ac:dyDescent="0.25">
      <c r="A15" s="135" t="s">
        <v>243</v>
      </c>
      <c r="B15" s="135" t="str">
        <f>+AVANCE!B5</f>
        <v>12 - GUTIERREZ MARCOS DAVID</v>
      </c>
      <c r="C15" s="133"/>
      <c r="D15" s="133">
        <v>0.22532214506172837</v>
      </c>
    </row>
    <row r="16" spans="1:4" x14ac:dyDescent="0.25">
      <c r="A16" s="135" t="s">
        <v>244</v>
      </c>
      <c r="B16" s="135" t="str">
        <f>+AVANCE!B4</f>
        <v>16 - GOMEZ MATÍAS</v>
      </c>
      <c r="C16" s="133"/>
      <c r="D16" s="133">
        <v>0.22666825810185184</v>
      </c>
    </row>
    <row r="17" spans="1:4" x14ac:dyDescent="0.25">
      <c r="A17" s="135" t="s">
        <v>245</v>
      </c>
      <c r="B17" s="135" t="str">
        <f>+AVANCE!B3</f>
        <v>19 - GONZALEZ MARCELO</v>
      </c>
      <c r="C17" s="133"/>
      <c r="D17" s="133">
        <v>0.24244675925925924</v>
      </c>
    </row>
    <row r="18" spans="1:4" x14ac:dyDescent="0.25">
      <c r="A18" s="135" t="s">
        <v>246</v>
      </c>
      <c r="B18" s="135" t="str">
        <f>+AVANCE!B2</f>
        <v>20 - FLORES JAVIER</v>
      </c>
      <c r="C18" s="133"/>
      <c r="D18" s="133">
        <v>0.24473693094135801</v>
      </c>
    </row>
    <row r="19" spans="1:4" x14ac:dyDescent="0.25">
      <c r="A19" s="135" t="s">
        <v>247</v>
      </c>
      <c r="B19" s="135" t="str">
        <f>+AVANCE!B41</f>
        <v>49 - ESCOBAR RAÚL</v>
      </c>
      <c r="C19" s="133"/>
      <c r="D19" s="133">
        <v>0.2380172164351852</v>
      </c>
    </row>
    <row r="20" spans="1:4" x14ac:dyDescent="0.25">
      <c r="A20" s="135" t="s">
        <v>248</v>
      </c>
      <c r="B20" s="135" t="str">
        <f>+AVANCE!B37</f>
        <v>1 - VERA ERNESTO</v>
      </c>
      <c r="C20" s="133"/>
      <c r="D20" s="133">
        <v>0.28236154513888889</v>
      </c>
    </row>
    <row r="21" spans="1:4" x14ac:dyDescent="0.25">
      <c r="A21" s="135" t="s">
        <v>249</v>
      </c>
      <c r="B21" s="135" t="str">
        <f>+AVANCE!B27</f>
        <v>9 - ESTIGARRIBIA DAVID</v>
      </c>
      <c r="C21" s="133"/>
      <c r="D21" s="133">
        <v>0.23167226080246914</v>
      </c>
    </row>
    <row r="22" spans="1:4" x14ac:dyDescent="0.25">
      <c r="A22" s="135" t="s">
        <v>250</v>
      </c>
      <c r="B22" s="135" t="str">
        <f>+AVANCE!B30</f>
        <v>10 - BRITEZ EMMANUEL</v>
      </c>
      <c r="C22" s="133"/>
      <c r="D22" s="133">
        <v>0.22147540509259256</v>
      </c>
    </row>
    <row r="23" spans="1:4" x14ac:dyDescent="0.25">
      <c r="A23" s="135" t="s">
        <v>251</v>
      </c>
      <c r="B23" s="135" t="str">
        <f>+AVANCE!B34</f>
        <v>24 - SOLIS EMMANUEL</v>
      </c>
      <c r="C23" s="133"/>
      <c r="D23" s="133">
        <v>0.18897858796296294</v>
      </c>
    </row>
    <row r="24" spans="1:4" x14ac:dyDescent="0.25">
      <c r="A24" s="135" t="s">
        <v>252</v>
      </c>
      <c r="B24" s="135" t="str">
        <f>+AVANCE!B29</f>
        <v>27 - GOMEZ ADRIÁN</v>
      </c>
      <c r="C24" s="133"/>
      <c r="D24" s="133">
        <v>0.24644642168209879</v>
      </c>
    </row>
    <row r="25" spans="1:4" x14ac:dyDescent="0.25">
      <c r="A25" s="135" t="s">
        <v>253</v>
      </c>
      <c r="B25" s="135" t="str">
        <f>+AVANCE!B31</f>
        <v>28 - GOMEZ PABLO</v>
      </c>
      <c r="C25" s="133"/>
      <c r="D25" s="133">
        <v>0.19603804976851857</v>
      </c>
    </row>
    <row r="26" spans="1:4" x14ac:dyDescent="0.25">
      <c r="A26" s="135" t="s">
        <v>254</v>
      </c>
      <c r="B26" s="135" t="str">
        <f>+AVANCE!B32</f>
        <v>33 - NICOLAS AZULA</v>
      </c>
      <c r="C26" s="133"/>
      <c r="D26" s="133">
        <v>0.2286395640432099</v>
      </c>
    </row>
    <row r="27" spans="1:4" x14ac:dyDescent="0.25">
      <c r="A27" s="135" t="s">
        <v>255</v>
      </c>
      <c r="B27" s="135" t="str">
        <f>+AVANCE!B26</f>
        <v>36 - COSARINSKI DIEGO</v>
      </c>
      <c r="C27" s="133"/>
      <c r="D27" s="133">
        <v>0.22821122685185183</v>
      </c>
    </row>
    <row r="28" spans="1:4" x14ac:dyDescent="0.25">
      <c r="A28" s="135" t="s">
        <v>256</v>
      </c>
      <c r="B28" s="135" t="str">
        <f>+AVANCE!B33</f>
        <v>37 - SALAJ EMILIO</v>
      </c>
      <c r="C28" s="133"/>
      <c r="D28" s="133">
        <v>0.25227083333333333</v>
      </c>
    </row>
    <row r="29" spans="1:4" x14ac:dyDescent="0.25">
      <c r="A29" s="135" t="s">
        <v>257</v>
      </c>
      <c r="B29" s="135" t="str">
        <f>+AVANCE!B28</f>
        <v>40 - IBARROLA JORGE</v>
      </c>
      <c r="C29" s="133"/>
      <c r="D29" s="133">
        <v>0.20556351273148149</v>
      </c>
    </row>
    <row r="30" spans="1:4" x14ac:dyDescent="0.25">
      <c r="A30" s="135" t="s">
        <v>258</v>
      </c>
      <c r="B30" s="135" t="str">
        <f>+AVANCE!B13</f>
        <v>52 - RAVAROTTO EMANUEL</v>
      </c>
      <c r="C30" s="133"/>
      <c r="D30" s="133">
        <v>0.19852970679012347</v>
      </c>
    </row>
    <row r="31" spans="1:4" x14ac:dyDescent="0.25">
      <c r="A31" s="135" t="s">
        <v>259</v>
      </c>
      <c r="B31" s="135" t="str">
        <f>+AVANCE!B14</f>
        <v>53 - SANDOVAL RODRIGO</v>
      </c>
      <c r="C31" s="133"/>
      <c r="D31" s="133">
        <v>0.2007981288580247</v>
      </c>
    </row>
    <row r="32" spans="1:4" x14ac:dyDescent="0.25">
      <c r="A32" s="135" t="s">
        <v>260</v>
      </c>
      <c r="B32" s="135" t="str">
        <f>+AVANCE!B12</f>
        <v>15 - GALARZA GERARDO</v>
      </c>
      <c r="C32" s="133"/>
      <c r="D32" s="133">
        <v>0.14457961998456786</v>
      </c>
    </row>
    <row r="33" spans="1:4" x14ac:dyDescent="0.25">
      <c r="A33" s="135" t="s">
        <v>261</v>
      </c>
      <c r="B33" s="135" t="str">
        <f>+AVANCE!B11</f>
        <v>22 - ALMIRON NICOLAS</v>
      </c>
      <c r="C33" s="133"/>
      <c r="D33" s="133">
        <v>0.19264414544753089</v>
      </c>
    </row>
    <row r="34" spans="1:4" x14ac:dyDescent="0.25">
      <c r="A34" s="135" t="s">
        <v>262</v>
      </c>
      <c r="B34" s="135" t="str">
        <f>+AVANCE!B35</f>
        <v>7 - VALLEJOS EDUARDO</v>
      </c>
      <c r="C34" s="133"/>
      <c r="D34" s="133">
        <v>9.0219666280864197E-2</v>
      </c>
    </row>
    <row r="35" spans="1:4" x14ac:dyDescent="0.25">
      <c r="A35" s="135" t="s">
        <v>263</v>
      </c>
      <c r="B35" s="135" t="str">
        <f>+AVANCE!B25</f>
        <v>32 - CABRAL GONZALO</v>
      </c>
      <c r="C35" s="133"/>
      <c r="D35" s="133">
        <v>0.12245081018518519</v>
      </c>
    </row>
    <row r="36" spans="1:4" x14ac:dyDescent="0.25">
      <c r="A36" s="135" t="s">
        <v>264</v>
      </c>
      <c r="B36" s="135" t="str">
        <f>+AVANCE!B36</f>
        <v>57 - ROUBINEAU SEBASTIAN</v>
      </c>
      <c r="C36" s="133"/>
      <c r="D36" s="133">
        <v>0.1445563271604938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101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101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101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101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205</v>
      </c>
      <c r="P1" s="83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206</v>
      </c>
      <c r="B2" s="69" t="s">
        <v>94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51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93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51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91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51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89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51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209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51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85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51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84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51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83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51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51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207</v>
      </c>
      <c r="B11" s="69" t="s">
        <v>96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51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106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51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90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51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111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51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107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2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0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208</v>
      </c>
      <c r="B17" s="69" t="s">
        <v>81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51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82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51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92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51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95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51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97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51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100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51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160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51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108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51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139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2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0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226</v>
      </c>
      <c r="B27" s="69" t="s">
        <v>211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51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213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51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86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51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212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51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98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51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210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51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99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51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138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51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103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51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204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51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110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51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214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51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80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2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145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206</v>
      </c>
      <c r="B2" s="69" t="s">
        <v>94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93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91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89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209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85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84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83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207</v>
      </c>
      <c r="B11" s="69" t="s">
        <v>96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106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90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111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107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208</v>
      </c>
      <c r="B17" s="69" t="s">
        <v>81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82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92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95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97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219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160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220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139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216</v>
      </c>
      <c r="B27" s="69" t="s">
        <v>211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213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86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212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98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210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99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138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103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204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110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214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80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144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145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2026-07-21T17:58:17Z</dcterms:modified>
</cp:coreProperties>
</file>