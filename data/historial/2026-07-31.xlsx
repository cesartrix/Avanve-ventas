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B81A49C1-4B6C-4BF6-8E44-488A43635F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<sst xmlns="http://schemas.openxmlformats.org/spreadsheetml/2006/main" count="1553" uniqueCount="286">
  <si>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</si>
  <si>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</si>
  <si>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</si>
  <si>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</si>
  <si>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</si>
  <si>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</si>
  <si>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</si>
  <si>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</si>
  <si>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</si>
  <si>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</si>
  <si>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</si>
  <si>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</si>
  <si>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</si>
  <si>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</si>
  <si>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</si>
  <si>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</si>
  <si>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</si>
  <si>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</si>
  <si>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</si>
  <si>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</si>
  <si>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</si>
  <si>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</si>
  <si>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</si>
  <si>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</si>
  <si>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</si>
  <si>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</si>
  <si>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</si>
  <si>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</si>
  <si>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</si>
  <si>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</si>
  <si>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</si>
  <si>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</si>
  <si>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</si>
  <si>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</si>
  <si>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</si>
  <si>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</si>
  <si>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</si>
  <si>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</si>
  <si>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</si>
  <si>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</si>
  <si>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</si>
  <si>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</si>
  <si>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</si>
  <si>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</si>
  <si>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</si>
  <si>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</si>
  <si>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</si>
  <si>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</si>
  <si>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</si>
  <si>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</si>
  <si>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</si>
  <si>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</si>
  <si>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</si>
  <si>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</si>
  <si>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</si>
  <si>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</si>
  <si>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</si>
  <si>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</si>
  <si>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</si>
  <si>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</si>
  <si>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</si>
  <si>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</si>
  <si>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</si>
  <si>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</si>
  <si>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</si>
  <si>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</si>
  <si>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</si>
  <si>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</si>
  <si>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</si>
  <si>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</si>
  <si>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</si>
  <si>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</si>
  <si>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</si>
  <si>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</si>
  <si>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</si>
  <si>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</si>
  <si>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</si>
  <si>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</si>
  <si>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</si>
  <si>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</si>
  <si>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</si>
  <si>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</si>
  <si>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</si>
  <si>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</si>
  <si>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</si>
  <si>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</si>
  <si>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</si>
  <si>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</si>
  <si>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</si>
  <si>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</si>
  <si>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</si>
  <si>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</si>
  <si>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</si>
  <si>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</si>
  <si>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</si>
  <si>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</si>
  <si>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</si>
  <si>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</si>
  <si>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</si>
  <si>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</si>
  <si>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</si>
  <si>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</si>
  <si>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</si>
  <si>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</si>
  <si>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</si>
  <si>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</si>
  <si>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</si>
  <si>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</si>
  <si>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</si>
  <si>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</si>
  <si>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</si>
  <si>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</si>
  <si>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</si>
  <si>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</si>
  <si>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</si>
  <si>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</si>
  <si>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</si>
  <si>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</si>
  <si>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</si>
  <si>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</si>
  <si>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</si>
  <si>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</si>
  <si>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</si>
  <si>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</si>
  <si>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</si>
  <si>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</si>
  <si>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</si>
  <si>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</si>
  <si>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</si>
  <si>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</si>
  <si>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</si>
  <si>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</si>
  <si>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</si>
  <si>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</si>
  <si>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</si>
  <si>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</si>
  <si>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</si>
  <si>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</si>
  <si>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</si>
  <si>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</si>
  <si>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</si>
  <si>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</si>
  <si>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</si>
  <si>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</si>
  <si>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</si>
  <si>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</si>
  <si>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</si>
  <si>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</si>
  <si>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</si>
  <si>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</si>
  <si>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</si>
  <si>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</si>
  <si>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</si>
  <si>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</si>
  <si>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</si>
  <si>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</si>
  <si>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</si>
  <si>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</si>
  <si>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</si>
  <si>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</si>
  <si>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</si>
  <si>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</si>
  <si>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</si>
  <si>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</si>
  <si>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</si>
  <si>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</si>
  <si>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</si>
  <si>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</si>
  <si>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</si>
  <si>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</si>
  <si>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</si>
  <si>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</si>
  <si>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</si>
  <si>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</si>
  <si>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</si>
  <si>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</si>
  <si>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</si>
  <si>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</si>
  <si>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</si>
  <si>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</si>
  <si>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</si>
  <si>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</si>
  <si>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</si>
  <si>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</si>
  <si>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</si>
  <si>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</si>
  <si>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</si>
  <si>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</si>
  <si>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</si>
  <si>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</si>
  <si>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</si>
  <si>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</si>
  <si>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</si>
  <si>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</si>
  <si>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</si>
  <si>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</si>
  <si>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</si>
  <si>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</si>
  <si>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</si>
  <si>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</si>
  <si>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</si>
  <si>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</si>
  <si>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</si>
  <si>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</si>
  <si>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</si>
  <si>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</si>
  <si>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</si>
  <si>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</si>
  <si>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</si>
  <si>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</si>
  <si>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</si>
  <si>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</si>
  <si>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</si>
  <si>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</si>
  <si>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</si>
  <si>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</si>
  <si>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</si>
  <si>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</si>
  <si>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</si>
  <si>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</si>
  <si>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</si>
  <si>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</si>
  <si>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</si>
  <si>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</si>
  <si>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</si>
  <si>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</si>
  <si>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</si>
  <si>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</si>
  <si>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</si>
  <si>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</si>
  <si>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</si>
  <si>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</si>
  <si>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</si>
  <si>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</si>
  <si>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</si>
  <si>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</si>
  <si>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</si>
  <si>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</si>
  <si>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</si>
  <si>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</si>
  <si>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</si>
  <si>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</si>
  <si>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</si>
  <si>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</si>
  <si>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</si>
  <si>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</si>
  <si>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</si>
  <si>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</si>
  <si>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</si>
  <si>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</si>
  <si>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</si>
  <si>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</si>
  <si>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</si>
  <si>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</si>
  <si>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</si>
  <si>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</si>
  <si>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</si>
  <si>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</si>
  <si>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</si>
  <si>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</si>
  <si>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</si>
  <si>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</si>
  <si>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</si>
  <si>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</si>
  <si>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</si>
  <si>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</si>
  <si>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</si>
  <si>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</si>
  <si>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</si>
  <si>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</si>
  <si>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</si>
  <si>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</si>
  <si>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</si>
  <si>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</si>
  <si>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</si>
  <si>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</si>
  <si>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</si>
  <si>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142 - ALMACEN</t>
  </si>
  <si>
    <t>142 - Articulos Sin Asociar Agrupacion</t>
  </si>
  <si>
    <t>142 - BEBIDAS</t>
  </si>
  <si>
    <t>142 - CHOCOLATE</t>
  </si>
  <si>
    <t>142 - GALLETITAS</t>
  </si>
  <si>
    <t>142 - GOLOSINAS</t>
  </si>
  <si>
    <t>142 - MASCOTAS</t>
  </si>
  <si>
    <t>142 - NO PERECEDEROS</t>
  </si>
  <si>
    <t>142 -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</si>
</sst>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2" t="s">
        <v>75</v>
      </c>
      <c r="B1" s="152" t="s">
        <v>146</v>
      </c>
      <c r="C1" s="152" t="s">
        <v>147</v>
      </c>
      <c r="D1" s="152" t="s">
        <v>148</v>
      </c>
      <c r="E1" s="152" t="s">
        <v>149</v>
      </c>
      <c r="F1" s="152" t="s">
        <v>150</v>
      </c>
      <c r="G1" s="152" t="s">
        <v>151</v>
      </c>
      <c r="H1" s="152" t="s">
        <v>152</v>
      </c>
    </row>
    <row r="2" spans="1:8" x14ac:dyDescent="0.25">
      <c r="A2" s="151" t="s">
        <v>153</v>
      </c>
      <c r="B2" s="151">
        <v>0</v>
      </c>
      <c r="C2" s="151">
        <v>103851.0797880974</v>
      </c>
      <c r="D2" s="151">
        <v>466435.22175916191</v>
      </c>
      <c r="E2" s="151">
        <v>1813784921.6219954</v>
      </c>
      <c r="F2" s="151">
        <v>0</v>
      </c>
      <c r="G2" s="151">
        <v>813755.73684080725</v>
      </c>
      <c r="H2" s="151">
        <v>813755.51</v>
      </c>
    </row>
    <row r="3" spans="1:8" x14ac:dyDescent="0.25">
      <c r="A3" s="151" t="s">
        <v>80</v>
      </c>
      <c r="B3" s="151">
        <v>1</v>
      </c>
      <c r="C3" s="151">
        <v>1195.5265744600999</v>
      </c>
      <c r="D3" s="151">
        <v>1923.4132976211999</v>
      </c>
      <c r="E3" s="151">
        <v>27139492.228026818</v>
      </c>
      <c r="F3" s="151">
        <v>0</v>
      </c>
      <c r="G3" s="151">
        <v>813755.73684080725</v>
      </c>
      <c r="H3" s="151">
        <v>813755.51</v>
      </c>
    </row>
    <row r="4" spans="1:8" x14ac:dyDescent="0.25">
      <c r="A4" s="151" t="s">
        <v>81</v>
      </c>
      <c r="B4" s="151">
        <v>1</v>
      </c>
      <c r="C4" s="151">
        <v>688.83548280130003</v>
      </c>
      <c r="D4" s="151">
        <v>1866.5537857124</v>
      </c>
      <c r="E4" s="151">
        <v>17382725.290963974</v>
      </c>
      <c r="F4" s="151">
        <v>0</v>
      </c>
      <c r="G4" s="151">
        <v>0</v>
      </c>
      <c r="H4" s="151">
        <v>0</v>
      </c>
    </row>
    <row r="5" spans="1:8" x14ac:dyDescent="0.25">
      <c r="A5" s="151" t="s">
        <v>82</v>
      </c>
      <c r="B5" s="151">
        <v>1</v>
      </c>
      <c r="C5" s="151">
        <v>1288.2507936473</v>
      </c>
      <c r="D5" s="151">
        <v>5183.3498690668002</v>
      </c>
      <c r="E5" s="151">
        <v>28555710.497339711</v>
      </c>
      <c r="F5" s="151">
        <v>0</v>
      </c>
      <c r="G5" s="151">
        <v>0</v>
      </c>
      <c r="H5" s="151">
        <v>0</v>
      </c>
    </row>
    <row r="6" spans="1:8" x14ac:dyDescent="0.25">
      <c r="A6" s="151" t="s">
        <v>83</v>
      </c>
      <c r="B6" s="151">
        <v>1</v>
      </c>
      <c r="C6" s="151">
        <v>1982.392757935</v>
      </c>
      <c r="D6" s="151">
        <v>4847.9475000247003</v>
      </c>
      <c r="E6" s="151">
        <v>43726534.148360386</v>
      </c>
      <c r="F6" s="151">
        <v>0</v>
      </c>
      <c r="G6" s="151">
        <v>0</v>
      </c>
      <c r="H6" s="151">
        <v>0</v>
      </c>
    </row>
    <row r="7" spans="1:8" x14ac:dyDescent="0.25">
      <c r="A7" s="151" t="s">
        <v>84</v>
      </c>
      <c r="B7" s="151">
        <v>1</v>
      </c>
      <c r="C7" s="151">
        <v>2203.7444819185998</v>
      </c>
      <c r="D7" s="151">
        <v>7907.7539171254002</v>
      </c>
      <c r="E7" s="151">
        <v>42278851.205825411</v>
      </c>
      <c r="F7" s="151">
        <v>0</v>
      </c>
      <c r="G7" s="151">
        <v>0</v>
      </c>
      <c r="H7" s="151">
        <v>0</v>
      </c>
    </row>
    <row r="8" spans="1:8" x14ac:dyDescent="0.25">
      <c r="A8" s="151" t="s">
        <v>110</v>
      </c>
      <c r="B8" s="151">
        <v>1</v>
      </c>
      <c r="C8" s="151">
        <v>6931.7249999999003</v>
      </c>
      <c r="D8" s="151">
        <v>14808.58</v>
      </c>
      <c r="E8" s="151">
        <v>104742316.6309845</v>
      </c>
      <c r="F8" s="151">
        <v>0</v>
      </c>
      <c r="G8" s="151">
        <v>0</v>
      </c>
      <c r="H8" s="151">
        <v>0</v>
      </c>
    </row>
    <row r="9" spans="1:8" x14ac:dyDescent="0.25">
      <c r="A9" s="151" t="s">
        <v>271</v>
      </c>
      <c r="B9" s="151">
        <v>1</v>
      </c>
      <c r="C9" s="151">
        <v>1129.1537896817999</v>
      </c>
      <c r="D9" s="151">
        <v>4078.3810833522998</v>
      </c>
      <c r="E9" s="151">
        <v>22073019.126339253</v>
      </c>
      <c r="F9" s="151">
        <v>0</v>
      </c>
      <c r="G9" s="151">
        <v>0</v>
      </c>
      <c r="H9" s="151">
        <v>0</v>
      </c>
    </row>
    <row r="10" spans="1:8" x14ac:dyDescent="0.25">
      <c r="A10" s="151" t="s">
        <v>86</v>
      </c>
      <c r="B10" s="151">
        <v>1</v>
      </c>
      <c r="C10" s="151">
        <v>631.45114682480005</v>
      </c>
      <c r="D10" s="151">
        <v>2211.3188690848001</v>
      </c>
      <c r="E10" s="151">
        <v>17973536.51756151</v>
      </c>
      <c r="F10" s="151">
        <v>0</v>
      </c>
      <c r="G10" s="151">
        <v>0</v>
      </c>
      <c r="H10" s="151">
        <v>0</v>
      </c>
    </row>
    <row r="11" spans="1:8" x14ac:dyDescent="0.25">
      <c r="A11" s="151" t="s">
        <v>210</v>
      </c>
      <c r="B11" s="151">
        <v>1</v>
      </c>
      <c r="C11" s="151">
        <v>993.48968253910004</v>
      </c>
      <c r="D11" s="151">
        <v>2864.4657738204</v>
      </c>
      <c r="E11" s="151">
        <v>18609862.443094365</v>
      </c>
      <c r="F11" s="151">
        <v>0</v>
      </c>
      <c r="G11" s="151">
        <v>0</v>
      </c>
      <c r="H11" s="151">
        <v>0</v>
      </c>
    </row>
    <row r="12" spans="1:8" x14ac:dyDescent="0.25">
      <c r="A12" s="151" t="s">
        <v>209</v>
      </c>
      <c r="B12" s="151">
        <v>1</v>
      </c>
      <c r="C12" s="151">
        <v>1601.3004960292001</v>
      </c>
      <c r="D12" s="151">
        <v>5698.0125833637003</v>
      </c>
      <c r="E12" s="151">
        <v>28525790.065345343</v>
      </c>
      <c r="F12" s="151">
        <v>0</v>
      </c>
      <c r="G12" s="151">
        <v>0</v>
      </c>
      <c r="H12" s="151">
        <v>0</v>
      </c>
    </row>
    <row r="13" spans="1:8" x14ac:dyDescent="0.25">
      <c r="A13" s="151" t="s">
        <v>89</v>
      </c>
      <c r="B13" s="151">
        <v>1</v>
      </c>
      <c r="C13" s="151">
        <v>1877.0127698379999</v>
      </c>
      <c r="D13" s="151">
        <v>4438.9853333475003</v>
      </c>
      <c r="E13" s="151">
        <v>37579058.098535217</v>
      </c>
      <c r="F13" s="151">
        <v>0</v>
      </c>
      <c r="G13" s="151">
        <v>0</v>
      </c>
      <c r="H13" s="151">
        <v>0</v>
      </c>
    </row>
    <row r="14" spans="1:8" x14ac:dyDescent="0.25">
      <c r="A14" s="151" t="s">
        <v>90</v>
      </c>
      <c r="B14" s="151">
        <v>1</v>
      </c>
      <c r="C14" s="151">
        <v>9206.5490972211992</v>
      </c>
      <c r="D14" s="151">
        <v>35319.329575887597</v>
      </c>
      <c r="E14" s="151">
        <v>137843890.61914527</v>
      </c>
      <c r="F14" s="151">
        <v>0</v>
      </c>
      <c r="G14" s="151">
        <v>0</v>
      </c>
      <c r="H14" s="151">
        <v>0</v>
      </c>
    </row>
    <row r="15" spans="1:8" x14ac:dyDescent="0.25">
      <c r="A15" s="151" t="s">
        <v>91</v>
      </c>
      <c r="B15" s="151">
        <v>1</v>
      </c>
      <c r="C15" s="151">
        <v>1530.4754126968</v>
      </c>
      <c r="D15" s="151">
        <v>5054.5940089362002</v>
      </c>
      <c r="E15" s="151">
        <v>32930774.560798444</v>
      </c>
      <c r="F15" s="151">
        <v>0</v>
      </c>
      <c r="G15" s="151">
        <v>0</v>
      </c>
      <c r="H15" s="151">
        <v>0</v>
      </c>
    </row>
    <row r="16" spans="1:8" x14ac:dyDescent="0.25">
      <c r="A16" s="151" t="s">
        <v>92</v>
      </c>
      <c r="B16" s="151">
        <v>1</v>
      </c>
      <c r="C16" s="151">
        <v>987.13940476159996</v>
      </c>
      <c r="D16" s="151">
        <v>3749.7922143215001</v>
      </c>
      <c r="E16" s="151">
        <v>25640142.774247799</v>
      </c>
      <c r="F16" s="151">
        <v>0</v>
      </c>
      <c r="G16" s="151">
        <v>0</v>
      </c>
      <c r="H16" s="151">
        <v>0</v>
      </c>
    </row>
    <row r="17" spans="1:8" x14ac:dyDescent="0.25">
      <c r="A17" s="151" t="s">
        <v>93</v>
      </c>
      <c r="B17" s="151">
        <v>1</v>
      </c>
      <c r="C17" s="151">
        <v>2099.1686507915001</v>
      </c>
      <c r="D17" s="151">
        <v>6592.3046369074</v>
      </c>
      <c r="E17" s="151">
        <v>45309035.416104034</v>
      </c>
      <c r="F17" s="151">
        <v>0</v>
      </c>
      <c r="G17" s="151">
        <v>0</v>
      </c>
      <c r="H17" s="151">
        <v>0</v>
      </c>
    </row>
    <row r="18" spans="1:8" x14ac:dyDescent="0.25">
      <c r="A18" s="151" t="s">
        <v>94</v>
      </c>
      <c r="B18" s="151">
        <v>1</v>
      </c>
      <c r="C18" s="151">
        <v>2205.3618849180998</v>
      </c>
      <c r="D18" s="151">
        <v>9448.6274285945001</v>
      </c>
      <c r="E18" s="151">
        <v>47531660.058429748</v>
      </c>
      <c r="F18" s="151">
        <v>0</v>
      </c>
      <c r="G18" s="151">
        <v>0</v>
      </c>
      <c r="H18" s="151">
        <v>0</v>
      </c>
    </row>
    <row r="19" spans="1:8" x14ac:dyDescent="0.25">
      <c r="A19" s="151" t="s">
        <v>95</v>
      </c>
      <c r="B19" s="151">
        <v>1</v>
      </c>
      <c r="C19" s="151">
        <v>1988.1074999965001</v>
      </c>
      <c r="D19" s="151">
        <v>7380.4603333519999</v>
      </c>
      <c r="E19" s="151">
        <v>42010456.08976496</v>
      </c>
      <c r="F19" s="151">
        <v>0</v>
      </c>
      <c r="G19" s="151">
        <v>0</v>
      </c>
      <c r="H19" s="151">
        <v>0</v>
      </c>
    </row>
    <row r="20" spans="1:8" x14ac:dyDescent="0.25">
      <c r="A20" s="151" t="s">
        <v>96</v>
      </c>
      <c r="B20" s="151">
        <v>1</v>
      </c>
      <c r="C20" s="151">
        <v>6470.3321924594002</v>
      </c>
      <c r="D20" s="151">
        <v>34919.769468743398</v>
      </c>
      <c r="E20" s="151">
        <v>119335077.20731147</v>
      </c>
      <c r="F20" s="151">
        <v>0</v>
      </c>
      <c r="G20" s="151">
        <v>0</v>
      </c>
      <c r="H20" s="151">
        <v>0</v>
      </c>
    </row>
    <row r="21" spans="1:8" x14ac:dyDescent="0.25">
      <c r="A21" s="151" t="s">
        <v>97</v>
      </c>
      <c r="B21" s="151">
        <v>1</v>
      </c>
      <c r="C21" s="151">
        <v>876.23273809160003</v>
      </c>
      <c r="D21" s="151">
        <v>3037.8297143044001</v>
      </c>
      <c r="E21" s="151">
        <v>20449371.207216606</v>
      </c>
      <c r="F21" s="151">
        <v>0</v>
      </c>
      <c r="G21" s="151">
        <v>0</v>
      </c>
      <c r="H21" s="151">
        <v>0</v>
      </c>
    </row>
    <row r="22" spans="1:8" x14ac:dyDescent="0.25">
      <c r="A22" s="151" t="s">
        <v>276</v>
      </c>
      <c r="B22" s="151">
        <v>1</v>
      </c>
      <c r="C22" s="151">
        <v>596.17064153440003</v>
      </c>
      <c r="D22" s="151">
        <v>2373.7732708637</v>
      </c>
      <c r="E22" s="151">
        <v>13042373.363239814</v>
      </c>
      <c r="F22" s="151">
        <v>0</v>
      </c>
      <c r="G22" s="151">
        <v>0</v>
      </c>
      <c r="H22" s="151">
        <v>0</v>
      </c>
    </row>
    <row r="23" spans="1:8" x14ac:dyDescent="0.25">
      <c r="A23" s="151" t="s">
        <v>267</v>
      </c>
      <c r="B23" s="151">
        <v>1</v>
      </c>
      <c r="C23" s="151">
        <v>5764.9611309507</v>
      </c>
      <c r="D23" s="151">
        <v>30625.4571190473</v>
      </c>
      <c r="E23" s="151">
        <v>101727325.82770839</v>
      </c>
      <c r="F23" s="151">
        <v>0</v>
      </c>
      <c r="G23" s="151">
        <v>0</v>
      </c>
      <c r="H23" s="151">
        <v>0</v>
      </c>
    </row>
    <row r="24" spans="1:8" x14ac:dyDescent="0.25">
      <c r="A24" s="151" t="s">
        <v>266</v>
      </c>
      <c r="B24" s="151">
        <v>1</v>
      </c>
      <c r="C24" s="151">
        <v>4004.0416666658002</v>
      </c>
      <c r="D24" s="151">
        <v>34467.809988094101</v>
      </c>
      <c r="E24" s="151">
        <v>70633225.909723982</v>
      </c>
      <c r="F24" s="151">
        <v>0</v>
      </c>
      <c r="G24" s="151">
        <v>0</v>
      </c>
      <c r="H24" s="151">
        <v>0</v>
      </c>
    </row>
    <row r="25" spans="1:8" x14ac:dyDescent="0.25">
      <c r="A25" s="151" t="s">
        <v>98</v>
      </c>
      <c r="B25" s="151">
        <v>1</v>
      </c>
      <c r="C25" s="151">
        <v>1149.190666665</v>
      </c>
      <c r="D25" s="151">
        <v>4916.4981785865002</v>
      </c>
      <c r="E25" s="151">
        <v>28837590.449839506</v>
      </c>
      <c r="F25" s="151">
        <v>0</v>
      </c>
      <c r="G25" s="151">
        <v>0</v>
      </c>
      <c r="H25" s="151">
        <v>0</v>
      </c>
    </row>
    <row r="26" spans="1:8" x14ac:dyDescent="0.25">
      <c r="A26" s="151" t="s">
        <v>99</v>
      </c>
      <c r="B26" s="151">
        <v>1</v>
      </c>
      <c r="C26" s="151">
        <v>2149.9644841218001</v>
      </c>
      <c r="D26" s="151">
        <v>4533.5727975993996</v>
      </c>
      <c r="E26" s="151">
        <v>30270119.210779201</v>
      </c>
      <c r="F26" s="151">
        <v>0</v>
      </c>
      <c r="G26" s="151">
        <v>0</v>
      </c>
      <c r="H26" s="151">
        <v>0</v>
      </c>
    </row>
    <row r="27" spans="1:8" x14ac:dyDescent="0.25">
      <c r="A27" s="151" t="s">
        <v>217</v>
      </c>
      <c r="B27" s="151">
        <v>1</v>
      </c>
      <c r="C27" s="151">
        <v>9668.7722222224002</v>
      </c>
      <c r="D27" s="151">
        <v>28864.55</v>
      </c>
      <c r="E27" s="151">
        <v>115991239.69680294</v>
      </c>
      <c r="F27" s="151">
        <v>0</v>
      </c>
      <c r="G27" s="151">
        <v>0</v>
      </c>
      <c r="H27" s="151">
        <v>0</v>
      </c>
    </row>
    <row r="28" spans="1:8" x14ac:dyDescent="0.25">
      <c r="A28" s="151" t="s">
        <v>219</v>
      </c>
      <c r="B28" s="151">
        <v>1</v>
      </c>
      <c r="C28" s="151">
        <v>1756.5633134863001</v>
      </c>
      <c r="D28" s="151">
        <v>6052.0936785705999</v>
      </c>
      <c r="E28" s="151">
        <v>32673465.9009462</v>
      </c>
      <c r="F28" s="151">
        <v>0</v>
      </c>
      <c r="G28" s="151">
        <v>0</v>
      </c>
      <c r="H28" s="151">
        <v>0</v>
      </c>
    </row>
    <row r="29" spans="1:8" x14ac:dyDescent="0.25">
      <c r="A29" s="151" t="s">
        <v>211</v>
      </c>
      <c r="B29" s="151">
        <v>1</v>
      </c>
      <c r="C29" s="151">
        <v>5478.3966269828998</v>
      </c>
      <c r="D29" s="151">
        <v>20954.808083336899</v>
      </c>
      <c r="E29" s="151">
        <v>81437452.997886166</v>
      </c>
      <c r="F29" s="151">
        <v>0</v>
      </c>
      <c r="G29" s="151">
        <v>0</v>
      </c>
      <c r="H29" s="151">
        <v>0</v>
      </c>
    </row>
    <row r="30" spans="1:8" x14ac:dyDescent="0.25">
      <c r="A30" s="151" t="s">
        <v>138</v>
      </c>
      <c r="B30" s="151">
        <v>1</v>
      </c>
      <c r="C30" s="151">
        <v>592.85244047319998</v>
      </c>
      <c r="D30" s="151">
        <v>1912.0888452334</v>
      </c>
      <c r="E30" s="151">
        <v>12728356.483641908</v>
      </c>
      <c r="F30" s="151">
        <v>0</v>
      </c>
      <c r="G30" s="151">
        <v>0</v>
      </c>
      <c r="H30" s="151">
        <v>0</v>
      </c>
    </row>
    <row r="31" spans="1:8" x14ac:dyDescent="0.25">
      <c r="A31" s="151" t="s">
        <v>213</v>
      </c>
      <c r="B31" s="151">
        <v>1</v>
      </c>
      <c r="C31" s="151">
        <v>987.57291666469996</v>
      </c>
      <c r="D31" s="151">
        <v>2632.0145833465999</v>
      </c>
      <c r="E31" s="151">
        <v>14967406.105627609</v>
      </c>
      <c r="F31" s="151">
        <v>0</v>
      </c>
      <c r="G31" s="151">
        <v>0</v>
      </c>
      <c r="H31" s="151">
        <v>0</v>
      </c>
    </row>
    <row r="32" spans="1:8" x14ac:dyDescent="0.25">
      <c r="A32" s="151" t="s">
        <v>274</v>
      </c>
      <c r="B32" s="151">
        <v>1</v>
      </c>
      <c r="C32" s="151">
        <v>281.83533729940001</v>
      </c>
      <c r="D32" s="151">
        <v>1144.3729166610999</v>
      </c>
      <c r="E32" s="151">
        <v>9035243.4868967943</v>
      </c>
      <c r="F32" s="151">
        <v>0</v>
      </c>
      <c r="G32" s="151">
        <v>0</v>
      </c>
      <c r="H32" s="151">
        <v>0</v>
      </c>
    </row>
    <row r="33" spans="1:8" x14ac:dyDescent="0.25">
      <c r="A33" s="151" t="s">
        <v>212</v>
      </c>
      <c r="B33" s="151">
        <v>1</v>
      </c>
      <c r="C33" s="151">
        <v>1613.1269973536</v>
      </c>
      <c r="D33" s="151">
        <v>5770.1928333467004</v>
      </c>
      <c r="E33" s="151">
        <v>24653927.196975499</v>
      </c>
      <c r="F33" s="151">
        <v>0</v>
      </c>
      <c r="G33" s="151">
        <v>0</v>
      </c>
      <c r="H33" s="151">
        <v>0</v>
      </c>
    </row>
    <row r="34" spans="1:8" x14ac:dyDescent="0.25">
      <c r="A34" s="151" t="s">
        <v>270</v>
      </c>
      <c r="B34" s="151">
        <v>1</v>
      </c>
      <c r="C34" s="151">
        <v>201.37328081250001</v>
      </c>
      <c r="D34" s="151">
        <v>2476.9984999971998</v>
      </c>
      <c r="E34" s="151">
        <v>6486998.1697260365</v>
      </c>
      <c r="F34" s="151">
        <v>0</v>
      </c>
      <c r="G34" s="151">
        <v>0</v>
      </c>
      <c r="H34" s="151">
        <v>0</v>
      </c>
    </row>
    <row r="35" spans="1:8" x14ac:dyDescent="0.25">
      <c r="A35" s="151" t="s">
        <v>268</v>
      </c>
      <c r="B35" s="151">
        <v>1</v>
      </c>
      <c r="C35" s="151">
        <v>2428.3847222221998</v>
      </c>
      <c r="D35" s="151">
        <v>18461.5399999982</v>
      </c>
      <c r="E35" s="151">
        <v>35002321.995747954</v>
      </c>
      <c r="F35" s="151">
        <v>0</v>
      </c>
      <c r="G35" s="151">
        <v>0</v>
      </c>
      <c r="H35" s="151">
        <v>0</v>
      </c>
    </row>
    <row r="36" spans="1:8" x14ac:dyDescent="0.25">
      <c r="A36" s="151" t="s">
        <v>160</v>
      </c>
      <c r="B36" s="151">
        <v>1</v>
      </c>
      <c r="C36" s="151">
        <v>1182.5302579347999</v>
      </c>
      <c r="D36" s="151">
        <v>4963.0667440849002</v>
      </c>
      <c r="E36" s="151">
        <v>26719140.714590531</v>
      </c>
      <c r="F36" s="151">
        <v>0</v>
      </c>
      <c r="G36" s="151">
        <v>0</v>
      </c>
      <c r="H36" s="151">
        <v>0</v>
      </c>
    </row>
    <row r="37" spans="1:8" x14ac:dyDescent="0.25">
      <c r="A37" s="151" t="s">
        <v>106</v>
      </c>
      <c r="B37" s="151">
        <v>1</v>
      </c>
      <c r="C37" s="151">
        <v>1117.9481547620001</v>
      </c>
      <c r="D37" s="151">
        <v>7008.2291666776</v>
      </c>
      <c r="E37" s="151">
        <v>23502345.16595237</v>
      </c>
      <c r="F37" s="151">
        <v>0</v>
      </c>
      <c r="G37" s="151">
        <v>0</v>
      </c>
      <c r="H37" s="151">
        <v>0</v>
      </c>
    </row>
    <row r="38" spans="1:8" x14ac:dyDescent="0.25">
      <c r="A38" s="151" t="s">
        <v>272</v>
      </c>
      <c r="B38" s="151">
        <v>1</v>
      </c>
      <c r="C38" s="151">
        <v>1632</v>
      </c>
      <c r="D38" s="151">
        <v>17340.319999996998</v>
      </c>
      <c r="E38" s="151">
        <v>38488107.67430073</v>
      </c>
      <c r="F38" s="151">
        <v>0</v>
      </c>
      <c r="G38" s="151">
        <v>0</v>
      </c>
      <c r="H38" s="151">
        <v>0</v>
      </c>
    </row>
    <row r="39" spans="1:8" x14ac:dyDescent="0.25">
      <c r="A39" s="151" t="s">
        <v>107</v>
      </c>
      <c r="B39" s="151">
        <v>1</v>
      </c>
      <c r="C39" s="151">
        <v>1957.2495851368999</v>
      </c>
      <c r="D39" s="151">
        <v>22990.129999999899</v>
      </c>
      <c r="E39" s="151">
        <v>45449364.250306696</v>
      </c>
      <c r="F39" s="151">
        <v>0</v>
      </c>
      <c r="G39" s="151">
        <v>0</v>
      </c>
      <c r="H39" s="151">
        <v>0</v>
      </c>
    </row>
    <row r="40" spans="1:8" x14ac:dyDescent="0.25">
      <c r="A40" s="151" t="s">
        <v>220</v>
      </c>
      <c r="B40" s="151">
        <v>1</v>
      </c>
      <c r="C40" s="151">
        <v>3244.9285354396002</v>
      </c>
      <c r="D40" s="151">
        <v>16605.651897956301</v>
      </c>
      <c r="E40" s="151">
        <v>51902232.845899388</v>
      </c>
      <c r="F40" s="151">
        <v>0</v>
      </c>
      <c r="G40" s="151">
        <v>0</v>
      </c>
      <c r="H40" s="151">
        <v>0</v>
      </c>
    </row>
    <row r="41" spans="1:8" x14ac:dyDescent="0.25">
      <c r="A41" s="151" t="s">
        <v>139</v>
      </c>
      <c r="B41" s="151">
        <v>1</v>
      </c>
      <c r="C41" s="151">
        <v>5916.9748015879004</v>
      </c>
      <c r="D41" s="151">
        <v>36000.484416665699</v>
      </c>
      <c r="E41" s="151">
        <v>67776979.294313639</v>
      </c>
      <c r="F41" s="151">
        <v>0</v>
      </c>
      <c r="G41" s="151">
        <v>0</v>
      </c>
      <c r="H41" s="151">
        <v>0</v>
      </c>
    </row>
    <row r="42" spans="1:8" x14ac:dyDescent="0.25">
      <c r="A42" s="151" t="s">
        <v>214</v>
      </c>
      <c r="B42" s="151">
        <v>1</v>
      </c>
      <c r="C42" s="151">
        <v>945.30555555549995</v>
      </c>
      <c r="D42" s="151">
        <v>9988.2499999993997</v>
      </c>
      <c r="E42" s="151">
        <v>19854433.27797151</v>
      </c>
      <c r="F42" s="151">
        <v>0</v>
      </c>
      <c r="G42" s="151">
        <v>0</v>
      </c>
      <c r="H42" s="151">
        <v>0</v>
      </c>
    </row>
    <row r="43" spans="1:8" x14ac:dyDescent="0.25">
      <c r="A43" s="151" t="s">
        <v>144</v>
      </c>
      <c r="B43" s="151">
        <v>1</v>
      </c>
      <c r="C43" s="151">
        <v>918.17946428469997</v>
      </c>
      <c r="D43" s="151">
        <v>7910.0475553556998</v>
      </c>
      <c r="E43" s="151">
        <v>33569113.032947592</v>
      </c>
      <c r="F43" s="151">
        <v>0</v>
      </c>
      <c r="G43" s="151">
        <v>0</v>
      </c>
      <c r="H43" s="151">
        <v>0</v>
      </c>
    </row>
    <row r="44" spans="1:8" x14ac:dyDescent="0.25">
      <c r="A44" s="151" t="s">
        <v>145</v>
      </c>
      <c r="B44" s="151">
        <v>1</v>
      </c>
      <c r="C44" s="151">
        <v>832.47410714360001</v>
      </c>
      <c r="D44" s="151">
        <v>4716.9795476285999</v>
      </c>
      <c r="E44" s="151">
        <v>16243659.491682226</v>
      </c>
      <c r="F44" s="151">
        <v>0</v>
      </c>
      <c r="G44" s="151">
        <v>0</v>
      </c>
      <c r="H44" s="151">
        <v>0</v>
      </c>
    </row>
    <row r="45" spans="1:8" x14ac:dyDescent="0.25">
      <c r="A45" s="151" t="s">
        <v>275</v>
      </c>
      <c r="B45" s="151">
        <v>1</v>
      </c>
      <c r="C45" s="151">
        <v>823.44642857220003</v>
      </c>
      <c r="D45" s="151">
        <v>1015.7320833316001</v>
      </c>
      <c r="E45" s="151">
        <v>13890576.9522874</v>
      </c>
      <c r="F45" s="151">
        <v>0</v>
      </c>
      <c r="G45" s="151">
        <v>0</v>
      </c>
      <c r="H45" s="151">
        <v>0</v>
      </c>
    </row>
    <row r="46" spans="1:8" x14ac:dyDescent="0.25">
      <c r="A46" s="151" t="s">
        <v>154</v>
      </c>
      <c r="B46" s="151">
        <v>1</v>
      </c>
      <c r="C46" s="151">
        <v>1292.7966729791999</v>
      </c>
      <c r="D46" s="151">
        <v>3700.4359568371001</v>
      </c>
      <c r="E46" s="151">
        <v>16602461.275851388</v>
      </c>
      <c r="F46" s="151">
        <v>0</v>
      </c>
      <c r="G46" s="151">
        <v>0</v>
      </c>
      <c r="H46" s="151">
        <v>0</v>
      </c>
    </row>
    <row r="47" spans="1:8" x14ac:dyDescent="0.25">
      <c r="A47" s="151" t="s">
        <v>218</v>
      </c>
      <c r="B47" s="151">
        <v>1</v>
      </c>
      <c r="C47" s="151">
        <v>1427.7899206343</v>
      </c>
      <c r="D47" s="151">
        <v>7678.6542023802003</v>
      </c>
      <c r="E47" s="151">
        <v>22662156.664955258</v>
      </c>
      <c r="F47" s="151">
        <v>0</v>
      </c>
      <c r="G47" s="151">
        <v>0</v>
      </c>
      <c r="H47" s="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f>IFERROR(+VLOOKUP(B2,COMISIONES!A:E,5,FALSE),"0")*1</f>
        <v>47531660.058429748</v>
      </c>
      <c r="E2" s="59">
        <v>46836440.414370194</v>
      </c>
      <c r="F2" s="59">
        <f t="shared" ref="F2:F9" si="0">+D2-E2</f>
        <v>695219.64405955374</v>
      </c>
      <c r="G2" s="60">
        <f t="shared" ref="G2:G47" si="1">+D2/C2</f>
        <v>1.4725222964434075</v>
      </c>
      <c r="H2" s="59">
        <f>+D2/$N$3*$N$4</f>
        <v>47531660.058429748</v>
      </c>
      <c r="I2" s="60">
        <f t="shared" ref="I2:I48" si="2">+H2/C2</f>
        <v>1.4725222964434075</v>
      </c>
      <c r="J2" s="59">
        <f>+D2/$N$3</f>
        <v>1828140.7714780672</v>
      </c>
      <c r="K2" s="59" t="e">
        <f t="shared" ref="K2:K38" si="3">+(C2-D2)/$N$2</f>
        <v>#DIV/0!</v>
      </c>
      <c r="L2" s="61" cm="1">
        <f t="array" ref="L2">+_xlfn.IFS(I2&gt;114%,H2*0.02,I2&gt;109%,H2*0.015,I2&gt;104%,H2*0.0125,I2&gt;99%,H2*0.01,I2&lt;99%,H2*0)</f>
        <v>950633.201168595</v>
      </c>
      <c r="M2" s="53" t="s">
        <v>36</v>
      </c>
      <c r="N2">
        <v>0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f>IFERROR(+VLOOKUP(B3,COMISIONES!A:E,5,FALSE),"0")*1</f>
        <v>45309035.416104034</v>
      </c>
      <c r="E3" s="4">
        <v>44411092.294184931</v>
      </c>
      <c r="F3" s="59">
        <f t="shared" si="0"/>
        <v>897943.12191910297</v>
      </c>
      <c r="G3" s="5">
        <f t="shared" si="1"/>
        <v>1.4623965699374752</v>
      </c>
      <c r="H3" s="4">
        <f t="shared" ref="H3:H38" si="4">+D3/$N$3*$N$4</f>
        <v>45309035.416104034</v>
      </c>
      <c r="I3" s="5">
        <f t="shared" si="2"/>
        <v>1.4623965699374752</v>
      </c>
      <c r="J3" s="4">
        <f t="shared" ref="J3:J38" si="5">+D3/$N$3</f>
        <v>1742655.2083116935</v>
      </c>
      <c r="K3" s="4" t="e">
        <f t="shared" si="3"/>
        <v>#DIV/0!</v>
      </c>
      <c r="L3" s="63" cm="1">
        <f t="array" ref="L3">+_xlfn.IFS(I3&gt;114%,H3*0.02,I3&gt;109%,H3*0.015,I3&gt;104%,H3*0.0125,I3&gt;99%,H3*0.01,I3&lt;99%,H3*0)</f>
        <v>906180.70832208067</v>
      </c>
      <c r="M3" s="53" t="s">
        <v>40</v>
      </c>
      <c r="N3">
        <f>N4-N2</f>
        <v>26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f>IFERROR(+VLOOKUP(B4,COMISIONES!A:E,5,FALSE),"0")*1</f>
        <v>32930774.560798444</v>
      </c>
      <c r="E4" s="4">
        <v>32436772.657611098</v>
      </c>
      <c r="F4" s="59">
        <f t="shared" si="0"/>
        <v>494001.90318734571</v>
      </c>
      <c r="G4" s="5">
        <f t="shared" si="1"/>
        <v>1.1599414688572089</v>
      </c>
      <c r="H4" s="4">
        <f t="shared" si="4"/>
        <v>32930774.560798444</v>
      </c>
      <c r="I4" s="5">
        <f t="shared" si="2"/>
        <v>1.1599414688572089</v>
      </c>
      <c r="J4" s="4">
        <f t="shared" si="5"/>
        <v>1266568.2523384017</v>
      </c>
      <c r="K4" s="4" t="e">
        <f t="shared" si="3"/>
        <v>#DIV/0!</v>
      </c>
      <c r="L4" s="63" cm="1">
        <f t="array" ref="L4">+_xlfn.IFS(I4&gt;114%,H4*0.02,I4&gt;109%,H4*0.015,I4&gt;104%,H4*0.0125,I4&gt;99%,H4*0.01,I4&lt;99%,H4*0)</f>
        <v>658615.49121596885</v>
      </c>
      <c r="M4" s="53" t="s">
        <v>47</v>
      </c>
      <c r="N4">
        <v>26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f>IFERROR(+VLOOKUP(B5,COMISIONES!A:E,5,FALSE),"0")*1</f>
        <v>37579058.098535217</v>
      </c>
      <c r="E5" s="4">
        <v>36453782.541685887</v>
      </c>
      <c r="F5" s="59">
        <f t="shared" si="0"/>
        <v>1125275.5568493307</v>
      </c>
      <c r="G5" s="5">
        <f t="shared" si="1"/>
        <v>1.3236708953993233</v>
      </c>
      <c r="H5" s="4">
        <f t="shared" si="4"/>
        <v>37579058.098535217</v>
      </c>
      <c r="I5" s="5">
        <f t="shared" si="2"/>
        <v>1.3236708953993233</v>
      </c>
      <c r="J5" s="4">
        <f t="shared" si="5"/>
        <v>1445348.3884052006</v>
      </c>
      <c r="K5" s="4" t="e">
        <f t="shared" si="3"/>
        <v>#DIV/0!</v>
      </c>
      <c r="L5" s="63" cm="1">
        <f t="array" ref="L5">+_xlfn.IFS(I5&gt;114%,H5*0.02,I5&gt;109%,H5*0.015,I5&gt;104%,H5*0.0125,I5&gt;99%,H5*0.01,I5&lt;99%,H5*0)</f>
        <v>751581.16197070433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f>IFERROR(+VLOOKUP(B6,COMISIONES!A:E,5,FALSE),"0")*1</f>
        <v>28525790.065345343</v>
      </c>
      <c r="E6" s="4">
        <v>27932712.401447035</v>
      </c>
      <c r="F6" s="59">
        <f t="shared" si="0"/>
        <v>593077.66389830783</v>
      </c>
      <c r="G6" s="5">
        <f t="shared" si="1"/>
        <v>1.2123814879916945</v>
      </c>
      <c r="H6" s="4">
        <f t="shared" si="4"/>
        <v>28525790.065345343</v>
      </c>
      <c r="I6" s="5">
        <f t="shared" si="2"/>
        <v>1.2123814879916945</v>
      </c>
      <c r="J6" s="4">
        <f t="shared" si="5"/>
        <v>1097145.7717440517</v>
      </c>
      <c r="K6" s="4" t="e">
        <f t="shared" si="3"/>
        <v>#DIV/0!</v>
      </c>
      <c r="L6" s="63" cm="1">
        <f t="array" ref="L6">+_xlfn.IFS(I6&gt;114%,H6*0.02,I6&gt;109%,H6*0.015,I6&gt;104%,H6*0.0125,I6&gt;99%,H6*0.01,I6&lt;99%,H6*0)</f>
        <v>570515.80130690685</v>
      </c>
    </row>
    <row r="7" spans="1:14" ht="16.5" thickBot="1" x14ac:dyDescent="0.3">
      <c r="A7" s="143"/>
      <c r="B7" s="36" t="s">
        <v>271</v>
      </c>
      <c r="C7" s="62">
        <v>27741857.030464504</v>
      </c>
      <c r="D7" s="4">
        <f>IFERROR(+VLOOKUP(B7,COMISIONES!A:E,5,FALSE),"0")*1</f>
        <v>22073019.126339253</v>
      </c>
      <c r="E7" s="4">
        <v>21361654.623240348</v>
      </c>
      <c r="F7" s="59">
        <f t="shared" si="0"/>
        <v>711364.50309890509</v>
      </c>
      <c r="G7" s="5">
        <f t="shared" si="1"/>
        <v>0.79565759069769337</v>
      </c>
      <c r="H7" s="4">
        <f t="shared" si="4"/>
        <v>22073019.126339253</v>
      </c>
      <c r="I7" s="5">
        <f t="shared" si="2"/>
        <v>0.79565759069769337</v>
      </c>
      <c r="J7" s="4">
        <f t="shared" si="5"/>
        <v>848962.27408997132</v>
      </c>
      <c r="K7" s="4" t="e">
        <f t="shared" si="3"/>
        <v>#DIV/0!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f>IFERROR(+VLOOKUP(B8,COMISIONES!A:E,5,FALSE),"0")*1</f>
        <v>42278851.205825411</v>
      </c>
      <c r="E8" s="4">
        <v>40968098.45140481</v>
      </c>
      <c r="F8" s="59">
        <f t="shared" si="0"/>
        <v>1310752.7544206008</v>
      </c>
      <c r="G8" s="5">
        <f t="shared" si="1"/>
        <v>1.1799493996114048</v>
      </c>
      <c r="H8" s="4">
        <f t="shared" si="4"/>
        <v>42278851.205825411</v>
      </c>
      <c r="I8" s="5">
        <f t="shared" si="2"/>
        <v>1.1799493996114048</v>
      </c>
      <c r="J8" s="4">
        <f t="shared" si="5"/>
        <v>1626109.6617625158</v>
      </c>
      <c r="K8" s="4" t="e">
        <f t="shared" si="3"/>
        <v>#DIV/0!</v>
      </c>
      <c r="L8" s="63" cm="1">
        <f t="array" ref="L8">+_xlfn.IFS(I8&gt;114%,H8*0.02,I8&gt;109%,H8*0.015,I8&gt;104%,H8*0.0125,I8&gt;99%,H8*0.01,I8&lt;99%,H8*0)</f>
        <v>845577.0241165082</v>
      </c>
    </row>
    <row r="9" spans="1:14" ht="15.75" x14ac:dyDescent="0.25">
      <c r="A9" s="143"/>
      <c r="B9" s="36" t="s">
        <v>83</v>
      </c>
      <c r="C9" s="62">
        <v>35831071.416917704</v>
      </c>
      <c r="D9" s="4">
        <f>IFERROR(+VLOOKUP(B9,COMISIONES!A:E,5,FALSE),"0")*1</f>
        <v>43726534.148360386</v>
      </c>
      <c r="E9" s="4">
        <v>43105817.797800437</v>
      </c>
      <c r="F9" s="59">
        <f t="shared" si="0"/>
        <v>620716.35055994987</v>
      </c>
      <c r="G9" s="5">
        <f t="shared" si="1"/>
        <v>1.2203524041905938</v>
      </c>
      <c r="H9" s="4">
        <f t="shared" si="4"/>
        <v>43726534.148360386</v>
      </c>
      <c r="I9" s="5">
        <f t="shared" si="2"/>
        <v>1.2203524041905938</v>
      </c>
      <c r="J9" s="4">
        <f t="shared" si="5"/>
        <v>1681789.774936938</v>
      </c>
      <c r="K9" s="4" t="e">
        <f t="shared" si="3"/>
        <v>#DIV/0!</v>
      </c>
      <c r="L9" s="63" cm="1">
        <f t="array" ref="L9">+_xlfn.IFS(I9&gt;114%,H9*0.02,I9&gt;109%,H9*0.015,I9&gt;104%,H9*0.0125,I9&gt;99%,H9*0.01,I9&lt;99%,H9*0)</f>
        <v>874530.68296720774</v>
      </c>
    </row>
    <row r="10" spans="1:14" ht="16.5" thickBot="1" x14ac:dyDescent="0.3">
      <c r="A10" s="144"/>
      <c r="B10" s="3"/>
      <c r="C10" s="64">
        <v>242974591.73925051</v>
      </c>
      <c r="D10" s="64">
        <f>+SUM(D2:D9)</f>
        <v>299954722.67973787</v>
      </c>
      <c r="E10" s="64">
        <v>293506371.18174475</v>
      </c>
      <c r="F10" s="66">
        <f>+D10-E10</f>
        <v>6448351.4979931116</v>
      </c>
      <c r="G10" s="65">
        <f t="shared" si="1"/>
        <v>1.2345106561662047</v>
      </c>
      <c r="H10" s="64">
        <f t="shared" si="4"/>
        <v>299954722.67973787</v>
      </c>
      <c r="I10" s="65">
        <f t="shared" si="2"/>
        <v>1.2345106561662047</v>
      </c>
      <c r="J10" s="64">
        <f t="shared" si="5"/>
        <v>11536720.103066841</v>
      </c>
      <c r="K10" s="66" t="e">
        <f t="shared" si="3"/>
        <v>#DIV/0!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f>IFERROR(+VLOOKUP(B11,COMISIONES!A:E,5,FALSE),"0")*1</f>
        <v>119335077.20731147</v>
      </c>
      <c r="E11" s="59">
        <v>116705294.416097</v>
      </c>
      <c r="F11" s="59">
        <f t="shared" ref="F11:F14" si="6">+D11-E11</f>
        <v>2629782.7912144661</v>
      </c>
      <c r="G11" s="60">
        <f t="shared" si="1"/>
        <v>1.2306144104318428</v>
      </c>
      <c r="H11" s="59">
        <f t="shared" si="4"/>
        <v>119335077.20731148</v>
      </c>
      <c r="I11" s="60">
        <f t="shared" si="2"/>
        <v>1.2306144104318431</v>
      </c>
      <c r="J11" s="59">
        <f t="shared" si="5"/>
        <v>4589810.6618196722</v>
      </c>
      <c r="K11" s="59" t="e">
        <f t="shared" si="3"/>
        <v>#DIV/0!</v>
      </c>
      <c r="L11" s="61" cm="1">
        <f t="array" ref="L11">+_xlfn.IFS(I11&gt;114%,H11*0.0125,I11&gt;109%,H11*0.01,I11&gt;104%,H11*0.0075,I11&gt;99%,H11*0.005,I11&lt;99%,H11*0)</f>
        <v>1491688.4650913936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f>IFERROR(+VLOOKUP(B12,COMISIONES!A:E,5,FALSE),"0")*1</f>
        <v>137843890.61914527</v>
      </c>
      <c r="E12" s="4">
        <v>128019920.63498563</v>
      </c>
      <c r="F12" s="59">
        <f t="shared" si="6"/>
        <v>9823969.9841596484</v>
      </c>
      <c r="G12" s="5">
        <f t="shared" si="1"/>
        <v>1.0738523319825259</v>
      </c>
      <c r="H12" s="4">
        <f t="shared" si="4"/>
        <v>137843890.61914527</v>
      </c>
      <c r="I12" s="5">
        <f t="shared" si="2"/>
        <v>1.0738523319825259</v>
      </c>
      <c r="J12" s="4">
        <f t="shared" si="5"/>
        <v>5301688.1007363563</v>
      </c>
      <c r="K12" s="4" t="e">
        <f t="shared" si="3"/>
        <v>#DIV/0!</v>
      </c>
      <c r="L12" s="63" cm="1">
        <f t="array" ref="L12">+_xlfn.IFS(I12&gt;114%,H12*0.0125,I12&gt;109%,H12*0.01,I12&gt;104%,H12*0.0075,I12&gt;99%,H12*0.005,I12&lt;99%,H12*0)</f>
        <v>1033829.1796435895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272</v>
      </c>
      <c r="C13" s="62">
        <v>42449057.394974999</v>
      </c>
      <c r="D13" s="4">
        <f>IFERROR(+VLOOKUP(B13,COMISIONES!A:E,5,FALSE),"0")*1</f>
        <v>38488107.67430073</v>
      </c>
      <c r="E13" s="4">
        <v>36536665.120000735</v>
      </c>
      <c r="F13" s="59">
        <f t="shared" si="6"/>
        <v>1951442.5542999953</v>
      </c>
      <c r="G13" s="5">
        <f t="shared" si="1"/>
        <v>0.90668933625972215</v>
      </c>
      <c r="H13" s="4">
        <f t="shared" si="4"/>
        <v>38488107.67430073</v>
      </c>
      <c r="I13" s="5">
        <f t="shared" si="2"/>
        <v>0.90668933625972215</v>
      </c>
      <c r="J13" s="4">
        <f t="shared" si="5"/>
        <v>1480311.8336269511</v>
      </c>
      <c r="K13" s="4" t="e">
        <f t="shared" si="3"/>
        <v>#DIV/0!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f>IFERROR(+VLOOKUP(B14,COMISIONES!A:E,5,FALSE),"0")*1</f>
        <v>45449364.250306696</v>
      </c>
      <c r="E14" s="4">
        <v>42911826.192505755</v>
      </c>
      <c r="F14" s="59">
        <f t="shared" si="6"/>
        <v>2537538.0578009412</v>
      </c>
      <c r="G14" s="5">
        <f t="shared" si="1"/>
        <v>1.0706801761795273</v>
      </c>
      <c r="H14" s="4">
        <f t="shared" si="4"/>
        <v>45449364.250306696</v>
      </c>
      <c r="I14" s="5">
        <f t="shared" si="2"/>
        <v>1.0706801761795273</v>
      </c>
      <c r="J14" s="4">
        <f t="shared" si="5"/>
        <v>1748052.4711656421</v>
      </c>
      <c r="K14" s="4" t="e">
        <f t="shared" si="3"/>
        <v>#DIV/0!</v>
      </c>
      <c r="L14" s="63" cm="1">
        <f t="array" ref="L14">+_xlfn.IFS(I14&gt;109%,H14*0.015,I14&gt;104%,H14*0.0125,I14&gt;99%,H14*0.01,I14&lt;99%,H14*0)</f>
        <v>568117.05312883377</v>
      </c>
    </row>
    <row r="15" spans="1:14" ht="16.5" thickBot="1" x14ac:dyDescent="0.3">
      <c r="A15" s="144"/>
      <c r="B15" s="3"/>
      <c r="C15" s="64">
        <v>341864881.75327951</v>
      </c>
      <c r="D15" s="64">
        <f>+SUM(D11:D14)</f>
        <v>341116439.75106418</v>
      </c>
      <c r="E15" s="64">
        <v>324173706.36358911</v>
      </c>
      <c r="F15" s="66">
        <f>+D15-E15</f>
        <v>16942733.387475073</v>
      </c>
      <c r="G15" s="65">
        <f t="shared" si="1"/>
        <v>0.99781070814183404</v>
      </c>
      <c r="H15" s="64">
        <f t="shared" si="4"/>
        <v>341116439.75106418</v>
      </c>
      <c r="I15" s="65">
        <f t="shared" si="2"/>
        <v>0.99781070814183404</v>
      </c>
      <c r="J15" s="64">
        <f t="shared" si="5"/>
        <v>13119863.067348622</v>
      </c>
      <c r="K15" s="66" t="e">
        <f t="shared" si="3"/>
        <v>#DIV/0!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f>IFERROR(+VLOOKUP(B16,COMISIONES!A:E,5,FALSE),"0")*1</f>
        <v>17382725.290963974</v>
      </c>
      <c r="E16" s="59">
        <v>16500079.026056459</v>
      </c>
      <c r="F16" s="59">
        <f t="shared" ref="F16:F46" si="7">+D16-E16</f>
        <v>882646.26490751468</v>
      </c>
      <c r="G16" s="60">
        <f t="shared" si="1"/>
        <v>0.61142192370608417</v>
      </c>
      <c r="H16" s="59">
        <f t="shared" si="4"/>
        <v>17382725.290963974</v>
      </c>
      <c r="I16" s="60">
        <f t="shared" si="2"/>
        <v>0.61142192370608417</v>
      </c>
      <c r="J16" s="59">
        <f t="shared" si="5"/>
        <v>668566.35734476824</v>
      </c>
      <c r="K16" s="59" t="e">
        <f t="shared" si="3"/>
        <v>#DIV/0!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f>IFERROR(+VLOOKUP(B17,COMISIONES!A:E,5,FALSE),"0")*1</f>
        <v>28555710.497339711</v>
      </c>
      <c r="E17" s="4">
        <v>28062022.667462606</v>
      </c>
      <c r="F17" s="59">
        <f t="shared" si="7"/>
        <v>493687.82987710461</v>
      </c>
      <c r="G17" s="5">
        <f t="shared" si="1"/>
        <v>1.1422284198935884</v>
      </c>
      <c r="H17" s="4">
        <f t="shared" si="4"/>
        <v>28555710.497339711</v>
      </c>
      <c r="I17" s="5">
        <f t="shared" si="2"/>
        <v>1.1422284198935884</v>
      </c>
      <c r="J17" s="4">
        <f t="shared" si="5"/>
        <v>1098296.5575899889</v>
      </c>
      <c r="K17" s="4" t="e">
        <f t="shared" si="3"/>
        <v>#DIV/0!</v>
      </c>
      <c r="L17" s="63" cm="1">
        <f t="array" ref="L17">+_xlfn.IFS(I17&gt;114%,H17*0.02,I17&gt;109%,H17*0.015,I17&gt;104%,H17*0.0125,I17&gt;99%,H17*0.01,I17&lt;99%,H17*0)</f>
        <v>571114.2099467942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f>IFERROR(+VLOOKUP(B18,COMISIONES!A:E,5,FALSE),"0")*1</f>
        <v>25640142.774247799</v>
      </c>
      <c r="E18" s="4">
        <v>24837785.161016472</v>
      </c>
      <c r="F18" s="59">
        <f t="shared" si="7"/>
        <v>802357.61323132738</v>
      </c>
      <c r="G18" s="5">
        <f t="shared" si="1"/>
        <v>1.005495795068541</v>
      </c>
      <c r="H18" s="4">
        <f t="shared" si="4"/>
        <v>25640142.774247799</v>
      </c>
      <c r="I18" s="5">
        <f t="shared" si="2"/>
        <v>1.005495795068541</v>
      </c>
      <c r="J18" s="4">
        <f t="shared" si="5"/>
        <v>986159.33747106919</v>
      </c>
      <c r="K18" s="4" t="e">
        <f t="shared" si="3"/>
        <v>#DIV/0!</v>
      </c>
      <c r="L18" s="63" cm="1">
        <f t="array" ref="L18">+_xlfn.IFS(I18&gt;114%,H18*0.02,I18&gt;109%,H18*0.015,I18&gt;104%,H18*0.0125,I18&gt;99%,H18*0.01,I18&lt;99%,H18*0)</f>
        <v>256401.427742478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f>IFERROR(+VLOOKUP(B19,COMISIONES!A:E,5,FALSE),"0")*1</f>
        <v>42010456.08976496</v>
      </c>
      <c r="E19" s="4">
        <v>41152966.399721123</v>
      </c>
      <c r="F19" s="59">
        <f t="shared" si="7"/>
        <v>857489.69004383683</v>
      </c>
      <c r="G19" s="5">
        <f t="shared" si="1"/>
        <v>1.1934788661865046</v>
      </c>
      <c r="H19" s="4">
        <f t="shared" si="4"/>
        <v>42010456.08976496</v>
      </c>
      <c r="I19" s="5">
        <f t="shared" si="2"/>
        <v>1.1934788661865046</v>
      </c>
      <c r="J19" s="4">
        <f t="shared" si="5"/>
        <v>1615786.7726832677</v>
      </c>
      <c r="K19" s="4" t="e">
        <f t="shared" si="3"/>
        <v>#DIV/0!</v>
      </c>
      <c r="L19" s="63" cm="1">
        <f t="array" ref="L19">+_xlfn.IFS(I19&gt;114%,H19*0.02,I19&gt;109%,H19*0.015,I19&gt;104%,H19*0.0125,I19&gt;99%,H19*0.01,I19&lt;99%,H19*0)</f>
        <v>840209.12179529923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f>IFERROR(+VLOOKUP(B20,COMISIONES!A:E,5,FALSE),"0")*1</f>
        <v>20449371.207216606</v>
      </c>
      <c r="E20" s="4">
        <v>19670045.833614059</v>
      </c>
      <c r="F20" s="59">
        <f t="shared" si="7"/>
        <v>779325.37360254675</v>
      </c>
      <c r="G20" s="5">
        <f t="shared" si="1"/>
        <v>0.78350081253703474</v>
      </c>
      <c r="H20" s="4">
        <f t="shared" si="4"/>
        <v>20449371.207216606</v>
      </c>
      <c r="I20" s="5">
        <f t="shared" si="2"/>
        <v>0.78350081253703474</v>
      </c>
      <c r="J20" s="4">
        <f t="shared" si="5"/>
        <v>786514.27720063867</v>
      </c>
      <c r="K20" s="4" t="e">
        <f t="shared" si="3"/>
        <v>#DIV/0!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219</v>
      </c>
      <c r="C21" s="70">
        <v>32600000</v>
      </c>
      <c r="D21" s="4">
        <f>IFERROR(+VLOOKUP(B21,COMISIONES!A:E,5,FALSE),"0")*1</f>
        <v>32673465.9009462</v>
      </c>
      <c r="E21" s="4">
        <v>29978995.485085707</v>
      </c>
      <c r="F21" s="59">
        <f t="shared" si="7"/>
        <v>2694470.4158604927</v>
      </c>
      <c r="G21" s="5">
        <f t="shared" si="1"/>
        <v>1.0022535552437484</v>
      </c>
      <c r="H21" s="4">
        <f t="shared" si="4"/>
        <v>32673465.9009462</v>
      </c>
      <c r="I21" s="5">
        <f t="shared" si="2"/>
        <v>1.0022535552437484</v>
      </c>
      <c r="J21" s="4">
        <f t="shared" si="5"/>
        <v>1256671.7654210078</v>
      </c>
      <c r="K21" s="4" t="e">
        <f t="shared" si="3"/>
        <v>#DIV/0!</v>
      </c>
      <c r="L21" s="63" cm="1">
        <f t="array" ref="L21">+_xlfn.IFS(I21&gt;114%,H21*0.02,I21&gt;109%,H21*0.015,I21&gt;104%,H21*0.0125,I21&gt;99%,H21*0.01,I21&lt;99%,H21*0)</f>
        <v>326734.65900946199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f>IFERROR(+VLOOKUP(B22,COMISIONES!A:E,5,FALSE),"0")*1</f>
        <v>26719140.714590531</v>
      </c>
      <c r="E22" s="4">
        <v>26222331.740455862</v>
      </c>
      <c r="F22" s="59">
        <f t="shared" si="7"/>
        <v>496808.97413466871</v>
      </c>
      <c r="G22" s="5">
        <f t="shared" si="1"/>
        <v>0.94748725938264289</v>
      </c>
      <c r="H22" s="4">
        <f t="shared" si="4"/>
        <v>26719140.714590531</v>
      </c>
      <c r="I22" s="5">
        <f t="shared" si="2"/>
        <v>0.94748725938264289</v>
      </c>
      <c r="J22" s="4">
        <f t="shared" si="5"/>
        <v>1027659.2582534819</v>
      </c>
      <c r="K22" s="4" t="e">
        <f t="shared" si="3"/>
        <v>#DIV/0!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6"/>
      <c r="B23" s="19" t="s">
        <v>220</v>
      </c>
      <c r="C23" s="70">
        <v>36600000</v>
      </c>
      <c r="D23" s="4">
        <f>IFERROR(+VLOOKUP(B23,COMISIONES!A:E,5,FALSE),"0")*1</f>
        <v>51902232.845899388</v>
      </c>
      <c r="E23" s="4">
        <v>49130247.024129808</v>
      </c>
      <c r="F23" s="59">
        <f t="shared" si="7"/>
        <v>2771985.8217695802</v>
      </c>
      <c r="G23" s="5">
        <f t="shared" si="1"/>
        <v>1.4180937936038085</v>
      </c>
      <c r="H23" s="4">
        <f t="shared" si="4"/>
        <v>51902232.845899388</v>
      </c>
      <c r="I23" s="5">
        <f t="shared" si="2"/>
        <v>1.4180937936038085</v>
      </c>
      <c r="J23" s="4">
        <f t="shared" si="5"/>
        <v>1996239.7248422841</v>
      </c>
      <c r="K23" s="4" t="e">
        <f t="shared" si="3"/>
        <v>#DIV/0!</v>
      </c>
      <c r="L23" s="63" cm="1">
        <f t="array" ref="L23">+_xlfn.IFS(I23&gt;114%,H23*0.02,I23&gt;109%,H23*0.015,I23&gt;104%,H23*0.0125,I23&gt;99%,H23*0.01,I23&lt;99%,H23*0)</f>
        <v>1038044.6569179877</v>
      </c>
    </row>
    <row r="24" spans="1:13" ht="16.5" thickBot="1" x14ac:dyDescent="0.3">
      <c r="A24" s="147"/>
      <c r="B24" s="71"/>
      <c r="C24" s="66">
        <v>237630000</v>
      </c>
      <c r="D24" s="66">
        <f>+SUM(D16:D23)</f>
        <v>245333245.32096916</v>
      </c>
      <c r="E24" s="66">
        <v>235554473.33754209</v>
      </c>
      <c r="F24" s="66">
        <f>+D24-E24</f>
        <v>9778771.9834270775</v>
      </c>
      <c r="G24" s="65">
        <f t="shared" si="1"/>
        <v>1.0324169731135344</v>
      </c>
      <c r="H24" s="64">
        <f t="shared" si="4"/>
        <v>245333245.32096913</v>
      </c>
      <c r="I24" s="65">
        <f t="shared" si="2"/>
        <v>1.0324169731135342</v>
      </c>
      <c r="J24" s="64">
        <f t="shared" si="5"/>
        <v>9435894.0508065056</v>
      </c>
      <c r="K24" s="66" t="e">
        <f t="shared" si="3"/>
        <v>#DIV/0!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f>IFERROR(+VLOOKUP(B25,COMISIONES!A:E,5,FALSE),"0")*1</f>
        <v>81437452.997886166</v>
      </c>
      <c r="E25" s="59">
        <v>76952384.208156615</v>
      </c>
      <c r="F25" s="59">
        <f t="shared" si="7"/>
        <v>4485068.7897295505</v>
      </c>
      <c r="G25" s="60">
        <f t="shared" si="1"/>
        <v>0.969180321678631</v>
      </c>
      <c r="H25" s="59">
        <f t="shared" si="4"/>
        <v>81437452.997886166</v>
      </c>
      <c r="I25" s="60">
        <f t="shared" si="2"/>
        <v>0.969180321678631</v>
      </c>
      <c r="J25" s="59">
        <f t="shared" si="5"/>
        <v>3132209.7306879293</v>
      </c>
      <c r="K25" s="59" t="e">
        <f t="shared" si="3"/>
        <v>#DIV/0!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f>IFERROR(+VLOOKUP(B26,COMISIONES!A:E,5,FALSE),"0")*1</f>
        <v>14967406.105627609</v>
      </c>
      <c r="E26" s="4">
        <v>14602289.639557641</v>
      </c>
      <c r="F26" s="59">
        <f t="shared" si="7"/>
        <v>365116.46606996842</v>
      </c>
      <c r="G26" s="5">
        <f t="shared" si="1"/>
        <v>0.69534987714878571</v>
      </c>
      <c r="H26" s="4">
        <f t="shared" si="4"/>
        <v>14967406.105627611</v>
      </c>
      <c r="I26" s="5">
        <f t="shared" si="2"/>
        <v>0.69534987714878582</v>
      </c>
      <c r="J26" s="4">
        <f t="shared" si="5"/>
        <v>575669.46560106194</v>
      </c>
      <c r="K26" s="4" t="e">
        <f t="shared" si="3"/>
        <v>#DIV/0!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f>IFERROR(+VLOOKUP(B27,COMISIONES!A:E,5,FALSE),"0")*1</f>
        <v>17973536.51756151</v>
      </c>
      <c r="E27" s="4">
        <v>17262633.614023104</v>
      </c>
      <c r="F27" s="59">
        <f t="shared" si="7"/>
        <v>710902.9035384059</v>
      </c>
      <c r="G27" s="5">
        <f t="shared" si="1"/>
        <v>0.68124949312186212</v>
      </c>
      <c r="H27" s="4">
        <f t="shared" si="4"/>
        <v>17973536.51756151</v>
      </c>
      <c r="I27" s="5">
        <f t="shared" si="2"/>
        <v>0.68124949312186212</v>
      </c>
      <c r="J27" s="4">
        <f t="shared" si="5"/>
        <v>691289.86606005812</v>
      </c>
      <c r="K27" s="4" t="e">
        <f t="shared" si="3"/>
        <v>#DIV/0!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f>IFERROR(+VLOOKUP(B28,COMISIONES!A:E,5,FALSE),"0")*1</f>
        <v>24653927.196975499</v>
      </c>
      <c r="E28" s="4">
        <v>24211066.525152564</v>
      </c>
      <c r="F28" s="59">
        <f t="shared" si="7"/>
        <v>442860.67182293534</v>
      </c>
      <c r="G28" s="5">
        <f t="shared" si="1"/>
        <v>0.62910268257525714</v>
      </c>
      <c r="H28" s="4">
        <f t="shared" si="4"/>
        <v>24653927.196975499</v>
      </c>
      <c r="I28" s="5">
        <f t="shared" si="2"/>
        <v>0.62910268257525714</v>
      </c>
      <c r="J28" s="4">
        <f t="shared" si="5"/>
        <v>948227.96911444224</v>
      </c>
      <c r="K28" s="4" t="e">
        <f t="shared" si="3"/>
        <v>#DIV/0!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f>IFERROR(+VLOOKUP(B29,COMISIONES!A:E,5,FALSE),"0")*1</f>
        <v>28837590.449839506</v>
      </c>
      <c r="E29" s="4">
        <v>28617303.951834902</v>
      </c>
      <c r="F29" s="59">
        <f t="shared" si="7"/>
        <v>220286.49800460413</v>
      </c>
      <c r="G29" s="5">
        <f t="shared" si="1"/>
        <v>1.106982405650516</v>
      </c>
      <c r="H29" s="4">
        <f t="shared" si="4"/>
        <v>28837590.449839506</v>
      </c>
      <c r="I29" s="5">
        <f t="shared" si="2"/>
        <v>1.106982405650516</v>
      </c>
      <c r="J29" s="4">
        <f t="shared" si="5"/>
        <v>1109138.0942245964</v>
      </c>
      <c r="K29" s="4" t="e">
        <f t="shared" si="3"/>
        <v>#DIV/0!</v>
      </c>
      <c r="L29" s="63" cm="1">
        <f t="array" ref="L29">+_xlfn.IFS(I29&gt;114%,H29*0.02,I29&gt;109%,H29*0.015,I29&gt;104%,H29*0.0125,I29&gt;99%,H29*0.01,I29&lt;99%,H29*0)</f>
        <v>432563.85674759257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f>IFERROR(+VLOOKUP(B30,COMISIONES!A:E,5,FALSE),"0")*1</f>
        <v>18609862.443094365</v>
      </c>
      <c r="E30" s="4">
        <v>17770782.419608682</v>
      </c>
      <c r="F30" s="59">
        <f t="shared" si="7"/>
        <v>839080.0234856829</v>
      </c>
      <c r="G30" s="5">
        <f t="shared" si="1"/>
        <v>0.7204747364728753</v>
      </c>
      <c r="H30" s="4">
        <f t="shared" si="4"/>
        <v>18609862.443094365</v>
      </c>
      <c r="I30" s="5">
        <f t="shared" si="2"/>
        <v>0.7204747364728753</v>
      </c>
      <c r="J30" s="4">
        <f t="shared" si="5"/>
        <v>715763.94011901401</v>
      </c>
      <c r="K30" s="4" t="e">
        <f t="shared" si="3"/>
        <v>#DIV/0!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f>IFERROR(+VLOOKUP(B31,COMISIONES!A:E,5,FALSE),"0")*1</f>
        <v>30270119.210779201</v>
      </c>
      <c r="E31" s="4">
        <v>28032289.867845565</v>
      </c>
      <c r="F31" s="59">
        <f t="shared" si="7"/>
        <v>2237829.3429336362</v>
      </c>
      <c r="G31" s="5">
        <f t="shared" si="1"/>
        <v>1.114545127997675</v>
      </c>
      <c r="H31" s="4">
        <f t="shared" si="4"/>
        <v>30270119.210779201</v>
      </c>
      <c r="I31" s="5">
        <f t="shared" si="2"/>
        <v>1.114545127997675</v>
      </c>
      <c r="J31" s="4">
        <f t="shared" si="5"/>
        <v>1164235.3542607385</v>
      </c>
      <c r="K31" s="4" t="e">
        <f t="shared" si="3"/>
        <v>#DIV/0!</v>
      </c>
      <c r="L31" s="63" cm="1">
        <f t="array" ref="L31">+_xlfn.IFS(I31&gt;114%,H31*0.02,I31&gt;109%,H31*0.015,I31&gt;104%,H31*0.0125,I31&gt;99%,H31*0.01,I31&lt;99%,H31*0)</f>
        <v>454051.78816168802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f>IFERROR(+VLOOKUP(B32,COMISIONES!A:E,5,FALSE),"0")*1</f>
        <v>12728356.483641908</v>
      </c>
      <c r="E32" s="4">
        <v>12312611.37117344</v>
      </c>
      <c r="F32" s="59">
        <f t="shared" si="7"/>
        <v>415745.11246846803</v>
      </c>
      <c r="G32" s="5">
        <f t="shared" si="1"/>
        <v>0.59132898878708062</v>
      </c>
      <c r="H32" s="4">
        <f t="shared" si="4"/>
        <v>12728356.483641908</v>
      </c>
      <c r="I32" s="5">
        <f t="shared" si="2"/>
        <v>0.59132898878708062</v>
      </c>
      <c r="J32" s="4">
        <f t="shared" si="5"/>
        <v>489552.17244776565</v>
      </c>
      <c r="K32" s="4" t="e">
        <f t="shared" si="3"/>
        <v>#DIV/0!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274</v>
      </c>
      <c r="C33" s="73">
        <v>25274654.999999996</v>
      </c>
      <c r="D33" s="4">
        <f>IFERROR(+VLOOKUP(B33,COMISIONES!A:E,5,FALSE),"0")*1</f>
        <v>9035243.4868967943</v>
      </c>
      <c r="E33" s="4">
        <v>8626881.987285044</v>
      </c>
      <c r="F33" s="59">
        <f t="shared" si="7"/>
        <v>408361.49961175025</v>
      </c>
      <c r="G33" s="5">
        <f t="shared" si="1"/>
        <v>0.35748236669884498</v>
      </c>
      <c r="H33" s="4">
        <f t="shared" si="4"/>
        <v>9035243.4868967943</v>
      </c>
      <c r="I33" s="5">
        <f t="shared" si="2"/>
        <v>0.35748236669884498</v>
      </c>
      <c r="J33" s="4">
        <f t="shared" si="5"/>
        <v>347509.36488064594</v>
      </c>
      <c r="K33" s="4" t="e">
        <f t="shared" si="3"/>
        <v>#DIV/0!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276</v>
      </c>
      <c r="C34" s="73">
        <v>25865874.999999996</v>
      </c>
      <c r="D34" s="4">
        <f>IFERROR(+VLOOKUP(B34,COMISIONES!A:E,5,FALSE),"0")*1</f>
        <v>13042373.363239814</v>
      </c>
      <c r="E34" s="4">
        <v>12744614.064008825</v>
      </c>
      <c r="F34" s="59">
        <f t="shared" si="7"/>
        <v>297759.29923098907</v>
      </c>
      <c r="G34" s="5">
        <f t="shared" si="1"/>
        <v>0.50423089739820581</v>
      </c>
      <c r="H34" s="4">
        <f t="shared" si="4"/>
        <v>13042373.363239814</v>
      </c>
      <c r="I34" s="5">
        <f t="shared" si="2"/>
        <v>0.50423089739820581</v>
      </c>
      <c r="J34" s="4">
        <f t="shared" si="5"/>
        <v>501629.74473999284</v>
      </c>
      <c r="K34" s="4" t="e">
        <f t="shared" si="3"/>
        <v>#DIV/0!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f>IFERROR(+VLOOKUP(B35,COMISIONES!A:E,5,FALSE),"0")*1</f>
        <v>104742316.6309845</v>
      </c>
      <c r="E35" s="4">
        <v>95594164.651924506</v>
      </c>
      <c r="F35" s="59">
        <f t="shared" si="7"/>
        <v>9148151.9790599942</v>
      </c>
      <c r="G35" s="5">
        <f t="shared" si="1"/>
        <v>0.83752282859190452</v>
      </c>
      <c r="H35" s="4">
        <f t="shared" si="4"/>
        <v>104742316.6309845</v>
      </c>
      <c r="I35" s="5">
        <f t="shared" si="2"/>
        <v>0.83752282859190452</v>
      </c>
      <c r="J35" s="4">
        <f t="shared" si="5"/>
        <v>4028550.6396532501</v>
      </c>
      <c r="K35" s="4" t="e">
        <f t="shared" si="3"/>
        <v>#DIV/0!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f>IFERROR(+VLOOKUP(B36,COMISIONES!A:E,5,FALSE),"0")*1</f>
        <v>19854433.27797151</v>
      </c>
      <c r="E36" s="4">
        <v>17150855.408873394</v>
      </c>
      <c r="F36" s="59">
        <f t="shared" si="7"/>
        <v>2703577.8690981157</v>
      </c>
      <c r="G36" s="5">
        <f t="shared" si="1"/>
        <v>0.54258203943353178</v>
      </c>
      <c r="H36" s="4">
        <f t="shared" si="4"/>
        <v>19854433.27797151</v>
      </c>
      <c r="I36" s="5">
        <f t="shared" si="2"/>
        <v>0.54258203943353178</v>
      </c>
      <c r="J36" s="4">
        <f t="shared" si="5"/>
        <v>763632.04915275041</v>
      </c>
      <c r="K36" s="4" t="e">
        <f t="shared" si="3"/>
        <v>#DIV/0!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f>IFERROR(+VLOOKUP(B37,COMISIONES!A:E,5,FALSE),"0")*1</f>
        <v>27139492.228026818</v>
      </c>
      <c r="E37" s="4">
        <v>26389534.349994246</v>
      </c>
      <c r="F37" s="59">
        <f t="shared" si="7"/>
        <v>749957.87803257257</v>
      </c>
      <c r="G37" s="5">
        <f t="shared" si="1"/>
        <v>0.72817694572531866</v>
      </c>
      <c r="H37" s="4">
        <f t="shared" si="4"/>
        <v>27139492.228026818</v>
      </c>
      <c r="I37" s="5">
        <f t="shared" si="2"/>
        <v>0.72817694572531866</v>
      </c>
      <c r="J37" s="4">
        <f t="shared" si="5"/>
        <v>1043826.6241548776</v>
      </c>
      <c r="K37" s="4" t="e">
        <f t="shared" si="3"/>
        <v>#DIV/0!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521754707.42240375</v>
      </c>
      <c r="D38" s="66">
        <f>+SUM(D25:D37)</f>
        <v>403292110.3925252</v>
      </c>
      <c r="E38" s="66">
        <v>380267412.05943853</v>
      </c>
      <c r="F38" s="66">
        <f>+D38-E38</f>
        <v>23024698.333086669</v>
      </c>
      <c r="G38" s="65">
        <f t="shared" si="1"/>
        <v>0.77295346770302686</v>
      </c>
      <c r="H38" s="64">
        <f t="shared" si="4"/>
        <v>403292110.3925252</v>
      </c>
      <c r="I38" s="65">
        <f t="shared" si="2"/>
        <v>0.77295346770302686</v>
      </c>
      <c r="J38" s="64">
        <f t="shared" si="5"/>
        <v>15511235.015097123</v>
      </c>
      <c r="K38" s="66" t="e">
        <f t="shared" si="3"/>
        <v>#DIV/0!</v>
      </c>
      <c r="L38" s="67"/>
    </row>
    <row r="39" spans="1:12" ht="16.5" thickBot="1" x14ac:dyDescent="0.3">
      <c r="A39" s="142" t="s">
        <v>265</v>
      </c>
      <c r="B39" s="136" t="s">
        <v>144</v>
      </c>
      <c r="C39" s="4">
        <v>35000000</v>
      </c>
      <c r="D39" s="4">
        <f>IFERROR(+VLOOKUP(B39,COMISIONES!A:E,5,FALSE),"0")*1</f>
        <v>33569113.032947592</v>
      </c>
      <c r="E39" s="4">
        <v>24669197.621924087</v>
      </c>
      <c r="F39" s="59">
        <f t="shared" si="7"/>
        <v>8899915.411023505</v>
      </c>
      <c r="G39" s="5">
        <f t="shared" si="1"/>
        <v>0.95911751522707411</v>
      </c>
      <c r="H39" s="4">
        <f t="shared" ref="H39:H47" si="8">+D39/$N$3*$N$4</f>
        <v>33569113.032947592</v>
      </c>
      <c r="I39" s="5">
        <f t="shared" ref="I39:I47" si="9">+H39/C39</f>
        <v>0.95911751522707411</v>
      </c>
      <c r="J39" s="4">
        <f t="shared" ref="J39:J47" si="10">+D39/$N$3</f>
        <v>1291119.7320364458</v>
      </c>
      <c r="K39" s="4" t="e">
        <f t="shared" ref="K39:K47" si="11">+(C39-D39)/$N$2</f>
        <v>#DIV/0!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16243659.491682226</v>
      </c>
      <c r="E40" s="4">
        <v>14430657.397060707</v>
      </c>
      <c r="F40" s="59">
        <f t="shared" si="7"/>
        <v>1813002.0946215186</v>
      </c>
      <c r="G40" s="5">
        <f t="shared" si="1"/>
        <v>0.54145531638940758</v>
      </c>
      <c r="H40" s="4">
        <f t="shared" si="8"/>
        <v>16243659.491682226</v>
      </c>
      <c r="I40" s="5">
        <f t="shared" si="9"/>
        <v>0.54145531638940758</v>
      </c>
      <c r="J40" s="4">
        <f t="shared" si="10"/>
        <v>624756.1342954702</v>
      </c>
      <c r="K40" s="4" t="e">
        <f t="shared" si="11"/>
        <v>#DIV/0!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23502345.16595237</v>
      </c>
      <c r="E41" s="4">
        <v>23502345.16595237</v>
      </c>
      <c r="F41" s="59">
        <f t="shared" si="7"/>
        <v>0</v>
      </c>
      <c r="G41" s="5">
        <f t="shared" si="1"/>
        <v>0.72489608228392799</v>
      </c>
      <c r="H41" s="4">
        <f t="shared" si="8"/>
        <v>23502345.16595237</v>
      </c>
      <c r="I41" s="5">
        <f t="shared" si="9"/>
        <v>0.72489608228392799</v>
      </c>
      <c r="J41" s="4">
        <f t="shared" si="10"/>
        <v>903936.35253662965</v>
      </c>
      <c r="K41" s="4" t="e">
        <f t="shared" si="11"/>
        <v>#DIV/0!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f>IFERROR(+VLOOKUP(B42,COMISIONES!A:E,5,FALSE),"0")*1</f>
        <v>67776979.294313639</v>
      </c>
      <c r="E42" s="4">
        <v>67507435.480054155</v>
      </c>
      <c r="F42" s="59">
        <f t="shared" si="7"/>
        <v>269543.81425948441</v>
      </c>
      <c r="G42" s="5">
        <f t="shared" si="1"/>
        <v>1.2230452212446363</v>
      </c>
      <c r="H42" s="4">
        <f t="shared" si="8"/>
        <v>67776979.294313639</v>
      </c>
      <c r="I42" s="5">
        <f t="shared" si="9"/>
        <v>1.2230452212446363</v>
      </c>
      <c r="J42" s="4">
        <f t="shared" si="10"/>
        <v>2606806.8959351401</v>
      </c>
      <c r="K42" s="4" t="e">
        <f t="shared" si="11"/>
        <v>#DIV/0!</v>
      </c>
      <c r="L42" s="63" cm="1">
        <f t="array" ref="L42">+_xlfn.IFS(I42&gt;114%,H42*0.02,I42&gt;109%,H42*0.015,I42&gt;104%,H42*0.0125,I42&gt;99%,H42*0.01,I42&lt;99%,H42*0)</f>
        <v>1355539.5858862728</v>
      </c>
    </row>
    <row r="43" spans="1:12" ht="16.5" thickBot="1" x14ac:dyDescent="0.3">
      <c r="A43" s="143"/>
      <c r="B43" s="138" t="s">
        <v>266</v>
      </c>
      <c r="C43" s="4">
        <v>100000000</v>
      </c>
      <c r="D43" s="4">
        <f>IFERROR(+VLOOKUP(B43,COMISIONES!A:E,5,FALSE),"0")*1</f>
        <v>70633225.909723982</v>
      </c>
      <c r="E43" s="4">
        <v>70633225.909723982</v>
      </c>
      <c r="F43" s="59">
        <f t="shared" si="7"/>
        <v>0</v>
      </c>
      <c r="G43" s="5">
        <f t="shared" si="1"/>
        <v>0.70633225909723985</v>
      </c>
      <c r="H43" s="4">
        <f t="shared" si="8"/>
        <v>70633225.909723982</v>
      </c>
      <c r="I43" s="5">
        <f t="shared" si="9"/>
        <v>0.70633225909723985</v>
      </c>
      <c r="J43" s="4">
        <f t="shared" si="10"/>
        <v>2716662.534989384</v>
      </c>
      <c r="K43" s="4" t="e">
        <f t="shared" si="11"/>
        <v>#DIV/0!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3"/>
      <c r="B44" s="138" t="s">
        <v>267</v>
      </c>
      <c r="C44" s="4">
        <v>100000000</v>
      </c>
      <c r="D44" s="4">
        <f>IFERROR(+VLOOKUP(B44,COMISIONES!A:E,5,FALSE),"0")*1</f>
        <v>101727325.82770839</v>
      </c>
      <c r="E44" s="4">
        <v>101815489.4705084</v>
      </c>
      <c r="F44" s="59">
        <f t="shared" si="7"/>
        <v>-88163.64280000329</v>
      </c>
      <c r="G44" s="5">
        <f t="shared" si="1"/>
        <v>1.017273258277084</v>
      </c>
      <c r="H44" s="4">
        <f t="shared" si="8"/>
        <v>101727325.82770839</v>
      </c>
      <c r="I44" s="5">
        <f t="shared" si="9"/>
        <v>1.017273258277084</v>
      </c>
      <c r="J44" s="4">
        <f t="shared" si="10"/>
        <v>3912589.4549118611</v>
      </c>
      <c r="K44" s="4" t="e">
        <f t="shared" si="11"/>
        <v>#DIV/0!</v>
      </c>
      <c r="L44" s="63" cm="1">
        <f t="array" ref="L44">+_xlfn.IFS(I44&gt;114%,H44*0.02,I44&gt;109%,H44*0.015,I44&gt;104%,H44*0.0125,I44&gt;99%,H44*0.01,I44&lt;99%,H44*0)</f>
        <v>1017273.258277084</v>
      </c>
    </row>
    <row r="45" spans="1:12" ht="16.5" thickBot="1" x14ac:dyDescent="0.3">
      <c r="A45" s="143"/>
      <c r="B45" s="138" t="s">
        <v>275</v>
      </c>
      <c r="C45" s="4">
        <v>25000000</v>
      </c>
      <c r="D45" s="4">
        <f>IFERROR(+VLOOKUP(B45,COMISIONES!A:E,5,FALSE),"0")*1</f>
        <v>13890576.9522874</v>
      </c>
      <c r="E45" s="4">
        <v>13415069.928110547</v>
      </c>
      <c r="F45" s="59">
        <f t="shared" si="7"/>
        <v>475507.02417685278</v>
      </c>
      <c r="G45" s="5">
        <f t="shared" si="1"/>
        <v>0.55562307809149603</v>
      </c>
      <c r="H45" s="4">
        <f t="shared" si="8"/>
        <v>13890576.952287398</v>
      </c>
      <c r="I45" s="5">
        <f t="shared" si="9"/>
        <v>0.55562307809149591</v>
      </c>
      <c r="J45" s="4">
        <f t="shared" si="10"/>
        <v>534252.9597033615</v>
      </c>
      <c r="K45" s="4" t="e">
        <f t="shared" si="11"/>
        <v>#DIV/0!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3"/>
      <c r="B46" s="138" t="s">
        <v>268</v>
      </c>
      <c r="C46" s="4">
        <v>100000000</v>
      </c>
      <c r="D46" s="4">
        <f>IFERROR(+VLOOKUP(B46,COMISIONES!A:E,5,FALSE),"0")*1</f>
        <v>35002321.995747954</v>
      </c>
      <c r="E46" s="4">
        <v>35002321.995747954</v>
      </c>
      <c r="F46" s="59">
        <f t="shared" si="7"/>
        <v>0</v>
      </c>
      <c r="G46" s="5">
        <f t="shared" si="1"/>
        <v>0.35002321995747954</v>
      </c>
      <c r="H46" s="4">
        <f t="shared" si="8"/>
        <v>35002321.995747954</v>
      </c>
      <c r="I46" s="5">
        <f t="shared" si="9"/>
        <v>0.35002321995747954</v>
      </c>
      <c r="J46" s="4">
        <f t="shared" si="10"/>
        <v>1346243.1536826135</v>
      </c>
      <c r="K46" s="4" t="e">
        <f t="shared" si="11"/>
        <v>#DIV/0!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455695855.27356702</v>
      </c>
      <c r="D47" s="66">
        <f>SUM(D39:D46)</f>
        <v>362345547.67036355</v>
      </c>
      <c r="E47" s="66">
        <v>350975742.96908224</v>
      </c>
      <c r="F47" s="66">
        <f>+SUM(F39:F46)</f>
        <v>11369804.701281358</v>
      </c>
      <c r="G47" s="65">
        <f t="shared" si="1"/>
        <v>0.79514777998767916</v>
      </c>
      <c r="H47" s="64">
        <f t="shared" si="8"/>
        <v>362345547.67036355</v>
      </c>
      <c r="I47" s="65">
        <f t="shared" si="9"/>
        <v>0.79514777998767916</v>
      </c>
      <c r="J47" s="64">
        <f t="shared" si="10"/>
        <v>13936367.218090905</v>
      </c>
      <c r="K47" s="66" t="e">
        <f t="shared" si="11"/>
        <v>#DIV/0!</v>
      </c>
      <c r="L47" s="67"/>
    </row>
    <row r="48" spans="1:12" ht="16.5" thickBot="1" x14ac:dyDescent="0.3">
      <c r="A48" s="75" t="s">
        <v>273</v>
      </c>
      <c r="B48" s="76"/>
      <c r="C48" s="77">
        <v>1379767147.0931361</v>
      </c>
      <c r="D48" s="77">
        <f>+D38+D24+D10+D15+D47</f>
        <v>1652042065.8146596</v>
      </c>
      <c r="E48" s="77">
        <v>1584477705.9113965</v>
      </c>
      <c r="F48" s="77">
        <f>+D48-E48</f>
        <v>67564359.903263092</v>
      </c>
      <c r="G48" s="78">
        <f>+D48/C48</f>
        <v>1.1973339626872161</v>
      </c>
      <c r="H48" s="77">
        <f>+D48/$N$3*$N$4</f>
        <v>1652042065.8146596</v>
      </c>
      <c r="I48" s="140">
        <f t="shared" si="2"/>
        <v>1.1973339626872161</v>
      </c>
      <c r="J48" s="77">
        <f>+D48/$N$3</f>
        <v>63540079.454409987</v>
      </c>
      <c r="K48" s="77" t="e">
        <f>+(C48-D48)/$N$2</f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0.88607594936708856</v>
      </c>
      <c r="E2" s="13">
        <v>33</v>
      </c>
      <c r="F2" s="12">
        <f>+H2-E2</f>
        <v>37</v>
      </c>
      <c r="G2" s="13">
        <f>VLOOKUP(B2,'Base Cobertura'!$A:$C,3,FALSE)</f>
        <v>79</v>
      </c>
      <c r="H2" s="13">
        <f>VLOOKUP(B2,'Base Cobertura'!$A:$C,2,FALSE)</f>
        <v>70</v>
      </c>
      <c r="I2" s="17">
        <f>(+G2*$M$2)-H2</f>
        <v>-2.8500000000000085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0.90789473684210531</v>
      </c>
      <c r="E3" s="13">
        <v>126</v>
      </c>
      <c r="F3" s="12">
        <f t="shared" ref="F3:F13" si="1">+H3-E3</f>
        <v>81</v>
      </c>
      <c r="G3" s="13">
        <f>VLOOKUP(B3,'Base Cobertura'!$A:$C,3,FALSE)</f>
        <v>228</v>
      </c>
      <c r="H3" s="13">
        <f>VLOOKUP(B3,'Base Cobertura'!$A:$C,2,FALSE)</f>
        <v>207</v>
      </c>
      <c r="I3" s="17">
        <f t="shared" ref="I3:I13" si="2">(+G3*$M$2)-H3</f>
        <v>-13.200000000000017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142 - ALMACEN</v>
      </c>
      <c r="S3" s="12">
        <v>52</v>
      </c>
      <c r="T3" s="12">
        <v>174</v>
      </c>
      <c r="U3" s="41">
        <f>+S3/T3</f>
        <v>0.2988505747126437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0.81538461538461537</v>
      </c>
      <c r="E4" s="13">
        <v>21</v>
      </c>
      <c r="F4" s="12">
        <f t="shared" si="1"/>
        <v>32</v>
      </c>
      <c r="G4" s="13">
        <f>VLOOKUP(B4,'Base Cobertura'!$A:$C,3,FALSE)</f>
        <v>65</v>
      </c>
      <c r="H4" s="13">
        <f>VLOOKUP(B4,'Base Cobertura'!$A:$C,2,FALSE)</f>
        <v>53</v>
      </c>
      <c r="I4" s="17">
        <f t="shared" si="2"/>
        <v>2.25</v>
      </c>
      <c r="J4" t="s">
        <v>57</v>
      </c>
      <c r="K4" t="s">
        <v>64</v>
      </c>
      <c r="P4" s="13">
        <v>25</v>
      </c>
      <c r="Q4" s="13">
        <v>0</v>
      </c>
      <c r="R4" s="13" t="str">
        <v>142 - Articulos Sin Asociar Agrupacion</v>
      </c>
      <c r="S4" s="13">
        <v>48</v>
      </c>
      <c r="T4" s="13">
        <v>174</v>
      </c>
      <c r="U4" s="5">
        <f t="shared" ref="U4:U11" si="3">+S4/T4</f>
        <v>0.27586206896551724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0.87559808612440193</v>
      </c>
      <c r="E5" s="13">
        <v>100</v>
      </c>
      <c r="F5" s="12">
        <f t="shared" si="1"/>
        <v>83</v>
      </c>
      <c r="G5" s="13">
        <f>VLOOKUP(B5,'Base Cobertura'!$A:$C,3,FALSE)</f>
        <v>209</v>
      </c>
      <c r="H5" s="13">
        <f>VLOOKUP(B5,'Base Cobertura'!$A:$C,2,FALSE)</f>
        <v>183</v>
      </c>
      <c r="I5" s="17">
        <f t="shared" si="2"/>
        <v>-5.3499999999999943</v>
      </c>
      <c r="K5" t="s">
        <v>64</v>
      </c>
      <c r="P5" s="13">
        <v>25</v>
      </c>
      <c r="Q5" s="13">
        <v>0</v>
      </c>
      <c r="R5" s="13" t="str">
        <v>142 - BEBIDAS</v>
      </c>
      <c r="S5" s="13">
        <v>53</v>
      </c>
      <c r="T5" s="13">
        <v>174</v>
      </c>
      <c r="U5" s="5">
        <f t="shared" si="3"/>
        <v>0.3045977011494253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0.86432160804020097</v>
      </c>
      <c r="E6" s="13">
        <v>81</v>
      </c>
      <c r="F6" s="12">
        <f t="shared" si="1"/>
        <v>91</v>
      </c>
      <c r="G6" s="13">
        <f>VLOOKUP(B6,'Base Cobertura'!$A:$C,3,FALSE)</f>
        <v>199</v>
      </c>
      <c r="H6" s="13">
        <f>VLOOKUP(B6,'Base Cobertura'!$A:$C,2,FALSE)</f>
        <v>172</v>
      </c>
      <c r="I6" s="17">
        <f t="shared" si="2"/>
        <v>-2.8499999999999943</v>
      </c>
      <c r="J6" t="s">
        <v>58</v>
      </c>
      <c r="K6" t="s">
        <v>58</v>
      </c>
      <c r="P6" s="13">
        <v>25</v>
      </c>
      <c r="Q6" s="13">
        <v>0</v>
      </c>
      <c r="R6" s="13" t="str">
        <v>142 - CHOCOLATE</v>
      </c>
      <c r="S6" s="13">
        <v>53</v>
      </c>
      <c r="T6" s="13">
        <v>174</v>
      </c>
      <c r="U6" s="5">
        <f t="shared" si="3"/>
        <v>0.3045977011494253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0.88785046728971961</v>
      </c>
      <c r="E7" s="13">
        <v>89</v>
      </c>
      <c r="F7" s="12">
        <f t="shared" si="1"/>
        <v>101</v>
      </c>
      <c r="G7" s="13">
        <f>VLOOKUP(B7,'Base Cobertura'!$A:$C,3,FALSE)</f>
        <v>214</v>
      </c>
      <c r="H7" s="13">
        <f>VLOOKUP(B7,'Base Cobertura'!$A:$C,2,FALSE)</f>
        <v>190</v>
      </c>
      <c r="I7" s="17">
        <f t="shared" si="2"/>
        <v>-8.0999999999999943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142 - GALLETITAS</v>
      </c>
      <c r="S7" s="13">
        <v>61</v>
      </c>
      <c r="T7" s="13">
        <v>174</v>
      </c>
      <c r="U7" s="5">
        <f t="shared" si="3"/>
        <v>0.35057471264367818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0.8294117647058824</v>
      </c>
      <c r="E8" s="13">
        <v>92</v>
      </c>
      <c r="F8" s="12">
        <f t="shared" si="1"/>
        <v>49</v>
      </c>
      <c r="G8" s="13">
        <f>VLOOKUP(B8,'Base Cobertura'!$A:$C,3,FALSE)</f>
        <v>170</v>
      </c>
      <c r="H8" s="13">
        <f>VLOOKUP(B8,'Base Cobertura'!$A:$C,2,FALSE)</f>
        <v>141</v>
      </c>
      <c r="I8" s="17">
        <f t="shared" si="2"/>
        <v>3.5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142 - GOLOSINAS</v>
      </c>
      <c r="S8" s="13">
        <v>58</v>
      </c>
      <c r="T8" s="13">
        <v>174</v>
      </c>
      <c r="U8" s="5">
        <f t="shared" si="3"/>
        <v>0.33333333333333331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0.69346733668341709</v>
      </c>
      <c r="E9" s="13">
        <v>64</v>
      </c>
      <c r="F9" s="12">
        <f t="shared" si="1"/>
        <v>74</v>
      </c>
      <c r="G9" s="13">
        <f>VLOOKUP(B9,'Base Cobertura'!$A:$C,3,FALSE)</f>
        <v>199</v>
      </c>
      <c r="H9" s="13">
        <f>VLOOKUP(B9,'Base Cobertura'!$A:$C,2,FALSE)</f>
        <v>138</v>
      </c>
      <c r="I9" s="17">
        <f t="shared" si="2"/>
        <v>31.150000000000006</v>
      </c>
      <c r="J9" t="s">
        <v>55</v>
      </c>
      <c r="K9" t="s">
        <v>65</v>
      </c>
      <c r="P9" s="13">
        <v>25</v>
      </c>
      <c r="Q9" s="13">
        <v>0</v>
      </c>
      <c r="R9" s="13" t="str">
        <v>142 - MASCOTAS</v>
      </c>
      <c r="S9" s="13">
        <v>55</v>
      </c>
      <c r="T9" s="13">
        <v>174</v>
      </c>
      <c r="U9" s="5">
        <f t="shared" si="3"/>
        <v>0.31609195402298851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0.54807692307692313</v>
      </c>
      <c r="E10" s="31">
        <v>19</v>
      </c>
      <c r="F10" s="33">
        <f t="shared" si="1"/>
        <v>38</v>
      </c>
      <c r="G10" s="13">
        <f>VLOOKUP(B10,'Base Cobertura'!$A:$C,3,FALSE)</f>
        <v>104</v>
      </c>
      <c r="H10" s="13">
        <f>VLOOKUP(B10,'Base Cobertura'!$A:$C,2,FALSE)</f>
        <v>57</v>
      </c>
      <c r="I10" s="34">
        <f t="shared" si="2"/>
        <v>31.399999999999991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142 - NO PERECEDEROS</v>
      </c>
      <c r="S10" s="13">
        <v>43</v>
      </c>
      <c r="T10" s="13">
        <v>174</v>
      </c>
      <c r="U10" s="5">
        <f t="shared" si="3"/>
        <v>0.2471264367816092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0.65714285714285714</v>
      </c>
      <c r="E11" s="31">
        <v>24</v>
      </c>
      <c r="F11" s="33">
        <f t="shared" si="1"/>
        <v>45</v>
      </c>
      <c r="G11" s="13">
        <f>VLOOKUP(B11,'Base Cobertura'!$A:$C,3,FALSE)</f>
        <v>105</v>
      </c>
      <c r="H11" s="13">
        <f>VLOOKUP(B11,'Base Cobertura'!$A:$C,2,FALSE)</f>
        <v>69</v>
      </c>
      <c r="I11" s="34">
        <f t="shared" si="2"/>
        <v>20.25</v>
      </c>
      <c r="J11" t="s">
        <v>59</v>
      </c>
      <c r="P11" s="13">
        <v>25</v>
      </c>
      <c r="Q11" s="13">
        <v>0</v>
      </c>
      <c r="R11" s="13" t="str">
        <v>142 - PILAS</v>
      </c>
      <c r="S11" s="13">
        <v>31</v>
      </c>
      <c r="T11" s="13">
        <v>174</v>
      </c>
      <c r="U11" s="5">
        <f t="shared" si="3"/>
        <v>0.17816091954022989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0.90114068441064643</v>
      </c>
      <c r="E12" s="13">
        <v>144</v>
      </c>
      <c r="F12" s="12">
        <f t="shared" si="1"/>
        <v>93</v>
      </c>
      <c r="G12" s="13">
        <f>VLOOKUP(B12,'Base Cobertura'!$A:$C,3,FALSE)</f>
        <v>263</v>
      </c>
      <c r="H12" s="13">
        <f>VLOOKUP(B12,'Base Cobertura'!$A:$C,2,FALSE)</f>
        <v>237</v>
      </c>
      <c r="I12" s="17">
        <f t="shared" si="2"/>
        <v>-13.450000000000017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0.87362637362637363</v>
      </c>
      <c r="E13" s="13">
        <v>85</v>
      </c>
      <c r="F13" s="12">
        <f t="shared" si="1"/>
        <v>74</v>
      </c>
      <c r="G13" s="13">
        <f>VLOOKUP(B13,'Base Cobertura'!$A:$C,3,FALSE)</f>
        <v>182</v>
      </c>
      <c r="H13" s="13">
        <f>VLOOKUP(B13,'Base Cobertura'!$A:$C,2,FALSE)</f>
        <v>159</v>
      </c>
      <c r="I13" s="17">
        <f t="shared" si="2"/>
        <v>-4.3000000000000114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798</v>
      </c>
      <c r="G14" s="8">
        <f>+SUM(G1:G13)</f>
        <v>2017</v>
      </c>
      <c r="H14" s="8">
        <f>+SUM(H1:H13)</f>
        <v>1676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0.81874999999999998</v>
      </c>
      <c r="E15" s="13">
        <v>90</v>
      </c>
      <c r="F15" s="12">
        <f t="shared" ref="F15:F36" si="6">+H15-E15</f>
        <v>41</v>
      </c>
      <c r="G15" s="13">
        <f>VLOOKUP(B15,'Base Cobertura'!$A:$C,3,FALSE)</f>
        <v>160</v>
      </c>
      <c r="H15" s="13">
        <f>VLOOKUP(B15,'Base Cobertura'!$A:$C,2,FALSE)</f>
        <v>131</v>
      </c>
      <c r="I15" s="17">
        <f t="shared" ref="I15:I36" si="7">(+G15*$M$2)-H15</f>
        <v>5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0.83499999999999996</v>
      </c>
      <c r="E16" s="13">
        <v>92</v>
      </c>
      <c r="F16" s="12">
        <f t="shared" si="6"/>
        <v>75</v>
      </c>
      <c r="G16" s="13">
        <f>VLOOKUP(B16,'Base Cobertura'!$A:$C,3,FALSE)</f>
        <v>200</v>
      </c>
      <c r="H16" s="13">
        <f>VLOOKUP(B16,'Base Cobertura'!$A:$C,2,FALSE)</f>
        <v>167</v>
      </c>
      <c r="I16" s="17">
        <f t="shared" si="7"/>
        <v>3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0.89759036144578308</v>
      </c>
      <c r="E17" s="13">
        <v>88</v>
      </c>
      <c r="F17" s="12">
        <f t="shared" si="6"/>
        <v>61</v>
      </c>
      <c r="G17" s="13">
        <f>VLOOKUP(B17,'Base Cobertura'!$A:$C,3,FALSE)</f>
        <v>166</v>
      </c>
      <c r="H17" s="13">
        <f>VLOOKUP(B17,'Base Cobertura'!$A:$C,2,FALSE)</f>
        <v>149</v>
      </c>
      <c r="I17" s="17">
        <f t="shared" si="7"/>
        <v>-7.9000000000000057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0.85161290322580641</v>
      </c>
      <c r="E18" s="13">
        <v>95</v>
      </c>
      <c r="F18" s="12">
        <f t="shared" si="6"/>
        <v>37</v>
      </c>
      <c r="G18" s="13">
        <f>VLOOKUP(B18,'Base Cobertura'!$A:$C,3,FALSE)</f>
        <v>155</v>
      </c>
      <c r="H18" s="13">
        <f>VLOOKUP(B18,'Base Cobertura'!$A:$C,2,FALSE)</f>
        <v>132</v>
      </c>
      <c r="I18" s="17">
        <f t="shared" si="7"/>
        <v>-0.25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0.88888888888888884</v>
      </c>
      <c r="E19" s="13">
        <v>83</v>
      </c>
      <c r="F19" s="12">
        <f t="shared" si="6"/>
        <v>77</v>
      </c>
      <c r="G19" s="13">
        <f>VLOOKUP(B19,'Base Cobertura'!$A:$C,3,FALSE)</f>
        <v>180</v>
      </c>
      <c r="H19" s="13">
        <f>VLOOKUP(B19,'Base Cobertura'!$A:$C,2,FALSE)</f>
        <v>160</v>
      </c>
      <c r="I19" s="17">
        <f t="shared" si="7"/>
        <v>-7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0.8529411764705882</v>
      </c>
      <c r="E20" s="13">
        <v>64</v>
      </c>
      <c r="F20" s="12">
        <f t="shared" si="6"/>
        <v>81</v>
      </c>
      <c r="G20" s="13">
        <f>VLOOKUP(B20,'Base Cobertura'!$A:$C,3,FALSE)</f>
        <v>170</v>
      </c>
      <c r="H20" s="13">
        <f>VLOOKUP(B20,'Base Cobertura'!$A:$C,2,FALSE)</f>
        <v>145</v>
      </c>
      <c r="I20" s="17">
        <f t="shared" si="7"/>
        <v>-0.5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0.80672268907563027</v>
      </c>
      <c r="E21" s="13">
        <v>70</v>
      </c>
      <c r="F21" s="12">
        <f t="shared" si="6"/>
        <v>26</v>
      </c>
      <c r="G21" s="13">
        <f>VLOOKUP(B21,'Base Cobertura'!$A:$C,3,FALSE)</f>
        <v>119</v>
      </c>
      <c r="H21" s="13">
        <f>VLOOKUP(B21,'Base Cobertura'!$A:$C,2,FALSE)</f>
        <v>96</v>
      </c>
      <c r="I21" s="17">
        <f t="shared" si="7"/>
        <v>5.1499999999999915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0.91176470588235292</v>
      </c>
      <c r="E22" s="13">
        <v>79</v>
      </c>
      <c r="F22" s="12">
        <f t="shared" si="6"/>
        <v>76</v>
      </c>
      <c r="G22" s="13">
        <f>VLOOKUP(B22,'Base Cobertura'!$A:$C,3,FALSE)</f>
        <v>170</v>
      </c>
      <c r="H22" s="13">
        <f>VLOOKUP(B22,'Base Cobertura'!$A:$C,2,FALSE)</f>
        <v>155</v>
      </c>
      <c r="I22" s="17">
        <f t="shared" si="7"/>
        <v>-10.5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474</v>
      </c>
      <c r="G23" s="8">
        <f>+SUM(G15:G22)</f>
        <v>1320</v>
      </c>
      <c r="H23" s="8">
        <f>+SUM(H15:H22)</f>
        <v>1135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0.89655172413793105</v>
      </c>
      <c r="E24" s="13">
        <v>20</v>
      </c>
      <c r="F24" s="12">
        <f>+H24-E24</f>
        <v>32</v>
      </c>
      <c r="G24" s="13">
        <f>VLOOKUP(B24,'Base Cobertura'!$A:$C,3,FALSE)</f>
        <v>58</v>
      </c>
      <c r="H24" s="13">
        <f>VLOOKUP(B24,'Base Cobertura'!$A:$C,2,FALSE)</f>
        <v>52</v>
      </c>
      <c r="I24" s="17">
        <f t="shared" si="7"/>
        <v>-2.7000000000000028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0.74842767295597479</v>
      </c>
      <c r="E25" s="13">
        <v>68</v>
      </c>
      <c r="F25" s="12">
        <f t="shared" si="6"/>
        <v>51</v>
      </c>
      <c r="G25" s="13">
        <f>VLOOKUP(B25,'Base Cobertura'!$A:$C,3,FALSE)</f>
        <v>159</v>
      </c>
      <c r="H25" s="13">
        <f>VLOOKUP(B25,'Base Cobertura'!$A:$C,2,FALSE)</f>
        <v>119</v>
      </c>
      <c r="I25" s="17">
        <f t="shared" si="7"/>
        <v>16.150000000000006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0.86624203821656054</v>
      </c>
      <c r="E26" s="13">
        <v>80</v>
      </c>
      <c r="F26" s="12">
        <f t="shared" si="6"/>
        <v>56</v>
      </c>
      <c r="G26" s="13">
        <f>VLOOKUP(B26,'Base Cobertura'!$A:$C,3,FALSE)</f>
        <v>157</v>
      </c>
      <c r="H26" s="13">
        <f>VLOOKUP(B26,'Base Cobertura'!$A:$C,2,FALSE)</f>
        <v>136</v>
      </c>
      <c r="I26" s="17">
        <f t="shared" si="7"/>
        <v>-2.5500000000000114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0.61711711711711714</v>
      </c>
      <c r="E27" s="13">
        <v>68</v>
      </c>
      <c r="F27" s="12">
        <f t="shared" si="6"/>
        <v>69</v>
      </c>
      <c r="G27" s="13">
        <f>VLOOKUP(B27,'Base Cobertura'!$A:$C,3,FALSE)</f>
        <v>222</v>
      </c>
      <c r="H27" s="13">
        <f>VLOOKUP(B27,'Base Cobertura'!$A:$C,2,FALSE)</f>
        <v>137</v>
      </c>
      <c r="I27" s="17">
        <f t="shared" si="7"/>
        <v>51.699999999999989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0.96946564885496178</v>
      </c>
      <c r="E28" s="13">
        <v>73</v>
      </c>
      <c r="F28" s="12">
        <f t="shared" si="6"/>
        <v>54</v>
      </c>
      <c r="G28" s="13">
        <f>VLOOKUP(B28,'Base Cobertura'!$A:$C,3,FALSE)</f>
        <v>131</v>
      </c>
      <c r="H28" s="13">
        <f>VLOOKUP(B28,'Base Cobertura'!$A:$C,2,FALSE)</f>
        <v>127</v>
      </c>
      <c r="I28" s="17">
        <f t="shared" si="7"/>
        <v>-15.650000000000006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0.70967741935483875</v>
      </c>
      <c r="E29" s="13">
        <v>40</v>
      </c>
      <c r="F29" s="12">
        <f t="shared" si="6"/>
        <v>92</v>
      </c>
      <c r="G29" s="13">
        <f>VLOOKUP(B29,'Base Cobertura'!$A:$C,3,FALSE)</f>
        <v>186</v>
      </c>
      <c r="H29" s="13">
        <f>VLOOKUP(B29,'Base Cobertura'!$A:$C,2,FALSE)</f>
        <v>132</v>
      </c>
      <c r="I29" s="17">
        <f t="shared" si="7"/>
        <v>26.099999999999994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0.88690476190476186</v>
      </c>
      <c r="E30" s="13">
        <v>67</v>
      </c>
      <c r="F30" s="12">
        <f t="shared" si="6"/>
        <v>82</v>
      </c>
      <c r="G30" s="13">
        <f>VLOOKUP(B30,'Base Cobertura'!$A:$C,3,FALSE)</f>
        <v>168</v>
      </c>
      <c r="H30" s="13">
        <f>VLOOKUP(B30,'Base Cobertura'!$A:$C,2,FALSE)</f>
        <v>149</v>
      </c>
      <c r="I30" s="17">
        <f t="shared" si="7"/>
        <v>-6.2000000000000171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0.85029940119760483</v>
      </c>
      <c r="E31" s="13">
        <v>66</v>
      </c>
      <c r="F31" s="12">
        <f t="shared" si="6"/>
        <v>76</v>
      </c>
      <c r="G31" s="13">
        <f>VLOOKUP(B31,'Base Cobertura'!$A:$C,3,FALSE)</f>
        <v>167</v>
      </c>
      <c r="H31" s="13">
        <f>VLOOKUP(B31,'Base Cobertura'!$A:$C,2,FALSE)</f>
        <v>142</v>
      </c>
      <c r="I31" s="17">
        <f t="shared" si="7"/>
        <v>-5.0000000000011369E-2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0.56551724137931036</v>
      </c>
      <c r="E32" s="13">
        <v>82</v>
      </c>
      <c r="F32" s="12">
        <f t="shared" si="6"/>
        <v>0</v>
      </c>
      <c r="G32" s="13">
        <f>VLOOKUP(B32,'Base Cobertura'!$A:$C,3,FALSE)</f>
        <v>145</v>
      </c>
      <c r="H32" s="13">
        <f>VLOOKUP(B32,'Base Cobertura'!$A:$C,2,FALSE)</f>
        <v>82</v>
      </c>
      <c r="I32" s="17">
        <f t="shared" si="7"/>
        <v>41.25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0.64130434782608692</v>
      </c>
      <c r="E33" s="13">
        <v>81</v>
      </c>
      <c r="F33" s="12">
        <f t="shared" si="6"/>
        <v>37</v>
      </c>
      <c r="G33" s="13">
        <f>VLOOKUP(B33,'Base Cobertura'!$A:$C,3,FALSE)</f>
        <v>184</v>
      </c>
      <c r="H33" s="13">
        <f>VLOOKUP(B33,'Base Cobertura'!$A:$C,2,FALSE)</f>
        <v>118</v>
      </c>
      <c r="I33" s="17">
        <f t="shared" si="7"/>
        <v>38.400000000000006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0.15384615384615385</v>
      </c>
      <c r="E34" s="13">
        <v>0</v>
      </c>
      <c r="F34" s="12">
        <f t="shared" si="6"/>
        <v>18</v>
      </c>
      <c r="G34" s="13">
        <f>VLOOKUP(B34,'Base Cobertura'!$A:$C,3,FALSE)</f>
        <v>117</v>
      </c>
      <c r="H34" s="13">
        <f>VLOOKUP(B34,'Base Cobertura'!$A:$C,2,FALSE)</f>
        <v>18</v>
      </c>
      <c r="I34" s="17">
        <f t="shared" si="7"/>
        <v>81.45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ROUBINEAU SEBASTIAN</v>
      </c>
      <c r="D35" s="22">
        <f t="shared" si="5"/>
        <v>0.41747572815533979</v>
      </c>
      <c r="E35" s="13">
        <v>17</v>
      </c>
      <c r="F35" s="12">
        <f t="shared" si="6"/>
        <v>26</v>
      </c>
      <c r="G35" s="13">
        <f>VLOOKUP(B35,'Base Cobertura'!$A:$C,3,FALSE)</f>
        <v>103</v>
      </c>
      <c r="H35" s="13">
        <f>VLOOKUP(B35,'Base Cobertura'!$A:$C,2,FALSE)</f>
        <v>43</v>
      </c>
      <c r="I35" s="17">
        <f t="shared" si="7"/>
        <v>44.55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0.89743589743589747</v>
      </c>
      <c r="E36" s="13">
        <v>60</v>
      </c>
      <c r="F36" s="12">
        <f t="shared" si="6"/>
        <v>45</v>
      </c>
      <c r="G36" s="13">
        <f>VLOOKUP(B36,'Base Cobertura'!$A:$C,3,FALSE)</f>
        <v>117</v>
      </c>
      <c r="H36" s="13">
        <f>VLOOKUP(B36,'Base Cobertura'!$A:$C,2,FALSE)</f>
        <v>105</v>
      </c>
      <c r="I36" s="17">
        <f t="shared" si="7"/>
        <v>-5.5499999999999972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638</v>
      </c>
      <c r="G37" s="8">
        <f>+SUM(G24:G36)</f>
        <v>1914</v>
      </c>
      <c r="H37" s="8">
        <f>+SUM(H24:H36)</f>
        <v>1360</v>
      </c>
      <c r="I37" s="8"/>
    </row>
    <row r="38" spans="1:12" x14ac:dyDescent="0.25">
      <c r="A38" s="148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0.27419354838709675</v>
      </c>
      <c r="E38" s="13">
        <v>60</v>
      </c>
      <c r="F38" s="12">
        <f t="shared" ref="F38:F45" si="9">+H38-E38</f>
        <v>-26</v>
      </c>
      <c r="G38" s="13">
        <f>VLOOKUP(B38,'Base Cobertura'!$A:$C,3,FALSE)</f>
        <v>124</v>
      </c>
      <c r="H38" s="13">
        <f>VLOOKUP(B38,'Base Cobertura'!$A:$C,2,FALSE)</f>
        <v>34</v>
      </c>
      <c r="I38" s="17">
        <f t="shared" ref="I38:I45" si="10">(+G38*$M$2)-H38</f>
        <v>71.399999999999991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0.49206349206349204</v>
      </c>
      <c r="E39" s="13">
        <v>60</v>
      </c>
      <c r="F39" s="12">
        <f t="shared" si="9"/>
        <v>2</v>
      </c>
      <c r="G39" s="13">
        <f>VLOOKUP(B39,'Base Cobertura'!$A:$C,3,FALSE)</f>
        <v>126</v>
      </c>
      <c r="H39" s="13">
        <f>VLOOKUP(B39,'Base Cobertura'!$A:$C,2,FALSE)</f>
        <v>62</v>
      </c>
      <c r="I39" s="17">
        <f t="shared" si="10"/>
        <v>45.099999999999994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0.41632653061224489</v>
      </c>
      <c r="E40" s="13">
        <v>60</v>
      </c>
      <c r="F40" s="12">
        <f t="shared" si="9"/>
        <v>42</v>
      </c>
      <c r="G40" s="13">
        <f>VLOOKUP(B40,'Base Cobertura'!$A:$C,3,FALSE)</f>
        <v>245</v>
      </c>
      <c r="H40" s="13">
        <f>VLOOKUP(B40,'Base Cobertura'!$A:$C,2,FALSE)</f>
        <v>102</v>
      </c>
      <c r="I40" s="17">
        <f t="shared" si="10"/>
        <v>106.25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0.49</v>
      </c>
      <c r="E41" s="13">
        <v>60</v>
      </c>
      <c r="F41" s="12">
        <f t="shared" si="9"/>
        <v>38</v>
      </c>
      <c r="G41" s="13">
        <f>VLOOKUP(B41,'Base Cobertura'!$A:$C,3,FALSE)</f>
        <v>200</v>
      </c>
      <c r="H41" s="13">
        <f>VLOOKUP(B41,'Base Cobertura'!$A:$C,2,FALSE)</f>
        <v>98</v>
      </c>
      <c r="I41" s="17">
        <f t="shared" si="10"/>
        <v>72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0.45833333333333331</v>
      </c>
      <c r="E42" s="13">
        <v>60</v>
      </c>
      <c r="F42" s="12">
        <f t="shared" si="9"/>
        <v>17</v>
      </c>
      <c r="G42" s="13">
        <f>VLOOKUP(B42,'Base Cobertura'!$A:$C,3,FALSE)</f>
        <v>168</v>
      </c>
      <c r="H42" s="13">
        <f>VLOOKUP(B42,'Base Cobertura'!$A:$C,2,FALSE)</f>
        <v>77</v>
      </c>
      <c r="I42" s="17">
        <f t="shared" si="10"/>
        <v>65.799999999999983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0.5</v>
      </c>
      <c r="E43" s="13">
        <v>60</v>
      </c>
      <c r="F43" s="12">
        <f t="shared" si="9"/>
        <v>27</v>
      </c>
      <c r="G43" s="13">
        <f>VLOOKUP(B43,'Base Cobertura'!$A:$C,3,FALSE)</f>
        <v>174</v>
      </c>
      <c r="H43" s="13">
        <f>VLOOKUP(B43,'Base Cobertura'!$A:$C,2,FALSE)</f>
        <v>87</v>
      </c>
      <c r="I43" s="17">
        <f t="shared" si="10"/>
        <v>60.900000000000006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0.53030303030303028</v>
      </c>
      <c r="E44" s="13">
        <v>61</v>
      </c>
      <c r="F44" s="12">
        <f t="shared" ref="F44" si="12">+H44-E44</f>
        <v>-26</v>
      </c>
      <c r="G44" s="13">
        <f>VLOOKUP(B44,'Base Cobertura'!$A:$C,3,FALSE)</f>
        <v>66</v>
      </c>
      <c r="H44" s="13">
        <f>VLOOKUP(B44,'Base Cobertura'!$A:$C,2,FALSE)</f>
        <v>35</v>
      </c>
      <c r="I44" s="17">
        <f t="shared" ref="I44" si="13">(+G44*$M$2)-H44</f>
        <v>21.1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0.25806451612903225</v>
      </c>
      <c r="E45" s="13">
        <v>60</v>
      </c>
      <c r="F45" s="12">
        <f t="shared" si="9"/>
        <v>-36</v>
      </c>
      <c r="G45" s="13">
        <f>VLOOKUP(B45,'Base Cobertura'!$A:$C,3,FALSE)</f>
        <v>93</v>
      </c>
      <c r="H45" s="13">
        <f>VLOOKUP(B45,'Base Cobertura'!$A:$C,2,FALSE)</f>
        <v>24</v>
      </c>
      <c r="I45" s="17">
        <f t="shared" si="10"/>
        <v>55.05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3776</v>
      </c>
      <c r="H46" s="8">
        <f>+SUM(H32:H45)</f>
        <v>2245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9027</v>
      </c>
      <c r="H47" s="8">
        <f>+H46+H23+H37+H14</f>
        <v>6416</v>
      </c>
      <c r="I47" s="8"/>
      <c r="L47" s="1">
        <f>+H47/G47</f>
        <v>0.71075661903179355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11</v>
      </c>
      <c r="C3" s="51">
        <v>3578</v>
      </c>
      <c r="G3" t="s">
        <v>277</v>
      </c>
      <c r="H3" s="51">
        <v>6</v>
      </c>
      <c r="I3" s="51">
        <v>3578</v>
      </c>
    </row>
    <row r="4" spans="1:9" x14ac:dyDescent="0.25">
      <c r="A4">
        <v>1</v>
      </c>
      <c r="B4" s="51">
        <v>105</v>
      </c>
      <c r="C4" s="51">
        <v>117</v>
      </c>
      <c r="G4" t="s">
        <v>278</v>
      </c>
      <c r="H4">
        <v>2</v>
      </c>
      <c r="I4" s="51">
        <v>3578</v>
      </c>
    </row>
    <row r="5" spans="1:9" x14ac:dyDescent="0.25">
      <c r="A5">
        <v>10</v>
      </c>
      <c r="B5" s="51">
        <v>132</v>
      </c>
      <c r="C5" s="51">
        <v>186</v>
      </c>
      <c r="G5" t="s">
        <v>279</v>
      </c>
      <c r="H5" s="51">
        <v>4</v>
      </c>
      <c r="I5" s="51">
        <v>3578</v>
      </c>
    </row>
    <row r="6" spans="1:9" x14ac:dyDescent="0.25">
      <c r="A6">
        <v>100</v>
      </c>
      <c r="B6" s="51">
        <v>44</v>
      </c>
      <c r="C6" s="51">
        <v>2033</v>
      </c>
      <c r="G6" t="s">
        <v>280</v>
      </c>
      <c r="H6" s="51">
        <v>3</v>
      </c>
      <c r="I6" s="51">
        <v>3578</v>
      </c>
    </row>
    <row r="7" spans="1:9" x14ac:dyDescent="0.25">
      <c r="A7">
        <v>11</v>
      </c>
      <c r="B7" s="51">
        <v>141</v>
      </c>
      <c r="C7" s="51">
        <v>170</v>
      </c>
      <c r="G7" t="s">
        <v>281</v>
      </c>
      <c r="H7" s="51">
        <v>7</v>
      </c>
      <c r="I7" s="51">
        <v>3578</v>
      </c>
    </row>
    <row r="8" spans="1:9" x14ac:dyDescent="0.25">
      <c r="A8">
        <v>12</v>
      </c>
      <c r="B8" s="51">
        <v>190</v>
      </c>
      <c r="C8" s="51">
        <v>214</v>
      </c>
      <c r="G8" t="s">
        <v>282</v>
      </c>
      <c r="H8" s="51">
        <v>5</v>
      </c>
      <c r="I8" s="51">
        <v>3578</v>
      </c>
    </row>
    <row r="9" spans="1:9" x14ac:dyDescent="0.25">
      <c r="A9">
        <v>123</v>
      </c>
      <c r="B9" s="51">
        <v>38</v>
      </c>
      <c r="C9" s="51">
        <v>488</v>
      </c>
      <c r="G9" t="s">
        <v>283</v>
      </c>
      <c r="H9" s="51">
        <v>2</v>
      </c>
      <c r="I9" s="51">
        <v>3578</v>
      </c>
    </row>
    <row r="10" spans="1:9" x14ac:dyDescent="0.25">
      <c r="A10">
        <v>15</v>
      </c>
      <c r="B10" s="51">
        <v>53</v>
      </c>
      <c r="C10" s="51">
        <v>65</v>
      </c>
      <c r="G10" t="s">
        <v>284</v>
      </c>
      <c r="I10" s="51">
        <v>3578</v>
      </c>
    </row>
    <row r="11" spans="1:9" x14ac:dyDescent="0.25">
      <c r="A11">
        <v>16</v>
      </c>
      <c r="B11" s="51">
        <v>172</v>
      </c>
      <c r="C11" s="51">
        <v>199</v>
      </c>
      <c r="G11" t="s">
        <v>285</v>
      </c>
      <c r="H11" s="51">
        <v>1</v>
      </c>
      <c r="I11" s="51">
        <v>3578</v>
      </c>
    </row>
    <row r="12" spans="1:9" x14ac:dyDescent="0.25">
      <c r="A12">
        <v>18</v>
      </c>
      <c r="B12" s="51">
        <v>160</v>
      </c>
      <c r="C12" s="51">
        <v>180</v>
      </c>
      <c r="E12">
        <f>+F12</f>
        <v>1</v>
      </c>
      <c r="F12">
        <v>1</v>
      </c>
      <c r="G12" t="s">
        <v>277</v>
      </c>
      <c r="H12">
        <v>48</v>
      </c>
      <c r="I12" s="51">
        <v>117</v>
      </c>
    </row>
    <row r="13" spans="1:9" x14ac:dyDescent="0.25">
      <c r="A13">
        <v>19</v>
      </c>
      <c r="B13" s="51">
        <v>183</v>
      </c>
      <c r="C13" s="51">
        <v>209</v>
      </c>
      <c r="E13">
        <f>+$E$12</f>
        <v>1</v>
      </c>
      <c r="G13" t="s">
        <v>278</v>
      </c>
      <c r="H13" s="51">
        <v>48</v>
      </c>
      <c r="I13" s="51">
        <v>117</v>
      </c>
    </row>
    <row r="14" spans="1:9" x14ac:dyDescent="0.25">
      <c r="A14">
        <v>2</v>
      </c>
      <c r="B14" s="51">
        <v>96</v>
      </c>
      <c r="C14" s="51">
        <v>119</v>
      </c>
      <c r="E14">
        <f t="shared" ref="E14:E20" si="0">+$E$12</f>
        <v>1</v>
      </c>
      <c r="G14" t="s">
        <v>279</v>
      </c>
      <c r="H14" s="51">
        <v>51</v>
      </c>
      <c r="I14" s="51">
        <v>117</v>
      </c>
    </row>
    <row r="15" spans="1:9" x14ac:dyDescent="0.25">
      <c r="A15">
        <v>20</v>
      </c>
      <c r="B15" s="51">
        <v>207</v>
      </c>
      <c r="C15" s="51">
        <v>228</v>
      </c>
      <c r="E15">
        <f t="shared" si="0"/>
        <v>1</v>
      </c>
      <c r="G15" t="s">
        <v>280</v>
      </c>
      <c r="H15" s="51">
        <v>44</v>
      </c>
      <c r="I15" s="51">
        <v>117</v>
      </c>
    </row>
    <row r="16" spans="1:9" x14ac:dyDescent="0.25">
      <c r="A16">
        <v>21</v>
      </c>
      <c r="B16" s="51">
        <v>149</v>
      </c>
      <c r="C16" s="51">
        <v>166</v>
      </c>
      <c r="E16">
        <f t="shared" si="0"/>
        <v>1</v>
      </c>
      <c r="G16" t="s">
        <v>281</v>
      </c>
      <c r="H16" s="51">
        <v>66</v>
      </c>
      <c r="I16" s="51">
        <v>117</v>
      </c>
    </row>
    <row r="17" spans="1:9" x14ac:dyDescent="0.25">
      <c r="A17">
        <v>22</v>
      </c>
      <c r="B17" s="51">
        <v>70</v>
      </c>
      <c r="C17" s="51">
        <v>79</v>
      </c>
      <c r="E17">
        <f t="shared" si="0"/>
        <v>1</v>
      </c>
      <c r="G17" t="s">
        <v>282</v>
      </c>
      <c r="H17" s="51">
        <v>58</v>
      </c>
      <c r="I17" s="51">
        <v>117</v>
      </c>
    </row>
    <row r="18" spans="1:9" x14ac:dyDescent="0.25">
      <c r="A18">
        <v>23</v>
      </c>
      <c r="B18" s="51">
        <v>132</v>
      </c>
      <c r="C18" s="51">
        <v>155</v>
      </c>
      <c r="E18">
        <f t="shared" si="0"/>
        <v>1</v>
      </c>
      <c r="G18" t="s">
        <v>283</v>
      </c>
      <c r="H18" s="51">
        <v>28</v>
      </c>
      <c r="I18" s="51">
        <v>117</v>
      </c>
    </row>
    <row r="19" spans="1:9" x14ac:dyDescent="0.25">
      <c r="A19">
        <v>24</v>
      </c>
      <c r="B19" s="51">
        <v>118</v>
      </c>
      <c r="C19" s="51">
        <v>184</v>
      </c>
      <c r="E19">
        <f t="shared" si="0"/>
        <v>1</v>
      </c>
      <c r="G19" t="s">
        <v>284</v>
      </c>
      <c r="H19" s="51">
        <v>34</v>
      </c>
      <c r="I19" s="51">
        <v>117</v>
      </c>
    </row>
    <row r="20" spans="1:9" x14ac:dyDescent="0.25">
      <c r="A20">
        <v>25</v>
      </c>
      <c r="B20" s="51">
        <v>87</v>
      </c>
      <c r="C20" s="51">
        <v>174</v>
      </c>
      <c r="E20">
        <f t="shared" si="0"/>
        <v>1</v>
      </c>
      <c r="G20" t="s">
        <v>285</v>
      </c>
      <c r="H20">
        <v>42</v>
      </c>
      <c r="I20" s="51">
        <v>117</v>
      </c>
    </row>
    <row r="21" spans="1:9" x14ac:dyDescent="0.25">
      <c r="A21">
        <v>26</v>
      </c>
      <c r="B21" s="51">
        <v>77</v>
      </c>
      <c r="C21" s="51">
        <v>168</v>
      </c>
      <c r="E21">
        <f>+$F$21</f>
        <v>10</v>
      </c>
      <c r="F21">
        <v>10</v>
      </c>
      <c r="G21" t="s">
        <v>277</v>
      </c>
      <c r="H21" s="51">
        <v>29</v>
      </c>
      <c r="I21" s="51">
        <v>186</v>
      </c>
    </row>
    <row r="22" spans="1:9" x14ac:dyDescent="0.25">
      <c r="A22">
        <v>27</v>
      </c>
      <c r="B22" s="51">
        <v>127</v>
      </c>
      <c r="C22" s="51">
        <v>131</v>
      </c>
      <c r="E22">
        <f t="shared" ref="E22:E29" si="1">+$F$21</f>
        <v>10</v>
      </c>
      <c r="G22" t="s">
        <v>278</v>
      </c>
      <c r="H22" s="51">
        <v>29</v>
      </c>
      <c r="I22" s="51">
        <v>186</v>
      </c>
    </row>
    <row r="23" spans="1:9" x14ac:dyDescent="0.25">
      <c r="A23">
        <v>28</v>
      </c>
      <c r="B23" s="51">
        <v>149</v>
      </c>
      <c r="C23" s="51">
        <v>168</v>
      </c>
      <c r="E23">
        <f t="shared" si="1"/>
        <v>10</v>
      </c>
      <c r="G23" t="s">
        <v>279</v>
      </c>
      <c r="H23" s="51">
        <v>78</v>
      </c>
      <c r="I23" s="51">
        <v>186</v>
      </c>
    </row>
    <row r="24" spans="1:9" x14ac:dyDescent="0.25">
      <c r="A24">
        <v>3</v>
      </c>
      <c r="B24" s="51">
        <v>155</v>
      </c>
      <c r="C24" s="51">
        <v>170</v>
      </c>
      <c r="E24">
        <f t="shared" si="1"/>
        <v>10</v>
      </c>
      <c r="G24" t="s">
        <v>280</v>
      </c>
      <c r="H24" s="51">
        <v>71</v>
      </c>
      <c r="I24" s="51">
        <v>186</v>
      </c>
    </row>
    <row r="25" spans="1:9" x14ac:dyDescent="0.25">
      <c r="A25">
        <v>30</v>
      </c>
      <c r="B25" s="51">
        <v>30</v>
      </c>
      <c r="C25" s="51">
        <v>122</v>
      </c>
      <c r="E25">
        <f t="shared" si="1"/>
        <v>10</v>
      </c>
      <c r="G25" t="s">
        <v>281</v>
      </c>
      <c r="H25" s="51">
        <v>67</v>
      </c>
      <c r="I25" s="51">
        <v>186</v>
      </c>
    </row>
    <row r="26" spans="1:9" x14ac:dyDescent="0.25">
      <c r="A26">
        <v>31</v>
      </c>
      <c r="B26" s="51">
        <v>131</v>
      </c>
      <c r="C26" s="51">
        <v>160</v>
      </c>
      <c r="E26">
        <f t="shared" si="1"/>
        <v>10</v>
      </c>
      <c r="G26" t="s">
        <v>282</v>
      </c>
      <c r="H26" s="51">
        <v>52</v>
      </c>
      <c r="I26" s="51">
        <v>186</v>
      </c>
    </row>
    <row r="27" spans="1:9" x14ac:dyDescent="0.25">
      <c r="A27">
        <v>32</v>
      </c>
      <c r="B27" s="51">
        <v>52</v>
      </c>
      <c r="C27" s="51">
        <v>58</v>
      </c>
      <c r="E27">
        <f t="shared" si="1"/>
        <v>10</v>
      </c>
      <c r="G27" t="s">
        <v>283</v>
      </c>
      <c r="H27" s="51">
        <v>22</v>
      </c>
      <c r="I27" s="51">
        <v>186</v>
      </c>
    </row>
    <row r="28" spans="1:9" x14ac:dyDescent="0.25">
      <c r="A28">
        <v>33</v>
      </c>
      <c r="B28" s="51">
        <v>142</v>
      </c>
      <c r="C28" s="51">
        <v>167</v>
      </c>
      <c r="E28">
        <f t="shared" si="1"/>
        <v>10</v>
      </c>
      <c r="G28" t="s">
        <v>284</v>
      </c>
      <c r="H28" s="51">
        <v>23</v>
      </c>
      <c r="I28" s="51">
        <v>186</v>
      </c>
    </row>
    <row r="29" spans="1:9" x14ac:dyDescent="0.25">
      <c r="A29">
        <v>36</v>
      </c>
      <c r="B29" s="51">
        <v>119</v>
      </c>
      <c r="C29" s="51">
        <v>159</v>
      </c>
      <c r="E29">
        <f t="shared" si="1"/>
        <v>10</v>
      </c>
      <c r="G29" t="s">
        <v>285</v>
      </c>
      <c r="H29" s="51">
        <v>24</v>
      </c>
      <c r="I29" s="51">
        <v>186</v>
      </c>
    </row>
    <row r="30" spans="1:9" x14ac:dyDescent="0.25">
      <c r="A30">
        <v>37</v>
      </c>
      <c r="B30" s="51">
        <v>82</v>
      </c>
      <c r="C30" s="51">
        <v>145</v>
      </c>
      <c r="E30">
        <f>+$F$30</f>
        <v>100</v>
      </c>
      <c r="F30">
        <v>100</v>
      </c>
      <c r="G30" t="s">
        <v>277</v>
      </c>
      <c r="H30" s="51">
        <v>29</v>
      </c>
      <c r="I30" s="51">
        <v>2033</v>
      </c>
    </row>
    <row r="31" spans="1:9" x14ac:dyDescent="0.25">
      <c r="A31">
        <v>4</v>
      </c>
      <c r="B31" s="51">
        <v>159</v>
      </c>
      <c r="C31" s="51">
        <v>182</v>
      </c>
      <c r="E31">
        <f t="shared" ref="E31:E38" si="2">+$F$30</f>
        <v>100</v>
      </c>
      <c r="G31" t="s">
        <v>278</v>
      </c>
      <c r="H31" s="51">
        <v>24</v>
      </c>
      <c r="I31" s="51">
        <v>2033</v>
      </c>
    </row>
    <row r="32" spans="1:9" x14ac:dyDescent="0.25">
      <c r="A32">
        <v>40</v>
      </c>
      <c r="B32" s="51">
        <v>137</v>
      </c>
      <c r="C32" s="51">
        <v>222</v>
      </c>
      <c r="E32">
        <f t="shared" si="2"/>
        <v>100</v>
      </c>
      <c r="G32" t="s">
        <v>279</v>
      </c>
      <c r="H32" s="51">
        <v>22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24</v>
      </c>
      <c r="C34" s="51">
        <v>93</v>
      </c>
      <c r="E34">
        <f t="shared" si="2"/>
        <v>100</v>
      </c>
      <c r="G34" t="s">
        <v>281</v>
      </c>
      <c r="H34" s="51">
        <v>27</v>
      </c>
      <c r="I34" s="51">
        <v>2033</v>
      </c>
    </row>
    <row r="35" spans="1:9" x14ac:dyDescent="0.25">
      <c r="A35">
        <v>44</v>
      </c>
      <c r="B35" s="51">
        <v>145</v>
      </c>
      <c r="C35" s="51">
        <v>170</v>
      </c>
      <c r="E35">
        <f t="shared" si="2"/>
        <v>100</v>
      </c>
      <c r="G35" t="s">
        <v>282</v>
      </c>
      <c r="H35" s="51">
        <v>21</v>
      </c>
      <c r="I35" s="51">
        <v>2033</v>
      </c>
    </row>
    <row r="36" spans="1:9" x14ac:dyDescent="0.25">
      <c r="A36">
        <v>49</v>
      </c>
      <c r="B36" s="51">
        <v>102</v>
      </c>
      <c r="C36" s="51">
        <v>245</v>
      </c>
      <c r="E36">
        <f t="shared" si="2"/>
        <v>100</v>
      </c>
      <c r="G36" t="s">
        <v>283</v>
      </c>
      <c r="H36" s="51">
        <v>23</v>
      </c>
      <c r="I36" s="51">
        <v>2033</v>
      </c>
    </row>
    <row r="37" spans="1:9" x14ac:dyDescent="0.25">
      <c r="A37">
        <v>5</v>
      </c>
      <c r="B37" s="51">
        <v>237</v>
      </c>
      <c r="C37" s="51">
        <v>263</v>
      </c>
      <c r="E37">
        <f t="shared" si="2"/>
        <v>100</v>
      </c>
      <c r="G37" t="s">
        <v>284</v>
      </c>
      <c r="H37" s="51">
        <v>10</v>
      </c>
      <c r="I37" s="51">
        <v>2033</v>
      </c>
    </row>
    <row r="38" spans="1:9" x14ac:dyDescent="0.25">
      <c r="A38">
        <v>52</v>
      </c>
      <c r="B38" s="51">
        <v>57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69</v>
      </c>
      <c r="C39" s="51">
        <v>105</v>
      </c>
      <c r="E39">
        <f>+$F$39</f>
        <v>11</v>
      </c>
      <c r="F39">
        <v>11</v>
      </c>
      <c r="G39" t="s">
        <v>277</v>
      </c>
      <c r="H39" s="51">
        <v>65</v>
      </c>
      <c r="I39" s="51">
        <v>170</v>
      </c>
    </row>
    <row r="40" spans="1:9" x14ac:dyDescent="0.25">
      <c r="A40">
        <v>54</v>
      </c>
      <c r="B40" s="51">
        <v>167</v>
      </c>
      <c r="C40" s="51">
        <v>200</v>
      </c>
      <c r="E40">
        <f t="shared" ref="E40:E47" si="3">+$F$39</f>
        <v>11</v>
      </c>
      <c r="G40" t="s">
        <v>278</v>
      </c>
      <c r="H40" s="51">
        <v>40</v>
      </c>
      <c r="I40" s="51">
        <v>170</v>
      </c>
    </row>
    <row r="41" spans="1:9" x14ac:dyDescent="0.25">
      <c r="A41">
        <v>56</v>
      </c>
      <c r="B41">
        <v>98</v>
      </c>
      <c r="C41" s="51">
        <v>200</v>
      </c>
      <c r="E41">
        <f t="shared" si="3"/>
        <v>11</v>
      </c>
      <c r="G41" t="s">
        <v>279</v>
      </c>
      <c r="H41" s="51">
        <v>94</v>
      </c>
      <c r="I41" s="51">
        <v>170</v>
      </c>
    </row>
    <row r="42" spans="1:9" x14ac:dyDescent="0.25">
      <c r="A42">
        <v>57</v>
      </c>
      <c r="B42" s="51">
        <v>43</v>
      </c>
      <c r="C42" s="51">
        <v>103</v>
      </c>
      <c r="E42">
        <f t="shared" si="3"/>
        <v>11</v>
      </c>
      <c r="G42" t="s">
        <v>280</v>
      </c>
      <c r="H42" s="51">
        <v>61</v>
      </c>
      <c r="I42" s="51">
        <v>170</v>
      </c>
    </row>
    <row r="43" spans="1:9" x14ac:dyDescent="0.25">
      <c r="A43">
        <v>58</v>
      </c>
      <c r="B43" s="51">
        <v>34</v>
      </c>
      <c r="C43" s="51">
        <v>124</v>
      </c>
      <c r="E43">
        <f t="shared" si="3"/>
        <v>11</v>
      </c>
      <c r="G43" t="s">
        <v>281</v>
      </c>
      <c r="H43" s="51">
        <v>110</v>
      </c>
      <c r="I43" s="51">
        <v>170</v>
      </c>
    </row>
    <row r="44" spans="1:9" x14ac:dyDescent="0.25">
      <c r="A44">
        <v>59</v>
      </c>
      <c r="B44" s="51">
        <v>62</v>
      </c>
      <c r="C44" s="51">
        <v>126</v>
      </c>
      <c r="E44">
        <f t="shared" si="3"/>
        <v>11</v>
      </c>
      <c r="G44" t="s">
        <v>282</v>
      </c>
      <c r="H44" s="51">
        <v>68</v>
      </c>
      <c r="I44" s="51">
        <v>170</v>
      </c>
    </row>
    <row r="45" spans="1:9" x14ac:dyDescent="0.25">
      <c r="A45">
        <v>60</v>
      </c>
      <c r="B45" s="51">
        <v>35</v>
      </c>
      <c r="C45" s="51">
        <v>66</v>
      </c>
      <c r="E45">
        <f t="shared" si="3"/>
        <v>11</v>
      </c>
      <c r="G45" t="s">
        <v>283</v>
      </c>
      <c r="H45" s="51">
        <v>15</v>
      </c>
      <c r="I45" s="51">
        <v>170</v>
      </c>
    </row>
    <row r="46" spans="1:9" x14ac:dyDescent="0.25">
      <c r="A46">
        <v>7</v>
      </c>
      <c r="B46" s="51">
        <v>18</v>
      </c>
      <c r="C46" s="51">
        <v>117</v>
      </c>
      <c r="E46">
        <f t="shared" si="3"/>
        <v>11</v>
      </c>
      <c r="G46" t="s">
        <v>284</v>
      </c>
      <c r="H46" s="51">
        <v>33</v>
      </c>
      <c r="I46" s="51">
        <v>170</v>
      </c>
    </row>
    <row r="47" spans="1:9" x14ac:dyDescent="0.25">
      <c r="A47">
        <v>8</v>
      </c>
      <c r="B47" s="51">
        <v>138</v>
      </c>
      <c r="C47" s="51">
        <v>199</v>
      </c>
      <c r="E47">
        <f t="shared" si="3"/>
        <v>11</v>
      </c>
      <c r="G47" t="s">
        <v>285</v>
      </c>
      <c r="H47" s="51">
        <v>24</v>
      </c>
      <c r="I47" s="51">
        <v>170</v>
      </c>
    </row>
    <row r="48" spans="1:9" x14ac:dyDescent="0.25">
      <c r="A48">
        <v>9</v>
      </c>
      <c r="B48" s="51">
        <v>136</v>
      </c>
      <c r="C48" s="51">
        <v>157</v>
      </c>
      <c r="E48">
        <f>+$F$48</f>
        <v>12</v>
      </c>
      <c r="F48">
        <v>12</v>
      </c>
      <c r="G48" t="s">
        <v>277</v>
      </c>
      <c r="H48" s="51">
        <v>72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79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94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73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106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79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48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44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23</v>
      </c>
      <c r="I57" s="51">
        <v>488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488</v>
      </c>
    </row>
    <row r="59" spans="2:9" x14ac:dyDescent="0.25">
      <c r="E59">
        <f t="shared" si="5"/>
        <v>123</v>
      </c>
      <c r="G59" t="s">
        <v>279</v>
      </c>
      <c r="H59" s="51">
        <v>23</v>
      </c>
      <c r="I59" s="51">
        <v>488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488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488</v>
      </c>
    </row>
    <row r="62" spans="2:9" x14ac:dyDescent="0.25">
      <c r="E62">
        <f t="shared" si="5"/>
        <v>123</v>
      </c>
      <c r="G62" t="s">
        <v>282</v>
      </c>
      <c r="H62" s="51">
        <v>19</v>
      </c>
      <c r="I62" s="51">
        <v>488</v>
      </c>
    </row>
    <row r="63" spans="2:9" x14ac:dyDescent="0.25">
      <c r="E63">
        <f t="shared" si="5"/>
        <v>123</v>
      </c>
      <c r="G63" t="s">
        <v>283</v>
      </c>
      <c r="H63" s="51">
        <v>15</v>
      </c>
      <c r="I63" s="51">
        <v>488</v>
      </c>
    </row>
    <row r="64" spans="2:9" x14ac:dyDescent="0.25">
      <c r="E64">
        <f t="shared" si="5"/>
        <v>123</v>
      </c>
      <c r="G64" t="s">
        <v>284</v>
      </c>
      <c r="H64" s="51">
        <v>9</v>
      </c>
      <c r="I64" s="51">
        <v>488</v>
      </c>
    </row>
    <row r="65" spans="5:9" x14ac:dyDescent="0.25">
      <c r="E65">
        <f t="shared" si="5"/>
        <v>123</v>
      </c>
      <c r="G65" t="s">
        <v>285</v>
      </c>
      <c r="H65" s="51">
        <v>8</v>
      </c>
      <c r="I65" s="51">
        <v>488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33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12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32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23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40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22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24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13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16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57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48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97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68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100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73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13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47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63</v>
      </c>
      <c r="I84" s="51">
        <v>180</v>
      </c>
    </row>
    <row r="85" spans="5:9" x14ac:dyDescent="0.25">
      <c r="E85">
        <f t="shared" ref="E85:E92" si="8">+$F$84</f>
        <v>18</v>
      </c>
      <c r="G85" t="s">
        <v>278</v>
      </c>
      <c r="H85" s="51">
        <v>61</v>
      </c>
      <c r="I85" s="51">
        <v>180</v>
      </c>
    </row>
    <row r="86" spans="5:9" x14ac:dyDescent="0.25">
      <c r="E86">
        <f t="shared" si="8"/>
        <v>18</v>
      </c>
      <c r="G86" t="s">
        <v>279</v>
      </c>
      <c r="H86" s="51">
        <v>78</v>
      </c>
      <c r="I86" s="51">
        <v>180</v>
      </c>
    </row>
    <row r="87" spans="5:9" x14ac:dyDescent="0.25">
      <c r="E87">
        <f t="shared" si="8"/>
        <v>18</v>
      </c>
      <c r="G87" t="s">
        <v>280</v>
      </c>
      <c r="H87" s="51">
        <v>70</v>
      </c>
      <c r="I87" s="51">
        <v>180</v>
      </c>
    </row>
    <row r="88" spans="5:9" x14ac:dyDescent="0.25">
      <c r="E88">
        <f t="shared" si="8"/>
        <v>18</v>
      </c>
      <c r="G88" t="s">
        <v>281</v>
      </c>
      <c r="H88" s="51">
        <v>122</v>
      </c>
      <c r="I88" s="51">
        <v>180</v>
      </c>
    </row>
    <row r="89" spans="5:9" x14ac:dyDescent="0.25">
      <c r="E89">
        <f t="shared" si="8"/>
        <v>18</v>
      </c>
      <c r="G89" t="s">
        <v>282</v>
      </c>
      <c r="H89" s="51">
        <v>94</v>
      </c>
      <c r="I89" s="51">
        <v>180</v>
      </c>
    </row>
    <row r="90" spans="5:9" x14ac:dyDescent="0.25">
      <c r="E90">
        <f t="shared" si="8"/>
        <v>18</v>
      </c>
      <c r="G90" t="s">
        <v>283</v>
      </c>
      <c r="H90" s="51">
        <v>21</v>
      </c>
      <c r="I90" s="51">
        <v>180</v>
      </c>
    </row>
    <row r="91" spans="5:9" x14ac:dyDescent="0.25">
      <c r="E91">
        <f t="shared" si="8"/>
        <v>18</v>
      </c>
      <c r="G91" t="s">
        <v>284</v>
      </c>
      <c r="H91" s="51">
        <v>50</v>
      </c>
      <c r="I91" s="51">
        <v>180</v>
      </c>
    </row>
    <row r="92" spans="5:9" x14ac:dyDescent="0.25">
      <c r="E92">
        <f t="shared" si="8"/>
        <v>18</v>
      </c>
      <c r="G92" t="s">
        <v>285</v>
      </c>
      <c r="H92" s="51">
        <v>61</v>
      </c>
      <c r="I92" s="51">
        <v>180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66</v>
      </c>
      <c r="I93" s="51">
        <v>209</v>
      </c>
    </row>
    <row r="94" spans="5:9" x14ac:dyDescent="0.25">
      <c r="E94">
        <f t="shared" ref="E94:E101" si="9">+$F$93</f>
        <v>19</v>
      </c>
      <c r="G94" t="s">
        <v>278</v>
      </c>
      <c r="H94" s="51">
        <v>53</v>
      </c>
      <c r="I94" s="51">
        <v>209</v>
      </c>
    </row>
    <row r="95" spans="5:9" x14ac:dyDescent="0.25">
      <c r="E95">
        <f t="shared" si="9"/>
        <v>19</v>
      </c>
      <c r="G95" t="s">
        <v>279</v>
      </c>
      <c r="H95" s="51">
        <v>96</v>
      </c>
      <c r="I95" s="51">
        <v>209</v>
      </c>
    </row>
    <row r="96" spans="5:9" x14ac:dyDescent="0.25">
      <c r="E96">
        <f t="shared" si="9"/>
        <v>19</v>
      </c>
      <c r="G96" t="s">
        <v>280</v>
      </c>
      <c r="H96" s="51">
        <v>82</v>
      </c>
      <c r="I96" s="51">
        <v>209</v>
      </c>
    </row>
    <row r="97" spans="5:9" x14ac:dyDescent="0.25">
      <c r="E97">
        <f t="shared" si="9"/>
        <v>19</v>
      </c>
      <c r="G97" t="s">
        <v>281</v>
      </c>
      <c r="H97" s="51">
        <v>120</v>
      </c>
      <c r="I97" s="51">
        <v>209</v>
      </c>
    </row>
    <row r="98" spans="5:9" x14ac:dyDescent="0.25">
      <c r="E98">
        <f t="shared" si="9"/>
        <v>19</v>
      </c>
      <c r="G98" t="s">
        <v>282</v>
      </c>
      <c r="H98" s="51">
        <v>96</v>
      </c>
      <c r="I98" s="51">
        <v>209</v>
      </c>
    </row>
    <row r="99" spans="5:9" x14ac:dyDescent="0.25">
      <c r="E99">
        <f t="shared" si="9"/>
        <v>19</v>
      </c>
      <c r="G99" t="s">
        <v>283</v>
      </c>
      <c r="H99" s="51">
        <v>17</v>
      </c>
      <c r="I99" s="51">
        <v>209</v>
      </c>
    </row>
    <row r="100" spans="5:9" x14ac:dyDescent="0.25">
      <c r="E100">
        <f t="shared" si="9"/>
        <v>19</v>
      </c>
      <c r="G100" t="s">
        <v>284</v>
      </c>
      <c r="H100" s="51">
        <v>48</v>
      </c>
      <c r="I100" s="51">
        <v>209</v>
      </c>
    </row>
    <row r="101" spans="5:9" x14ac:dyDescent="0.25">
      <c r="E101">
        <f t="shared" si="9"/>
        <v>19</v>
      </c>
      <c r="G101" t="s">
        <v>285</v>
      </c>
      <c r="H101" s="51">
        <v>45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27</v>
      </c>
      <c r="I102" s="51">
        <v>119</v>
      </c>
    </row>
    <row r="103" spans="5:9" x14ac:dyDescent="0.25">
      <c r="E103">
        <f t="shared" ref="E103:E110" si="10">+$F$102</f>
        <v>2</v>
      </c>
      <c r="G103" t="s">
        <v>278</v>
      </c>
      <c r="H103" s="51">
        <v>26</v>
      </c>
      <c r="I103" s="51">
        <v>119</v>
      </c>
    </row>
    <row r="104" spans="5:9" x14ac:dyDescent="0.25">
      <c r="E104">
        <f t="shared" si="10"/>
        <v>2</v>
      </c>
      <c r="G104" t="s">
        <v>279</v>
      </c>
      <c r="H104" s="51">
        <v>52</v>
      </c>
      <c r="I104" s="51">
        <v>119</v>
      </c>
    </row>
    <row r="105" spans="5:9" x14ac:dyDescent="0.25">
      <c r="E105">
        <f t="shared" si="10"/>
        <v>2</v>
      </c>
      <c r="G105" t="s">
        <v>280</v>
      </c>
      <c r="H105" s="51">
        <v>44</v>
      </c>
      <c r="I105" s="51">
        <v>119</v>
      </c>
    </row>
    <row r="106" spans="5:9" x14ac:dyDescent="0.25">
      <c r="E106">
        <f t="shared" si="10"/>
        <v>2</v>
      </c>
      <c r="G106" t="s">
        <v>281</v>
      </c>
      <c r="H106" s="51">
        <v>62</v>
      </c>
      <c r="I106" s="51">
        <v>119</v>
      </c>
    </row>
    <row r="107" spans="5:9" x14ac:dyDescent="0.25">
      <c r="E107">
        <f t="shared" si="10"/>
        <v>2</v>
      </c>
      <c r="G107" t="s">
        <v>282</v>
      </c>
      <c r="H107" s="51">
        <v>39</v>
      </c>
      <c r="I107" s="51">
        <v>119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119</v>
      </c>
    </row>
    <row r="109" spans="5:9" x14ac:dyDescent="0.25">
      <c r="E109">
        <f t="shared" si="10"/>
        <v>2</v>
      </c>
      <c r="G109" t="s">
        <v>284</v>
      </c>
      <c r="H109" s="51">
        <v>27</v>
      </c>
      <c r="I109" s="51">
        <v>119</v>
      </c>
    </row>
    <row r="110" spans="5:9" x14ac:dyDescent="0.25">
      <c r="E110">
        <f t="shared" si="10"/>
        <v>2</v>
      </c>
      <c r="G110" t="s">
        <v>285</v>
      </c>
      <c r="H110" s="51">
        <v>29</v>
      </c>
      <c r="I110" s="51">
        <v>119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77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60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126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89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144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96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16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44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51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78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63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110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71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132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98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27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34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36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56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49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40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42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54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47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48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38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43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63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278</v>
      </c>
      <c r="H139" s="51">
        <v>42</v>
      </c>
      <c r="I139" s="51">
        <v>155</v>
      </c>
    </row>
    <row r="140" spans="5:9" x14ac:dyDescent="0.25">
      <c r="E140">
        <f t="shared" si="14"/>
        <v>23</v>
      </c>
      <c r="G140" t="s">
        <v>279</v>
      </c>
      <c r="H140">
        <v>77</v>
      </c>
      <c r="I140" s="51">
        <v>155</v>
      </c>
    </row>
    <row r="141" spans="5:9" x14ac:dyDescent="0.25">
      <c r="E141">
        <f t="shared" si="14"/>
        <v>23</v>
      </c>
      <c r="G141" t="s">
        <v>280</v>
      </c>
      <c r="H141" s="51">
        <v>52</v>
      </c>
      <c r="I141" s="51">
        <v>155</v>
      </c>
    </row>
    <row r="142" spans="5:9" x14ac:dyDescent="0.25">
      <c r="E142">
        <f t="shared" si="14"/>
        <v>23</v>
      </c>
      <c r="G142" t="s">
        <v>281</v>
      </c>
      <c r="H142" s="51">
        <v>107</v>
      </c>
      <c r="I142" s="51">
        <v>155</v>
      </c>
    </row>
    <row r="143" spans="5:9" x14ac:dyDescent="0.25">
      <c r="E143">
        <f t="shared" si="14"/>
        <v>23</v>
      </c>
      <c r="G143" t="s">
        <v>282</v>
      </c>
      <c r="H143" s="51">
        <v>81</v>
      </c>
      <c r="I143" s="51">
        <v>155</v>
      </c>
    </row>
    <row r="144" spans="5:9" x14ac:dyDescent="0.25">
      <c r="E144">
        <f t="shared" si="14"/>
        <v>23</v>
      </c>
      <c r="G144" t="s">
        <v>283</v>
      </c>
      <c r="H144" s="51">
        <v>15</v>
      </c>
      <c r="I144" s="51">
        <v>155</v>
      </c>
    </row>
    <row r="145" spans="5:9" x14ac:dyDescent="0.25">
      <c r="E145">
        <f t="shared" si="14"/>
        <v>23</v>
      </c>
      <c r="G145" t="s">
        <v>284</v>
      </c>
      <c r="H145" s="51">
        <v>35</v>
      </c>
      <c r="I145" s="51">
        <v>155</v>
      </c>
    </row>
    <row r="146" spans="5:9" x14ac:dyDescent="0.25">
      <c r="E146">
        <f t="shared" si="14"/>
        <v>23</v>
      </c>
      <c r="G146" t="s">
        <v>285</v>
      </c>
      <c r="H146" s="51">
        <v>30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40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278</v>
      </c>
      <c r="H148">
        <v>23</v>
      </c>
      <c r="I148" s="51">
        <v>184</v>
      </c>
    </row>
    <row r="149" spans="5:9" x14ac:dyDescent="0.25">
      <c r="E149">
        <f t="shared" si="15"/>
        <v>24</v>
      </c>
      <c r="G149" t="s">
        <v>279</v>
      </c>
      <c r="H149" s="51">
        <v>59</v>
      </c>
      <c r="I149" s="51">
        <v>184</v>
      </c>
    </row>
    <row r="150" spans="5:9" x14ac:dyDescent="0.25">
      <c r="E150">
        <f t="shared" si="15"/>
        <v>24</v>
      </c>
      <c r="G150" t="s">
        <v>280</v>
      </c>
      <c r="H150" s="51">
        <v>42</v>
      </c>
      <c r="I150" s="51">
        <v>184</v>
      </c>
    </row>
    <row r="151" spans="5:9" x14ac:dyDescent="0.25">
      <c r="E151">
        <f t="shared" si="15"/>
        <v>24</v>
      </c>
      <c r="G151" t="s">
        <v>281</v>
      </c>
      <c r="H151" s="51">
        <v>71</v>
      </c>
      <c r="I151" s="51">
        <v>184</v>
      </c>
    </row>
    <row r="152" spans="5:9" x14ac:dyDescent="0.25">
      <c r="E152">
        <f t="shared" si="15"/>
        <v>24</v>
      </c>
      <c r="G152" t="s">
        <v>282</v>
      </c>
      <c r="H152" s="51">
        <v>46</v>
      </c>
      <c r="I152" s="51">
        <v>184</v>
      </c>
    </row>
    <row r="153" spans="5:9" x14ac:dyDescent="0.25">
      <c r="E153">
        <f t="shared" si="15"/>
        <v>24</v>
      </c>
      <c r="G153" t="s">
        <v>283</v>
      </c>
      <c r="H153" s="51">
        <v>24</v>
      </c>
      <c r="I153" s="51">
        <v>184</v>
      </c>
    </row>
    <row r="154" spans="5:9" x14ac:dyDescent="0.25">
      <c r="E154">
        <f t="shared" si="15"/>
        <v>24</v>
      </c>
      <c r="G154" t="s">
        <v>284</v>
      </c>
      <c r="H154" s="51">
        <v>35</v>
      </c>
      <c r="I154" s="51">
        <v>184</v>
      </c>
    </row>
    <row r="155" spans="5:9" x14ac:dyDescent="0.25">
      <c r="E155">
        <f t="shared" si="15"/>
        <v>24</v>
      </c>
      <c r="G155" t="s">
        <v>285</v>
      </c>
      <c r="H155" s="51">
        <v>23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52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278</v>
      </c>
      <c r="H157" s="51">
        <v>48</v>
      </c>
      <c r="I157" s="51">
        <v>174</v>
      </c>
    </row>
    <row r="158" spans="5:9" x14ac:dyDescent="0.25">
      <c r="E158">
        <f t="shared" si="16"/>
        <v>25</v>
      </c>
      <c r="G158" t="s">
        <v>279</v>
      </c>
      <c r="H158" s="51">
        <v>53</v>
      </c>
      <c r="I158" s="51">
        <v>174</v>
      </c>
    </row>
    <row r="159" spans="5:9" x14ac:dyDescent="0.25">
      <c r="E159">
        <f t="shared" si="16"/>
        <v>25</v>
      </c>
      <c r="G159" t="s">
        <v>280</v>
      </c>
      <c r="H159" s="51">
        <v>53</v>
      </c>
      <c r="I159" s="51">
        <v>174</v>
      </c>
    </row>
    <row r="160" spans="5:9" x14ac:dyDescent="0.25">
      <c r="E160">
        <f t="shared" si="16"/>
        <v>25</v>
      </c>
      <c r="G160" t="s">
        <v>281</v>
      </c>
      <c r="H160" s="51">
        <v>61</v>
      </c>
      <c r="I160" s="51">
        <v>174</v>
      </c>
    </row>
    <row r="161" spans="5:9" x14ac:dyDescent="0.25">
      <c r="E161">
        <f t="shared" si="16"/>
        <v>25</v>
      </c>
      <c r="G161" t="s">
        <v>282</v>
      </c>
      <c r="H161" s="51">
        <v>58</v>
      </c>
      <c r="I161" s="51">
        <v>174</v>
      </c>
    </row>
    <row r="162" spans="5:9" x14ac:dyDescent="0.25">
      <c r="E162">
        <f t="shared" si="16"/>
        <v>25</v>
      </c>
      <c r="G162" t="s">
        <v>283</v>
      </c>
      <c r="H162" s="51">
        <v>55</v>
      </c>
      <c r="I162" s="51">
        <v>174</v>
      </c>
    </row>
    <row r="163" spans="5:9" x14ac:dyDescent="0.25">
      <c r="E163">
        <f t="shared" si="16"/>
        <v>25</v>
      </c>
      <c r="G163" t="s">
        <v>284</v>
      </c>
      <c r="H163" s="51">
        <v>43</v>
      </c>
      <c r="I163" s="51">
        <v>174</v>
      </c>
    </row>
    <row r="164" spans="5:9" x14ac:dyDescent="0.25">
      <c r="E164">
        <f t="shared" si="16"/>
        <v>25</v>
      </c>
      <c r="G164" t="s">
        <v>285</v>
      </c>
      <c r="H164">
        <v>31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41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20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16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29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37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22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42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26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52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278</v>
      </c>
      <c r="H175" s="51">
        <v>41</v>
      </c>
      <c r="I175" s="51">
        <v>131</v>
      </c>
    </row>
    <row r="176" spans="5:9" x14ac:dyDescent="0.25">
      <c r="E176">
        <f t="shared" si="18"/>
        <v>27</v>
      </c>
      <c r="G176" t="s">
        <v>279</v>
      </c>
      <c r="H176" s="51">
        <v>67</v>
      </c>
      <c r="I176" s="51">
        <v>131</v>
      </c>
    </row>
    <row r="177" spans="5:9" x14ac:dyDescent="0.25">
      <c r="E177">
        <f t="shared" si="18"/>
        <v>27</v>
      </c>
      <c r="G177" t="s">
        <v>280</v>
      </c>
      <c r="H177" s="51">
        <v>66</v>
      </c>
      <c r="I177" s="51">
        <v>131</v>
      </c>
    </row>
    <row r="178" spans="5:9" x14ac:dyDescent="0.25">
      <c r="E178">
        <f t="shared" si="18"/>
        <v>27</v>
      </c>
      <c r="G178" t="s">
        <v>281</v>
      </c>
      <c r="H178" s="51">
        <v>106</v>
      </c>
      <c r="I178" s="51">
        <v>131</v>
      </c>
    </row>
    <row r="179" spans="5:9" x14ac:dyDescent="0.25">
      <c r="E179">
        <f t="shared" si="18"/>
        <v>27</v>
      </c>
      <c r="G179" t="s">
        <v>282</v>
      </c>
      <c r="H179" s="51">
        <v>76</v>
      </c>
      <c r="I179" s="51">
        <v>131</v>
      </c>
    </row>
    <row r="180" spans="5:9" x14ac:dyDescent="0.25">
      <c r="E180">
        <f t="shared" si="18"/>
        <v>27</v>
      </c>
      <c r="G180" t="s">
        <v>283</v>
      </c>
      <c r="H180">
        <v>32</v>
      </c>
      <c r="I180" s="51">
        <v>131</v>
      </c>
    </row>
    <row r="181" spans="5:9" x14ac:dyDescent="0.25">
      <c r="E181">
        <f t="shared" si="18"/>
        <v>27</v>
      </c>
      <c r="G181" t="s">
        <v>284</v>
      </c>
      <c r="H181" s="51">
        <v>36</v>
      </c>
      <c r="I181" s="51">
        <v>131</v>
      </c>
    </row>
    <row r="182" spans="5:9" x14ac:dyDescent="0.25">
      <c r="E182">
        <f t="shared" si="18"/>
        <v>27</v>
      </c>
      <c r="G182" t="s">
        <v>285</v>
      </c>
      <c r="H182" s="51">
        <v>28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45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36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70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67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96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76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18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38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20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64</v>
      </c>
      <c r="I192" s="51">
        <v>170</v>
      </c>
    </row>
    <row r="193" spans="5:9" x14ac:dyDescent="0.25">
      <c r="E193">
        <f t="shared" ref="E193:E200" si="20">+$F$192</f>
        <v>3</v>
      </c>
      <c r="G193" t="s">
        <v>278</v>
      </c>
      <c r="H193" s="51">
        <v>56</v>
      </c>
      <c r="I193" s="51">
        <v>170</v>
      </c>
    </row>
    <row r="194" spans="5:9" x14ac:dyDescent="0.25">
      <c r="E194">
        <f t="shared" si="20"/>
        <v>3</v>
      </c>
      <c r="G194" t="s">
        <v>279</v>
      </c>
      <c r="H194" s="51">
        <v>97</v>
      </c>
      <c r="I194" s="51">
        <v>170</v>
      </c>
    </row>
    <row r="195" spans="5:9" x14ac:dyDescent="0.25">
      <c r="E195">
        <f t="shared" si="20"/>
        <v>3</v>
      </c>
      <c r="G195" t="s">
        <v>280</v>
      </c>
      <c r="H195" s="51">
        <v>69</v>
      </c>
      <c r="I195" s="51">
        <v>170</v>
      </c>
    </row>
    <row r="196" spans="5:9" x14ac:dyDescent="0.25">
      <c r="E196">
        <f t="shared" si="20"/>
        <v>3</v>
      </c>
      <c r="G196" t="s">
        <v>281</v>
      </c>
      <c r="H196">
        <v>105</v>
      </c>
      <c r="I196" s="51">
        <v>170</v>
      </c>
    </row>
    <row r="197" spans="5:9" x14ac:dyDescent="0.25">
      <c r="E197">
        <f t="shared" si="20"/>
        <v>3</v>
      </c>
      <c r="G197" t="s">
        <v>282</v>
      </c>
      <c r="H197" s="51">
        <v>96</v>
      </c>
      <c r="I197" s="51">
        <v>170</v>
      </c>
    </row>
    <row r="198" spans="5:9" x14ac:dyDescent="0.25">
      <c r="E198">
        <f t="shared" si="20"/>
        <v>3</v>
      </c>
      <c r="G198" t="s">
        <v>283</v>
      </c>
      <c r="H198" s="51">
        <v>24</v>
      </c>
      <c r="I198" s="51">
        <v>170</v>
      </c>
    </row>
    <row r="199" spans="5:9" x14ac:dyDescent="0.25">
      <c r="E199">
        <f t="shared" si="20"/>
        <v>3</v>
      </c>
      <c r="G199" t="s">
        <v>284</v>
      </c>
      <c r="H199" s="51">
        <v>36</v>
      </c>
      <c r="I199" s="51">
        <v>170</v>
      </c>
    </row>
    <row r="200" spans="5:9" x14ac:dyDescent="0.25">
      <c r="E200">
        <f t="shared" si="20"/>
        <v>3</v>
      </c>
      <c r="G200" t="s">
        <v>285</v>
      </c>
      <c r="H200" s="51">
        <v>43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11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278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279</v>
      </c>
      <c r="H203" s="51">
        <v>13</v>
      </c>
      <c r="I203" s="51">
        <v>122</v>
      </c>
    </row>
    <row r="204" spans="5:9" x14ac:dyDescent="0.25">
      <c r="E204">
        <f t="shared" si="21"/>
        <v>30</v>
      </c>
      <c r="G204" t="s">
        <v>280</v>
      </c>
      <c r="H204" s="51">
        <v>4</v>
      </c>
      <c r="I204" s="51">
        <v>122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122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122</v>
      </c>
    </row>
    <row r="207" spans="5:9" x14ac:dyDescent="0.25">
      <c r="E207">
        <f t="shared" si="21"/>
        <v>30</v>
      </c>
      <c r="G207" t="s">
        <v>283</v>
      </c>
      <c r="H207" s="51">
        <v>15</v>
      </c>
      <c r="I207" s="51">
        <v>122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285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49</v>
      </c>
      <c r="I210" s="51">
        <v>160</v>
      </c>
    </row>
    <row r="211" spans="5:9" x14ac:dyDescent="0.25">
      <c r="E211">
        <f t="shared" ref="E211:E218" si="22">+$F$210</f>
        <v>31</v>
      </c>
      <c r="G211" t="s">
        <v>278</v>
      </c>
      <c r="H211" s="51">
        <v>51</v>
      </c>
      <c r="I211" s="51">
        <v>160</v>
      </c>
    </row>
    <row r="212" spans="5:9" x14ac:dyDescent="0.25">
      <c r="E212">
        <f t="shared" si="22"/>
        <v>31</v>
      </c>
      <c r="G212" t="s">
        <v>279</v>
      </c>
      <c r="H212">
        <v>71</v>
      </c>
      <c r="I212" s="51">
        <v>160</v>
      </c>
    </row>
    <row r="213" spans="5:9" x14ac:dyDescent="0.25">
      <c r="E213">
        <f t="shared" si="22"/>
        <v>31</v>
      </c>
      <c r="G213" t="s">
        <v>280</v>
      </c>
      <c r="H213" s="51">
        <v>52</v>
      </c>
      <c r="I213" s="51">
        <v>160</v>
      </c>
    </row>
    <row r="214" spans="5:9" x14ac:dyDescent="0.25">
      <c r="E214">
        <f t="shared" si="22"/>
        <v>31</v>
      </c>
      <c r="G214" t="s">
        <v>281</v>
      </c>
      <c r="H214" s="51">
        <v>100</v>
      </c>
      <c r="I214" s="51">
        <v>160</v>
      </c>
    </row>
    <row r="215" spans="5:9" x14ac:dyDescent="0.25">
      <c r="E215">
        <f t="shared" si="22"/>
        <v>31</v>
      </c>
      <c r="G215" t="s">
        <v>282</v>
      </c>
      <c r="H215" s="51">
        <v>76</v>
      </c>
      <c r="I215" s="51">
        <v>160</v>
      </c>
    </row>
    <row r="216" spans="5:9" x14ac:dyDescent="0.25">
      <c r="E216">
        <f t="shared" si="22"/>
        <v>31</v>
      </c>
      <c r="G216" t="s">
        <v>283</v>
      </c>
      <c r="H216" s="51">
        <v>28</v>
      </c>
      <c r="I216" s="51">
        <v>160</v>
      </c>
    </row>
    <row r="217" spans="5:9" x14ac:dyDescent="0.25">
      <c r="E217">
        <f t="shared" si="22"/>
        <v>31</v>
      </c>
      <c r="G217" t="s">
        <v>284</v>
      </c>
      <c r="H217" s="51">
        <v>39</v>
      </c>
      <c r="I217" s="51">
        <v>160</v>
      </c>
    </row>
    <row r="218" spans="5:9" x14ac:dyDescent="0.25">
      <c r="E218">
        <f t="shared" si="22"/>
        <v>31</v>
      </c>
      <c r="G218" t="s">
        <v>285</v>
      </c>
      <c r="H218" s="51">
        <v>26</v>
      </c>
      <c r="I218" s="51">
        <v>160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34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16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26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30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47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34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29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20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24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39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37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77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54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94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70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13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32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25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35</v>
      </c>
      <c r="I237" s="51">
        <v>159</v>
      </c>
    </row>
    <row r="238" spans="5:9" x14ac:dyDescent="0.25">
      <c r="E238">
        <f t="shared" ref="E238:E245" si="25">+$F$237</f>
        <v>36</v>
      </c>
      <c r="G238" t="s">
        <v>278</v>
      </c>
      <c r="H238" s="51">
        <v>25</v>
      </c>
      <c r="I238" s="51">
        <v>159</v>
      </c>
    </row>
    <row r="239" spans="5:9" x14ac:dyDescent="0.25">
      <c r="E239">
        <f t="shared" si="25"/>
        <v>36</v>
      </c>
      <c r="G239" t="s">
        <v>279</v>
      </c>
      <c r="H239" s="51">
        <v>71</v>
      </c>
      <c r="I239" s="51">
        <v>159</v>
      </c>
    </row>
    <row r="240" spans="5:9" x14ac:dyDescent="0.25">
      <c r="E240">
        <f t="shared" si="25"/>
        <v>36</v>
      </c>
      <c r="G240" t="s">
        <v>280</v>
      </c>
      <c r="H240" s="51">
        <v>49</v>
      </c>
      <c r="I240" s="51">
        <v>159</v>
      </c>
    </row>
    <row r="241" spans="5:9" x14ac:dyDescent="0.25">
      <c r="E241">
        <f t="shared" si="25"/>
        <v>36</v>
      </c>
      <c r="G241" t="s">
        <v>281</v>
      </c>
      <c r="H241" s="51">
        <v>85</v>
      </c>
      <c r="I241" s="51">
        <v>159</v>
      </c>
    </row>
    <row r="242" spans="5:9" x14ac:dyDescent="0.25">
      <c r="E242">
        <f t="shared" si="25"/>
        <v>36</v>
      </c>
      <c r="G242" t="s">
        <v>282</v>
      </c>
      <c r="H242" s="51">
        <v>41</v>
      </c>
      <c r="I242" s="51">
        <v>159</v>
      </c>
    </row>
    <row r="243" spans="5:9" x14ac:dyDescent="0.25">
      <c r="E243">
        <f t="shared" si="25"/>
        <v>36</v>
      </c>
      <c r="G243" t="s">
        <v>283</v>
      </c>
      <c r="H243" s="51">
        <v>25</v>
      </c>
      <c r="I243" s="51">
        <v>159</v>
      </c>
    </row>
    <row r="244" spans="5:9" x14ac:dyDescent="0.25">
      <c r="E244">
        <f t="shared" si="25"/>
        <v>36</v>
      </c>
      <c r="G244" t="s">
        <v>284</v>
      </c>
      <c r="H244">
        <v>21</v>
      </c>
      <c r="I244" s="51">
        <v>159</v>
      </c>
    </row>
    <row r="245" spans="5:9" x14ac:dyDescent="0.25">
      <c r="E245">
        <f t="shared" si="25"/>
        <v>36</v>
      </c>
      <c r="G245" t="s">
        <v>285</v>
      </c>
      <c r="H245" s="51">
        <v>23</v>
      </c>
      <c r="I245" s="51">
        <v>159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27</v>
      </c>
      <c r="I246" s="51">
        <v>145</v>
      </c>
    </row>
    <row r="247" spans="5:9" x14ac:dyDescent="0.25">
      <c r="E247">
        <f t="shared" ref="E247:E254" si="26">+$F$246</f>
        <v>37</v>
      </c>
      <c r="G247" t="s">
        <v>278</v>
      </c>
      <c r="H247" s="51">
        <v>16</v>
      </c>
      <c r="I247" s="51">
        <v>145</v>
      </c>
    </row>
    <row r="248" spans="5:9" x14ac:dyDescent="0.25">
      <c r="E248">
        <f t="shared" si="26"/>
        <v>37</v>
      </c>
      <c r="G248" t="s">
        <v>279</v>
      </c>
      <c r="H248" s="51">
        <v>28</v>
      </c>
      <c r="I248" s="51">
        <v>145</v>
      </c>
    </row>
    <row r="249" spans="5:9" x14ac:dyDescent="0.25">
      <c r="E249">
        <f t="shared" si="26"/>
        <v>37</v>
      </c>
      <c r="G249" t="s">
        <v>280</v>
      </c>
      <c r="H249" s="51">
        <v>36</v>
      </c>
      <c r="I249" s="51">
        <v>145</v>
      </c>
    </row>
    <row r="250" spans="5:9" x14ac:dyDescent="0.25">
      <c r="E250">
        <f t="shared" si="26"/>
        <v>37</v>
      </c>
      <c r="G250" t="s">
        <v>281</v>
      </c>
      <c r="H250" s="51">
        <v>57</v>
      </c>
      <c r="I250" s="51">
        <v>145</v>
      </c>
    </row>
    <row r="251" spans="5:9" x14ac:dyDescent="0.25">
      <c r="E251">
        <f t="shared" si="26"/>
        <v>37</v>
      </c>
      <c r="G251" t="s">
        <v>282</v>
      </c>
      <c r="H251" s="51">
        <v>30</v>
      </c>
      <c r="I251" s="51">
        <v>145</v>
      </c>
    </row>
    <row r="252" spans="5:9" x14ac:dyDescent="0.25">
      <c r="E252">
        <f t="shared" si="26"/>
        <v>37</v>
      </c>
      <c r="G252" t="s">
        <v>283</v>
      </c>
      <c r="H252">
        <v>14</v>
      </c>
      <c r="I252" s="51">
        <v>145</v>
      </c>
    </row>
    <row r="253" spans="5:9" x14ac:dyDescent="0.25">
      <c r="E253">
        <f t="shared" si="26"/>
        <v>37</v>
      </c>
      <c r="G253" t="s">
        <v>284</v>
      </c>
      <c r="H253" s="51">
        <v>30</v>
      </c>
      <c r="I253" s="51">
        <v>145</v>
      </c>
    </row>
    <row r="254" spans="5:9" x14ac:dyDescent="0.25">
      <c r="E254">
        <f t="shared" si="26"/>
        <v>37</v>
      </c>
      <c r="G254" t="s">
        <v>285</v>
      </c>
      <c r="H254" s="51">
        <v>20</v>
      </c>
      <c r="I254" s="51">
        <v>145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48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49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82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63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99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72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21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37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48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41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29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63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58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82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64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43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32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20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4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7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14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5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H285">
        <v>1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7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7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54</v>
      </c>
      <c r="I291" s="51">
        <v>170</v>
      </c>
    </row>
    <row r="292" spans="5:9" x14ac:dyDescent="0.25">
      <c r="E292">
        <f t="shared" ref="E292:E299" si="31">+$F$291</f>
        <v>44</v>
      </c>
      <c r="G292" t="s">
        <v>278</v>
      </c>
      <c r="H292">
        <v>53</v>
      </c>
      <c r="I292" s="51">
        <v>170</v>
      </c>
    </row>
    <row r="293" spans="5:9" x14ac:dyDescent="0.25">
      <c r="E293">
        <f t="shared" si="31"/>
        <v>44</v>
      </c>
      <c r="G293" t="s">
        <v>279</v>
      </c>
      <c r="H293">
        <v>101</v>
      </c>
      <c r="I293" s="51">
        <v>170</v>
      </c>
    </row>
    <row r="294" spans="5:9" x14ac:dyDescent="0.25">
      <c r="E294">
        <f t="shared" si="31"/>
        <v>44</v>
      </c>
      <c r="G294" t="s">
        <v>280</v>
      </c>
      <c r="H294">
        <v>59</v>
      </c>
      <c r="I294" s="51">
        <v>170</v>
      </c>
    </row>
    <row r="295" spans="5:9" x14ac:dyDescent="0.25">
      <c r="E295">
        <f t="shared" si="31"/>
        <v>44</v>
      </c>
      <c r="G295" t="s">
        <v>281</v>
      </c>
      <c r="H295">
        <v>111</v>
      </c>
      <c r="I295" s="51">
        <v>170</v>
      </c>
    </row>
    <row r="296" spans="5:9" x14ac:dyDescent="0.25">
      <c r="E296">
        <f t="shared" si="31"/>
        <v>44</v>
      </c>
      <c r="G296" t="s">
        <v>282</v>
      </c>
      <c r="H296">
        <v>92</v>
      </c>
      <c r="I296" s="51">
        <v>170</v>
      </c>
    </row>
    <row r="297" spans="5:9" x14ac:dyDescent="0.25">
      <c r="E297">
        <f t="shared" si="31"/>
        <v>44</v>
      </c>
      <c r="G297" t="s">
        <v>283</v>
      </c>
      <c r="H297" s="51">
        <v>20</v>
      </c>
      <c r="I297" s="51">
        <v>170</v>
      </c>
    </row>
    <row r="298" spans="5:9" x14ac:dyDescent="0.25">
      <c r="E298">
        <f t="shared" si="31"/>
        <v>44</v>
      </c>
      <c r="G298" t="s">
        <v>284</v>
      </c>
      <c r="H298">
        <v>44</v>
      </c>
      <c r="I298" s="51">
        <v>170</v>
      </c>
    </row>
    <row r="299" spans="5:9" x14ac:dyDescent="0.25">
      <c r="E299">
        <f t="shared" si="31"/>
        <v>44</v>
      </c>
      <c r="G299" t="s">
        <v>285</v>
      </c>
      <c r="H299" s="51">
        <v>46</v>
      </c>
      <c r="I299" s="51">
        <v>170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26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278</v>
      </c>
      <c r="H301" s="51">
        <v>20</v>
      </c>
      <c r="I301" s="51">
        <v>245</v>
      </c>
    </row>
    <row r="302" spans="5:9" x14ac:dyDescent="0.25">
      <c r="E302">
        <f t="shared" si="32"/>
        <v>49</v>
      </c>
      <c r="G302" t="s">
        <v>279</v>
      </c>
      <c r="H302" s="51">
        <v>57</v>
      </c>
      <c r="I302" s="51">
        <v>245</v>
      </c>
    </row>
    <row r="303" spans="5:9" x14ac:dyDescent="0.25">
      <c r="E303">
        <f t="shared" si="32"/>
        <v>49</v>
      </c>
      <c r="G303" t="s">
        <v>280</v>
      </c>
      <c r="H303" s="51">
        <v>19</v>
      </c>
      <c r="I303" s="51">
        <v>245</v>
      </c>
    </row>
    <row r="304" spans="5:9" x14ac:dyDescent="0.25">
      <c r="E304">
        <f t="shared" si="32"/>
        <v>49</v>
      </c>
      <c r="G304" t="s">
        <v>281</v>
      </c>
      <c r="H304" s="51">
        <v>50</v>
      </c>
      <c r="I304" s="51">
        <v>245</v>
      </c>
    </row>
    <row r="305" spans="5:9" x14ac:dyDescent="0.25">
      <c r="E305">
        <f t="shared" si="32"/>
        <v>49</v>
      </c>
      <c r="G305" t="s">
        <v>282</v>
      </c>
      <c r="H305" s="51">
        <v>25</v>
      </c>
      <c r="I305" s="51">
        <v>245</v>
      </c>
    </row>
    <row r="306" spans="5:9" x14ac:dyDescent="0.25">
      <c r="E306">
        <f t="shared" si="32"/>
        <v>49</v>
      </c>
      <c r="G306" t="s">
        <v>283</v>
      </c>
      <c r="H306" s="51">
        <v>35</v>
      </c>
      <c r="I306" s="51">
        <v>245</v>
      </c>
    </row>
    <row r="307" spans="5:9" x14ac:dyDescent="0.25">
      <c r="E307">
        <f t="shared" si="32"/>
        <v>49</v>
      </c>
      <c r="G307" t="s">
        <v>284</v>
      </c>
      <c r="H307">
        <v>19</v>
      </c>
      <c r="I307" s="51">
        <v>245</v>
      </c>
    </row>
    <row r="308" spans="5:9" x14ac:dyDescent="0.25">
      <c r="E308">
        <f t="shared" si="32"/>
        <v>49</v>
      </c>
      <c r="G308" t="s">
        <v>285</v>
      </c>
      <c r="H308">
        <v>27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113</v>
      </c>
      <c r="I309" s="51">
        <v>263</v>
      </c>
    </row>
    <row r="310" spans="5:9" x14ac:dyDescent="0.25">
      <c r="E310">
        <f t="shared" ref="E310:E317" si="33">+$F$309</f>
        <v>5</v>
      </c>
      <c r="G310" t="s">
        <v>278</v>
      </c>
      <c r="H310">
        <v>66</v>
      </c>
      <c r="I310" s="51">
        <v>263</v>
      </c>
    </row>
    <row r="311" spans="5:9" x14ac:dyDescent="0.25">
      <c r="E311">
        <f t="shared" si="33"/>
        <v>5</v>
      </c>
      <c r="G311" t="s">
        <v>279</v>
      </c>
      <c r="H311">
        <v>149</v>
      </c>
      <c r="I311" s="51">
        <v>263</v>
      </c>
    </row>
    <row r="312" spans="5:9" x14ac:dyDescent="0.25">
      <c r="E312">
        <f t="shared" si="33"/>
        <v>5</v>
      </c>
      <c r="G312" t="s">
        <v>280</v>
      </c>
      <c r="H312">
        <v>80</v>
      </c>
      <c r="I312" s="51">
        <v>263</v>
      </c>
    </row>
    <row r="313" spans="5:9" x14ac:dyDescent="0.25">
      <c r="E313">
        <f t="shared" si="33"/>
        <v>5</v>
      </c>
      <c r="G313" t="s">
        <v>281</v>
      </c>
      <c r="H313">
        <v>176</v>
      </c>
      <c r="I313" s="51">
        <v>263</v>
      </c>
    </row>
    <row r="314" spans="5:9" x14ac:dyDescent="0.25">
      <c r="E314">
        <f t="shared" si="33"/>
        <v>5</v>
      </c>
      <c r="G314" t="s">
        <v>282</v>
      </c>
      <c r="H314">
        <v>131</v>
      </c>
      <c r="I314" s="51">
        <v>263</v>
      </c>
    </row>
    <row r="315" spans="5:9" x14ac:dyDescent="0.25">
      <c r="E315">
        <f t="shared" si="33"/>
        <v>5</v>
      </c>
      <c r="G315" t="s">
        <v>283</v>
      </c>
      <c r="H315" s="51">
        <v>50</v>
      </c>
      <c r="I315" s="51">
        <v>263</v>
      </c>
    </row>
    <row r="316" spans="5:9" x14ac:dyDescent="0.25">
      <c r="E316">
        <f t="shared" si="33"/>
        <v>5</v>
      </c>
      <c r="G316" t="s">
        <v>284</v>
      </c>
      <c r="H316">
        <v>51</v>
      </c>
      <c r="I316" s="51">
        <v>263</v>
      </c>
    </row>
    <row r="317" spans="5:9" x14ac:dyDescent="0.25">
      <c r="E317">
        <f t="shared" si="33"/>
        <v>5</v>
      </c>
      <c r="G317" t="s">
        <v>285</v>
      </c>
      <c r="H317" s="51">
        <v>53</v>
      </c>
      <c r="I317" s="51">
        <v>263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57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10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69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75</v>
      </c>
      <c r="I336" s="51">
        <v>200</v>
      </c>
    </row>
    <row r="337" spans="5:9" x14ac:dyDescent="0.25">
      <c r="E337">
        <f t="shared" ref="E337:E344" si="36">+$F$336</f>
        <v>54</v>
      </c>
      <c r="G337" t="s">
        <v>278</v>
      </c>
      <c r="H337" s="51">
        <v>63</v>
      </c>
      <c r="I337" s="51">
        <v>200</v>
      </c>
    </row>
    <row r="338" spans="5:9" x14ac:dyDescent="0.25">
      <c r="E338">
        <f t="shared" si="36"/>
        <v>54</v>
      </c>
      <c r="G338" t="s">
        <v>279</v>
      </c>
      <c r="H338" s="51">
        <v>112</v>
      </c>
      <c r="I338" s="51">
        <v>200</v>
      </c>
    </row>
    <row r="339" spans="5:9" x14ac:dyDescent="0.25">
      <c r="E339">
        <f t="shared" si="36"/>
        <v>54</v>
      </c>
      <c r="G339" t="s">
        <v>280</v>
      </c>
      <c r="H339" s="51">
        <v>87</v>
      </c>
      <c r="I339" s="51">
        <v>200</v>
      </c>
    </row>
    <row r="340" spans="5:9" x14ac:dyDescent="0.25">
      <c r="E340">
        <f t="shared" si="36"/>
        <v>54</v>
      </c>
      <c r="G340" t="s">
        <v>281</v>
      </c>
      <c r="H340">
        <v>117</v>
      </c>
      <c r="I340" s="51">
        <v>200</v>
      </c>
    </row>
    <row r="341" spans="5:9" x14ac:dyDescent="0.25">
      <c r="E341">
        <f t="shared" si="36"/>
        <v>54</v>
      </c>
      <c r="G341" t="s">
        <v>282</v>
      </c>
      <c r="H341" s="51">
        <v>82</v>
      </c>
      <c r="I341" s="51">
        <v>200</v>
      </c>
    </row>
    <row r="342" spans="5:9" x14ac:dyDescent="0.25">
      <c r="E342">
        <f t="shared" si="36"/>
        <v>54</v>
      </c>
      <c r="G342" t="s">
        <v>283</v>
      </c>
      <c r="H342" s="51">
        <v>29</v>
      </c>
      <c r="I342" s="51">
        <v>200</v>
      </c>
    </row>
    <row r="343" spans="5:9" x14ac:dyDescent="0.25">
      <c r="E343">
        <f t="shared" si="36"/>
        <v>54</v>
      </c>
      <c r="G343" t="s">
        <v>284</v>
      </c>
      <c r="H343" s="51">
        <v>49</v>
      </c>
      <c r="I343" s="51">
        <v>200</v>
      </c>
    </row>
    <row r="344" spans="5:9" x14ac:dyDescent="0.25">
      <c r="E344">
        <f t="shared" si="36"/>
        <v>54</v>
      </c>
      <c r="G344" t="s">
        <v>285</v>
      </c>
      <c r="H344" s="51">
        <v>42</v>
      </c>
      <c r="I344" s="51">
        <v>200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29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278</v>
      </c>
      <c r="H346" s="51">
        <v>18</v>
      </c>
      <c r="I346" s="51">
        <v>200</v>
      </c>
    </row>
    <row r="347" spans="5:9" x14ac:dyDescent="0.25">
      <c r="E347">
        <f t="shared" si="37"/>
        <v>56</v>
      </c>
      <c r="G347" t="s">
        <v>279</v>
      </c>
      <c r="H347" s="51">
        <v>62</v>
      </c>
      <c r="I347" s="51">
        <v>200</v>
      </c>
    </row>
    <row r="348" spans="5:9" x14ac:dyDescent="0.25">
      <c r="E348">
        <f t="shared" si="37"/>
        <v>56</v>
      </c>
      <c r="G348" t="s">
        <v>280</v>
      </c>
      <c r="H348">
        <v>31</v>
      </c>
      <c r="I348" s="51">
        <v>200</v>
      </c>
    </row>
    <row r="349" spans="5:9" x14ac:dyDescent="0.25">
      <c r="E349">
        <f t="shared" si="37"/>
        <v>56</v>
      </c>
      <c r="G349" t="s">
        <v>281</v>
      </c>
      <c r="H349" s="51">
        <v>42</v>
      </c>
      <c r="I349" s="51">
        <v>200</v>
      </c>
    </row>
    <row r="350" spans="5:9" x14ac:dyDescent="0.25">
      <c r="E350">
        <f t="shared" si="37"/>
        <v>56</v>
      </c>
      <c r="G350" t="s">
        <v>282</v>
      </c>
      <c r="H350" s="51">
        <v>32</v>
      </c>
      <c r="I350" s="51">
        <v>200</v>
      </c>
    </row>
    <row r="351" spans="5:9" x14ac:dyDescent="0.25">
      <c r="E351">
        <f t="shared" si="37"/>
        <v>56</v>
      </c>
      <c r="G351" t="s">
        <v>283</v>
      </c>
      <c r="H351" s="51">
        <v>45</v>
      </c>
      <c r="I351" s="51">
        <v>200</v>
      </c>
    </row>
    <row r="352" spans="5:9" x14ac:dyDescent="0.25">
      <c r="E352">
        <f t="shared" si="37"/>
        <v>56</v>
      </c>
      <c r="G352" t="s">
        <v>284</v>
      </c>
      <c r="H352">
        <v>18</v>
      </c>
      <c r="I352" s="51">
        <v>200</v>
      </c>
    </row>
    <row r="353" spans="5:9" x14ac:dyDescent="0.25">
      <c r="E353">
        <f t="shared" si="37"/>
        <v>56</v>
      </c>
      <c r="G353" t="s">
        <v>285</v>
      </c>
      <c r="H353" s="51">
        <v>20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103</v>
      </c>
    </row>
    <row r="355" spans="5:9" x14ac:dyDescent="0.25">
      <c r="E355">
        <f t="shared" ref="E355:E362" si="38">+$F$354</f>
        <v>57</v>
      </c>
      <c r="G355" t="s">
        <v>278</v>
      </c>
      <c r="H355" s="51">
        <v>11</v>
      </c>
      <c r="I355" s="51">
        <v>103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103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103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103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103</v>
      </c>
    </row>
    <row r="360" spans="5:9" x14ac:dyDescent="0.25">
      <c r="E360">
        <f t="shared" si="38"/>
        <v>57</v>
      </c>
      <c r="G360" t="s">
        <v>283</v>
      </c>
      <c r="H360" s="51">
        <v>41</v>
      </c>
      <c r="I360" s="51">
        <v>103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103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103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5</v>
      </c>
      <c r="I363" s="51">
        <v>124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124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124</v>
      </c>
    </row>
    <row r="366" spans="5:9" x14ac:dyDescent="0.25">
      <c r="E366">
        <f t="shared" si="39"/>
        <v>58</v>
      </c>
      <c r="G366" t="s">
        <v>280</v>
      </c>
      <c r="H366" s="51">
        <v>22</v>
      </c>
      <c r="I366" s="51">
        <v>124</v>
      </c>
    </row>
    <row r="367" spans="5:9" x14ac:dyDescent="0.25">
      <c r="E367">
        <f t="shared" si="39"/>
        <v>58</v>
      </c>
      <c r="G367" t="s">
        <v>281</v>
      </c>
      <c r="H367" s="51">
        <v>23</v>
      </c>
      <c r="I367" s="51">
        <v>124</v>
      </c>
    </row>
    <row r="368" spans="5:9" x14ac:dyDescent="0.25">
      <c r="E368">
        <f t="shared" si="39"/>
        <v>58</v>
      </c>
      <c r="G368" t="s">
        <v>282</v>
      </c>
      <c r="H368" s="51">
        <v>25</v>
      </c>
      <c r="I368" s="51">
        <v>124</v>
      </c>
    </row>
    <row r="369" spans="5:9" x14ac:dyDescent="0.25">
      <c r="E369">
        <f t="shared" si="39"/>
        <v>58</v>
      </c>
      <c r="G369" t="s">
        <v>283</v>
      </c>
      <c r="H369" s="51">
        <v>8</v>
      </c>
      <c r="I369" s="51">
        <v>124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124</v>
      </c>
    </row>
    <row r="371" spans="5:9" x14ac:dyDescent="0.25">
      <c r="E371">
        <f t="shared" si="39"/>
        <v>58</v>
      </c>
      <c r="G371" t="s">
        <v>285</v>
      </c>
      <c r="H371" s="35">
        <v>7</v>
      </c>
      <c r="I371" s="35">
        <v>124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29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24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19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34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40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30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11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4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21</v>
      </c>
      <c r="I381">
        <v>66</v>
      </c>
    </row>
    <row r="382" spans="5:9" x14ac:dyDescent="0.25">
      <c r="E382">
        <f t="shared" ref="E382:E389" si="41">+$F$381</f>
        <v>60</v>
      </c>
      <c r="G382" t="s">
        <v>278</v>
      </c>
      <c r="H382">
        <v>16</v>
      </c>
      <c r="I382">
        <v>66</v>
      </c>
    </row>
    <row r="383" spans="5:9" x14ac:dyDescent="0.25">
      <c r="E383">
        <f t="shared" si="41"/>
        <v>60</v>
      </c>
      <c r="G383" t="s">
        <v>279</v>
      </c>
      <c r="H383">
        <v>25</v>
      </c>
      <c r="I383">
        <v>66</v>
      </c>
    </row>
    <row r="384" spans="5:9" x14ac:dyDescent="0.25">
      <c r="E384">
        <f t="shared" si="41"/>
        <v>60</v>
      </c>
      <c r="G384" t="s">
        <v>280</v>
      </c>
      <c r="H384">
        <v>12</v>
      </c>
      <c r="I384">
        <v>66</v>
      </c>
    </row>
    <row r="385" spans="5:9" x14ac:dyDescent="0.25">
      <c r="E385">
        <f t="shared" si="41"/>
        <v>60</v>
      </c>
      <c r="G385" t="s">
        <v>281</v>
      </c>
      <c r="H385">
        <v>13</v>
      </c>
      <c r="I385">
        <v>66</v>
      </c>
    </row>
    <row r="386" spans="5:9" x14ac:dyDescent="0.25">
      <c r="E386">
        <f t="shared" si="41"/>
        <v>60</v>
      </c>
      <c r="G386" t="s">
        <v>282</v>
      </c>
      <c r="H386">
        <v>15</v>
      </c>
      <c r="I386">
        <v>66</v>
      </c>
    </row>
    <row r="387" spans="5:9" x14ac:dyDescent="0.25">
      <c r="E387">
        <f t="shared" si="41"/>
        <v>60</v>
      </c>
      <c r="G387" t="s">
        <v>283</v>
      </c>
      <c r="H387">
        <v>8</v>
      </c>
      <c r="I387">
        <v>66</v>
      </c>
    </row>
    <row r="388" spans="5:9" x14ac:dyDescent="0.25">
      <c r="E388">
        <f t="shared" si="41"/>
        <v>60</v>
      </c>
      <c r="G388" t="s">
        <v>284</v>
      </c>
      <c r="H388">
        <v>8</v>
      </c>
      <c r="I388">
        <v>66</v>
      </c>
    </row>
    <row r="389" spans="5:9" x14ac:dyDescent="0.25">
      <c r="E389">
        <f t="shared" si="41"/>
        <v>60</v>
      </c>
      <c r="G389" t="s">
        <v>285</v>
      </c>
      <c r="H389">
        <v>15</v>
      </c>
      <c r="I389">
        <v>66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4</v>
      </c>
      <c r="I390">
        <v>117</v>
      </c>
    </row>
    <row r="391" spans="5:9" x14ac:dyDescent="0.25">
      <c r="E391">
        <f t="shared" ref="E391:E398" si="42">+$F$390</f>
        <v>7</v>
      </c>
      <c r="G391" t="s">
        <v>278</v>
      </c>
      <c r="H391">
        <v>3</v>
      </c>
      <c r="I391">
        <v>117</v>
      </c>
    </row>
    <row r="392" spans="5:9" x14ac:dyDescent="0.25">
      <c r="E392">
        <f t="shared" si="42"/>
        <v>7</v>
      </c>
      <c r="G392" t="s">
        <v>279</v>
      </c>
      <c r="H392">
        <v>9</v>
      </c>
      <c r="I392">
        <v>117</v>
      </c>
    </row>
    <row r="393" spans="5:9" x14ac:dyDescent="0.25">
      <c r="E393">
        <f t="shared" si="42"/>
        <v>7</v>
      </c>
      <c r="G393" t="s">
        <v>280</v>
      </c>
      <c r="I393">
        <v>117</v>
      </c>
    </row>
    <row r="394" spans="5:9" x14ac:dyDescent="0.25">
      <c r="E394">
        <f t="shared" si="42"/>
        <v>7</v>
      </c>
      <c r="G394" t="s">
        <v>281</v>
      </c>
      <c r="H394">
        <v>6</v>
      </c>
      <c r="I394">
        <v>117</v>
      </c>
    </row>
    <row r="395" spans="5:9" x14ac:dyDescent="0.25">
      <c r="E395">
        <f t="shared" si="42"/>
        <v>7</v>
      </c>
      <c r="G395" t="s">
        <v>282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283</v>
      </c>
      <c r="H396">
        <v>13</v>
      </c>
      <c r="I396">
        <v>117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285</v>
      </c>
      <c r="H398">
        <v>7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54</v>
      </c>
      <c r="I399">
        <v>199</v>
      </c>
    </row>
    <row r="400" spans="5:9" x14ac:dyDescent="0.25">
      <c r="E400">
        <f t="shared" ref="E400:E407" si="43">+$F$399</f>
        <v>8</v>
      </c>
      <c r="G400" t="s">
        <v>278</v>
      </c>
      <c r="H400">
        <v>30</v>
      </c>
      <c r="I400">
        <v>199</v>
      </c>
    </row>
    <row r="401" spans="5:9" x14ac:dyDescent="0.25">
      <c r="E401">
        <f t="shared" si="43"/>
        <v>8</v>
      </c>
      <c r="G401" t="s">
        <v>279</v>
      </c>
      <c r="H401">
        <v>74</v>
      </c>
      <c r="I401">
        <v>199</v>
      </c>
    </row>
    <row r="402" spans="5:9" x14ac:dyDescent="0.25">
      <c r="E402">
        <f t="shared" si="43"/>
        <v>8</v>
      </c>
      <c r="G402" t="s">
        <v>280</v>
      </c>
      <c r="H402">
        <v>50</v>
      </c>
      <c r="I402">
        <v>199</v>
      </c>
    </row>
    <row r="403" spans="5:9" x14ac:dyDescent="0.25">
      <c r="E403">
        <f t="shared" si="43"/>
        <v>8</v>
      </c>
      <c r="G403" t="s">
        <v>281</v>
      </c>
      <c r="H403">
        <v>94</v>
      </c>
      <c r="I403">
        <v>199</v>
      </c>
    </row>
    <row r="404" spans="5:9" x14ac:dyDescent="0.25">
      <c r="E404">
        <f t="shared" si="43"/>
        <v>8</v>
      </c>
      <c r="G404" t="s">
        <v>282</v>
      </c>
      <c r="H404">
        <v>70</v>
      </c>
      <c r="I404">
        <v>199</v>
      </c>
    </row>
    <row r="405" spans="5:9" x14ac:dyDescent="0.25">
      <c r="E405">
        <f t="shared" si="43"/>
        <v>8</v>
      </c>
      <c r="G405" t="s">
        <v>283</v>
      </c>
      <c r="H405">
        <v>14</v>
      </c>
      <c r="I405">
        <v>199</v>
      </c>
    </row>
    <row r="406" spans="5:9" x14ac:dyDescent="0.25">
      <c r="E406">
        <f t="shared" si="43"/>
        <v>8</v>
      </c>
      <c r="G406" t="s">
        <v>284</v>
      </c>
      <c r="H406">
        <v>31</v>
      </c>
      <c r="I406">
        <v>199</v>
      </c>
    </row>
    <row r="407" spans="5:9" x14ac:dyDescent="0.25">
      <c r="E407">
        <f t="shared" si="43"/>
        <v>8</v>
      </c>
      <c r="G407" t="s">
        <v>285</v>
      </c>
      <c r="H407">
        <v>38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44</v>
      </c>
      <c r="I408">
        <v>157</v>
      </c>
    </row>
    <row r="409" spans="5:9" x14ac:dyDescent="0.25">
      <c r="E409">
        <f t="shared" ref="E409:E416" si="44">+$F$408</f>
        <v>9</v>
      </c>
      <c r="G409" t="s">
        <v>278</v>
      </c>
      <c r="H409">
        <v>50</v>
      </c>
      <c r="I409">
        <v>157</v>
      </c>
    </row>
    <row r="410" spans="5:9" x14ac:dyDescent="0.25">
      <c r="E410">
        <f t="shared" si="44"/>
        <v>9</v>
      </c>
      <c r="G410" t="s">
        <v>279</v>
      </c>
      <c r="H410">
        <v>59</v>
      </c>
      <c r="I410">
        <v>157</v>
      </c>
    </row>
    <row r="411" spans="5:9" x14ac:dyDescent="0.25">
      <c r="E411">
        <f t="shared" si="44"/>
        <v>9</v>
      </c>
      <c r="G411" t="s">
        <v>280</v>
      </c>
      <c r="H411">
        <v>50</v>
      </c>
      <c r="I411">
        <v>157</v>
      </c>
    </row>
    <row r="412" spans="5:9" x14ac:dyDescent="0.25">
      <c r="E412">
        <f t="shared" si="44"/>
        <v>9</v>
      </c>
      <c r="G412" t="s">
        <v>281</v>
      </c>
      <c r="H412">
        <v>85</v>
      </c>
      <c r="I412">
        <v>157</v>
      </c>
    </row>
    <row r="413" spans="5:9" x14ac:dyDescent="0.25">
      <c r="E413">
        <f t="shared" si="44"/>
        <v>9</v>
      </c>
      <c r="G413" t="s">
        <v>282</v>
      </c>
      <c r="H413">
        <v>70</v>
      </c>
      <c r="I413">
        <v>157</v>
      </c>
    </row>
    <row r="414" spans="5:9" x14ac:dyDescent="0.25">
      <c r="E414">
        <f t="shared" si="44"/>
        <v>9</v>
      </c>
      <c r="G414" t="s">
        <v>283</v>
      </c>
      <c r="H414">
        <v>10</v>
      </c>
      <c r="I414">
        <v>157</v>
      </c>
    </row>
    <row r="415" spans="5:9" x14ac:dyDescent="0.25">
      <c r="E415">
        <f t="shared" si="44"/>
        <v>9</v>
      </c>
      <c r="G415" t="s">
        <v>284</v>
      </c>
      <c r="H415">
        <v>26</v>
      </c>
      <c r="I415">
        <v>157</v>
      </c>
    </row>
    <row r="416" spans="5:9" x14ac:dyDescent="0.25">
      <c r="E416">
        <f t="shared" si="44"/>
        <v>9</v>
      </c>
      <c r="G416" t="s">
        <v>285</v>
      </c>
      <c r="H416">
        <v>39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0" t="s">
        <v>228</v>
      </c>
      <c r="C1" s="131"/>
      <c r="D1" s="132" t="s">
        <v>229</v>
      </c>
    </row>
    <row r="2" spans="1:4" x14ac:dyDescent="0.25">
      <c r="A2" s="133" t="s">
        <v>230</v>
      </c>
      <c r="B2" s="133" t="str">
        <f>+AVANCE!B16</f>
        <v>2 - OJEDA NORBERTO</v>
      </c>
      <c r="C2" s="131"/>
      <c r="D2" s="131">
        <v>0.15744212962962961</v>
      </c>
    </row>
    <row r="3" spans="1:4" x14ac:dyDescent="0.25">
      <c r="A3" s="133" t="s">
        <v>231</v>
      </c>
      <c r="B3" s="133" t="str">
        <f>+AVANCE!B17</f>
        <v>3 - VIDAL NAHUEL</v>
      </c>
      <c r="C3" s="131"/>
      <c r="D3" s="131">
        <v>0.26850852623456783</v>
      </c>
    </row>
    <row r="4" spans="1:4" x14ac:dyDescent="0.25">
      <c r="A4" s="133" t="s">
        <v>232</v>
      </c>
      <c r="B4" s="133" t="str">
        <f>+AVANCE!B18</f>
        <v>18 - HERRERA PABLO</v>
      </c>
      <c r="C4" s="131"/>
      <c r="D4" s="131">
        <v>0.24963344907407406</v>
      </c>
    </row>
    <row r="5" spans="1:4" x14ac:dyDescent="0.25">
      <c r="A5" s="133" t="s">
        <v>233</v>
      </c>
      <c r="B5" s="133" t="str">
        <f>+AVANCE!B19</f>
        <v>21 - CATAN MATIAS</v>
      </c>
      <c r="C5" s="131"/>
      <c r="D5" s="131">
        <v>0.24469591049382716</v>
      </c>
    </row>
    <row r="6" spans="1:4" x14ac:dyDescent="0.25">
      <c r="A6" s="133" t="s">
        <v>234</v>
      </c>
      <c r="B6" s="133" t="str">
        <f>+AVANCE!B20</f>
        <v>23 - DELGADO JOSÉ</v>
      </c>
      <c r="C6" s="131"/>
      <c r="D6" s="131">
        <v>0.20990466820987655</v>
      </c>
    </row>
    <row r="7" spans="1:4" x14ac:dyDescent="0.25">
      <c r="A7" s="133" t="s">
        <v>235</v>
      </c>
      <c r="B7" s="133" t="str">
        <f>+AVANCE!B21</f>
        <v>31 - RENZO RAMOS</v>
      </c>
      <c r="C7" s="131"/>
      <c r="D7" s="131">
        <v>0.24200717592592597</v>
      </c>
    </row>
    <row r="8" spans="1:4" x14ac:dyDescent="0.25">
      <c r="A8" s="133" t="s">
        <v>236</v>
      </c>
      <c r="B8" s="133" t="str">
        <f>+AVANCE!B22</f>
        <v>44 - MONGES CESAR LUIS</v>
      </c>
      <c r="C8" s="131"/>
      <c r="D8" s="131">
        <v>0.23399363425925929</v>
      </c>
    </row>
    <row r="9" spans="1:4" x14ac:dyDescent="0.25">
      <c r="A9" s="133" t="s">
        <v>237</v>
      </c>
      <c r="B9" s="133" t="str">
        <f>+AVANCE!B23</f>
        <v>54 - BARTSCHAT EMILIANO NAHUEL</v>
      </c>
      <c r="C9" s="131"/>
      <c r="D9" s="131">
        <v>0.22786828703703704</v>
      </c>
    </row>
    <row r="10" spans="1:4" x14ac:dyDescent="0.25">
      <c r="A10" s="133" t="s">
        <v>238</v>
      </c>
      <c r="B10" s="133" t="str">
        <f>+AVANCE!B42</f>
        <v>56 - JUAN ANDRES SANCHEZ</v>
      </c>
      <c r="C10" s="131"/>
      <c r="D10" s="131">
        <v>8.0912229938271615E-2</v>
      </c>
    </row>
    <row r="11" spans="1:4" x14ac:dyDescent="0.25">
      <c r="A11" s="133" t="s">
        <v>239</v>
      </c>
      <c r="B11" s="133" t="str">
        <f>+AVANCE!B9</f>
        <v>4 - TUR SPRINGER FERNANDO</v>
      </c>
      <c r="C11" s="131"/>
      <c r="D11" s="131">
        <v>0.25179293981481476</v>
      </c>
    </row>
    <row r="12" spans="1:4" x14ac:dyDescent="0.25">
      <c r="A12" s="133" t="s">
        <v>240</v>
      </c>
      <c r="B12" s="133" t="str">
        <f>+AVANCE!B8</f>
        <v>5 - SCHELOVER RAUL</v>
      </c>
      <c r="C12" s="131"/>
      <c r="D12" s="131">
        <v>0.28457172067901232</v>
      </c>
    </row>
    <row r="13" spans="1:4" x14ac:dyDescent="0.25">
      <c r="A13" s="133" t="s">
        <v>241</v>
      </c>
      <c r="B13" s="133" t="str">
        <f>+AVANCE!B7</f>
        <v>8 - PARRA MAXIMILIANO</v>
      </c>
      <c r="C13" s="131"/>
      <c r="D13" s="131">
        <v>0.23771267361111109</v>
      </c>
    </row>
    <row r="14" spans="1:4" x14ac:dyDescent="0.25">
      <c r="A14" s="133" t="s">
        <v>242</v>
      </c>
      <c r="B14" s="133" t="str">
        <f>+AVANCE!B6</f>
        <v>11 - SANCHEZ RICARDO</v>
      </c>
      <c r="C14" s="131"/>
      <c r="D14" s="131">
        <v>0.26836628086419756</v>
      </c>
    </row>
    <row r="15" spans="1:4" x14ac:dyDescent="0.25">
      <c r="A15" s="133" t="s">
        <v>243</v>
      </c>
      <c r="B15" s="133" t="str">
        <f>+AVANCE!B5</f>
        <v>12 - GUTIERREZ MARCOS DAVID</v>
      </c>
      <c r="C15" s="131"/>
      <c r="D15" s="131">
        <v>0.23249093364197529</v>
      </c>
    </row>
    <row r="16" spans="1:4" x14ac:dyDescent="0.25">
      <c r="A16" s="133" t="s">
        <v>244</v>
      </c>
      <c r="B16" s="133" t="str">
        <f>+AVANCE!B4</f>
        <v>16 - GOMEZ MATÍAS</v>
      </c>
      <c r="C16" s="131"/>
      <c r="D16" s="131">
        <v>0.23022222222222219</v>
      </c>
    </row>
    <row r="17" spans="1:4" x14ac:dyDescent="0.25">
      <c r="A17" s="133" t="s">
        <v>245</v>
      </c>
      <c r="B17" s="133" t="str">
        <f>+AVANCE!B3</f>
        <v>19 - GONZALEZ MARCELO</v>
      </c>
      <c r="C17" s="131"/>
      <c r="D17" s="131">
        <v>0.24317395833333336</v>
      </c>
    </row>
    <row r="18" spans="1:4" x14ac:dyDescent="0.25">
      <c r="A18" s="133" t="s">
        <v>246</v>
      </c>
      <c r="B18" s="133" t="str">
        <f>+AVANCE!B2</f>
        <v>20 - FLORES JAVIER</v>
      </c>
      <c r="C18" s="131"/>
      <c r="D18" s="131">
        <v>0.24278236882716051</v>
      </c>
    </row>
    <row r="19" spans="1:4" x14ac:dyDescent="0.25">
      <c r="A19" s="133" t="s">
        <v>247</v>
      </c>
      <c r="B19" s="133" t="str">
        <f>+AVANCE!B41</f>
        <v>49 - ESCOBAR RAÚL</v>
      </c>
      <c r="C19" s="131"/>
      <c r="D19" s="131">
        <v>0.23740659722222221</v>
      </c>
    </row>
    <row r="20" spans="1:4" x14ac:dyDescent="0.25">
      <c r="A20" s="133" t="s">
        <v>248</v>
      </c>
      <c r="B20" s="133" t="str">
        <f>+AVANCE!B37</f>
        <v>1 - VERA ERNESTO</v>
      </c>
      <c r="C20" s="131"/>
      <c r="D20" s="131">
        <v>0.28654907407407404</v>
      </c>
    </row>
    <row r="21" spans="1:4" x14ac:dyDescent="0.25">
      <c r="A21" s="133" t="s">
        <v>249</v>
      </c>
      <c r="B21" s="133" t="str">
        <f>+AVANCE!B27</f>
        <v>9 - ESTIGARRIBIA DAVID</v>
      </c>
      <c r="C21" s="131"/>
      <c r="D21" s="131">
        <v>0.2347968364197531</v>
      </c>
    </row>
    <row r="22" spans="1:4" x14ac:dyDescent="0.25">
      <c r="A22" s="133" t="s">
        <v>250</v>
      </c>
      <c r="B22" s="133" t="str">
        <f>+AVANCE!B30</f>
        <v>10 - BRITEZ EMMANUEL</v>
      </c>
      <c r="C22" s="131"/>
      <c r="D22" s="131">
        <v>0.23024490740740741</v>
      </c>
    </row>
    <row r="23" spans="1:4" x14ac:dyDescent="0.25">
      <c r="A23" s="133" t="s">
        <v>251</v>
      </c>
      <c r="B23" s="133" t="str">
        <f>+AVANCE!B34</f>
        <v>24 - SOLIS EMMANUEL</v>
      </c>
      <c r="C23" s="131"/>
      <c r="D23" s="131">
        <v>0.20368923611111109</v>
      </c>
    </row>
    <row r="24" spans="1:4" x14ac:dyDescent="0.25">
      <c r="A24" s="133" t="s">
        <v>252</v>
      </c>
      <c r="B24" s="133" t="str">
        <f>+AVANCE!B29</f>
        <v>27 - GOMEZ ADRIÁN</v>
      </c>
      <c r="C24" s="131"/>
      <c r="D24" s="131">
        <v>0.25054151234567901</v>
      </c>
    </row>
    <row r="25" spans="1:4" x14ac:dyDescent="0.25">
      <c r="A25" s="133" t="s">
        <v>253</v>
      </c>
      <c r="B25" s="133" t="str">
        <f>+AVANCE!B31</f>
        <v>28 - GOMEZ PABLO</v>
      </c>
      <c r="C25" s="131"/>
      <c r="D25" s="131">
        <v>0.20259826388888894</v>
      </c>
    </row>
    <row r="26" spans="1:4" x14ac:dyDescent="0.25">
      <c r="A26" s="133" t="s">
        <v>254</v>
      </c>
      <c r="B26" s="133" t="str">
        <f>+AVANCE!B32</f>
        <v>33 - NICOLAS AZULA</v>
      </c>
      <c r="C26" s="131"/>
      <c r="D26" s="131">
        <v>0.232595100308642</v>
      </c>
    </row>
    <row r="27" spans="1:4" x14ac:dyDescent="0.25">
      <c r="A27" s="133" t="s">
        <v>255</v>
      </c>
      <c r="B27" s="133" t="str">
        <f>+AVANCE!B26</f>
        <v>36 - COSARINSKI DIEGO</v>
      </c>
      <c r="C27" s="131"/>
      <c r="D27" s="131">
        <v>0.23375231481481479</v>
      </c>
    </row>
    <row r="28" spans="1:4" x14ac:dyDescent="0.25">
      <c r="A28" s="133" t="s">
        <v>256</v>
      </c>
      <c r="B28" s="133" t="str">
        <f>+AVANCE!B33</f>
        <v>37 - SALAJ EMILIO</v>
      </c>
      <c r="C28" s="131"/>
      <c r="D28" s="131">
        <v>0.24728626543209875</v>
      </c>
    </row>
    <row r="29" spans="1:4" x14ac:dyDescent="0.25">
      <c r="A29" s="133" t="s">
        <v>257</v>
      </c>
      <c r="B29" s="133" t="str">
        <f>+AVANCE!B28</f>
        <v>40 - IBARROLA JORGE</v>
      </c>
      <c r="C29" s="131"/>
      <c r="D29" s="131">
        <v>0.21169733796296297</v>
      </c>
    </row>
    <row r="30" spans="1:4" x14ac:dyDescent="0.25">
      <c r="A30" s="133" t="s">
        <v>258</v>
      </c>
      <c r="B30" s="133" t="str">
        <f>+AVANCE!B13</f>
        <v>52 - RAVAROTTO EMANUEL</v>
      </c>
      <c r="C30" s="131"/>
      <c r="D30" s="131">
        <v>0.20017040895061727</v>
      </c>
    </row>
    <row r="31" spans="1:4" x14ac:dyDescent="0.25">
      <c r="A31" s="133" t="s">
        <v>259</v>
      </c>
      <c r="B31" s="133" t="str">
        <f>+AVANCE!B14</f>
        <v>53 - SANDOVAL RODRIGO</v>
      </c>
      <c r="C31" s="131"/>
      <c r="D31" s="131">
        <v>0.18370933641975312</v>
      </c>
    </row>
    <row r="32" spans="1:4" x14ac:dyDescent="0.25">
      <c r="A32" s="133" t="s">
        <v>260</v>
      </c>
      <c r="B32" s="133" t="str">
        <f>+AVANCE!B12</f>
        <v>15 - GALARZA GERARDO</v>
      </c>
      <c r="C32" s="131"/>
      <c r="D32" s="131">
        <v>0.15833055555555556</v>
      </c>
    </row>
    <row r="33" spans="1:4" x14ac:dyDescent="0.25">
      <c r="A33" s="133" t="s">
        <v>261</v>
      </c>
      <c r="B33" s="133" t="str">
        <f>+AVANCE!B11</f>
        <v>22 - ALMIRON NICOLAS</v>
      </c>
      <c r="C33" s="131"/>
      <c r="D33" s="131">
        <v>0.18762202932098765</v>
      </c>
    </row>
    <row r="34" spans="1:4" x14ac:dyDescent="0.25">
      <c r="A34" s="133" t="s">
        <v>262</v>
      </c>
      <c r="B34" s="133" t="str">
        <f>+AVANCE!B35</f>
        <v>7 - VALLEJOS EDUARDO</v>
      </c>
      <c r="C34" s="131"/>
      <c r="D34" s="131">
        <v>0.1113418209876543</v>
      </c>
    </row>
    <row r="35" spans="1:4" x14ac:dyDescent="0.25">
      <c r="A35" s="133" t="s">
        <v>263</v>
      </c>
      <c r="B35" s="133" t="str">
        <f>+AVANCE!B25</f>
        <v>32 - CABRAL GONZALO</v>
      </c>
      <c r="C35" s="131"/>
      <c r="D35" s="131">
        <v>0.13120347222222223</v>
      </c>
    </row>
    <row r="36" spans="1:4" x14ac:dyDescent="0.25">
      <c r="A36" s="133" t="s">
        <v>264</v>
      </c>
      <c r="B36" s="133" t="str">
        <f>+AVANCE!B36</f>
        <v>57 - ROUBINEAU SEBASTIAN</v>
      </c>
      <c r="C36" s="131"/>
      <c r="D36" s="131">
        <v>0.16292992862654318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226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219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220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2026-07-31T18:41:23Z</dcterms:modified>
</cp:coreProperties>
</file>