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349C1206-A2E4-4AA5-898B-16F0DAD2F07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<sst xmlns="http://schemas.openxmlformats.org/spreadsheetml/2006/main" count="902" uniqueCount="233">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</sst>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17146.3661547753</v>
      </c>
      <c r="D2" s="96">
        <v>85454.712087362597</v>
      </c>
      <c r="E2" s="96">
        <v>298472871.26286787</v>
      </c>
      <c r="F2" s="96">
        <v>0</v>
      </c>
      <c r="G2" s="96">
        <v>185038.5097417341</v>
      </c>
      <c r="H2" s="96">
        <v>185038.5</v>
      </c>
    </row>
    <row r="3" spans="1:8" x14ac:dyDescent="0.25">
      <c r="A3" s="96" t="s">
        <v>81</v>
      </c>
      <c r="B3" s="96">
        <v>1</v>
      </c>
      <c r="C3" s="96">
        <v>250.12620409120001</v>
      </c>
      <c r="D3" s="96">
        <v>592.11105820729995</v>
      </c>
      <c r="E3" s="96">
        <v>6167950.3247244535</v>
      </c>
      <c r="F3" s="96">
        <v>0</v>
      </c>
      <c r="G3" s="96">
        <v>185038.5097417341</v>
      </c>
      <c r="H3" s="96">
        <v>185038.5</v>
      </c>
    </row>
    <row r="4" spans="1:8" x14ac:dyDescent="0.25">
      <c r="A4" s="96" t="s">
        <v>82</v>
      </c>
      <c r="B4" s="96">
        <v>1</v>
      </c>
      <c r="C4" s="96">
        <v>104.8786706344</v>
      </c>
      <c r="D4" s="96">
        <v>236.1575000002</v>
      </c>
      <c r="E4" s="96">
        <v>3831780.4656781647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160.9195238085</v>
      </c>
      <c r="D5" s="96">
        <v>612.02249999640003</v>
      </c>
      <c r="E5" s="96">
        <v>3383340.6159000443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361.47559523759998</v>
      </c>
      <c r="D6" s="96">
        <v>1048.2891785794</v>
      </c>
      <c r="E6" s="96">
        <v>6899879.8473196756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327.00688491969998</v>
      </c>
      <c r="D7" s="96">
        <v>1128.9845000005</v>
      </c>
      <c r="E7" s="96">
        <v>6168952.3513542237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1635.1449074075001</v>
      </c>
      <c r="D8" s="96">
        <v>1871.1244768535</v>
      </c>
      <c r="E8" s="96">
        <v>17081843.43377829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151.30611111069999</v>
      </c>
      <c r="D9" s="96">
        <v>844.06249999780005</v>
      </c>
      <c r="E9" s="96">
        <v>2938195.7767915935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97.588759920800001</v>
      </c>
      <c r="D10" s="96">
        <v>283.49911458560001</v>
      </c>
      <c r="E10" s="96">
        <v>2863924.6281832345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115.3075396819</v>
      </c>
      <c r="D11" s="96">
        <v>293.55459523730002</v>
      </c>
      <c r="E11" s="96">
        <v>2292259.0263364343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345.86944444289998</v>
      </c>
      <c r="D12" s="96">
        <v>2278.2034523770999</v>
      </c>
      <c r="E12" s="96">
        <v>5810906.7980635744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276.10170634870002</v>
      </c>
      <c r="D13" s="96">
        <v>940.33651190850003</v>
      </c>
      <c r="E13" s="96">
        <v>5672001.5032034451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1609.1910714287001</v>
      </c>
      <c r="D14" s="96">
        <v>14799.4800000014</v>
      </c>
      <c r="E14" s="96">
        <v>38609317.055148289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247.15327380900001</v>
      </c>
      <c r="D15" s="96">
        <v>974.77749999800005</v>
      </c>
      <c r="E15" s="96">
        <v>4655359.4802594241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178.4678174595</v>
      </c>
      <c r="D16" s="96">
        <v>966.66851190839998</v>
      </c>
      <c r="E16" s="96">
        <v>4172472.7522102422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300.13720237960001</v>
      </c>
      <c r="D17" s="96">
        <v>957.02602381810004</v>
      </c>
      <c r="E17" s="96">
        <v>6362623.1530077159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484.40908730130002</v>
      </c>
      <c r="D18" s="96">
        <v>2532.7421785693</v>
      </c>
      <c r="E18" s="96">
        <v>10180781.322442733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381.46455026360002</v>
      </c>
      <c r="D19" s="96">
        <v>1583.1667142941999</v>
      </c>
      <c r="E19" s="96">
        <v>8068602.606727235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1502.1562896826999</v>
      </c>
      <c r="D20" s="96">
        <v>8207.8199999985009</v>
      </c>
      <c r="E20" s="96">
        <v>21714287.032106198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211.5864484121</v>
      </c>
      <c r="D21" s="96">
        <v>833.7746071478</v>
      </c>
      <c r="E21" s="96">
        <v>4521737.6382463202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165.08382936460001</v>
      </c>
      <c r="D22" s="96">
        <v>427.67851190099998</v>
      </c>
      <c r="E22" s="96">
        <v>2633216.6305364068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790.79180555489995</v>
      </c>
      <c r="D23" s="96">
        <v>4836.2267976160001</v>
      </c>
      <c r="E23" s="96">
        <v>17286368.69822238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731.66458333349999</v>
      </c>
      <c r="D24" s="96">
        <v>4795.7219583328997</v>
      </c>
      <c r="E24" s="96">
        <v>13810777.689331688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266.02386904759999</v>
      </c>
      <c r="D25" s="96">
        <v>745.76000000479996</v>
      </c>
      <c r="E25" s="96">
        <v>4425690.3579718489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116.358075396</v>
      </c>
      <c r="D26" s="96">
        <v>329.2370833343</v>
      </c>
      <c r="E26" s="96">
        <v>2299134.4748592312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1858.5</v>
      </c>
      <c r="D27" s="96">
        <v>9370.84</v>
      </c>
      <c r="E27" s="96">
        <v>22612109.009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101</v>
      </c>
      <c r="B28" s="96">
        <v>1</v>
      </c>
      <c r="C28" s="96">
        <v>335.03509589909999</v>
      </c>
      <c r="D28" s="96">
        <v>1431.6175520900999</v>
      </c>
      <c r="E28" s="96">
        <v>6604601.1312453747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1070.0341666667</v>
      </c>
      <c r="D29" s="96">
        <v>2070.5600000021</v>
      </c>
      <c r="E29" s="96">
        <v>14993819.966923174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94.954265873200001</v>
      </c>
      <c r="D30" s="96">
        <v>328.6716666758</v>
      </c>
      <c r="E30" s="96">
        <v>1808557.8257932956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129.67519841169999</v>
      </c>
      <c r="D31" s="96">
        <v>329.79500000109999</v>
      </c>
      <c r="E31" s="96">
        <v>2246997.9859188953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35.690277778000002</v>
      </c>
      <c r="D32" s="96">
        <v>226.89916666760001</v>
      </c>
      <c r="E32" s="96">
        <v>1134886.8601273343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295.61113095220003</v>
      </c>
      <c r="D33" s="96">
        <v>667.99600000179998</v>
      </c>
      <c r="E33" s="96">
        <v>4669958.7290065279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25.288194444399998</v>
      </c>
      <c r="D34" s="96">
        <v>354.02</v>
      </c>
      <c r="E34" s="96">
        <v>715253.15687714703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-25</v>
      </c>
      <c r="D35" s="96">
        <v>0</v>
      </c>
      <c r="E35" s="96">
        <v>-233849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249.8000992058</v>
      </c>
      <c r="D36" s="96">
        <v>1087.4160119085</v>
      </c>
      <c r="E36" s="96">
        <v>5027241.122842595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414.39123015899997</v>
      </c>
      <c r="D37" s="96">
        <v>2342.8888214259</v>
      </c>
      <c r="E37" s="96">
        <v>7342359.2744361712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259.89242424230002</v>
      </c>
      <c r="D38" s="96">
        <v>2636.4299999988998</v>
      </c>
      <c r="E38" s="96">
        <v>5554944.6639294196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403.9166666667</v>
      </c>
      <c r="D39" s="96">
        <v>4611.43</v>
      </c>
      <c r="E39" s="96">
        <v>8252554.4917521486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109</v>
      </c>
      <c r="B40" s="96">
        <v>1</v>
      </c>
      <c r="C40" s="96">
        <v>319.48347883600002</v>
      </c>
      <c r="D40" s="96">
        <v>1582.4444986829001</v>
      </c>
      <c r="E40" s="96">
        <v>4507114.506957056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548.18968253950004</v>
      </c>
      <c r="D41" s="96">
        <v>4043.0241666669999</v>
      </c>
      <c r="E41" s="96">
        <v>7398936.6723073218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11</v>
      </c>
      <c r="D42" s="96">
        <v>126.04</v>
      </c>
      <c r="E42" s="96">
        <v>280769.63740000001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-6.2142857142999999</v>
      </c>
      <c r="D43" s="96">
        <v>-6.2810714286999998</v>
      </c>
      <c r="E43" s="96">
        <v>-275260.76904147147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-3.2847222223000001</v>
      </c>
      <c r="D44" s="96">
        <v>-20.505000001599999</v>
      </c>
      <c r="E44" s="96">
        <v>-402349.89063324447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217.31500000029999</v>
      </c>
      <c r="D45" s="96">
        <v>2178.0000000025002</v>
      </c>
      <c r="E45" s="96">
        <v>4246358.1772271991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101.875</v>
      </c>
      <c r="D46" s="96">
        <v>-24.9999999996</v>
      </c>
      <c r="E46" s="96">
        <v>136464.048396092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10180781.322442733</v>
      </c>
      <c r="E2" s="59">
        <v>6538018.3834050605</v>
      </c>
      <c r="F2" s="59">
        <f t="shared" ref="F2:F9" si="0">+D2-E2</f>
        <v>3642762.9390376722</v>
      </c>
      <c r="G2" s="60">
        <f t="shared" ref="G2:G41" si="1">+D2/C2</f>
        <v>0.31539877786895837</v>
      </c>
      <c r="H2" s="59">
        <f>+D2/$N$3*$N$4</f>
        <v>61084687.934656397</v>
      </c>
      <c r="I2" s="60">
        <f t="shared" ref="I2:I41" si="2">+H2/C2</f>
        <v>1.8923926672137501</v>
      </c>
      <c r="J2" s="59">
        <f>+D2/$N$3</f>
        <v>2545195.3306106832</v>
      </c>
      <c r="K2" s="59">
        <f t="shared" ref="K2:K41" si="3">+(C2-D2)/$N$2</f>
        <v>1104914.765790401</v>
      </c>
      <c r="L2" s="61" cm="1">
        <f t="array" ref="L2">+_xlfn.IFS(I2&gt;114%,H2*0.02,I2&gt;109%,H2*0.015,I2&gt;104%,H2*0.0125,I2&gt;99%,H2*0.01,I2&lt;99%,H2*0)</f>
        <v>1221693.7586931279</v>
      </c>
      <c r="M2" s="53" t="s">
        <v>36</v>
      </c>
      <c r="N2">
        <v>20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6362623.1530077159</v>
      </c>
      <c r="E3" s="4">
        <v>5092283.3348378455</v>
      </c>
      <c r="F3" s="4">
        <f t="shared" si="0"/>
        <v>1270339.8181698704</v>
      </c>
      <c r="G3" s="5">
        <f t="shared" si="1"/>
        <v>0.20536032580062649</v>
      </c>
      <c r="H3" s="4">
        <f t="shared" ref="H3:H41" si="4">+D3/$N$3*$N$4</f>
        <v>38175738.918046296</v>
      </c>
      <c r="I3" s="5">
        <f t="shared" si="2"/>
        <v>1.2321619548037588</v>
      </c>
      <c r="J3" s="4">
        <f t="shared" ref="J3:J41" si="5">+D3/$N$3</f>
        <v>1590655.788251929</v>
      </c>
      <c r="K3" s="4">
        <f t="shared" si="3"/>
        <v>1231005.251293777</v>
      </c>
      <c r="L3" s="63" cm="1">
        <f t="array" ref="L3">+_xlfn.IFS(I3&gt;114%,H3*0.02,I3&gt;109%,H3*0.015,I3&gt;104%,H3*0.0125,I3&gt;99%,H3*0.01,I3&lt;99%,H3*0)</f>
        <v>763514.77836092596</v>
      </c>
      <c r="M3" s="53" t="s">
        <v>40</v>
      </c>
      <c r="N3">
        <f>N4-N2</f>
        <v>4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4655359.4802594241</v>
      </c>
      <c r="E4" s="4">
        <v>3799689.1529486589</v>
      </c>
      <c r="F4" s="4">
        <f t="shared" si="0"/>
        <v>855670.32731076516</v>
      </c>
      <c r="G4" s="5">
        <f t="shared" si="1"/>
        <v>0.16397866693420166</v>
      </c>
      <c r="H4" s="4">
        <f t="shared" si="4"/>
        <v>27932156.881556544</v>
      </c>
      <c r="I4" s="5">
        <f t="shared" si="2"/>
        <v>0.98387200160521004</v>
      </c>
      <c r="J4" s="4">
        <f t="shared" si="5"/>
        <v>1163839.870064856</v>
      </c>
      <c r="K4" s="4">
        <f t="shared" si="3"/>
        <v>1186733.5889944416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5672001.5032034451</v>
      </c>
      <c r="E5" s="4">
        <v>4650179.1579327742</v>
      </c>
      <c r="F5" s="4">
        <f t="shared" si="0"/>
        <v>1021822.345270671</v>
      </c>
      <c r="G5" s="5">
        <f t="shared" si="1"/>
        <v>0.19978849093996473</v>
      </c>
      <c r="H5" s="4">
        <f t="shared" si="4"/>
        <v>34032009.019220673</v>
      </c>
      <c r="I5" s="5">
        <f t="shared" si="2"/>
        <v>1.1987309456397885</v>
      </c>
      <c r="J5" s="4">
        <f t="shared" si="5"/>
        <v>1418000.3758008613</v>
      </c>
      <c r="K5" s="4">
        <f t="shared" si="3"/>
        <v>1135901.4878472404</v>
      </c>
      <c r="L5" s="63" cm="1">
        <f t="array" ref="L5">+_xlfn.IFS(I5&gt;114%,H5*0.02,I5&gt;109%,H5*0.015,I5&gt;104%,H5*0.0125,I5&gt;99%,H5*0.01,I5&lt;99%,H5*0)</f>
        <v>680640.18038441346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5810906.7980635744</v>
      </c>
      <c r="E6" s="4">
        <v>3454829.7358999122</v>
      </c>
      <c r="F6" s="4">
        <f t="shared" si="0"/>
        <v>2356077.0621636622</v>
      </c>
      <c r="G6" s="5">
        <f t="shared" si="1"/>
        <v>0.24697075223084025</v>
      </c>
      <c r="H6" s="4">
        <f t="shared" si="4"/>
        <v>34865440.788381442</v>
      </c>
      <c r="I6" s="5">
        <f t="shared" si="2"/>
        <v>1.4818245133850414</v>
      </c>
      <c r="J6" s="4">
        <f t="shared" si="5"/>
        <v>1452726.6995158936</v>
      </c>
      <c r="K6" s="4">
        <f t="shared" si="3"/>
        <v>885890.88697282749</v>
      </c>
      <c r="L6" s="63" cm="1">
        <f t="array" ref="L6">+_xlfn.IFS(I6&gt;114%,H6*0.02,I6&gt;109%,H6*0.015,I6&gt;104%,H6*0.0125,I6&gt;99%,H6*0.01,I6&lt;99%,H6*0)</f>
        <v>697308.81576762884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2938195.7767915935</v>
      </c>
      <c r="E7" s="4">
        <v>2229458.8498637299</v>
      </c>
      <c r="F7" s="4">
        <f t="shared" ref="F7:F8" si="6">+D7-E7</f>
        <v>708736.92692786362</v>
      </c>
      <c r="G7" s="5">
        <f t="shared" si="1"/>
        <v>0.10591200774933836</v>
      </c>
      <c r="H7" s="4">
        <f t="shared" si="4"/>
        <v>17629174.660749562</v>
      </c>
      <c r="I7" s="5">
        <f t="shared" si="2"/>
        <v>0.63547204649603017</v>
      </c>
      <c r="J7" s="4">
        <f t="shared" si="5"/>
        <v>734548.94419789838</v>
      </c>
      <c r="K7" s="4">
        <f t="shared" si="3"/>
        <v>1240183.0626836454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6168952.3513542237</v>
      </c>
      <c r="E8" s="4">
        <v>4232380.5042614806</v>
      </c>
      <c r="F8" s="4">
        <f t="shared" si="6"/>
        <v>1936571.847092743</v>
      </c>
      <c r="G8" s="5">
        <f t="shared" si="1"/>
        <v>0.17216767758838331</v>
      </c>
      <c r="H8" s="4">
        <f t="shared" si="4"/>
        <v>37013714.108125344</v>
      </c>
      <c r="I8" s="5">
        <f t="shared" si="2"/>
        <v>1.0330060655302999</v>
      </c>
      <c r="J8" s="4">
        <f t="shared" si="5"/>
        <v>1542238.0878385559</v>
      </c>
      <c r="K8" s="4">
        <f t="shared" si="3"/>
        <v>1483105.9532781742</v>
      </c>
      <c r="L8" s="63" cm="1">
        <f t="array" ref="L8">+_xlfn.IFS(I8&gt;114%,H8*0.02,I8&gt;109%,H8*0.015,I8&gt;104%,H8*0.0125,I8&gt;99%,H8*0.01,I8&lt;99%,H8*0)</f>
        <v>370137.14108125347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6899879.8473196756</v>
      </c>
      <c r="E9" s="4">
        <v>5960130.3637676956</v>
      </c>
      <c r="F9" s="4">
        <f t="shared" si="0"/>
        <v>939749.48355198</v>
      </c>
      <c r="G9" s="5">
        <f t="shared" si="1"/>
        <v>0.19256694188781318</v>
      </c>
      <c r="H9" s="4">
        <f t="shared" si="4"/>
        <v>41399279.08391805</v>
      </c>
      <c r="I9" s="5">
        <f t="shared" si="2"/>
        <v>1.155401651326879</v>
      </c>
      <c r="J9" s="4">
        <f t="shared" si="5"/>
        <v>1724969.9618299189</v>
      </c>
      <c r="K9" s="4">
        <f t="shared" si="3"/>
        <v>1446559.5784799014</v>
      </c>
      <c r="L9" s="63" cm="1">
        <f t="array" ref="L9">+_xlfn.IFS(I9&gt;114%,H9*0.02,I9&gt;109%,H9*0.015,I9&gt;104%,H9*0.0125,I9&gt;99%,H9*0.01,I9&lt;99%,H9*0)</f>
        <v>827985.58167836105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48688700.232442394</v>
      </c>
      <c r="E10" s="65">
        <v>35956969.48291716</v>
      </c>
      <c r="F10" s="64">
        <f>+SUM(F2:F9)</f>
        <v>12731730.749525227</v>
      </c>
      <c r="G10" s="66">
        <f t="shared" si="1"/>
        <v>0.2003859740391824</v>
      </c>
      <c r="H10" s="64">
        <f t="shared" si="4"/>
        <v>292132201.39465439</v>
      </c>
      <c r="I10" s="66">
        <f t="shared" si="2"/>
        <v>1.2023158442350945</v>
      </c>
      <c r="J10" s="64">
        <f t="shared" si="5"/>
        <v>12172175.058110598</v>
      </c>
      <c r="K10" s="67">
        <f t="shared" si="3"/>
        <v>9714294.5753404051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21714287.032106198</v>
      </c>
      <c r="E11" s="59">
        <v>18543635.055367131</v>
      </c>
      <c r="F11" s="59">
        <f t="shared" ref="F11:F16" si="7">+D11-E11</f>
        <v>3170651.9767390676</v>
      </c>
      <c r="G11" s="60">
        <f t="shared" si="1"/>
        <v>0.22392338580835955</v>
      </c>
      <c r="H11" s="59">
        <f t="shared" si="4"/>
        <v>130285722.19263719</v>
      </c>
      <c r="I11" s="60">
        <f t="shared" si="2"/>
        <v>1.3435403148501575</v>
      </c>
      <c r="J11" s="59">
        <f t="shared" si="5"/>
        <v>5428571.7580265496</v>
      </c>
      <c r="K11" s="59">
        <f t="shared" si="3"/>
        <v>3762883.0724015655</v>
      </c>
      <c r="L11" s="61" cm="1">
        <f t="array" ref="L11">+_xlfn.IFS(I11&gt;114%,H11*0.0125,I11&gt;109%,H11*0.01,I11&gt;104%,H11*0.0075,I11&gt;99%,H11*0.005,I11&lt;99%,H11*0)</f>
        <v>1628571.5274079649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7342359.2744361712</v>
      </c>
      <c r="E12" s="4">
        <v>7342359.2744361712</v>
      </c>
      <c r="F12" s="4">
        <f t="shared" si="7"/>
        <v>0</v>
      </c>
      <c r="G12" s="5">
        <f t="shared" si="1"/>
        <v>0.23212613979826088</v>
      </c>
      <c r="H12" s="4">
        <f t="shared" si="4"/>
        <v>44054155.646617025</v>
      </c>
      <c r="I12" s="5">
        <f t="shared" si="2"/>
        <v>1.3927568387895652</v>
      </c>
      <c r="J12" s="4">
        <f t="shared" si="5"/>
        <v>1835589.8186090428</v>
      </c>
      <c r="K12" s="4">
        <f t="shared" si="3"/>
        <v>1214427.1567065415</v>
      </c>
      <c r="L12" s="63" cm="1">
        <f t="array" ref="L12">+_xlfn.IFS(I12&gt;114%,H12*0.02,I12&gt;109%,H12*0.015,I12&gt;104%,H12*0.0125,I12&gt;99%,H12*0.01,I12&lt;99%,H12*0)</f>
        <v>881083.11293234047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38609317.055148289</v>
      </c>
      <c r="E13" s="4">
        <v>35677866.984969728</v>
      </c>
      <c r="F13" s="4">
        <f t="shared" si="7"/>
        <v>2931450.0701785609</v>
      </c>
      <c r="G13" s="5">
        <f t="shared" si="1"/>
        <v>0.30078014317281015</v>
      </c>
      <c r="H13" s="4">
        <f t="shared" si="4"/>
        <v>231655902.33088973</v>
      </c>
      <c r="I13" s="5">
        <f t="shared" si="2"/>
        <v>1.8046808590368608</v>
      </c>
      <c r="J13" s="4">
        <f t="shared" si="5"/>
        <v>9652329.2637870722</v>
      </c>
      <c r="K13" s="4">
        <f t="shared" si="3"/>
        <v>4487729.9509738348</v>
      </c>
      <c r="L13" s="63" cm="1">
        <f t="array" ref="L13">+_xlfn.IFS(I13&gt;114%,H13*0.0125,I13&gt;109%,H13*0.01,I13&gt;104%,H13*0.0075,I13&gt;99%,H13*0.005,I13&lt;99%,H13*0)</f>
        <v>2895698.7791361217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5554944.6639294196</v>
      </c>
      <c r="E14" s="4">
        <v>4699575.8856638623</v>
      </c>
      <c r="F14" s="4">
        <f t="shared" si="7"/>
        <v>855368.77826555725</v>
      </c>
      <c r="G14" s="5">
        <f t="shared" si="1"/>
        <v>0.13086143732809949</v>
      </c>
      <c r="H14" s="4">
        <f t="shared" si="4"/>
        <v>33329667.983576518</v>
      </c>
      <c r="I14" s="5">
        <f t="shared" si="2"/>
        <v>0.78516862396859699</v>
      </c>
      <c r="J14" s="4">
        <f t="shared" si="5"/>
        <v>1388736.1659823549</v>
      </c>
      <c r="K14" s="4">
        <f t="shared" si="3"/>
        <v>1844705.6365522791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8252554.4917521486</v>
      </c>
      <c r="E15" s="4">
        <v>5825319.4707523696</v>
      </c>
      <c r="F15" s="4">
        <f t="shared" si="7"/>
        <v>2427235.020999779</v>
      </c>
      <c r="G15" s="5">
        <f t="shared" si="1"/>
        <v>0.1944107831409482</v>
      </c>
      <c r="H15" s="4">
        <f t="shared" si="4"/>
        <v>49515326.950512893</v>
      </c>
      <c r="I15" s="5">
        <f t="shared" si="2"/>
        <v>1.1664646988456893</v>
      </c>
      <c r="J15" s="4">
        <f t="shared" si="5"/>
        <v>2063138.6229380372</v>
      </c>
      <c r="K15" s="4">
        <f t="shared" si="3"/>
        <v>1709825.1451611426</v>
      </c>
      <c r="L15" s="63" cm="1">
        <f t="array" ref="L15">+_xlfn.IFS(I15&gt;109%,H15*0.015,I15&gt;104%,H15*0.0125,I15&gt;99%,H15*0.01,I15&lt;99%,H15*0)</f>
        <v>742729.90425769333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81473462.517372221</v>
      </c>
      <c r="E16" s="65">
        <v>72088756.671189263</v>
      </c>
      <c r="F16" s="64">
        <f t="shared" si="7"/>
        <v>9384705.8461829573</v>
      </c>
      <c r="G16" s="66">
        <f t="shared" si="1"/>
        <v>0.23832065493106369</v>
      </c>
      <c r="H16" s="64">
        <f t="shared" si="4"/>
        <v>488840775.10423332</v>
      </c>
      <c r="I16" s="66">
        <f t="shared" si="2"/>
        <v>1.4299239295863821</v>
      </c>
      <c r="J16" s="64">
        <f t="shared" si="5"/>
        <v>20368365.629343055</v>
      </c>
      <c r="K16" s="67">
        <f t="shared" si="3"/>
        <v>13019570.961795364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3831780.4656781647</v>
      </c>
      <c r="E17" s="59">
        <v>3490474.4748070529</v>
      </c>
      <c r="F17" s="59">
        <f t="shared" ref="F17:F40" si="8">+D17-E17</f>
        <v>341305.99087111186</v>
      </c>
      <c r="G17" s="60">
        <f t="shared" si="1"/>
        <v>0.13060802022729012</v>
      </c>
      <c r="H17" s="59">
        <f t="shared" si="4"/>
        <v>22990682.794068988</v>
      </c>
      <c r="I17" s="60">
        <f t="shared" si="2"/>
        <v>0.78364812136374074</v>
      </c>
      <c r="J17" s="59">
        <f t="shared" si="5"/>
        <v>957945.11641954118</v>
      </c>
      <c r="K17" s="59">
        <f t="shared" si="3"/>
        <v>1275311.8833410919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3383340.6159000443</v>
      </c>
      <c r="E18" s="4">
        <v>2539362.2668490014</v>
      </c>
      <c r="F18" s="4">
        <f t="shared" si="8"/>
        <v>843978.34905104293</v>
      </c>
      <c r="G18" s="5">
        <f t="shared" si="1"/>
        <v>0.13555318881132356</v>
      </c>
      <c r="H18" s="4">
        <f t="shared" si="4"/>
        <v>20300043.695400268</v>
      </c>
      <c r="I18" s="5">
        <f t="shared" si="2"/>
        <v>0.81331913286794133</v>
      </c>
      <c r="J18" s="4">
        <f t="shared" si="5"/>
        <v>845835.15397501108</v>
      </c>
      <c r="K18" s="4">
        <f t="shared" si="3"/>
        <v>1078808.264204998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4172472.7522102422</v>
      </c>
      <c r="E19" s="4">
        <v>3126324.9965506792</v>
      </c>
      <c r="F19" s="4">
        <f t="shared" si="8"/>
        <v>1046147.755659563</v>
      </c>
      <c r="G19" s="5">
        <f t="shared" si="1"/>
        <v>0.16136942432618312</v>
      </c>
      <c r="H19" s="4">
        <f t="shared" si="4"/>
        <v>25034836.513261452</v>
      </c>
      <c r="I19" s="5">
        <f t="shared" si="2"/>
        <v>0.96821654595709861</v>
      </c>
      <c r="J19" s="4">
        <f t="shared" si="5"/>
        <v>1043118.1880525606</v>
      </c>
      <c r="K19" s="4">
        <f t="shared" si="3"/>
        <v>1084208.8706644881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8068602.606727235</v>
      </c>
      <c r="E20" s="4">
        <v>5313079.7996425815</v>
      </c>
      <c r="F20" s="4">
        <f t="shared" si="8"/>
        <v>2755522.8070846535</v>
      </c>
      <c r="G20" s="5">
        <f t="shared" si="1"/>
        <v>0.24050826698022318</v>
      </c>
      <c r="H20" s="4">
        <f t="shared" si="4"/>
        <v>48411615.64036341</v>
      </c>
      <c r="I20" s="5">
        <f t="shared" si="2"/>
        <v>1.4430496018813392</v>
      </c>
      <c r="J20" s="4">
        <f t="shared" si="5"/>
        <v>2017150.6516818088</v>
      </c>
      <c r="K20" s="4">
        <f t="shared" si="3"/>
        <v>1273976.3696636383</v>
      </c>
      <c r="L20" s="63" cm="1">
        <f t="array" ref="L20">+_xlfn.IFS(I20&gt;114%,H20*0.02,I20&gt;109%,H20*0.015,I20&gt;104%,H20*0.0125,I20&gt;99%,H20*0.01,I20&lt;99%,H20*0)</f>
        <v>968232.31280726823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4521737.6382463202</v>
      </c>
      <c r="E21" s="4">
        <v>3621062.6775038806</v>
      </c>
      <c r="F21" s="4">
        <f t="shared" ref="F21:F23" si="9">+D21-E21</f>
        <v>900674.96074243961</v>
      </c>
      <c r="G21" s="5">
        <f t="shared" si="1"/>
        <v>0.17761202985745514</v>
      </c>
      <c r="H21" s="4">
        <f t="shared" si="4"/>
        <v>27130425.829477921</v>
      </c>
      <c r="I21" s="5">
        <f t="shared" si="2"/>
        <v>1.0656721791447308</v>
      </c>
      <c r="J21" s="4">
        <f t="shared" si="5"/>
        <v>1130434.40956158</v>
      </c>
      <c r="K21" s="4">
        <f t="shared" si="3"/>
        <v>1046838.618087684</v>
      </c>
      <c r="L21" s="63" cm="1">
        <f t="array" ref="L21">+_xlfn.IFS(I21&gt;114%,H21*0.02,I21&gt;109%,H21*0.015,I21&gt;104%,H21*0.0125,I21&gt;99%,H21*0.01,I21&lt;99%,H21*0)</f>
        <v>339130.32286847406</v>
      </c>
    </row>
    <row r="22" spans="1:13" ht="15.75" x14ac:dyDescent="0.25">
      <c r="A22" s="91"/>
      <c r="B22" s="19" t="s">
        <v>101</v>
      </c>
      <c r="C22" s="71">
        <v>31742890.200000003</v>
      </c>
      <c r="D22" s="4">
        <f>IFERROR(+VLOOKUP(B22,COMISIONES!A:E,5,FALSE),"0")*1</f>
        <v>6604601.1312453747</v>
      </c>
      <c r="E22" s="4">
        <v>4525419.7648018571</v>
      </c>
      <c r="F22" s="4">
        <f t="shared" si="9"/>
        <v>2079181.3664435176</v>
      </c>
      <c r="G22" s="5">
        <f t="shared" si="1"/>
        <v>0.20806552552815036</v>
      </c>
      <c r="H22" s="4">
        <f t="shared" si="4"/>
        <v>39627606.787472248</v>
      </c>
      <c r="I22" s="5">
        <f t="shared" si="2"/>
        <v>1.2483931531689021</v>
      </c>
      <c r="J22" s="4">
        <f t="shared" si="5"/>
        <v>1651150.2828113437</v>
      </c>
      <c r="K22" s="4">
        <f t="shared" si="3"/>
        <v>1256914.4534377314</v>
      </c>
      <c r="L22" s="63" cm="1">
        <f t="array" ref="L22">+_xlfn.IFS(I22&gt;114%,H22*0.02,I22&gt;109%,H22*0.015,I22&gt;104%,H22*0.0125,I22&gt;99%,H22*0.01,I22&lt;99%,H22*0)</f>
        <v>792552.13574944495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5027241.122842595</v>
      </c>
      <c r="E23" s="4">
        <v>3880349.2779353959</v>
      </c>
      <c r="F23" s="4">
        <f t="shared" si="9"/>
        <v>1146891.844907199</v>
      </c>
      <c r="G23" s="5">
        <f t="shared" si="1"/>
        <v>0.18323556551315615</v>
      </c>
      <c r="H23" s="4">
        <f t="shared" si="4"/>
        <v>30163446.73705557</v>
      </c>
      <c r="I23" s="5">
        <f t="shared" si="2"/>
        <v>1.0994133930789369</v>
      </c>
      <c r="J23" s="4">
        <f t="shared" si="5"/>
        <v>1256810.2807106487</v>
      </c>
      <c r="K23" s="4">
        <f t="shared" si="3"/>
        <v>1120435.2553578704</v>
      </c>
      <c r="L23" s="63" cm="1">
        <f t="array" ref="L23">+_xlfn.IFS(I23&gt;114%,H23*0.02,I23&gt;109%,H23*0.015,I23&gt;104%,H23*0.0125,I23&gt;99%,H23*0.01,I23&lt;99%,H23*0)</f>
        <v>452451.70105583355</v>
      </c>
    </row>
    <row r="24" spans="1:13" ht="15.75" x14ac:dyDescent="0.25">
      <c r="A24" s="91"/>
      <c r="B24" s="19" t="s">
        <v>109</v>
      </c>
      <c r="C24" s="71">
        <v>33494055</v>
      </c>
      <c r="D24" s="4">
        <f>IFERROR(+VLOOKUP(B24,COMISIONES!A:E,5,FALSE),"0")*1</f>
        <v>4507114.506957056</v>
      </c>
      <c r="E24" s="4">
        <v>3150944.560423614</v>
      </c>
      <c r="F24" s="4">
        <f t="shared" si="8"/>
        <v>1356169.946533442</v>
      </c>
      <c r="G24" s="5">
        <f t="shared" si="1"/>
        <v>0.13456461174847464</v>
      </c>
      <c r="H24" s="4">
        <f t="shared" si="4"/>
        <v>27042687.041742336</v>
      </c>
      <c r="I24" s="5">
        <f t="shared" si="2"/>
        <v>0.80738767049084792</v>
      </c>
      <c r="J24" s="4">
        <f t="shared" si="5"/>
        <v>1126778.626739264</v>
      </c>
      <c r="K24" s="4">
        <f t="shared" si="3"/>
        <v>1449347.0246521472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7398936.6723073218</v>
      </c>
      <c r="E25" s="4">
        <v>7402539.5016198214</v>
      </c>
      <c r="F25" s="4">
        <f t="shared" si="8"/>
        <v>-3602.8293124996126</v>
      </c>
      <c r="G25" s="5">
        <f t="shared" si="1"/>
        <v>0.13685273509407175</v>
      </c>
      <c r="H25" s="4">
        <f t="shared" si="4"/>
        <v>44393620.033843935</v>
      </c>
      <c r="I25" s="5">
        <f t="shared" si="2"/>
        <v>0.82111641056443052</v>
      </c>
      <c r="J25" s="4">
        <f t="shared" si="5"/>
        <v>1849734.1680768305</v>
      </c>
      <c r="K25" s="4">
        <f t="shared" si="3"/>
        <v>2333300.8096346343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47515827.512114353</v>
      </c>
      <c r="E26" s="65">
        <v>37049557.32013388</v>
      </c>
      <c r="F26" s="67">
        <f>+D26-E26</f>
        <v>10466270.191980474</v>
      </c>
      <c r="G26" s="66">
        <f t="shared" si="1"/>
        <v>0.16619814784222828</v>
      </c>
      <c r="H26" s="64">
        <f t="shared" si="4"/>
        <v>285094965.07268614</v>
      </c>
      <c r="I26" s="66">
        <f t="shared" si="2"/>
        <v>0.99718888705336972</v>
      </c>
      <c r="J26" s="64">
        <f t="shared" si="5"/>
        <v>11878956.878028588</v>
      </c>
      <c r="K26" s="67">
        <f t="shared" si="3"/>
        <v>11919141.549044285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14993819.966923174</v>
      </c>
      <c r="E27" s="59">
        <v>7197381.3632933144</v>
      </c>
      <c r="F27" s="59">
        <f t="shared" si="8"/>
        <v>7796438.6036298592</v>
      </c>
      <c r="G27" s="60">
        <f t="shared" si="1"/>
        <v>0.1829012032165232</v>
      </c>
      <c r="H27" s="59">
        <f t="shared" si="4"/>
        <v>89962919.801539034</v>
      </c>
      <c r="I27" s="60">
        <f t="shared" si="2"/>
        <v>1.0974072192991391</v>
      </c>
      <c r="J27" s="59">
        <f t="shared" si="5"/>
        <v>3748454.9917307934</v>
      </c>
      <c r="K27" s="59">
        <f t="shared" si="3"/>
        <v>3349194.0016538412</v>
      </c>
      <c r="L27" s="61" cm="1">
        <f t="array" ref="L27">+_xlfn.IFS(I27&gt;114%,H27*0.0125,I27&gt;109%,H27*0.01,I27&gt;104%,H27*0.0075,I27&gt;99%,H27*0.005,I27&lt;99%,H27*0)</f>
        <v>899629.19801539031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2246997.9859188953</v>
      </c>
      <c r="E28" s="4">
        <v>1662817.6962441357</v>
      </c>
      <c r="F28" s="4">
        <f t="shared" si="8"/>
        <v>584180.28967475961</v>
      </c>
      <c r="G28" s="5">
        <f t="shared" si="1"/>
        <v>0.10699990409137597</v>
      </c>
      <c r="H28" s="4">
        <f t="shared" si="4"/>
        <v>13481987.915513372</v>
      </c>
      <c r="I28" s="5">
        <f t="shared" si="2"/>
        <v>0.64199942454825576</v>
      </c>
      <c r="J28" s="4">
        <f t="shared" si="5"/>
        <v>561749.49647972384</v>
      </c>
      <c r="K28" s="4">
        <f t="shared" si="3"/>
        <v>937650.10070405528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2863924.6281832345</v>
      </c>
      <c r="E29" s="4">
        <v>2237337.654012111</v>
      </c>
      <c r="F29" s="4">
        <f t="shared" si="8"/>
        <v>626586.97417112347</v>
      </c>
      <c r="G29" s="5">
        <f t="shared" si="1"/>
        <v>0.11126487986197331</v>
      </c>
      <c r="H29" s="4">
        <f t="shared" si="4"/>
        <v>17183547.769099407</v>
      </c>
      <c r="I29" s="5">
        <f t="shared" si="2"/>
        <v>0.66758927917183986</v>
      </c>
      <c r="J29" s="4">
        <f t="shared" si="5"/>
        <v>715981.15704580862</v>
      </c>
      <c r="K29" s="4">
        <f t="shared" si="3"/>
        <v>1143788.7685908382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4669958.7290065279</v>
      </c>
      <c r="E30" s="4">
        <v>2806120.8392654946</v>
      </c>
      <c r="F30" s="4">
        <f t="shared" si="8"/>
        <v>1863837.8897410333</v>
      </c>
      <c r="G30" s="5">
        <f t="shared" si="1"/>
        <v>0.12214405554833929</v>
      </c>
      <c r="H30" s="4">
        <f t="shared" si="4"/>
        <v>28019752.374039166</v>
      </c>
      <c r="I30" s="5">
        <f t="shared" si="2"/>
        <v>0.73286433329003575</v>
      </c>
      <c r="J30" s="4">
        <f t="shared" si="5"/>
        <v>1167489.682251632</v>
      </c>
      <c r="K30" s="4">
        <f t="shared" si="3"/>
        <v>1678162.3191559571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4425690.3579718489</v>
      </c>
      <c r="E31" s="4">
        <v>3265458.2459612871</v>
      </c>
      <c r="F31" s="4">
        <f t="shared" si="8"/>
        <v>1160232.1120105619</v>
      </c>
      <c r="G31" s="5">
        <f t="shared" si="1"/>
        <v>0.17413522817882371</v>
      </c>
      <c r="H31" s="4">
        <f t="shared" si="4"/>
        <v>26554142.147831094</v>
      </c>
      <c r="I31" s="5">
        <f t="shared" si="2"/>
        <v>1.0448113690729421</v>
      </c>
      <c r="J31" s="4">
        <f t="shared" si="5"/>
        <v>1106422.5894929622</v>
      </c>
      <c r="K31" s="4">
        <f t="shared" si="3"/>
        <v>1049477.9821014076</v>
      </c>
      <c r="L31" s="63" cm="1">
        <f t="array" ref="L31">+_xlfn.IFS(I31&gt;114%,H31*0.02,I31&gt;109%,H31*0.015,I31&gt;104%,H31*0.0125,I31&gt;99%,H31*0.01,I31&lt;99%,H31*0)</f>
        <v>331926.77684788872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2292259.0263364343</v>
      </c>
      <c r="E32" s="4">
        <v>1556471.8667402903</v>
      </c>
      <c r="F32" s="4">
        <f t="shared" si="8"/>
        <v>735787.15959614399</v>
      </c>
      <c r="G32" s="5">
        <f t="shared" si="1"/>
        <v>9.0962659775255333E-2</v>
      </c>
      <c r="H32" s="4">
        <f t="shared" si="4"/>
        <v>13753554.158018606</v>
      </c>
      <c r="I32" s="5">
        <f t="shared" si="2"/>
        <v>0.54577595865153194</v>
      </c>
      <c r="J32" s="4">
        <f t="shared" si="5"/>
        <v>573064.75658410857</v>
      </c>
      <c r="K32" s="4">
        <f t="shared" si="3"/>
        <v>1145387.0486831781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2299134.4748592312</v>
      </c>
      <c r="E33" s="4">
        <v>1905347.2963424551</v>
      </c>
      <c r="F33" s="4">
        <f t="shared" si="8"/>
        <v>393787.17851677607</v>
      </c>
      <c r="G33" s="5">
        <f t="shared" si="1"/>
        <v>8.6770433161019039E-2</v>
      </c>
      <c r="H33" s="4">
        <f t="shared" si="4"/>
        <v>13794806.849155387</v>
      </c>
      <c r="I33" s="5">
        <f t="shared" si="2"/>
        <v>0.52062259896611418</v>
      </c>
      <c r="J33" s="4">
        <f t="shared" si="5"/>
        <v>574783.61871480779</v>
      </c>
      <c r="K33" s="4">
        <f t="shared" si="3"/>
        <v>1209880.7762570386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1808557.8257932956</v>
      </c>
      <c r="E34" s="4">
        <v>1342266.2312651528</v>
      </c>
      <c r="F34" s="4">
        <f t="shared" si="8"/>
        <v>466291.59452814283</v>
      </c>
      <c r="G34" s="5">
        <f t="shared" si="1"/>
        <v>8.6121801228252179E-2</v>
      </c>
      <c r="H34" s="4">
        <f t="shared" si="4"/>
        <v>10851346.954759773</v>
      </c>
      <c r="I34" s="5">
        <f t="shared" si="2"/>
        <v>0.51673080736951305</v>
      </c>
      <c r="J34" s="4">
        <f t="shared" si="5"/>
        <v>452139.45644832391</v>
      </c>
      <c r="K34" s="4">
        <f t="shared" si="3"/>
        <v>959572.10871033522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1134886.8601273343</v>
      </c>
      <c r="E35" s="4">
        <v>920475.59202497394</v>
      </c>
      <c r="F35" s="4">
        <f t="shared" si="8"/>
        <v>214411.26810236031</v>
      </c>
      <c r="G35" s="5">
        <f t="shared" si="1"/>
        <v>4.6024724437604296E-2</v>
      </c>
      <c r="H35" s="4">
        <f t="shared" si="4"/>
        <v>6809321.160764005</v>
      </c>
      <c r="I35" s="5">
        <f t="shared" si="2"/>
        <v>0.27614834662562576</v>
      </c>
      <c r="J35" s="4">
        <f t="shared" si="5"/>
        <v>283721.71503183356</v>
      </c>
      <c r="K35" s="4">
        <f t="shared" si="3"/>
        <v>1176165.6569936334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2633216.6305364068</v>
      </c>
      <c r="E36" s="4">
        <v>1931060.2247250369</v>
      </c>
      <c r="F36" s="4">
        <f t="shared" si="8"/>
        <v>702156.40581136988</v>
      </c>
      <c r="G36" s="5">
        <f t="shared" si="1"/>
        <v>0.1043477959396238</v>
      </c>
      <c r="H36" s="4">
        <f t="shared" si="4"/>
        <v>15799299.78321844</v>
      </c>
      <c r="I36" s="5">
        <f t="shared" si="2"/>
        <v>0.62608677563774284</v>
      </c>
      <c r="J36" s="4">
        <f t="shared" si="5"/>
        <v>658304.15763410169</v>
      </c>
      <c r="K36" s="4">
        <f t="shared" si="3"/>
        <v>1130089.1684731797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17081843.43377829</v>
      </c>
      <c r="E37" s="4">
        <v>16463801.298558187</v>
      </c>
      <c r="F37" s="4">
        <f t="shared" si="8"/>
        <v>618042.13522010297</v>
      </c>
      <c r="G37" s="5">
        <f t="shared" si="1"/>
        <v>0.14000162634974328</v>
      </c>
      <c r="H37" s="4">
        <f t="shared" si="4"/>
        <v>102491060.60266975</v>
      </c>
      <c r="I37" s="5">
        <f t="shared" si="2"/>
        <v>0.84000975809845979</v>
      </c>
      <c r="J37" s="4">
        <f t="shared" si="5"/>
        <v>4270460.8584445724</v>
      </c>
      <c r="K37" s="4">
        <f t="shared" si="3"/>
        <v>5246495.3283110857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280769.63740000001</v>
      </c>
      <c r="E38" s="4">
        <v>149294.68419999999</v>
      </c>
      <c r="F38" s="4">
        <f t="shared" ref="F38" si="10">+D38-E38</f>
        <v>131474.95320000002</v>
      </c>
      <c r="G38" s="5">
        <f t="shared" si="1"/>
        <v>7.8646957254901971E-3</v>
      </c>
      <c r="H38" s="4">
        <f t="shared" si="4"/>
        <v>1684617.8244</v>
      </c>
      <c r="I38" s="5">
        <f t="shared" si="2"/>
        <v>4.7188174352941176E-2</v>
      </c>
      <c r="J38" s="4">
        <f t="shared" si="5"/>
        <v>70192.409350000002</v>
      </c>
      <c r="K38" s="4">
        <f t="shared" si="3"/>
        <v>1770961.51813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6167950.3247244535</v>
      </c>
      <c r="E39" s="4">
        <v>4713478.3902184051</v>
      </c>
      <c r="F39" s="4">
        <f t="shared" si="8"/>
        <v>1454471.9345060484</v>
      </c>
      <c r="G39" s="5">
        <f t="shared" si="1"/>
        <v>0.16962893671276072</v>
      </c>
      <c r="H39" s="4">
        <f t="shared" si="4"/>
        <v>37007701.948346719</v>
      </c>
      <c r="I39" s="5">
        <f t="shared" si="2"/>
        <v>1.0177736202765644</v>
      </c>
      <c r="J39" s="4">
        <f t="shared" si="5"/>
        <v>1541987.5811811134</v>
      </c>
      <c r="K39" s="4">
        <f t="shared" si="3"/>
        <v>1509673.8707137774</v>
      </c>
      <c r="L39" s="63" cm="1">
        <f t="array" ref="L39">+_xlfn.IFS(I39&gt;114%,H39*0.02,I39&gt;109%,H39*0.015,I39&gt;104%,H39*0.0125,I39&gt;99%,H39*0.01,I39&lt;99%,H39*0)</f>
        <v>370077.01948346721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62899009.881559134</v>
      </c>
      <c r="E40" s="65">
        <v>46151311.382850848</v>
      </c>
      <c r="F40" s="67">
        <f t="shared" si="8"/>
        <v>16747698.498708285</v>
      </c>
      <c r="G40" s="66">
        <f t="shared" si="1"/>
        <v>0.12356665730358822</v>
      </c>
      <c r="H40" s="64">
        <f t="shared" si="4"/>
        <v>377394059.2893548</v>
      </c>
      <c r="I40" s="66">
        <f t="shared" si="2"/>
        <v>0.74139994382152929</v>
      </c>
      <c r="J40" s="64">
        <f t="shared" si="5"/>
        <v>15724752.470389783</v>
      </c>
      <c r="K40" s="67">
        <f t="shared" si="3"/>
        <v>22306498.648478329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240577000.14348808</v>
      </c>
      <c r="E41" s="82">
        <v>191246594.85709113</v>
      </c>
      <c r="F41" s="81">
        <f>+D41-E41</f>
        <v>49330405.28639695</v>
      </c>
      <c r="G41" s="83">
        <f t="shared" si="1"/>
        <v>0.17436058008072636</v>
      </c>
      <c r="H41" s="81">
        <f t="shared" si="4"/>
        <v>1443462000.8609285</v>
      </c>
      <c r="I41" s="83">
        <f t="shared" si="2"/>
        <v>1.046163480484358</v>
      </c>
      <c r="J41" s="81">
        <f t="shared" si="5"/>
        <v>60144250.03587202</v>
      </c>
      <c r="K41" s="81">
        <f t="shared" si="3"/>
        <v>56959507.347482398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-275260.76904147147</v>
      </c>
      <c r="E43" s="4">
        <v>-275260.76904147147</v>
      </c>
      <c r="F43" s="4">
        <f t="shared" ref="F43" si="11">+D43-E43</f>
        <v>0</v>
      </c>
      <c r="G43" s="5">
        <f>+D43/C43</f>
        <v>-6.8815192260367865E-3</v>
      </c>
      <c r="H43" s="4">
        <f t="shared" ref="H43" si="12">+D43/$N$3*$N$4</f>
        <v>-1651564.614248829</v>
      </c>
      <c r="I43" s="5">
        <f>+H43/C43</f>
        <v>-4.1289115356220721E-2</v>
      </c>
      <c r="J43" s="4">
        <f t="shared" ref="J43" si="13">+D43/$N$3</f>
        <v>-68815.192260367869</v>
      </c>
      <c r="K43" s="4">
        <f>+(C43-D43)/$N$2</f>
        <v>2013763.0384520735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-402349.89063324447</v>
      </c>
      <c r="E44" s="4">
        <v>-402349.89063324447</v>
      </c>
      <c r="F44" s="4">
        <f t="shared" ref="F44" si="14">+D44-E44</f>
        <v>0</v>
      </c>
      <c r="G44" s="5">
        <f>+D44/C44</f>
        <v>-1.3411663021108149E-2</v>
      </c>
      <c r="H44" s="4">
        <f t="shared" ref="H44" si="15">+D44/$N$3*$N$4</f>
        <v>-2414099.3437994667</v>
      </c>
      <c r="I44" s="5">
        <f>+H44/C44</f>
        <v>-8.0469978126648897E-2</v>
      </c>
      <c r="J44" s="4">
        <f t="shared" ref="J44" si="16">+D44/$N$3</f>
        <v>-100587.47265831112</v>
      </c>
      <c r="K44" s="4">
        <f>+(C44-D44)/$N$2</f>
        <v>1520117.4945316622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A40" sqref="A40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0.40277777777777779</v>
      </c>
      <c r="E2" s="13">
        <v>33</v>
      </c>
      <c r="F2" s="12">
        <f>+H2-E2</f>
        <v>-4</v>
      </c>
      <c r="G2" s="13">
        <f>VLOOKUP(B2,'Base Cobertura'!$A:$C,3,FALSE)</f>
        <v>72</v>
      </c>
      <c r="H2" s="13">
        <f>VLOOKUP(B2,'Base Cobertura'!$A:$C,2,FALSE)</f>
        <v>29</v>
      </c>
      <c r="I2" s="17">
        <f>(+G2*$M$2)-H2</f>
        <v>32.199999999999996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0.22175732217573221</v>
      </c>
      <c r="E3" s="13">
        <v>1</v>
      </c>
      <c r="F3" s="12">
        <f t="shared" ref="F3:F38" si="1">+H3-E3</f>
        <v>52</v>
      </c>
      <c r="G3" s="13">
        <f>VLOOKUP(B3,'Base Cobertura'!$A:$C,3,FALSE)</f>
        <v>239</v>
      </c>
      <c r="H3" s="13">
        <f>VLOOKUP(B3,'Base Cobertura'!$A:$C,2,FALSE)</f>
        <v>53</v>
      </c>
      <c r="I3" s="17">
        <f t="shared" ref="I3:I38" si="2">(+G3*$M$2)-H3</f>
        <v>150.15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16</v>
      </c>
      <c r="T3" s="12">
        <v>214</v>
      </c>
      <c r="U3" s="41">
        <f>+S3/T3</f>
        <v>7.476635514018691E-2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0.42290748898678415</v>
      </c>
      <c r="E4" s="13">
        <v>126</v>
      </c>
      <c r="F4" s="12">
        <f t="shared" si="1"/>
        <v>-30</v>
      </c>
      <c r="G4" s="13">
        <f>VLOOKUP(B4,'Base Cobertura'!$A:$C,3,FALSE)</f>
        <v>227</v>
      </c>
      <c r="H4" s="13">
        <f>VLOOKUP(B4,'Base Cobertura'!$A:$C,2,FALSE)</f>
        <v>96</v>
      </c>
      <c r="I4" s="17">
        <f t="shared" si="2"/>
        <v>96.949999999999989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12</v>
      </c>
      <c r="T4" s="13">
        <v>214</v>
      </c>
      <c r="U4" s="5">
        <f t="shared" ref="U4:U11" si="3">+S4/T4</f>
        <v>5.6074766355140186E-2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0.29230769230769232</v>
      </c>
      <c r="E5" s="13">
        <v>21</v>
      </c>
      <c r="F5" s="12">
        <f t="shared" si="1"/>
        <v>-2</v>
      </c>
      <c r="G5" s="13">
        <f>VLOOKUP(B5,'Base Cobertura'!$A:$C,3,FALSE)</f>
        <v>65</v>
      </c>
      <c r="H5" s="13">
        <f>VLOOKUP(B5,'Base Cobertura'!$A:$C,2,FALSE)</f>
        <v>19</v>
      </c>
      <c r="I5" s="17">
        <f t="shared" si="2"/>
        <v>36.25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17</v>
      </c>
      <c r="T5" s="13">
        <v>214</v>
      </c>
      <c r="U5" s="5">
        <f t="shared" si="3"/>
        <v>7.9439252336448593E-2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0.42995169082125606</v>
      </c>
      <c r="E6" s="13">
        <v>100</v>
      </c>
      <c r="F6" s="12">
        <f t="shared" si="1"/>
        <v>-11</v>
      </c>
      <c r="G6" s="13">
        <f>VLOOKUP(B6,'Base Cobertura'!$A:$C,3,FALSE)</f>
        <v>207</v>
      </c>
      <c r="H6" s="13">
        <f>VLOOKUP(B6,'Base Cobertura'!$A:$C,2,FALSE)</f>
        <v>89</v>
      </c>
      <c r="I6" s="17">
        <f t="shared" si="2"/>
        <v>86.949999999999989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11</v>
      </c>
      <c r="T6" s="13">
        <v>214</v>
      </c>
      <c r="U6" s="5">
        <f t="shared" si="3"/>
        <v>5.1401869158878503E-2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0.27777777777777779</v>
      </c>
      <c r="E7" s="13">
        <v>81</v>
      </c>
      <c r="F7" s="12">
        <f t="shared" si="1"/>
        <v>-26</v>
      </c>
      <c r="G7" s="13">
        <f>VLOOKUP(B7,'Base Cobertura'!$A:$C,3,FALSE)</f>
        <v>198</v>
      </c>
      <c r="H7" s="13">
        <f>VLOOKUP(B7,'Base Cobertura'!$A:$C,2,FALSE)</f>
        <v>55</v>
      </c>
      <c r="I7" s="17">
        <f t="shared" si="2"/>
        <v>113.29999999999998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29</v>
      </c>
      <c r="T7" s="13">
        <v>214</v>
      </c>
      <c r="U7" s="5">
        <f t="shared" si="3"/>
        <v>0.13551401869158877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0.32242990654205606</v>
      </c>
      <c r="E8" s="13">
        <v>89</v>
      </c>
      <c r="F8" s="12">
        <f t="shared" si="1"/>
        <v>-20</v>
      </c>
      <c r="G8" s="13">
        <f>VLOOKUP(B8,'Base Cobertura'!$A:$C,3,FALSE)</f>
        <v>214</v>
      </c>
      <c r="H8" s="13">
        <f>VLOOKUP(B8,'Base Cobertura'!$A:$C,2,FALSE)</f>
        <v>69</v>
      </c>
      <c r="I8" s="17">
        <f t="shared" si="2"/>
        <v>112.9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26</v>
      </c>
      <c r="T8" s="13">
        <v>214</v>
      </c>
      <c r="U8" s="5">
        <f t="shared" si="3"/>
        <v>0.12149532710280374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0.3592814371257485</v>
      </c>
      <c r="E9" s="13">
        <v>92</v>
      </c>
      <c r="F9" s="12">
        <f t="shared" si="1"/>
        <v>-32</v>
      </c>
      <c r="G9" s="13">
        <f>VLOOKUP(B9,'Base Cobertura'!$A:$C,3,FALSE)</f>
        <v>167</v>
      </c>
      <c r="H9" s="13">
        <f>VLOOKUP(B9,'Base Cobertura'!$A:$C,2,FALSE)</f>
        <v>60</v>
      </c>
      <c r="I9" s="17">
        <f t="shared" si="2"/>
        <v>81.949999999999989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7</v>
      </c>
      <c r="T9" s="13">
        <v>214</v>
      </c>
      <c r="U9" s="5">
        <f t="shared" si="3"/>
        <v>3.2710280373831772E-2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0.28205128205128205</v>
      </c>
      <c r="E10" s="13">
        <v>64</v>
      </c>
      <c r="F10" s="12">
        <f t="shared" si="1"/>
        <v>-9</v>
      </c>
      <c r="G10" s="13">
        <f>VLOOKUP(B10,'Base Cobertura'!$A:$C,3,FALSE)</f>
        <v>195</v>
      </c>
      <c r="H10" s="13">
        <f>VLOOKUP(B10,'Base Cobertura'!$A:$C,2,FALSE)</f>
        <v>55</v>
      </c>
      <c r="I10" s="17">
        <f t="shared" si="2"/>
        <v>110.75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3</v>
      </c>
      <c r="T10" s="13">
        <v>214</v>
      </c>
      <c r="U10" s="5">
        <f t="shared" si="3"/>
        <v>1.4018691588785047E-2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0.13861386138613863</v>
      </c>
      <c r="E11" s="31">
        <v>19</v>
      </c>
      <c r="F11" s="33">
        <f t="shared" si="1"/>
        <v>-5</v>
      </c>
      <c r="G11" s="13">
        <f>VLOOKUP(B11,'Base Cobertura'!$A:$C,3,FALSE)</f>
        <v>101</v>
      </c>
      <c r="H11" s="13">
        <f>VLOOKUP(B11,'Base Cobertura'!$A:$C,2,FALSE)</f>
        <v>14</v>
      </c>
      <c r="I11" s="34">
        <f t="shared" si="2"/>
        <v>71.849999999999994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4</v>
      </c>
      <c r="T11" s="13">
        <v>214</v>
      </c>
      <c r="U11" s="5">
        <f t="shared" si="3"/>
        <v>1.8691588785046728E-2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0.13333333333333333</v>
      </c>
      <c r="E12" s="31">
        <v>24</v>
      </c>
      <c r="F12" s="33">
        <f t="shared" si="1"/>
        <v>-10</v>
      </c>
      <c r="G12" s="13">
        <f>VLOOKUP(B12,'Base Cobertura'!$A:$C,3,FALSE)</f>
        <v>105</v>
      </c>
      <c r="H12" s="13">
        <f>VLOOKUP(B12,'Base Cobertura'!$A:$C,2,FALSE)</f>
        <v>14</v>
      </c>
      <c r="I12" s="34">
        <f t="shared" si="2"/>
        <v>75.25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0.35</v>
      </c>
      <c r="E13" s="13">
        <v>144</v>
      </c>
      <c r="F13" s="12">
        <f t="shared" si="1"/>
        <v>-53</v>
      </c>
      <c r="G13" s="13">
        <f>VLOOKUP(B13,'Base Cobertura'!$A:$C,3,FALSE)</f>
        <v>260</v>
      </c>
      <c r="H13" s="13">
        <f>VLOOKUP(B13,'Base Cobertura'!$A:$C,2,FALSE)</f>
        <v>91</v>
      </c>
      <c r="I13" s="17">
        <f t="shared" si="2"/>
        <v>130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0.31868131868131866</v>
      </c>
      <c r="E14" s="13">
        <v>85</v>
      </c>
      <c r="F14" s="12">
        <f t="shared" si="1"/>
        <v>-27</v>
      </c>
      <c r="G14" s="13">
        <f>VLOOKUP(B14,'Base Cobertura'!$A:$C,3,FALSE)</f>
        <v>182</v>
      </c>
      <c r="H14" s="13">
        <f>VLOOKUP(B14,'Base Cobertura'!$A:$C,2,FALSE)</f>
        <v>58</v>
      </c>
      <c r="I14" s="17">
        <f t="shared" si="2"/>
        <v>96.699999999999989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-177</v>
      </c>
      <c r="G15" s="8">
        <f>+SUM(G2:G14)</f>
        <v>2232</v>
      </c>
      <c r="H15" s="8">
        <f>+SUM(H2:H14)</f>
        <v>702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BARTSCHAT EMILIANO NAHUEL</v>
      </c>
      <c r="D16" s="22">
        <f t="shared" si="0"/>
        <v>0.40993788819875776</v>
      </c>
      <c r="E16" s="13">
        <v>90</v>
      </c>
      <c r="F16" s="12">
        <f t="shared" si="1"/>
        <v>-24</v>
      </c>
      <c r="G16" s="13">
        <f>VLOOKUP(B16,'Base Cobertura'!$A:$C,3,FALSE)</f>
        <v>161</v>
      </c>
      <c r="H16" s="13">
        <f>VLOOKUP(B16,'Base Cobertura'!$A:$C,2,FALSE)</f>
        <v>66</v>
      </c>
      <c r="I16" s="17">
        <f t="shared" si="2"/>
        <v>70.849999999999994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CAÑETE DIEGO</v>
      </c>
      <c r="D17" s="22">
        <f t="shared" si="0"/>
        <v>0.28712871287128711</v>
      </c>
      <c r="E17" s="13">
        <v>92</v>
      </c>
      <c r="F17" s="12">
        <f t="shared" si="1"/>
        <v>-34</v>
      </c>
      <c r="G17" s="13">
        <f>VLOOKUP(B17,'Base Cobertura'!$A:$C,3,FALSE)</f>
        <v>202</v>
      </c>
      <c r="H17" s="13">
        <f>VLOOKUP(B17,'Base Cobertura'!$A:$C,2,FALSE)</f>
        <v>58</v>
      </c>
      <c r="I17" s="17">
        <f t="shared" si="2"/>
        <v>113.69999999999999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0.44117647058823528</v>
      </c>
      <c r="E18" s="13">
        <v>88</v>
      </c>
      <c r="F18" s="12">
        <f t="shared" si="1"/>
        <v>-13</v>
      </c>
      <c r="G18" s="13">
        <f>VLOOKUP(B18,'Base Cobertura'!$A:$C,3,FALSE)</f>
        <v>170</v>
      </c>
      <c r="H18" s="13">
        <f>VLOOKUP(B18,'Base Cobertura'!$A:$C,2,FALSE)</f>
        <v>75</v>
      </c>
      <c r="I18" s="17">
        <f t="shared" si="2"/>
        <v>69.5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0.51249999999999996</v>
      </c>
      <c r="E19" s="13">
        <v>95</v>
      </c>
      <c r="F19" s="12">
        <f t="shared" si="1"/>
        <v>-13</v>
      </c>
      <c r="G19" s="13">
        <f>VLOOKUP(B19,'Base Cobertura'!$A:$C,3,FALSE)</f>
        <v>160</v>
      </c>
      <c r="H19" s="13">
        <f>VLOOKUP(B19,'Base Cobertura'!$A:$C,2,FALSE)</f>
        <v>82</v>
      </c>
      <c r="I19" s="17">
        <f t="shared" si="2"/>
        <v>54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0.43502824858757061</v>
      </c>
      <c r="E20" s="13">
        <v>83</v>
      </c>
      <c r="F20" s="12">
        <f t="shared" si="1"/>
        <v>-6</v>
      </c>
      <c r="G20" s="13">
        <f>VLOOKUP(B20,'Base Cobertura'!$A:$C,3,FALSE)</f>
        <v>177</v>
      </c>
      <c r="H20" s="13">
        <f>VLOOKUP(B20,'Base Cobertura'!$A:$C,2,FALSE)</f>
        <v>77</v>
      </c>
      <c r="I20" s="17">
        <f t="shared" si="2"/>
        <v>73.449999999999989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0.42011834319526625</v>
      </c>
      <c r="E21" s="13">
        <v>64</v>
      </c>
      <c r="F21" s="12">
        <f t="shared" si="1"/>
        <v>7</v>
      </c>
      <c r="G21" s="13">
        <f>VLOOKUP(B21,'Base Cobertura'!$A:$C,3,FALSE)</f>
        <v>169</v>
      </c>
      <c r="H21" s="13">
        <f>VLOOKUP(B21,'Base Cobertura'!$A:$C,2,FALSE)</f>
        <v>71</v>
      </c>
      <c r="I21" s="17">
        <f t="shared" si="2"/>
        <v>72.650000000000006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0.20707070707070707</v>
      </c>
      <c r="E22" s="13">
        <v>66</v>
      </c>
      <c r="F22" s="12">
        <f t="shared" si="1"/>
        <v>-25</v>
      </c>
      <c r="G22" s="13">
        <f>VLOOKUP(B22,'Base Cobertura'!$A:$C,3,FALSE)</f>
        <v>198</v>
      </c>
      <c r="H22" s="13">
        <f>VLOOKUP(B22,'Base Cobertura'!$A:$C,2,FALSE)</f>
        <v>41</v>
      </c>
      <c r="I22" s="17">
        <f t="shared" si="2"/>
        <v>127.29999999999998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0.39130434782608697</v>
      </c>
      <c r="E23" s="13">
        <v>70</v>
      </c>
      <c r="F23" s="12">
        <f t="shared" si="1"/>
        <v>-16</v>
      </c>
      <c r="G23" s="13">
        <f>VLOOKUP(B23,'Base Cobertura'!$A:$C,3,FALSE)</f>
        <v>138</v>
      </c>
      <c r="H23" s="13">
        <f>VLOOKUP(B23,'Base Cobertura'!$A:$C,2,FALSE)</f>
        <v>54</v>
      </c>
      <c r="I23" s="17">
        <f t="shared" si="2"/>
        <v>63.3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0.41764705882352943</v>
      </c>
      <c r="E24" s="13">
        <v>79</v>
      </c>
      <c r="F24" s="12">
        <f t="shared" si="1"/>
        <v>-8</v>
      </c>
      <c r="G24" s="13">
        <f>VLOOKUP(B24,'Base Cobertura'!$A:$C,3,FALSE)</f>
        <v>170</v>
      </c>
      <c r="H24" s="13">
        <f>VLOOKUP(B24,'Base Cobertura'!$A:$C,2,FALSE)</f>
        <v>71</v>
      </c>
      <c r="I24" s="17">
        <f t="shared" si="2"/>
        <v>73.5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-132</v>
      </c>
      <c r="G25" s="8">
        <f>+SUM(G16:G24)</f>
        <v>1545</v>
      </c>
      <c r="H25" s="8">
        <f>+SUM(H16:H24)</f>
        <v>595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0.23214285714285715</v>
      </c>
      <c r="E26" s="13">
        <v>20</v>
      </c>
      <c r="F26" s="12">
        <f>+H26-E26</f>
        <v>-7</v>
      </c>
      <c r="G26" s="13">
        <f>VLOOKUP(B26,'Base Cobertura'!$A:$C,3,FALSE)</f>
        <v>56</v>
      </c>
      <c r="H26" s="13">
        <f>VLOOKUP(B26,'Base Cobertura'!$A:$C,2,FALSE)</f>
        <v>13</v>
      </c>
      <c r="I26" s="17">
        <f t="shared" si="2"/>
        <v>34.6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0.35256410256410259</v>
      </c>
      <c r="E27" s="13">
        <v>68</v>
      </c>
      <c r="F27" s="12">
        <f t="shared" si="1"/>
        <v>-13</v>
      </c>
      <c r="G27" s="13">
        <f>VLOOKUP(B27,'Base Cobertura'!$A:$C,3,FALSE)</f>
        <v>156</v>
      </c>
      <c r="H27" s="13">
        <f>VLOOKUP(B27,'Base Cobertura'!$A:$C,2,FALSE)</f>
        <v>55</v>
      </c>
      <c r="I27" s="17">
        <f t="shared" si="2"/>
        <v>77.599999999999994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0.29813664596273293</v>
      </c>
      <c r="E28" s="13">
        <v>80</v>
      </c>
      <c r="F28" s="12">
        <f t="shared" si="1"/>
        <v>-32</v>
      </c>
      <c r="G28" s="13">
        <f>VLOOKUP(B28,'Base Cobertura'!$A:$C,3,FALSE)</f>
        <v>161</v>
      </c>
      <c r="H28" s="13">
        <f>VLOOKUP(B28,'Base Cobertura'!$A:$C,2,FALSE)</f>
        <v>48</v>
      </c>
      <c r="I28" s="17">
        <f t="shared" si="2"/>
        <v>88.85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0.1606425702811245</v>
      </c>
      <c r="E29" s="13">
        <v>68</v>
      </c>
      <c r="F29" s="12">
        <f t="shared" si="1"/>
        <v>-28</v>
      </c>
      <c r="G29" s="13">
        <f>VLOOKUP(B29,'Base Cobertura'!$A:$C,3,FALSE)</f>
        <v>249</v>
      </c>
      <c r="H29" s="13">
        <f>VLOOKUP(B29,'Base Cobertura'!$A:$C,2,FALSE)</f>
        <v>40</v>
      </c>
      <c r="I29" s="17">
        <f t="shared" si="2"/>
        <v>171.65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0.42857142857142855</v>
      </c>
      <c r="E30" s="13">
        <v>73</v>
      </c>
      <c r="F30" s="12">
        <f t="shared" si="1"/>
        <v>-13</v>
      </c>
      <c r="G30" s="13">
        <f>VLOOKUP(B30,'Base Cobertura'!$A:$C,3,FALSE)</f>
        <v>140</v>
      </c>
      <c r="H30" s="13">
        <f>VLOOKUP(B30,'Base Cobertura'!$A:$C,2,FALSE)</f>
        <v>60</v>
      </c>
      <c r="I30" s="17">
        <f t="shared" si="2"/>
        <v>59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0.25966850828729282</v>
      </c>
      <c r="E31" s="13">
        <v>40</v>
      </c>
      <c r="F31" s="12">
        <f t="shared" si="1"/>
        <v>7</v>
      </c>
      <c r="G31" s="13">
        <f>VLOOKUP(B31,'Base Cobertura'!$A:$C,3,FALSE)</f>
        <v>181</v>
      </c>
      <c r="H31" s="13">
        <f>VLOOKUP(B31,'Base Cobertura'!$A:$C,2,FALSE)</f>
        <v>47</v>
      </c>
      <c r="I31" s="17">
        <f t="shared" si="2"/>
        <v>106.85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0.30357142857142855</v>
      </c>
      <c r="E32" s="13">
        <v>67</v>
      </c>
      <c r="F32" s="12">
        <f t="shared" si="1"/>
        <v>-16</v>
      </c>
      <c r="G32" s="13">
        <f>VLOOKUP(B32,'Base Cobertura'!$A:$C,3,FALSE)</f>
        <v>168</v>
      </c>
      <c r="H32" s="13">
        <f>VLOOKUP(B32,'Base Cobertura'!$A:$C,2,FALSE)</f>
        <v>51</v>
      </c>
      <c r="I32" s="17">
        <f t="shared" si="2"/>
        <v>91.799999999999983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0.34883720930232559</v>
      </c>
      <c r="E33" s="13">
        <v>66</v>
      </c>
      <c r="F33" s="12">
        <f t="shared" si="1"/>
        <v>-6</v>
      </c>
      <c r="G33" s="13">
        <f>VLOOKUP(B33,'Base Cobertura'!$A:$C,3,FALSE)</f>
        <v>172</v>
      </c>
      <c r="H33" s="13">
        <f>VLOOKUP(B33,'Base Cobertura'!$A:$C,2,FALSE)</f>
        <v>60</v>
      </c>
      <c r="I33" s="17">
        <f t="shared" si="2"/>
        <v>86.199999999999989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0.14788732394366197</v>
      </c>
      <c r="E34" s="13">
        <v>82</v>
      </c>
      <c r="F34" s="12">
        <f t="shared" si="1"/>
        <v>-61</v>
      </c>
      <c r="G34" s="13">
        <f>VLOOKUP(B34,'Base Cobertura'!$A:$C,3,FALSE)</f>
        <v>142</v>
      </c>
      <c r="H34" s="13">
        <f>VLOOKUP(B34,'Base Cobertura'!$A:$C,2,FALSE)</f>
        <v>21</v>
      </c>
      <c r="I34" s="17">
        <f t="shared" si="2"/>
        <v>99.7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0.2808988764044944</v>
      </c>
      <c r="E35" s="13">
        <v>81</v>
      </c>
      <c r="F35" s="12">
        <f t="shared" si="1"/>
        <v>-31</v>
      </c>
      <c r="G35" s="13">
        <f>VLOOKUP(B35,'Base Cobertura'!$A:$C,3,FALSE)</f>
        <v>178</v>
      </c>
      <c r="H35" s="13">
        <f>VLOOKUP(B35,'Base Cobertura'!$A:$C,2,FALSE)</f>
        <v>50</v>
      </c>
      <c r="I35" s="17">
        <f t="shared" si="2"/>
        <v>101.29999999999998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8.8495575221238937E-3</v>
      </c>
      <c r="E36" s="13">
        <v>0</v>
      </c>
      <c r="F36" s="12">
        <f t="shared" si="1"/>
        <v>1</v>
      </c>
      <c r="G36" s="13">
        <f>VLOOKUP(B36,'Base Cobertura'!$A:$C,3,FALSE)</f>
        <v>113</v>
      </c>
      <c r="H36" s="13">
        <f>VLOOKUP(B36,'Base Cobertura'!$A:$C,2,FALSE)</f>
        <v>1</v>
      </c>
      <c r="I36" s="17">
        <f t="shared" si="2"/>
        <v>95.05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1.9417475728155338E-2</v>
      </c>
      <c r="E37" s="13">
        <v>17</v>
      </c>
      <c r="F37" s="12">
        <f t="shared" si="1"/>
        <v>-15</v>
      </c>
      <c r="G37" s="13">
        <f>VLOOKUP(B37,'Base Cobertura'!$A:$C,3,FALSE)</f>
        <v>103</v>
      </c>
      <c r="H37" s="13">
        <f>VLOOKUP(B37,'Base Cobertura'!$A:$C,2,FALSE)</f>
        <v>2</v>
      </c>
      <c r="I37" s="17">
        <f t="shared" si="2"/>
        <v>85.55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0.40157480314960631</v>
      </c>
      <c r="E38" s="13">
        <v>60</v>
      </c>
      <c r="F38" s="12">
        <f t="shared" si="1"/>
        <v>-9</v>
      </c>
      <c r="G38" s="13">
        <f>VLOOKUP(B38,'Base Cobertura'!$A:$C,3,FALSE)</f>
        <v>127</v>
      </c>
      <c r="H38" s="13">
        <f>VLOOKUP(B38,'Base Cobertura'!$A:$C,2,FALSE)</f>
        <v>51</v>
      </c>
      <c r="I38" s="17">
        <f t="shared" si="2"/>
        <v>56.95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-223</v>
      </c>
      <c r="G39" s="8">
        <f>+SUM(G26:G38)</f>
        <v>1946</v>
      </c>
      <c r="H39" s="8">
        <f>+SUM(H26:H38)</f>
        <v>499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-532</v>
      </c>
      <c r="G40" s="8">
        <f>+G15+G25+G39</f>
        <v>5723</v>
      </c>
      <c r="H40" s="8">
        <f>+H15+H25+H39</f>
        <v>1796</v>
      </c>
      <c r="I40" s="8"/>
      <c r="L40" s="1">
        <f>+H40/G40</f>
        <v>0.31382142233094529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</v>
      </c>
      <c r="E41" s="13">
        <v>60</v>
      </c>
      <c r="F41" s="12">
        <f t="shared" ref="F41:F42" si="5">+H41-E41</f>
        <v>-60</v>
      </c>
      <c r="G41" s="13">
        <f>VLOOKUP(B41,'Base Cobertura'!$A:$C,3,FALSE)</f>
        <v>120</v>
      </c>
      <c r="H41" s="13">
        <f>VLOOKUP(B41,'Base Cobertura'!$A:$C,2,FALSE)</f>
        <v>0</v>
      </c>
      <c r="I41" s="17">
        <f t="shared" ref="I41:I42" si="6">(+G41*$M$2)-H41</f>
        <v>102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8.4033613445378148E-3</v>
      </c>
      <c r="E42" s="13">
        <v>60</v>
      </c>
      <c r="F42" s="12">
        <f t="shared" si="5"/>
        <v>-59</v>
      </c>
      <c r="G42" s="13">
        <f>VLOOKUP(B42,'Base Cobertura'!$A:$C,3,FALSE)</f>
        <v>119</v>
      </c>
      <c r="H42" s="13">
        <f>VLOOKUP(B42,'Base Cobertura'!$A:$C,2,FALSE)</f>
        <v>1</v>
      </c>
      <c r="I42" s="17">
        <f t="shared" si="6"/>
        <v>100.14999999999999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L25" sqref="L25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2</v>
      </c>
      <c r="C3" s="51">
        <v>3408</v>
      </c>
      <c r="G3" t="s">
        <v>222</v>
      </c>
      <c r="H3" s="51">
        <v>1</v>
      </c>
      <c r="I3" s="51">
        <v>3408</v>
      </c>
    </row>
    <row r="4" spans="1:9" x14ac:dyDescent="0.25">
      <c r="A4">
        <v>1</v>
      </c>
      <c r="B4" s="51">
        <v>51</v>
      </c>
      <c r="C4" s="51">
        <v>127</v>
      </c>
      <c r="G4" t="s">
        <v>223</v>
      </c>
      <c r="H4">
        <v>1</v>
      </c>
      <c r="I4" s="51">
        <v>3408</v>
      </c>
    </row>
    <row r="5" spans="1:9" x14ac:dyDescent="0.25">
      <c r="A5">
        <v>10</v>
      </c>
      <c r="B5" s="51">
        <v>47</v>
      </c>
      <c r="C5" s="51">
        <v>181</v>
      </c>
      <c r="G5" t="s">
        <v>224</v>
      </c>
      <c r="H5" s="51"/>
      <c r="I5" s="51">
        <v>3408</v>
      </c>
    </row>
    <row r="6" spans="1:9" x14ac:dyDescent="0.25">
      <c r="A6">
        <v>100</v>
      </c>
      <c r="B6" s="51">
        <v>18</v>
      </c>
      <c r="C6" s="51">
        <v>2024</v>
      </c>
      <c r="G6" t="s">
        <v>225</v>
      </c>
      <c r="H6" s="51"/>
      <c r="I6" s="51">
        <v>3408</v>
      </c>
    </row>
    <row r="7" spans="1:9" x14ac:dyDescent="0.25">
      <c r="A7">
        <v>11</v>
      </c>
      <c r="B7" s="51">
        <v>60</v>
      </c>
      <c r="C7" s="51">
        <v>167</v>
      </c>
      <c r="G7" t="s">
        <v>226</v>
      </c>
      <c r="H7" s="51">
        <v>1</v>
      </c>
      <c r="I7" s="51">
        <v>3408</v>
      </c>
    </row>
    <row r="8" spans="1:9" x14ac:dyDescent="0.25">
      <c r="A8">
        <v>12</v>
      </c>
      <c r="B8" s="51">
        <v>69</v>
      </c>
      <c r="C8" s="51">
        <v>214</v>
      </c>
      <c r="G8" t="s">
        <v>227</v>
      </c>
      <c r="H8" s="51">
        <v>1</v>
      </c>
      <c r="I8" s="51">
        <v>3408</v>
      </c>
    </row>
    <row r="9" spans="1:9" x14ac:dyDescent="0.25">
      <c r="A9">
        <v>123</v>
      </c>
      <c r="B9" s="51">
        <v>19</v>
      </c>
      <c r="C9" s="51">
        <v>489</v>
      </c>
      <c r="G9" t="s">
        <v>228</v>
      </c>
      <c r="H9" s="51">
        <v>1</v>
      </c>
      <c r="I9" s="51">
        <v>3408</v>
      </c>
    </row>
    <row r="10" spans="1:9" x14ac:dyDescent="0.25">
      <c r="A10">
        <v>15</v>
      </c>
      <c r="B10" s="51">
        <v>19</v>
      </c>
      <c r="C10" s="51">
        <v>65</v>
      </c>
      <c r="G10" t="s">
        <v>229</v>
      </c>
      <c r="H10">
        <v>1</v>
      </c>
      <c r="I10" s="51">
        <v>3408</v>
      </c>
    </row>
    <row r="11" spans="1:9" x14ac:dyDescent="0.25">
      <c r="A11">
        <v>16</v>
      </c>
      <c r="B11" s="51">
        <v>55</v>
      </c>
      <c r="C11" s="51">
        <v>198</v>
      </c>
      <c r="G11" t="s">
        <v>230</v>
      </c>
      <c r="H11" s="51"/>
      <c r="I11" s="51">
        <v>3408</v>
      </c>
    </row>
    <row r="12" spans="1:9" x14ac:dyDescent="0.25">
      <c r="A12">
        <v>18</v>
      </c>
      <c r="B12" s="51">
        <v>77</v>
      </c>
      <c r="C12" s="51">
        <v>177</v>
      </c>
      <c r="E12">
        <f>+F12</f>
        <v>1</v>
      </c>
      <c r="F12">
        <v>1</v>
      </c>
      <c r="G12" t="s">
        <v>222</v>
      </c>
      <c r="H12">
        <v>22</v>
      </c>
      <c r="I12" s="51">
        <v>127</v>
      </c>
    </row>
    <row r="13" spans="1:9" x14ac:dyDescent="0.25">
      <c r="A13">
        <v>19</v>
      </c>
      <c r="B13" s="51">
        <v>89</v>
      </c>
      <c r="C13" s="51">
        <v>207</v>
      </c>
      <c r="E13">
        <f>+$E$12</f>
        <v>1</v>
      </c>
      <c r="G13" t="s">
        <v>223</v>
      </c>
      <c r="H13" s="51">
        <v>14</v>
      </c>
      <c r="I13" s="51">
        <v>127</v>
      </c>
    </row>
    <row r="14" spans="1:9" x14ac:dyDescent="0.25">
      <c r="A14">
        <v>2</v>
      </c>
      <c r="B14" s="51">
        <v>54</v>
      </c>
      <c r="C14" s="51">
        <v>138</v>
      </c>
      <c r="E14">
        <f t="shared" ref="E14:E20" si="0">+$E$12</f>
        <v>1</v>
      </c>
      <c r="G14" t="s">
        <v>224</v>
      </c>
      <c r="H14" s="51">
        <v>30</v>
      </c>
      <c r="I14" s="51">
        <v>127</v>
      </c>
    </row>
    <row r="15" spans="1:9" x14ac:dyDescent="0.25">
      <c r="A15">
        <v>20</v>
      </c>
      <c r="B15" s="51">
        <v>96</v>
      </c>
      <c r="C15" s="51">
        <v>227</v>
      </c>
      <c r="E15">
        <f t="shared" si="0"/>
        <v>1</v>
      </c>
      <c r="G15" t="s">
        <v>225</v>
      </c>
      <c r="H15" s="51">
        <v>16</v>
      </c>
      <c r="I15" s="51">
        <v>127</v>
      </c>
    </row>
    <row r="16" spans="1:9" x14ac:dyDescent="0.25">
      <c r="A16">
        <v>21</v>
      </c>
      <c r="B16" s="51">
        <v>75</v>
      </c>
      <c r="C16" s="51">
        <v>170</v>
      </c>
      <c r="E16">
        <f t="shared" si="0"/>
        <v>1</v>
      </c>
      <c r="G16" t="s">
        <v>226</v>
      </c>
      <c r="H16" s="51">
        <v>32</v>
      </c>
      <c r="I16" s="51">
        <v>127</v>
      </c>
    </row>
    <row r="17" spans="1:9" x14ac:dyDescent="0.25">
      <c r="A17">
        <v>22</v>
      </c>
      <c r="B17" s="51">
        <v>29</v>
      </c>
      <c r="C17" s="51">
        <v>72</v>
      </c>
      <c r="E17">
        <f t="shared" si="0"/>
        <v>1</v>
      </c>
      <c r="G17" t="s">
        <v>227</v>
      </c>
      <c r="H17" s="51">
        <v>31</v>
      </c>
      <c r="I17" s="51">
        <v>127</v>
      </c>
    </row>
    <row r="18" spans="1:9" x14ac:dyDescent="0.25">
      <c r="A18">
        <v>23</v>
      </c>
      <c r="B18" s="51">
        <v>82</v>
      </c>
      <c r="C18" s="51">
        <v>160</v>
      </c>
      <c r="E18">
        <f t="shared" si="0"/>
        <v>1</v>
      </c>
      <c r="G18" t="s">
        <v>228</v>
      </c>
      <c r="H18" s="51">
        <v>10</v>
      </c>
      <c r="I18" s="51">
        <v>127</v>
      </c>
    </row>
    <row r="19" spans="1:9" x14ac:dyDescent="0.25">
      <c r="A19">
        <v>24</v>
      </c>
      <c r="B19" s="51">
        <v>50</v>
      </c>
      <c r="C19" s="51">
        <v>178</v>
      </c>
      <c r="E19">
        <f t="shared" si="0"/>
        <v>1</v>
      </c>
      <c r="G19" t="s">
        <v>229</v>
      </c>
      <c r="H19" s="51">
        <v>11</v>
      </c>
      <c r="I19" s="51">
        <v>127</v>
      </c>
    </row>
    <row r="20" spans="1:9" x14ac:dyDescent="0.25">
      <c r="A20">
        <v>25</v>
      </c>
      <c r="B20" s="51">
        <v>15</v>
      </c>
      <c r="C20" s="51">
        <v>172</v>
      </c>
      <c r="E20">
        <f t="shared" si="0"/>
        <v>1</v>
      </c>
      <c r="G20" t="s">
        <v>230</v>
      </c>
      <c r="H20">
        <v>10</v>
      </c>
      <c r="I20" s="51">
        <v>127</v>
      </c>
    </row>
    <row r="21" spans="1:9" x14ac:dyDescent="0.25">
      <c r="A21">
        <v>26</v>
      </c>
      <c r="B21" s="51">
        <v>31</v>
      </c>
      <c r="C21" s="51">
        <v>162</v>
      </c>
      <c r="E21">
        <f>+$F$21</f>
        <v>10</v>
      </c>
      <c r="F21">
        <v>10</v>
      </c>
      <c r="G21" t="s">
        <v>222</v>
      </c>
      <c r="H21" s="51">
        <v>8</v>
      </c>
      <c r="I21" s="51">
        <v>181</v>
      </c>
    </row>
    <row r="22" spans="1:9" x14ac:dyDescent="0.25">
      <c r="A22">
        <v>27</v>
      </c>
      <c r="B22" s="51">
        <v>60</v>
      </c>
      <c r="C22" s="51">
        <v>140</v>
      </c>
      <c r="E22">
        <f t="shared" ref="E22:E29" si="1">+$F$21</f>
        <v>10</v>
      </c>
      <c r="G22" t="s">
        <v>223</v>
      </c>
      <c r="H22" s="51"/>
      <c r="I22" s="51">
        <v>181</v>
      </c>
    </row>
    <row r="23" spans="1:9" x14ac:dyDescent="0.25">
      <c r="A23">
        <v>28</v>
      </c>
      <c r="B23" s="51">
        <v>51</v>
      </c>
      <c r="C23" s="51">
        <v>168</v>
      </c>
      <c r="E23">
        <f t="shared" si="1"/>
        <v>10</v>
      </c>
      <c r="G23" t="s">
        <v>224</v>
      </c>
      <c r="H23" s="51">
        <v>17</v>
      </c>
      <c r="I23" s="51">
        <v>181</v>
      </c>
    </row>
    <row r="24" spans="1:9" x14ac:dyDescent="0.25">
      <c r="A24">
        <v>3</v>
      </c>
      <c r="B24" s="51">
        <v>71</v>
      </c>
      <c r="C24" s="51">
        <v>170</v>
      </c>
      <c r="E24">
        <f t="shared" si="1"/>
        <v>10</v>
      </c>
      <c r="G24" t="s">
        <v>225</v>
      </c>
      <c r="H24" s="51">
        <v>9</v>
      </c>
      <c r="I24" s="51">
        <v>181</v>
      </c>
    </row>
    <row r="25" spans="1:9" x14ac:dyDescent="0.25">
      <c r="A25">
        <v>30</v>
      </c>
      <c r="B25" s="51">
        <v>6</v>
      </c>
      <c r="C25" s="51">
        <v>138</v>
      </c>
      <c r="E25">
        <f t="shared" si="1"/>
        <v>10</v>
      </c>
      <c r="G25" t="s">
        <v>226</v>
      </c>
      <c r="H25" s="51">
        <v>19</v>
      </c>
      <c r="I25" s="51">
        <v>181</v>
      </c>
    </row>
    <row r="26" spans="1:9" x14ac:dyDescent="0.25">
      <c r="A26">
        <v>31</v>
      </c>
      <c r="B26" s="51">
        <v>66</v>
      </c>
      <c r="C26" s="51">
        <v>161</v>
      </c>
      <c r="E26">
        <f t="shared" si="1"/>
        <v>10</v>
      </c>
      <c r="G26" t="s">
        <v>227</v>
      </c>
      <c r="H26" s="51">
        <v>10</v>
      </c>
      <c r="I26" s="51">
        <v>181</v>
      </c>
    </row>
    <row r="27" spans="1:9" x14ac:dyDescent="0.25">
      <c r="A27">
        <v>32</v>
      </c>
      <c r="B27" s="51">
        <v>13</v>
      </c>
      <c r="C27" s="51">
        <v>56</v>
      </c>
      <c r="E27">
        <f t="shared" si="1"/>
        <v>10</v>
      </c>
      <c r="G27" t="s">
        <v>228</v>
      </c>
      <c r="H27" s="51">
        <v>4</v>
      </c>
      <c r="I27" s="51">
        <v>181</v>
      </c>
    </row>
    <row r="28" spans="1:9" x14ac:dyDescent="0.25">
      <c r="A28">
        <v>33</v>
      </c>
      <c r="B28" s="51">
        <v>60</v>
      </c>
      <c r="C28" s="51">
        <v>172</v>
      </c>
      <c r="E28">
        <f t="shared" si="1"/>
        <v>10</v>
      </c>
      <c r="G28" t="s">
        <v>229</v>
      </c>
      <c r="H28" s="51">
        <v>2</v>
      </c>
      <c r="I28" s="51">
        <v>181</v>
      </c>
    </row>
    <row r="29" spans="1:9" x14ac:dyDescent="0.25">
      <c r="A29">
        <v>36</v>
      </c>
      <c r="B29" s="51">
        <v>55</v>
      </c>
      <c r="C29" s="51">
        <v>156</v>
      </c>
      <c r="E29">
        <f t="shared" si="1"/>
        <v>10</v>
      </c>
      <c r="G29" t="s">
        <v>230</v>
      </c>
      <c r="H29" s="51">
        <v>3</v>
      </c>
      <c r="I29" s="51">
        <v>181</v>
      </c>
    </row>
    <row r="30" spans="1:9" x14ac:dyDescent="0.25">
      <c r="A30">
        <v>37</v>
      </c>
      <c r="B30" s="51">
        <v>21</v>
      </c>
      <c r="C30" s="51">
        <v>142</v>
      </c>
      <c r="E30">
        <f>+$F$30</f>
        <v>100</v>
      </c>
      <c r="F30">
        <v>100</v>
      </c>
      <c r="G30" t="s">
        <v>222</v>
      </c>
      <c r="H30" s="51">
        <v>8</v>
      </c>
      <c r="I30" s="51">
        <v>2024</v>
      </c>
    </row>
    <row r="31" spans="1:9" x14ac:dyDescent="0.25">
      <c r="A31">
        <v>4</v>
      </c>
      <c r="B31" s="51">
        <v>58</v>
      </c>
      <c r="C31" s="51">
        <v>182</v>
      </c>
      <c r="E31">
        <f t="shared" ref="E31:E38" si="2">+$F$30</f>
        <v>100</v>
      </c>
      <c r="G31" t="s">
        <v>223</v>
      </c>
      <c r="H31" s="51">
        <v>3</v>
      </c>
      <c r="I31" s="51">
        <v>2024</v>
      </c>
    </row>
    <row r="32" spans="1:9" x14ac:dyDescent="0.25">
      <c r="A32">
        <v>40</v>
      </c>
      <c r="B32" s="51">
        <v>40</v>
      </c>
      <c r="C32" s="51">
        <v>249</v>
      </c>
      <c r="E32">
        <f t="shared" si="2"/>
        <v>100</v>
      </c>
      <c r="G32" t="s">
        <v>224</v>
      </c>
      <c r="H32" s="51">
        <v>4</v>
      </c>
      <c r="I32" s="51">
        <v>2024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225</v>
      </c>
      <c r="H33" s="51">
        <v>4</v>
      </c>
      <c r="I33" s="51">
        <v>2024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226</v>
      </c>
      <c r="H34" s="51">
        <v>8</v>
      </c>
      <c r="I34" s="51">
        <v>2024</v>
      </c>
    </row>
    <row r="35" spans="1:9" x14ac:dyDescent="0.25">
      <c r="A35">
        <v>44</v>
      </c>
      <c r="B35" s="51">
        <v>71</v>
      </c>
      <c r="C35" s="51">
        <v>169</v>
      </c>
      <c r="E35">
        <f t="shared" si="2"/>
        <v>100</v>
      </c>
      <c r="G35" t="s">
        <v>227</v>
      </c>
      <c r="H35" s="51">
        <v>6</v>
      </c>
      <c r="I35" s="51">
        <v>2024</v>
      </c>
    </row>
    <row r="36" spans="1:9" x14ac:dyDescent="0.25">
      <c r="A36">
        <v>49</v>
      </c>
      <c r="B36" s="51">
        <v>53</v>
      </c>
      <c r="C36" s="51">
        <v>239</v>
      </c>
      <c r="E36">
        <f t="shared" si="2"/>
        <v>100</v>
      </c>
      <c r="G36" t="s">
        <v>228</v>
      </c>
      <c r="H36" s="51">
        <v>8</v>
      </c>
      <c r="I36" s="51">
        <v>2024</v>
      </c>
    </row>
    <row r="37" spans="1:9" x14ac:dyDescent="0.25">
      <c r="A37">
        <v>5</v>
      </c>
      <c r="B37" s="51">
        <v>91</v>
      </c>
      <c r="C37" s="51">
        <v>260</v>
      </c>
      <c r="E37">
        <f t="shared" si="2"/>
        <v>100</v>
      </c>
      <c r="G37" t="s">
        <v>229</v>
      </c>
      <c r="H37" s="51">
        <v>4</v>
      </c>
      <c r="I37" s="51">
        <v>2024</v>
      </c>
    </row>
    <row r="38" spans="1:9" x14ac:dyDescent="0.25">
      <c r="A38">
        <v>52</v>
      </c>
      <c r="B38" s="51">
        <v>14</v>
      </c>
      <c r="C38" s="51">
        <v>101</v>
      </c>
      <c r="E38">
        <f t="shared" si="2"/>
        <v>100</v>
      </c>
      <c r="G38" t="s">
        <v>230</v>
      </c>
      <c r="H38" s="51"/>
      <c r="I38" s="51">
        <v>2024</v>
      </c>
    </row>
    <row r="39" spans="1:9" x14ac:dyDescent="0.25">
      <c r="A39">
        <v>53</v>
      </c>
      <c r="B39" s="51">
        <v>14</v>
      </c>
      <c r="C39" s="51">
        <v>105</v>
      </c>
      <c r="E39">
        <f>+$F$39</f>
        <v>11</v>
      </c>
      <c r="F39">
        <v>11</v>
      </c>
      <c r="G39" t="s">
        <v>222</v>
      </c>
      <c r="H39" s="51">
        <v>8</v>
      </c>
      <c r="I39" s="51">
        <v>167</v>
      </c>
    </row>
    <row r="40" spans="1:9" x14ac:dyDescent="0.25">
      <c r="A40">
        <v>54</v>
      </c>
      <c r="B40" s="51">
        <v>58</v>
      </c>
      <c r="C40" s="51">
        <v>202</v>
      </c>
      <c r="E40">
        <f t="shared" ref="E40:E47" si="3">+$F$39</f>
        <v>11</v>
      </c>
      <c r="G40" t="s">
        <v>223</v>
      </c>
      <c r="H40" s="51">
        <v>3</v>
      </c>
      <c r="I40" s="51">
        <v>167</v>
      </c>
    </row>
    <row r="41" spans="1:9" x14ac:dyDescent="0.25">
      <c r="A41">
        <v>56</v>
      </c>
      <c r="B41">
        <v>41</v>
      </c>
      <c r="C41" s="51">
        <v>198</v>
      </c>
      <c r="E41">
        <f t="shared" si="3"/>
        <v>11</v>
      </c>
      <c r="G41" t="s">
        <v>224</v>
      </c>
      <c r="H41" s="51">
        <v>20</v>
      </c>
      <c r="I41" s="51">
        <v>167</v>
      </c>
    </row>
    <row r="42" spans="1:9" x14ac:dyDescent="0.25">
      <c r="A42">
        <v>57</v>
      </c>
      <c r="B42" s="51">
        <v>2</v>
      </c>
      <c r="C42" s="51">
        <v>103</v>
      </c>
      <c r="E42">
        <f t="shared" si="3"/>
        <v>11</v>
      </c>
      <c r="G42" t="s">
        <v>225</v>
      </c>
      <c r="H42" s="51">
        <v>17</v>
      </c>
      <c r="I42" s="51">
        <v>167</v>
      </c>
    </row>
    <row r="43" spans="1:9" x14ac:dyDescent="0.25">
      <c r="A43">
        <v>58</v>
      </c>
      <c r="B43" s="51"/>
      <c r="C43" s="51">
        <v>120</v>
      </c>
      <c r="E43">
        <f t="shared" si="3"/>
        <v>11</v>
      </c>
      <c r="G43" t="s">
        <v>226</v>
      </c>
      <c r="H43" s="51">
        <v>33</v>
      </c>
      <c r="I43" s="51">
        <v>167</v>
      </c>
    </row>
    <row r="44" spans="1:9" x14ac:dyDescent="0.25">
      <c r="A44">
        <v>59</v>
      </c>
      <c r="B44" s="51">
        <v>1</v>
      </c>
      <c r="C44" s="51">
        <v>119</v>
      </c>
      <c r="E44">
        <f t="shared" si="3"/>
        <v>11</v>
      </c>
      <c r="G44" t="s">
        <v>227</v>
      </c>
      <c r="H44" s="51">
        <v>22</v>
      </c>
      <c r="I44" s="51">
        <v>167</v>
      </c>
    </row>
    <row r="45" spans="1:9" x14ac:dyDescent="0.25">
      <c r="A45">
        <v>7</v>
      </c>
      <c r="B45" s="51">
        <v>1</v>
      </c>
      <c r="C45" s="51">
        <v>113</v>
      </c>
      <c r="E45">
        <f t="shared" si="3"/>
        <v>11</v>
      </c>
      <c r="G45" t="s">
        <v>228</v>
      </c>
      <c r="H45" s="51">
        <v>4</v>
      </c>
      <c r="I45" s="51">
        <v>167</v>
      </c>
    </row>
    <row r="46" spans="1:9" x14ac:dyDescent="0.25">
      <c r="A46">
        <v>8</v>
      </c>
      <c r="B46" s="51">
        <v>55</v>
      </c>
      <c r="C46" s="51">
        <v>195</v>
      </c>
      <c r="E46">
        <f t="shared" si="3"/>
        <v>11</v>
      </c>
      <c r="G46" t="s">
        <v>229</v>
      </c>
      <c r="H46" s="51">
        <v>6</v>
      </c>
      <c r="I46" s="51">
        <v>167</v>
      </c>
    </row>
    <row r="47" spans="1:9" x14ac:dyDescent="0.25">
      <c r="A47">
        <v>9</v>
      </c>
      <c r="B47" s="51">
        <v>48</v>
      </c>
      <c r="C47" s="51">
        <v>161</v>
      </c>
      <c r="E47">
        <f t="shared" si="3"/>
        <v>11</v>
      </c>
      <c r="G47" t="s">
        <v>230</v>
      </c>
      <c r="H47" s="51">
        <v>5</v>
      </c>
      <c r="I47" s="51">
        <v>167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16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12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17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11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29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26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7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3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4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12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6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7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/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12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/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8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1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10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7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7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7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10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5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9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3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4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8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3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16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10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24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19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8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8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25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11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14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13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42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26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12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9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11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20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7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29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20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61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32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6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10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9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6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18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9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14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23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15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4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6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7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22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16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29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22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46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36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8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9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21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12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35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18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51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34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9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12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7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17</v>
      </c>
      <c r="I129" s="51">
        <v>72</v>
      </c>
    </row>
    <row r="130" spans="5:9" x14ac:dyDescent="0.25">
      <c r="E130">
        <f t="shared" ref="E130:E137" si="13">+$F$129</f>
        <v>22</v>
      </c>
      <c r="G130" t="s">
        <v>223</v>
      </c>
      <c r="H130" s="51">
        <v>8</v>
      </c>
      <c r="I130" s="51">
        <v>72</v>
      </c>
    </row>
    <row r="131" spans="5:9" x14ac:dyDescent="0.25">
      <c r="E131">
        <f t="shared" si="13"/>
        <v>22</v>
      </c>
      <c r="G131" t="s">
        <v>224</v>
      </c>
      <c r="H131" s="51">
        <v>13</v>
      </c>
      <c r="I131" s="51">
        <v>72</v>
      </c>
    </row>
    <row r="132" spans="5:9" x14ac:dyDescent="0.25">
      <c r="E132">
        <f t="shared" si="13"/>
        <v>22</v>
      </c>
      <c r="G132" t="s">
        <v>225</v>
      </c>
      <c r="H132" s="51">
        <v>10</v>
      </c>
      <c r="I132" s="51">
        <v>72</v>
      </c>
    </row>
    <row r="133" spans="5:9" x14ac:dyDescent="0.25">
      <c r="E133">
        <f t="shared" si="13"/>
        <v>22</v>
      </c>
      <c r="G133" t="s">
        <v>226</v>
      </c>
      <c r="H133" s="51">
        <v>22</v>
      </c>
      <c r="I133" s="51">
        <v>72</v>
      </c>
    </row>
    <row r="134" spans="5:9" x14ac:dyDescent="0.25">
      <c r="E134">
        <f t="shared" si="13"/>
        <v>22</v>
      </c>
      <c r="G134" t="s">
        <v>227</v>
      </c>
      <c r="H134" s="51">
        <v>9</v>
      </c>
      <c r="I134" s="51">
        <v>72</v>
      </c>
    </row>
    <row r="135" spans="5:9" x14ac:dyDescent="0.25">
      <c r="E135">
        <f t="shared" si="13"/>
        <v>22</v>
      </c>
      <c r="G135" t="s">
        <v>228</v>
      </c>
      <c r="H135" s="51">
        <v>17</v>
      </c>
      <c r="I135" s="51">
        <v>72</v>
      </c>
    </row>
    <row r="136" spans="5:9" x14ac:dyDescent="0.25">
      <c r="E136">
        <f t="shared" si="13"/>
        <v>22</v>
      </c>
      <c r="G136" t="s">
        <v>229</v>
      </c>
      <c r="H136" s="51">
        <v>5</v>
      </c>
      <c r="I136" s="51">
        <v>72</v>
      </c>
    </row>
    <row r="137" spans="5:9" x14ac:dyDescent="0.25">
      <c r="E137">
        <f t="shared" si="13"/>
        <v>22</v>
      </c>
      <c r="G137" t="s">
        <v>230</v>
      </c>
      <c r="H137" s="51">
        <v>11</v>
      </c>
      <c r="I137" s="51">
        <v>72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19</v>
      </c>
      <c r="I138" s="51">
        <v>160</v>
      </c>
    </row>
    <row r="139" spans="5:9" x14ac:dyDescent="0.25">
      <c r="E139">
        <f t="shared" ref="E139:E146" si="14">+$F$138</f>
        <v>23</v>
      </c>
      <c r="G139" t="s">
        <v>223</v>
      </c>
      <c r="H139" s="51">
        <v>12</v>
      </c>
      <c r="I139" s="51">
        <v>160</v>
      </c>
    </row>
    <row r="140" spans="5:9" x14ac:dyDescent="0.25">
      <c r="E140">
        <f t="shared" si="14"/>
        <v>23</v>
      </c>
      <c r="G140" t="s">
        <v>224</v>
      </c>
      <c r="H140">
        <v>35</v>
      </c>
      <c r="I140" s="51">
        <v>160</v>
      </c>
    </row>
    <row r="141" spans="5:9" x14ac:dyDescent="0.25">
      <c r="E141">
        <f t="shared" si="14"/>
        <v>23</v>
      </c>
      <c r="G141" t="s">
        <v>225</v>
      </c>
      <c r="H141" s="51">
        <v>11</v>
      </c>
      <c r="I141" s="51">
        <v>160</v>
      </c>
    </row>
    <row r="142" spans="5:9" x14ac:dyDescent="0.25">
      <c r="E142">
        <f t="shared" si="14"/>
        <v>23</v>
      </c>
      <c r="G142" t="s">
        <v>226</v>
      </c>
      <c r="H142" s="51">
        <v>54</v>
      </c>
      <c r="I142" s="51">
        <v>160</v>
      </c>
    </row>
    <row r="143" spans="5:9" x14ac:dyDescent="0.25">
      <c r="E143">
        <f t="shared" si="14"/>
        <v>23</v>
      </c>
      <c r="G143" t="s">
        <v>227</v>
      </c>
      <c r="H143" s="51">
        <v>38</v>
      </c>
      <c r="I143" s="51">
        <v>160</v>
      </c>
    </row>
    <row r="144" spans="5:9" x14ac:dyDescent="0.25">
      <c r="E144">
        <f t="shared" si="14"/>
        <v>23</v>
      </c>
      <c r="G144" t="s">
        <v>228</v>
      </c>
      <c r="H144" s="51">
        <v>5</v>
      </c>
      <c r="I144" s="51">
        <v>160</v>
      </c>
    </row>
    <row r="145" spans="5:9" x14ac:dyDescent="0.25">
      <c r="E145">
        <f t="shared" si="14"/>
        <v>23</v>
      </c>
      <c r="G145" t="s">
        <v>229</v>
      </c>
      <c r="H145" s="51">
        <v>7</v>
      </c>
      <c r="I145" s="51">
        <v>160</v>
      </c>
    </row>
    <row r="146" spans="5:9" x14ac:dyDescent="0.25">
      <c r="E146">
        <f t="shared" si="14"/>
        <v>23</v>
      </c>
      <c r="G146" t="s">
        <v>230</v>
      </c>
      <c r="H146" s="51">
        <v>5</v>
      </c>
      <c r="I146" s="51">
        <v>160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12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5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31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12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22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16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5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5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4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8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4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11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6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12</v>
      </c>
      <c r="I165" s="51">
        <v>162</v>
      </c>
    </row>
    <row r="166" spans="5:9" x14ac:dyDescent="0.25">
      <c r="E166">
        <f t="shared" ref="E166:E173" si="17">+$F$165</f>
        <v>26</v>
      </c>
      <c r="G166" t="s">
        <v>223</v>
      </c>
      <c r="H166" s="51">
        <v>6</v>
      </c>
      <c r="I166" s="51">
        <v>162</v>
      </c>
    </row>
    <row r="167" spans="5:9" x14ac:dyDescent="0.25">
      <c r="E167">
        <f t="shared" si="17"/>
        <v>26</v>
      </c>
      <c r="G167" t="s">
        <v>224</v>
      </c>
      <c r="H167" s="51">
        <v>3</v>
      </c>
      <c r="I167" s="51">
        <v>162</v>
      </c>
    </row>
    <row r="168" spans="5:9" x14ac:dyDescent="0.25">
      <c r="E168">
        <f t="shared" si="17"/>
        <v>26</v>
      </c>
      <c r="G168" t="s">
        <v>225</v>
      </c>
      <c r="H168" s="51">
        <v>15</v>
      </c>
      <c r="I168" s="51">
        <v>162</v>
      </c>
    </row>
    <row r="169" spans="5:9" x14ac:dyDescent="0.25">
      <c r="E169">
        <f t="shared" si="17"/>
        <v>26</v>
      </c>
      <c r="G169" t="s">
        <v>226</v>
      </c>
      <c r="H169" s="51">
        <v>11</v>
      </c>
      <c r="I169" s="51">
        <v>162</v>
      </c>
    </row>
    <row r="170" spans="5:9" x14ac:dyDescent="0.25">
      <c r="E170">
        <f t="shared" si="17"/>
        <v>26</v>
      </c>
      <c r="G170" t="s">
        <v>227</v>
      </c>
      <c r="H170" s="51">
        <v>12</v>
      </c>
      <c r="I170" s="51">
        <v>162</v>
      </c>
    </row>
    <row r="171" spans="5:9" x14ac:dyDescent="0.25">
      <c r="E171">
        <f t="shared" si="17"/>
        <v>26</v>
      </c>
      <c r="G171" t="s">
        <v>228</v>
      </c>
      <c r="H171" s="51">
        <v>16</v>
      </c>
      <c r="I171" s="51">
        <v>162</v>
      </c>
    </row>
    <row r="172" spans="5:9" x14ac:dyDescent="0.25">
      <c r="E172">
        <f t="shared" si="17"/>
        <v>26</v>
      </c>
      <c r="G172" t="s">
        <v>229</v>
      </c>
      <c r="H172" s="51">
        <v>6</v>
      </c>
      <c r="I172" s="51">
        <v>162</v>
      </c>
    </row>
    <row r="173" spans="5:9" x14ac:dyDescent="0.25">
      <c r="E173">
        <f t="shared" si="17"/>
        <v>26</v>
      </c>
      <c r="G173" t="s">
        <v>230</v>
      </c>
      <c r="H173" s="51">
        <v>11</v>
      </c>
      <c r="I173" s="51">
        <v>162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15</v>
      </c>
      <c r="I174" s="51">
        <v>140</v>
      </c>
    </row>
    <row r="175" spans="5:9" x14ac:dyDescent="0.25">
      <c r="E175">
        <f t="shared" ref="E175:E182" si="18">+$F$174</f>
        <v>27</v>
      </c>
      <c r="G175" t="s">
        <v>223</v>
      </c>
      <c r="H175" s="51">
        <v>3</v>
      </c>
      <c r="I175" s="51">
        <v>140</v>
      </c>
    </row>
    <row r="176" spans="5:9" x14ac:dyDescent="0.25">
      <c r="E176">
        <f t="shared" si="18"/>
        <v>27</v>
      </c>
      <c r="G176" t="s">
        <v>224</v>
      </c>
      <c r="H176" s="51">
        <v>17</v>
      </c>
      <c r="I176" s="51">
        <v>140</v>
      </c>
    </row>
    <row r="177" spans="5:9" x14ac:dyDescent="0.25">
      <c r="E177">
        <f t="shared" si="18"/>
        <v>27</v>
      </c>
      <c r="G177" t="s">
        <v>225</v>
      </c>
      <c r="H177" s="51">
        <v>11</v>
      </c>
      <c r="I177" s="51">
        <v>140</v>
      </c>
    </row>
    <row r="178" spans="5:9" x14ac:dyDescent="0.25">
      <c r="E178">
        <f t="shared" si="18"/>
        <v>27</v>
      </c>
      <c r="G178" t="s">
        <v>226</v>
      </c>
      <c r="H178" s="51">
        <v>32</v>
      </c>
      <c r="I178" s="51">
        <v>140</v>
      </c>
    </row>
    <row r="179" spans="5:9" x14ac:dyDescent="0.25">
      <c r="E179">
        <f t="shared" si="18"/>
        <v>27</v>
      </c>
      <c r="G179" t="s">
        <v>227</v>
      </c>
      <c r="H179" s="51">
        <v>27</v>
      </c>
      <c r="I179" s="51">
        <v>140</v>
      </c>
    </row>
    <row r="180" spans="5:9" x14ac:dyDescent="0.25">
      <c r="E180">
        <f t="shared" si="18"/>
        <v>27</v>
      </c>
      <c r="G180" t="s">
        <v>228</v>
      </c>
      <c r="H180">
        <v>9</v>
      </c>
      <c r="I180" s="51">
        <v>140</v>
      </c>
    </row>
    <row r="181" spans="5:9" x14ac:dyDescent="0.25">
      <c r="E181">
        <f t="shared" si="18"/>
        <v>27</v>
      </c>
      <c r="G181" t="s">
        <v>229</v>
      </c>
      <c r="H181" s="51">
        <v>11</v>
      </c>
      <c r="I181" s="51">
        <v>140</v>
      </c>
    </row>
    <row r="182" spans="5:9" x14ac:dyDescent="0.25">
      <c r="E182">
        <f t="shared" si="18"/>
        <v>27</v>
      </c>
      <c r="G182" t="s">
        <v>230</v>
      </c>
      <c r="H182" s="51">
        <v>4</v>
      </c>
      <c r="I182" s="51">
        <v>140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12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4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9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9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29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22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3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5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2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11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10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27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10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40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28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7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7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4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3</v>
      </c>
      <c r="I201" s="51">
        <v>138</v>
      </c>
    </row>
    <row r="202" spans="5:9" x14ac:dyDescent="0.25">
      <c r="E202">
        <f t="shared" ref="E202:E209" si="21">+$F$201</f>
        <v>30</v>
      </c>
      <c r="G202" t="s">
        <v>223</v>
      </c>
      <c r="H202" s="51"/>
      <c r="I202" s="51">
        <v>138</v>
      </c>
    </row>
    <row r="203" spans="5:9" x14ac:dyDescent="0.25">
      <c r="E203">
        <f t="shared" si="21"/>
        <v>30</v>
      </c>
      <c r="G203" t="s">
        <v>224</v>
      </c>
      <c r="H203" s="51">
        <v>2</v>
      </c>
      <c r="I203" s="51">
        <v>138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138</v>
      </c>
    </row>
    <row r="205" spans="5:9" x14ac:dyDescent="0.25">
      <c r="E205">
        <f t="shared" si="21"/>
        <v>30</v>
      </c>
      <c r="G205" t="s">
        <v>226</v>
      </c>
      <c r="H205" s="51">
        <v>3</v>
      </c>
      <c r="I205" s="51">
        <v>138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138</v>
      </c>
    </row>
    <row r="207" spans="5:9" x14ac:dyDescent="0.25">
      <c r="E207">
        <f t="shared" si="21"/>
        <v>30</v>
      </c>
      <c r="G207" t="s">
        <v>228</v>
      </c>
      <c r="H207" s="51">
        <v>2</v>
      </c>
      <c r="I207" s="51">
        <v>138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138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138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21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5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21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12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45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24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7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12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6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7</v>
      </c>
      <c r="I219" s="51">
        <v>56</v>
      </c>
    </row>
    <row r="220" spans="5:9" x14ac:dyDescent="0.25">
      <c r="E220">
        <f t="shared" ref="E220:E227" si="23">+$F$219</f>
        <v>32</v>
      </c>
      <c r="G220" t="s">
        <v>223</v>
      </c>
      <c r="H220" s="51">
        <v>1</v>
      </c>
      <c r="I220" s="51">
        <v>56</v>
      </c>
    </row>
    <row r="221" spans="5:9" x14ac:dyDescent="0.25">
      <c r="E221">
        <f t="shared" si="23"/>
        <v>32</v>
      </c>
      <c r="G221" t="s">
        <v>224</v>
      </c>
      <c r="H221" s="51">
        <v>4</v>
      </c>
      <c r="I221" s="51">
        <v>56</v>
      </c>
    </row>
    <row r="222" spans="5:9" x14ac:dyDescent="0.25">
      <c r="E222">
        <f t="shared" si="23"/>
        <v>32</v>
      </c>
      <c r="G222" t="s">
        <v>225</v>
      </c>
      <c r="H222" s="51">
        <v>5</v>
      </c>
      <c r="I222" s="51">
        <v>56</v>
      </c>
    </row>
    <row r="223" spans="5:9" x14ac:dyDescent="0.25">
      <c r="E223">
        <f t="shared" si="23"/>
        <v>32</v>
      </c>
      <c r="G223" t="s">
        <v>226</v>
      </c>
      <c r="H223" s="51">
        <v>11</v>
      </c>
      <c r="I223" s="51">
        <v>56</v>
      </c>
    </row>
    <row r="224" spans="5:9" x14ac:dyDescent="0.25">
      <c r="E224">
        <f t="shared" si="23"/>
        <v>32</v>
      </c>
      <c r="G224" t="s">
        <v>227</v>
      </c>
      <c r="H224" s="51">
        <v>7</v>
      </c>
      <c r="I224" s="51">
        <v>56</v>
      </c>
    </row>
    <row r="225" spans="5:9" x14ac:dyDescent="0.25">
      <c r="E225">
        <f t="shared" si="23"/>
        <v>32</v>
      </c>
      <c r="G225" t="s">
        <v>228</v>
      </c>
      <c r="H225" s="51">
        <v>10</v>
      </c>
      <c r="I225" s="51">
        <v>56</v>
      </c>
    </row>
    <row r="226" spans="5:9" x14ac:dyDescent="0.25">
      <c r="E226">
        <f t="shared" si="23"/>
        <v>32</v>
      </c>
      <c r="G226" t="s">
        <v>229</v>
      </c>
      <c r="H226" s="51">
        <v>6</v>
      </c>
      <c r="I226" s="51">
        <v>56</v>
      </c>
    </row>
    <row r="227" spans="5:9" x14ac:dyDescent="0.25">
      <c r="E227">
        <f t="shared" si="23"/>
        <v>32</v>
      </c>
      <c r="G227" t="s">
        <v>230</v>
      </c>
      <c r="H227" s="51">
        <v>5</v>
      </c>
      <c r="I227" s="51">
        <v>56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12</v>
      </c>
      <c r="I228" s="51">
        <v>172</v>
      </c>
    </row>
    <row r="229" spans="5:9" x14ac:dyDescent="0.25">
      <c r="E229">
        <f t="shared" ref="E229:E236" si="24">+$F$228</f>
        <v>33</v>
      </c>
      <c r="G229" t="s">
        <v>223</v>
      </c>
      <c r="H229" s="51">
        <v>12</v>
      </c>
      <c r="I229" s="51">
        <v>172</v>
      </c>
    </row>
    <row r="230" spans="5:9" x14ac:dyDescent="0.25">
      <c r="E230">
        <f t="shared" si="24"/>
        <v>33</v>
      </c>
      <c r="G230" t="s">
        <v>224</v>
      </c>
      <c r="H230" s="51">
        <v>17</v>
      </c>
      <c r="I230" s="51">
        <v>172</v>
      </c>
    </row>
    <row r="231" spans="5:9" x14ac:dyDescent="0.25">
      <c r="E231">
        <f t="shared" si="24"/>
        <v>33</v>
      </c>
      <c r="G231" t="s">
        <v>225</v>
      </c>
      <c r="H231" s="51">
        <v>11</v>
      </c>
      <c r="I231" s="51">
        <v>172</v>
      </c>
    </row>
    <row r="232" spans="5:9" x14ac:dyDescent="0.25">
      <c r="E232">
        <f t="shared" si="24"/>
        <v>33</v>
      </c>
      <c r="G232" t="s">
        <v>226</v>
      </c>
      <c r="H232" s="51">
        <v>23</v>
      </c>
      <c r="I232" s="51">
        <v>172</v>
      </c>
    </row>
    <row r="233" spans="5:9" x14ac:dyDescent="0.25">
      <c r="E233">
        <f t="shared" si="24"/>
        <v>33</v>
      </c>
      <c r="G233" t="s">
        <v>227</v>
      </c>
      <c r="H233" s="51">
        <v>22</v>
      </c>
      <c r="I233" s="51">
        <v>172</v>
      </c>
    </row>
    <row r="234" spans="5:9" x14ac:dyDescent="0.25">
      <c r="E234">
        <f t="shared" si="24"/>
        <v>33</v>
      </c>
      <c r="G234" t="s">
        <v>228</v>
      </c>
      <c r="H234" s="51">
        <v>2</v>
      </c>
      <c r="I234" s="51">
        <v>172</v>
      </c>
    </row>
    <row r="235" spans="5:9" x14ac:dyDescent="0.25">
      <c r="E235">
        <f t="shared" si="24"/>
        <v>33</v>
      </c>
      <c r="G235" t="s">
        <v>229</v>
      </c>
      <c r="H235" s="51">
        <v>5</v>
      </c>
      <c r="I235" s="51">
        <v>172</v>
      </c>
    </row>
    <row r="236" spans="5:9" x14ac:dyDescent="0.25">
      <c r="E236">
        <f t="shared" si="24"/>
        <v>33</v>
      </c>
      <c r="G236" t="s">
        <v>230</v>
      </c>
      <c r="H236">
        <v>3</v>
      </c>
      <c r="I236" s="51">
        <v>172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8</v>
      </c>
      <c r="I237" s="51">
        <v>156</v>
      </c>
    </row>
    <row r="238" spans="5:9" x14ac:dyDescent="0.25">
      <c r="E238">
        <f t="shared" ref="E238:E245" si="25">+$F$237</f>
        <v>36</v>
      </c>
      <c r="G238" t="s">
        <v>223</v>
      </c>
      <c r="H238" s="51">
        <v>4</v>
      </c>
      <c r="I238" s="51">
        <v>156</v>
      </c>
    </row>
    <row r="239" spans="5:9" x14ac:dyDescent="0.25">
      <c r="E239">
        <f t="shared" si="25"/>
        <v>36</v>
      </c>
      <c r="G239" t="s">
        <v>224</v>
      </c>
      <c r="H239" s="51">
        <v>17</v>
      </c>
      <c r="I239" s="51">
        <v>156</v>
      </c>
    </row>
    <row r="240" spans="5:9" x14ac:dyDescent="0.25">
      <c r="E240">
        <f t="shared" si="25"/>
        <v>36</v>
      </c>
      <c r="G240" t="s">
        <v>225</v>
      </c>
      <c r="H240" s="51">
        <v>13</v>
      </c>
      <c r="I240" s="51">
        <v>156</v>
      </c>
    </row>
    <row r="241" spans="5:9" x14ac:dyDescent="0.25">
      <c r="E241">
        <f t="shared" si="25"/>
        <v>36</v>
      </c>
      <c r="G241" t="s">
        <v>226</v>
      </c>
      <c r="H241" s="51">
        <v>32</v>
      </c>
      <c r="I241" s="51">
        <v>156</v>
      </c>
    </row>
    <row r="242" spans="5:9" x14ac:dyDescent="0.25">
      <c r="E242">
        <f t="shared" si="25"/>
        <v>36</v>
      </c>
      <c r="G242" t="s">
        <v>227</v>
      </c>
      <c r="H242" s="51">
        <v>14</v>
      </c>
      <c r="I242" s="51">
        <v>156</v>
      </c>
    </row>
    <row r="243" spans="5:9" x14ac:dyDescent="0.25">
      <c r="E243">
        <f t="shared" si="25"/>
        <v>36</v>
      </c>
      <c r="G243" t="s">
        <v>228</v>
      </c>
      <c r="H243" s="51">
        <v>6</v>
      </c>
      <c r="I243" s="51">
        <v>156</v>
      </c>
    </row>
    <row r="244" spans="5:9" x14ac:dyDescent="0.25">
      <c r="E244">
        <f t="shared" si="25"/>
        <v>36</v>
      </c>
      <c r="G244" t="s">
        <v>229</v>
      </c>
      <c r="H244">
        <v>2</v>
      </c>
      <c r="I244" s="51">
        <v>156</v>
      </c>
    </row>
    <row r="245" spans="5:9" x14ac:dyDescent="0.25">
      <c r="E245">
        <f t="shared" si="25"/>
        <v>36</v>
      </c>
      <c r="G245" t="s">
        <v>230</v>
      </c>
      <c r="H245" s="51">
        <v>2</v>
      </c>
      <c r="I245" s="51">
        <v>156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2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4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12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10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6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5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3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10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9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17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17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36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16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8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7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7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7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1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12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11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26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15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7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4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3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/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/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/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/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11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10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29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14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44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32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6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5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4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8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8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24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6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19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11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19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7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8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24</v>
      </c>
      <c r="I309" s="51">
        <v>260</v>
      </c>
    </row>
    <row r="310" spans="5:9" x14ac:dyDescent="0.25">
      <c r="E310">
        <f t="shared" ref="E310:E317" si="33">+$F$309</f>
        <v>5</v>
      </c>
      <c r="G310" t="s">
        <v>223</v>
      </c>
      <c r="H310">
        <v>11</v>
      </c>
      <c r="I310" s="51">
        <v>260</v>
      </c>
    </row>
    <row r="311" spans="5:9" x14ac:dyDescent="0.25">
      <c r="E311">
        <f t="shared" si="33"/>
        <v>5</v>
      </c>
      <c r="G311" t="s">
        <v>224</v>
      </c>
      <c r="H311">
        <v>32</v>
      </c>
      <c r="I311" s="51">
        <v>260</v>
      </c>
    </row>
    <row r="312" spans="5:9" x14ac:dyDescent="0.25">
      <c r="E312">
        <f t="shared" si="33"/>
        <v>5</v>
      </c>
      <c r="G312" t="s">
        <v>225</v>
      </c>
      <c r="H312">
        <v>13</v>
      </c>
      <c r="I312" s="51">
        <v>260</v>
      </c>
    </row>
    <row r="313" spans="5:9" x14ac:dyDescent="0.25">
      <c r="E313">
        <f t="shared" si="33"/>
        <v>5</v>
      </c>
      <c r="G313" t="s">
        <v>226</v>
      </c>
      <c r="H313">
        <v>46</v>
      </c>
      <c r="I313" s="51">
        <v>260</v>
      </c>
    </row>
    <row r="314" spans="5:9" x14ac:dyDescent="0.25">
      <c r="E314">
        <f t="shared" si="33"/>
        <v>5</v>
      </c>
      <c r="G314" t="s">
        <v>227</v>
      </c>
      <c r="H314">
        <v>31</v>
      </c>
      <c r="I314" s="51">
        <v>260</v>
      </c>
    </row>
    <row r="315" spans="5:9" x14ac:dyDescent="0.25">
      <c r="E315">
        <f t="shared" si="33"/>
        <v>5</v>
      </c>
      <c r="G315" t="s">
        <v>228</v>
      </c>
      <c r="H315" s="51">
        <v>14</v>
      </c>
      <c r="I315" s="51">
        <v>260</v>
      </c>
    </row>
    <row r="316" spans="5:9" x14ac:dyDescent="0.25">
      <c r="E316">
        <f t="shared" si="33"/>
        <v>5</v>
      </c>
      <c r="G316" t="s">
        <v>229</v>
      </c>
      <c r="H316">
        <v>11</v>
      </c>
      <c r="I316" s="51">
        <v>260</v>
      </c>
    </row>
    <row r="317" spans="5:9" x14ac:dyDescent="0.25">
      <c r="E317">
        <f t="shared" si="33"/>
        <v>5</v>
      </c>
      <c r="G317" t="s">
        <v>230</v>
      </c>
      <c r="H317" s="51">
        <v>9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1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14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14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11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9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23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22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31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24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5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6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13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6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8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17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6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14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6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18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4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2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103</v>
      </c>
    </row>
    <row r="355" spans="5:9" x14ac:dyDescent="0.25">
      <c r="E355">
        <f t="shared" ref="E355:E362" si="38">+$F$354</f>
        <v>57</v>
      </c>
      <c r="G355" t="s">
        <v>223</v>
      </c>
      <c r="H355" s="51"/>
      <c r="I355" s="51">
        <v>103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103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103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103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103</v>
      </c>
    </row>
    <row r="360" spans="5:9" x14ac:dyDescent="0.25">
      <c r="E360">
        <f t="shared" si="38"/>
        <v>57</v>
      </c>
      <c r="G360" t="s">
        <v>228</v>
      </c>
      <c r="H360" s="51">
        <v>2</v>
      </c>
      <c r="I360" s="51">
        <v>103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103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103</v>
      </c>
    </row>
    <row r="363" spans="5:9" x14ac:dyDescent="0.25">
      <c r="E363">
        <f>+$F$363</f>
        <v>58</v>
      </c>
      <c r="F363">
        <v>58</v>
      </c>
      <c r="G363" t="s">
        <v>222</v>
      </c>
      <c r="H363" s="51"/>
      <c r="I363" s="51">
        <v>120</v>
      </c>
    </row>
    <row r="364" spans="5:9" x14ac:dyDescent="0.25">
      <c r="E364">
        <f t="shared" ref="E364:E371" si="39">+$F$363</f>
        <v>58</v>
      </c>
      <c r="G364" t="s">
        <v>223</v>
      </c>
      <c r="H364" s="51"/>
      <c r="I364" s="51">
        <v>120</v>
      </c>
    </row>
    <row r="365" spans="5:9" x14ac:dyDescent="0.25">
      <c r="E365">
        <f t="shared" si="39"/>
        <v>58</v>
      </c>
      <c r="G365" t="s">
        <v>224</v>
      </c>
      <c r="H365" s="51"/>
      <c r="I365" s="51">
        <v>120</v>
      </c>
    </row>
    <row r="366" spans="5:9" x14ac:dyDescent="0.25">
      <c r="E366">
        <f t="shared" si="39"/>
        <v>58</v>
      </c>
      <c r="G366" t="s">
        <v>225</v>
      </c>
      <c r="H366" s="51"/>
      <c r="I366" s="51">
        <v>120</v>
      </c>
    </row>
    <row r="367" spans="5:9" x14ac:dyDescent="0.25">
      <c r="E367">
        <f t="shared" si="39"/>
        <v>58</v>
      </c>
      <c r="G367" t="s">
        <v>226</v>
      </c>
      <c r="H367" s="51"/>
      <c r="I367" s="51">
        <v>120</v>
      </c>
    </row>
    <row r="368" spans="5:9" x14ac:dyDescent="0.25">
      <c r="E368">
        <f t="shared" si="39"/>
        <v>58</v>
      </c>
      <c r="G368" t="s">
        <v>227</v>
      </c>
      <c r="H368" s="51"/>
      <c r="I368" s="51">
        <v>120</v>
      </c>
    </row>
    <row r="369" spans="5:9" x14ac:dyDescent="0.25">
      <c r="E369">
        <f t="shared" si="39"/>
        <v>58</v>
      </c>
      <c r="G369" t="s">
        <v>228</v>
      </c>
      <c r="H369" s="51"/>
      <c r="I369" s="51">
        <v>120</v>
      </c>
    </row>
    <row r="370" spans="5:9" x14ac:dyDescent="0.25">
      <c r="E370">
        <f t="shared" si="39"/>
        <v>58</v>
      </c>
      <c r="G370" t="s">
        <v>229</v>
      </c>
      <c r="H370" s="51"/>
      <c r="I370" s="51">
        <v>120</v>
      </c>
    </row>
    <row r="371" spans="5:9" x14ac:dyDescent="0.25">
      <c r="E371">
        <f t="shared" si="39"/>
        <v>58</v>
      </c>
      <c r="G371" t="s">
        <v>230</v>
      </c>
      <c r="H371" s="35"/>
      <c r="I371" s="35">
        <v>120</v>
      </c>
    </row>
    <row r="372" spans="5:9" x14ac:dyDescent="0.25">
      <c r="E372">
        <f>+$F$372</f>
        <v>59</v>
      </c>
      <c r="F372">
        <v>59</v>
      </c>
      <c r="G372" t="s">
        <v>222</v>
      </c>
      <c r="I372">
        <v>119</v>
      </c>
    </row>
    <row r="373" spans="5:9" x14ac:dyDescent="0.25">
      <c r="E373">
        <f t="shared" ref="E373:E380" si="40">+$F$372</f>
        <v>59</v>
      </c>
      <c r="G373" t="s">
        <v>223</v>
      </c>
      <c r="H373">
        <v>1</v>
      </c>
      <c r="I373">
        <v>119</v>
      </c>
    </row>
    <row r="374" spans="5:9" x14ac:dyDescent="0.25">
      <c r="E374">
        <f t="shared" si="40"/>
        <v>59</v>
      </c>
      <c r="G374" t="s">
        <v>224</v>
      </c>
      <c r="I374">
        <v>119</v>
      </c>
    </row>
    <row r="375" spans="5:9" x14ac:dyDescent="0.25">
      <c r="E375">
        <f t="shared" si="40"/>
        <v>59</v>
      </c>
      <c r="G375" t="s">
        <v>225</v>
      </c>
      <c r="I375">
        <v>119</v>
      </c>
    </row>
    <row r="376" spans="5:9" x14ac:dyDescent="0.25">
      <c r="E376">
        <f t="shared" si="40"/>
        <v>59</v>
      </c>
      <c r="G376" t="s">
        <v>226</v>
      </c>
      <c r="I376">
        <v>119</v>
      </c>
    </row>
    <row r="377" spans="5:9" x14ac:dyDescent="0.25">
      <c r="E377">
        <f t="shared" si="40"/>
        <v>59</v>
      </c>
      <c r="G377" t="s">
        <v>227</v>
      </c>
      <c r="I377">
        <v>119</v>
      </c>
    </row>
    <row r="378" spans="5:9" x14ac:dyDescent="0.25">
      <c r="E378">
        <f t="shared" si="40"/>
        <v>59</v>
      </c>
      <c r="G378" t="s">
        <v>228</v>
      </c>
      <c r="I378">
        <v>119</v>
      </c>
    </row>
    <row r="379" spans="5:9" x14ac:dyDescent="0.25">
      <c r="E379">
        <f t="shared" si="40"/>
        <v>59</v>
      </c>
      <c r="G379" t="s">
        <v>229</v>
      </c>
      <c r="I379">
        <v>119</v>
      </c>
    </row>
    <row r="380" spans="5:9" x14ac:dyDescent="0.25">
      <c r="E380">
        <f t="shared" si="40"/>
        <v>59</v>
      </c>
      <c r="G380" t="s">
        <v>230</v>
      </c>
      <c r="I380">
        <v>119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1</v>
      </c>
      <c r="I381">
        <v>113</v>
      </c>
    </row>
    <row r="382" spans="5:9" x14ac:dyDescent="0.25">
      <c r="E382">
        <f t="shared" ref="E382:E389" si="41">+$F$381</f>
        <v>7</v>
      </c>
      <c r="G382" t="s">
        <v>223</v>
      </c>
      <c r="I382">
        <v>113</v>
      </c>
    </row>
    <row r="383" spans="5:9" x14ac:dyDescent="0.25">
      <c r="E383">
        <f t="shared" si="41"/>
        <v>7</v>
      </c>
      <c r="G383" t="s">
        <v>224</v>
      </c>
      <c r="H383">
        <v>1</v>
      </c>
      <c r="I383">
        <v>113</v>
      </c>
    </row>
    <row r="384" spans="5:9" x14ac:dyDescent="0.25">
      <c r="E384">
        <f t="shared" si="41"/>
        <v>7</v>
      </c>
      <c r="G384" t="s">
        <v>225</v>
      </c>
      <c r="I384">
        <v>113</v>
      </c>
    </row>
    <row r="385" spans="5:9" x14ac:dyDescent="0.25">
      <c r="E385">
        <f t="shared" si="41"/>
        <v>7</v>
      </c>
      <c r="G385" t="s">
        <v>226</v>
      </c>
      <c r="H385">
        <v>1</v>
      </c>
      <c r="I385">
        <v>113</v>
      </c>
    </row>
    <row r="386" spans="5:9" x14ac:dyDescent="0.25">
      <c r="E386">
        <f t="shared" si="41"/>
        <v>7</v>
      </c>
      <c r="G386" t="s">
        <v>227</v>
      </c>
      <c r="I386">
        <v>113</v>
      </c>
    </row>
    <row r="387" spans="5:9" x14ac:dyDescent="0.25">
      <c r="E387">
        <f t="shared" si="41"/>
        <v>7</v>
      </c>
      <c r="G387" t="s">
        <v>228</v>
      </c>
      <c r="H387">
        <v>1</v>
      </c>
      <c r="I387">
        <v>113</v>
      </c>
    </row>
    <row r="388" spans="5:9" x14ac:dyDescent="0.25">
      <c r="E388">
        <f t="shared" si="41"/>
        <v>7</v>
      </c>
      <c r="G388" t="s">
        <v>229</v>
      </c>
      <c r="I388">
        <v>113</v>
      </c>
    </row>
    <row r="389" spans="5:9" x14ac:dyDescent="0.25">
      <c r="E389">
        <f t="shared" si="41"/>
        <v>7</v>
      </c>
      <c r="G389" t="s">
        <v>230</v>
      </c>
      <c r="I389">
        <v>113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15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3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16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7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26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22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7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7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6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11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15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13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13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19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22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2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7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5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2026-06-04T17:46:04Z</dcterms:modified>
</cp:coreProperties>
</file>