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EE5142E9-CCC7-48FF-B9BC-E9FD18CCCDF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<sst xmlns="http://schemas.openxmlformats.org/spreadsheetml/2006/main" count="1520" uniqueCount="287">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</sst>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1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0" t="s">
        <v>76</v>
      </c>
      <c r="B1" s="150" t="s">
        <v>147</v>
      </c>
      <c r="C1" s="150" t="s">
        <v>148</v>
      </c>
      <c r="D1" s="150" t="s">
        <v>149</v>
      </c>
      <c r="E1" s="150" t="s">
        <v>150</v>
      </c>
      <c r="F1" s="150" t="s">
        <v>151</v>
      </c>
      <c r="G1" s="150" t="s">
        <v>152</v>
      </c>
      <c r="H1" s="150" t="s">
        <v>153</v>
      </c>
    </row>
    <row r="2" spans="1:8" x14ac:dyDescent="0.25">
      <c r="A2" s="149" t="s">
        <v>154</v>
      </c>
      <c r="B2" s="149">
        <v>0</v>
      </c>
      <c r="C2" s="149">
        <v>97354.724100328094</v>
      </c>
      <c r="D2" s="149">
        <v>444033.30515155563</v>
      </c>
      <c r="E2" s="149">
        <v>1653960274.6759706</v>
      </c>
      <c r="F2" s="149">
        <v>0</v>
      </c>
      <c r="G2" s="149">
        <v>734111.01496463281</v>
      </c>
      <c r="H2" s="149">
        <v>734111.52</v>
      </c>
    </row>
    <row r="3" spans="1:8" x14ac:dyDescent="0.25">
      <c r="A3" s="149" t="s">
        <v>81</v>
      </c>
      <c r="B3" s="149">
        <v>1</v>
      </c>
      <c r="C3" s="149">
        <v>961.25025369210005</v>
      </c>
      <c r="D3" s="149">
        <v>1988.9089941862001</v>
      </c>
      <c r="E3" s="149">
        <v>24470367.165487725</v>
      </c>
      <c r="F3" s="149">
        <v>0</v>
      </c>
      <c r="G3" s="149">
        <v>734111.01496463281</v>
      </c>
      <c r="H3" s="149">
        <v>734111.52</v>
      </c>
    </row>
    <row r="4" spans="1:8" x14ac:dyDescent="0.25">
      <c r="A4" s="149" t="s">
        <v>82</v>
      </c>
      <c r="B4" s="149">
        <v>1</v>
      </c>
      <c r="C4" s="149">
        <v>708.64088690100004</v>
      </c>
      <c r="D4" s="149">
        <v>1380.8460654761</v>
      </c>
      <c r="E4" s="149">
        <v>18802479.760139175</v>
      </c>
      <c r="F4" s="149">
        <v>0</v>
      </c>
      <c r="G4" s="149">
        <v>0</v>
      </c>
      <c r="H4" s="149">
        <v>0</v>
      </c>
    </row>
    <row r="5" spans="1:8" x14ac:dyDescent="0.25">
      <c r="A5" s="149" t="s">
        <v>83</v>
      </c>
      <c r="B5" s="149">
        <v>1</v>
      </c>
      <c r="C5" s="149">
        <v>1016.4523280395</v>
      </c>
      <c r="D5" s="149">
        <v>3598.4224523788998</v>
      </c>
      <c r="E5" s="149">
        <v>20717753.349515107</v>
      </c>
      <c r="F5" s="149">
        <v>0</v>
      </c>
      <c r="G5" s="149">
        <v>0</v>
      </c>
      <c r="H5" s="149">
        <v>0</v>
      </c>
    </row>
    <row r="6" spans="1:8" x14ac:dyDescent="0.25">
      <c r="A6" s="149" t="s">
        <v>84</v>
      </c>
      <c r="B6" s="149">
        <v>1</v>
      </c>
      <c r="C6" s="149">
        <v>2241.0186309518999</v>
      </c>
      <c r="D6" s="149">
        <v>4830.1548690889003</v>
      </c>
      <c r="E6" s="149">
        <v>39990211.496653654</v>
      </c>
      <c r="F6" s="149">
        <v>0</v>
      </c>
      <c r="G6" s="149">
        <v>0</v>
      </c>
      <c r="H6" s="149">
        <v>0</v>
      </c>
    </row>
    <row r="7" spans="1:8" x14ac:dyDescent="0.25">
      <c r="A7" s="149" t="s">
        <v>85</v>
      </c>
      <c r="B7" s="149">
        <v>1</v>
      </c>
      <c r="C7" s="149">
        <v>2012.1411587283001</v>
      </c>
      <c r="D7" s="149">
        <v>7139.8567857342996</v>
      </c>
      <c r="E7" s="149">
        <v>38810951.591422051</v>
      </c>
      <c r="F7" s="149">
        <v>0</v>
      </c>
      <c r="G7" s="149">
        <v>0</v>
      </c>
      <c r="H7" s="149">
        <v>0</v>
      </c>
    </row>
    <row r="8" spans="1:8" x14ac:dyDescent="0.25">
      <c r="A8" s="149" t="s">
        <v>111</v>
      </c>
      <c r="B8" s="149">
        <v>1</v>
      </c>
      <c r="C8" s="149">
        <v>3962.4697407408999</v>
      </c>
      <c r="D8" s="149">
        <v>10376.926476855801</v>
      </c>
      <c r="E8" s="149">
        <v>59403378.702583797</v>
      </c>
      <c r="F8" s="149">
        <v>0</v>
      </c>
      <c r="G8" s="149">
        <v>0</v>
      </c>
      <c r="H8" s="149">
        <v>0</v>
      </c>
    </row>
    <row r="9" spans="1:8" x14ac:dyDescent="0.25">
      <c r="A9" s="149" t="s">
        <v>86</v>
      </c>
      <c r="B9" s="149">
        <v>1</v>
      </c>
      <c r="C9" s="149">
        <v>1210.6970595239</v>
      </c>
      <c r="D9" s="149">
        <v>4670.3718393060999</v>
      </c>
      <c r="E9" s="149">
        <v>21605185.998899002</v>
      </c>
      <c r="F9" s="149">
        <v>0</v>
      </c>
      <c r="G9" s="149">
        <v>0</v>
      </c>
      <c r="H9" s="149">
        <v>0</v>
      </c>
    </row>
    <row r="10" spans="1:8" x14ac:dyDescent="0.25">
      <c r="A10" s="149" t="s">
        <v>87</v>
      </c>
      <c r="B10" s="149">
        <v>1</v>
      </c>
      <c r="C10" s="149">
        <v>818.17229960240002</v>
      </c>
      <c r="D10" s="149">
        <v>2379.2749277198</v>
      </c>
      <c r="E10" s="149">
        <v>21103395.521965481</v>
      </c>
      <c r="F10" s="149">
        <v>0</v>
      </c>
      <c r="G10" s="149">
        <v>0</v>
      </c>
      <c r="H10" s="149">
        <v>0</v>
      </c>
    </row>
    <row r="11" spans="1:8" x14ac:dyDescent="0.25">
      <c r="A11" s="149" t="s">
        <v>213</v>
      </c>
      <c r="B11" s="149">
        <v>1</v>
      </c>
      <c r="C11" s="149">
        <v>1050.4364285694001</v>
      </c>
      <c r="D11" s="149">
        <v>2072.5810238071999</v>
      </c>
      <c r="E11" s="149">
        <v>17244550.074721541</v>
      </c>
      <c r="F11" s="149">
        <v>0</v>
      </c>
      <c r="G11" s="149">
        <v>0</v>
      </c>
      <c r="H11" s="149">
        <v>0</v>
      </c>
    </row>
    <row r="12" spans="1:8" x14ac:dyDescent="0.25">
      <c r="A12" s="149" t="s">
        <v>212</v>
      </c>
      <c r="B12" s="149">
        <v>1</v>
      </c>
      <c r="C12" s="149">
        <v>1470.3993492016</v>
      </c>
      <c r="D12" s="149">
        <v>6492.5471190362996</v>
      </c>
      <c r="E12" s="149">
        <v>25015491.549096961</v>
      </c>
      <c r="F12" s="149">
        <v>0</v>
      </c>
      <c r="G12" s="149">
        <v>0</v>
      </c>
      <c r="H12" s="149">
        <v>0</v>
      </c>
    </row>
    <row r="13" spans="1:8" x14ac:dyDescent="0.25">
      <c r="A13" s="149" t="s">
        <v>90</v>
      </c>
      <c r="B13" s="149">
        <v>1</v>
      </c>
      <c r="C13" s="149">
        <v>2086.6228372975002</v>
      </c>
      <c r="D13" s="149">
        <v>5264.6513809531998</v>
      </c>
      <c r="E13" s="149">
        <v>34257637.396055132</v>
      </c>
      <c r="F13" s="149">
        <v>0</v>
      </c>
      <c r="G13" s="149">
        <v>0</v>
      </c>
      <c r="H13" s="149">
        <v>0</v>
      </c>
    </row>
    <row r="14" spans="1:8" x14ac:dyDescent="0.25">
      <c r="A14" s="149" t="s">
        <v>91</v>
      </c>
      <c r="B14" s="149">
        <v>1</v>
      </c>
      <c r="C14" s="149">
        <v>6124.9446428581996</v>
      </c>
      <c r="D14" s="149">
        <v>49993.985916668797</v>
      </c>
      <c r="E14" s="149">
        <v>107458900.02742086</v>
      </c>
      <c r="F14" s="149">
        <v>0</v>
      </c>
      <c r="G14" s="149">
        <v>0</v>
      </c>
      <c r="H14" s="149">
        <v>0</v>
      </c>
    </row>
    <row r="15" spans="1:8" x14ac:dyDescent="0.25">
      <c r="A15" s="149" t="s">
        <v>92</v>
      </c>
      <c r="B15" s="149">
        <v>1</v>
      </c>
      <c r="C15" s="149">
        <v>1698.5277777755</v>
      </c>
      <c r="D15" s="149">
        <v>6220.1746666671997</v>
      </c>
      <c r="E15" s="149">
        <v>32127304.163806073</v>
      </c>
      <c r="F15" s="149">
        <v>0</v>
      </c>
      <c r="G15" s="149">
        <v>0</v>
      </c>
      <c r="H15" s="149">
        <v>0</v>
      </c>
    </row>
    <row r="16" spans="1:8" x14ac:dyDescent="0.25">
      <c r="A16" s="149" t="s">
        <v>93</v>
      </c>
      <c r="B16" s="149">
        <v>1</v>
      </c>
      <c r="C16" s="149">
        <v>854.423650791</v>
      </c>
      <c r="D16" s="149">
        <v>3960.8346949702</v>
      </c>
      <c r="E16" s="149">
        <v>21195317.753972314</v>
      </c>
      <c r="F16" s="149">
        <v>0</v>
      </c>
      <c r="G16" s="149">
        <v>0</v>
      </c>
      <c r="H16" s="149">
        <v>0</v>
      </c>
    </row>
    <row r="17" spans="1:8" x14ac:dyDescent="0.25">
      <c r="A17" s="149" t="s">
        <v>94</v>
      </c>
      <c r="B17" s="149">
        <v>1</v>
      </c>
      <c r="C17" s="149">
        <v>1927.2058769804</v>
      </c>
      <c r="D17" s="149">
        <v>7043.3212916752</v>
      </c>
      <c r="E17" s="149">
        <v>37990396.607466161</v>
      </c>
      <c r="F17" s="149">
        <v>0</v>
      </c>
      <c r="G17" s="149">
        <v>0</v>
      </c>
      <c r="H17" s="149">
        <v>0</v>
      </c>
    </row>
    <row r="18" spans="1:8" x14ac:dyDescent="0.25">
      <c r="A18" s="149" t="s">
        <v>95</v>
      </c>
      <c r="B18" s="149">
        <v>1</v>
      </c>
      <c r="C18" s="149">
        <v>2676.8693134869</v>
      </c>
      <c r="D18" s="149">
        <v>10204.419035704601</v>
      </c>
      <c r="E18" s="149">
        <v>45597042.635797866</v>
      </c>
      <c r="F18" s="149">
        <v>0</v>
      </c>
      <c r="G18" s="149">
        <v>0</v>
      </c>
      <c r="H18" s="149">
        <v>0</v>
      </c>
    </row>
    <row r="19" spans="1:8" x14ac:dyDescent="0.25">
      <c r="A19" s="149" t="s">
        <v>96</v>
      </c>
      <c r="B19" s="149">
        <v>1</v>
      </c>
      <c r="C19" s="149">
        <v>2417.3466454964</v>
      </c>
      <c r="D19" s="149">
        <v>7428.4779524017003</v>
      </c>
      <c r="E19" s="149">
        <v>45288523.133737519</v>
      </c>
      <c r="F19" s="149">
        <v>0</v>
      </c>
      <c r="G19" s="149">
        <v>0</v>
      </c>
      <c r="H19" s="149">
        <v>0</v>
      </c>
    </row>
    <row r="20" spans="1:8" x14ac:dyDescent="0.25">
      <c r="A20" s="149" t="s">
        <v>97</v>
      </c>
      <c r="B20" s="149">
        <v>1</v>
      </c>
      <c r="C20" s="149">
        <v>6986.7152023794997</v>
      </c>
      <c r="D20" s="149">
        <v>33471.7522797368</v>
      </c>
      <c r="E20" s="149">
        <v>107046963.46643755</v>
      </c>
      <c r="F20" s="149">
        <v>0</v>
      </c>
      <c r="G20" s="149">
        <v>0</v>
      </c>
      <c r="H20" s="149">
        <v>0</v>
      </c>
    </row>
    <row r="21" spans="1:8" x14ac:dyDescent="0.25">
      <c r="A21" s="149" t="s">
        <v>98</v>
      </c>
      <c r="B21" s="149">
        <v>1</v>
      </c>
      <c r="C21" s="149">
        <v>1110.0124920588</v>
      </c>
      <c r="D21" s="149">
        <v>4167.5283214552001</v>
      </c>
      <c r="E21" s="149">
        <v>24833322.870954808</v>
      </c>
      <c r="F21" s="149">
        <v>0</v>
      </c>
      <c r="G21" s="149">
        <v>0</v>
      </c>
      <c r="H21" s="149">
        <v>0</v>
      </c>
    </row>
    <row r="22" spans="1:8" x14ac:dyDescent="0.25">
      <c r="A22" s="149" t="s">
        <v>207</v>
      </c>
      <c r="B22" s="149">
        <v>1</v>
      </c>
      <c r="C22" s="149">
        <v>926.82574603060004</v>
      </c>
      <c r="D22" s="149">
        <v>2461.1368809527999</v>
      </c>
      <c r="E22" s="149">
        <v>13787711.752287488</v>
      </c>
      <c r="F22" s="149">
        <v>0</v>
      </c>
      <c r="G22" s="149">
        <v>0</v>
      </c>
      <c r="H22" s="149">
        <v>0</v>
      </c>
    </row>
    <row r="23" spans="1:8" x14ac:dyDescent="0.25">
      <c r="A23" s="149" t="s">
        <v>155</v>
      </c>
      <c r="B23" s="149">
        <v>1</v>
      </c>
      <c r="C23" s="149">
        <v>4118.1993214253998</v>
      </c>
      <c r="D23" s="149">
        <v>26455.7256309433</v>
      </c>
      <c r="E23" s="149">
        <v>80644850.144324452</v>
      </c>
      <c r="F23" s="149">
        <v>0</v>
      </c>
      <c r="G23" s="149">
        <v>0</v>
      </c>
      <c r="H23" s="149">
        <v>0</v>
      </c>
    </row>
    <row r="24" spans="1:8" x14ac:dyDescent="0.25">
      <c r="A24" s="149" t="s">
        <v>220</v>
      </c>
      <c r="B24" s="149">
        <v>1</v>
      </c>
      <c r="C24" s="149">
        <v>4167.0604166664998</v>
      </c>
      <c r="D24" s="149">
        <v>31679.110827379998</v>
      </c>
      <c r="E24" s="149">
        <v>71395677.265248328</v>
      </c>
      <c r="F24" s="149">
        <v>0</v>
      </c>
      <c r="G24" s="149">
        <v>0</v>
      </c>
      <c r="H24" s="149">
        <v>0</v>
      </c>
    </row>
    <row r="25" spans="1:8" x14ac:dyDescent="0.25">
      <c r="A25" s="149" t="s">
        <v>99</v>
      </c>
      <c r="B25" s="149">
        <v>1</v>
      </c>
      <c r="C25" s="149">
        <v>1396.0740357092</v>
      </c>
      <c r="D25" s="149">
        <v>5489.2133333472002</v>
      </c>
      <c r="E25" s="149">
        <v>25866298.235398188</v>
      </c>
      <c r="F25" s="149">
        <v>0</v>
      </c>
      <c r="G25" s="149">
        <v>0</v>
      </c>
      <c r="H25" s="149">
        <v>0</v>
      </c>
    </row>
    <row r="26" spans="1:8" x14ac:dyDescent="0.25">
      <c r="A26" s="149" t="s">
        <v>100</v>
      </c>
      <c r="B26" s="149">
        <v>1</v>
      </c>
      <c r="C26" s="149">
        <v>1542.5286587273999</v>
      </c>
      <c r="D26" s="149">
        <v>2728.5464404817999</v>
      </c>
      <c r="E26" s="149">
        <v>20072218.044281825</v>
      </c>
      <c r="F26" s="149">
        <v>0</v>
      </c>
      <c r="G26" s="149">
        <v>0</v>
      </c>
      <c r="H26" s="149">
        <v>0</v>
      </c>
    </row>
    <row r="27" spans="1:8" x14ac:dyDescent="0.25">
      <c r="A27" s="149" t="s">
        <v>221</v>
      </c>
      <c r="B27" s="149">
        <v>1</v>
      </c>
      <c r="C27" s="149">
        <v>9075.4190476190997</v>
      </c>
      <c r="D27" s="149">
        <v>19079.449999999801</v>
      </c>
      <c r="E27" s="149">
        <v>92737394.572166532</v>
      </c>
      <c r="F27" s="149">
        <v>0</v>
      </c>
      <c r="G27" s="149">
        <v>0</v>
      </c>
      <c r="H27" s="149">
        <v>0</v>
      </c>
    </row>
    <row r="28" spans="1:8" x14ac:dyDescent="0.25">
      <c r="A28" s="149" t="s">
        <v>233</v>
      </c>
      <c r="B28" s="149">
        <v>1</v>
      </c>
      <c r="C28" s="149">
        <v>1647.5165099158</v>
      </c>
      <c r="D28" s="149">
        <v>5678.5880878128</v>
      </c>
      <c r="E28" s="149">
        <v>29990683.655022953</v>
      </c>
      <c r="F28" s="149">
        <v>0</v>
      </c>
      <c r="G28" s="149">
        <v>0</v>
      </c>
      <c r="H28" s="149">
        <v>0</v>
      </c>
    </row>
    <row r="29" spans="1:8" x14ac:dyDescent="0.25">
      <c r="A29" s="149" t="s">
        <v>214</v>
      </c>
      <c r="B29" s="149">
        <v>1</v>
      </c>
      <c r="C29" s="149">
        <v>5958.4057936507998</v>
      </c>
      <c r="D29" s="149">
        <v>17015.830273817199</v>
      </c>
      <c r="E29" s="149">
        <v>79349932.648902804</v>
      </c>
      <c r="F29" s="149">
        <v>0</v>
      </c>
      <c r="G29" s="149">
        <v>0</v>
      </c>
      <c r="H29" s="149">
        <v>0</v>
      </c>
    </row>
    <row r="30" spans="1:8" x14ac:dyDescent="0.25">
      <c r="A30" s="149" t="s">
        <v>139</v>
      </c>
      <c r="B30" s="149">
        <v>1</v>
      </c>
      <c r="C30" s="149">
        <v>641.90776190429995</v>
      </c>
      <c r="D30" s="149">
        <v>2655.2504166744998</v>
      </c>
      <c r="E30" s="149">
        <v>13039481.563812835</v>
      </c>
      <c r="F30" s="149">
        <v>0</v>
      </c>
      <c r="G30" s="149">
        <v>0</v>
      </c>
      <c r="H30" s="149">
        <v>0</v>
      </c>
    </row>
    <row r="31" spans="1:8" x14ac:dyDescent="0.25">
      <c r="A31" s="149" t="s">
        <v>216</v>
      </c>
      <c r="B31" s="149">
        <v>1</v>
      </c>
      <c r="C31" s="149">
        <v>768.31626586899995</v>
      </c>
      <c r="D31" s="149">
        <v>2100.2699999949</v>
      </c>
      <c r="E31" s="149">
        <v>13582204.364812182</v>
      </c>
      <c r="F31" s="149">
        <v>0</v>
      </c>
      <c r="G31" s="149">
        <v>0</v>
      </c>
      <c r="H31" s="149">
        <v>0</v>
      </c>
    </row>
    <row r="32" spans="1:8" x14ac:dyDescent="0.25">
      <c r="A32" s="149" t="s">
        <v>104</v>
      </c>
      <c r="B32" s="149">
        <v>1</v>
      </c>
      <c r="C32" s="149">
        <v>399.2758928568</v>
      </c>
      <c r="D32" s="149">
        <v>1154.8712499977</v>
      </c>
      <c r="E32" s="149">
        <v>7427038.0634731874</v>
      </c>
      <c r="F32" s="149">
        <v>0</v>
      </c>
      <c r="G32" s="149">
        <v>0</v>
      </c>
      <c r="H32" s="149">
        <v>0</v>
      </c>
    </row>
    <row r="33" spans="1:8" x14ac:dyDescent="0.25">
      <c r="A33" s="149" t="s">
        <v>215</v>
      </c>
      <c r="B33" s="149">
        <v>1</v>
      </c>
      <c r="C33" s="149">
        <v>1177.9801005274001</v>
      </c>
      <c r="D33" s="149">
        <v>4581.5694285952004</v>
      </c>
      <c r="E33" s="149">
        <v>21279417.512409199</v>
      </c>
      <c r="F33" s="149">
        <v>0</v>
      </c>
      <c r="G33" s="149">
        <v>0</v>
      </c>
      <c r="H33" s="149">
        <v>0</v>
      </c>
    </row>
    <row r="34" spans="1:8" x14ac:dyDescent="0.25">
      <c r="A34" s="149" t="s">
        <v>231</v>
      </c>
      <c r="B34" s="149">
        <v>1</v>
      </c>
      <c r="C34" s="149">
        <v>147.6818919232</v>
      </c>
      <c r="D34" s="149">
        <v>1865.9941666653001</v>
      </c>
      <c r="E34" s="149">
        <v>4168771.4236823027</v>
      </c>
      <c r="F34" s="149">
        <v>0</v>
      </c>
      <c r="G34" s="149">
        <v>0</v>
      </c>
      <c r="H34" s="149">
        <v>0</v>
      </c>
    </row>
    <row r="35" spans="1:8" x14ac:dyDescent="0.25">
      <c r="A35" s="149" t="s">
        <v>206</v>
      </c>
      <c r="B35" s="149">
        <v>1</v>
      </c>
      <c r="C35" s="149">
        <v>2498.5293650794001</v>
      </c>
      <c r="D35" s="149">
        <v>16106.2190833307</v>
      </c>
      <c r="E35" s="149">
        <v>31752496.419427477</v>
      </c>
      <c r="F35" s="149">
        <v>0</v>
      </c>
      <c r="G35" s="149">
        <v>0</v>
      </c>
      <c r="H35" s="149">
        <v>0</v>
      </c>
    </row>
    <row r="36" spans="1:8" x14ac:dyDescent="0.25">
      <c r="A36" s="149" t="s">
        <v>162</v>
      </c>
      <c r="B36" s="149">
        <v>1</v>
      </c>
      <c r="C36" s="149">
        <v>1281.2842222198999</v>
      </c>
      <c r="D36" s="149">
        <v>4402.8729762233997</v>
      </c>
      <c r="E36" s="149">
        <v>25061497.754885402</v>
      </c>
      <c r="F36" s="149">
        <v>0</v>
      </c>
      <c r="G36" s="149">
        <v>0</v>
      </c>
      <c r="H36" s="149">
        <v>0</v>
      </c>
    </row>
    <row r="37" spans="1:8" x14ac:dyDescent="0.25">
      <c r="A37" s="149" t="s">
        <v>107</v>
      </c>
      <c r="B37" s="149">
        <v>1</v>
      </c>
      <c r="C37" s="149">
        <v>2338.4045039677999</v>
      </c>
      <c r="D37" s="149">
        <v>9763.6020714268998</v>
      </c>
      <c r="E37" s="149">
        <v>37507204.335448697</v>
      </c>
      <c r="F37" s="149">
        <v>0</v>
      </c>
      <c r="G37" s="149">
        <v>0</v>
      </c>
      <c r="H37" s="149">
        <v>0</v>
      </c>
    </row>
    <row r="38" spans="1:8" x14ac:dyDescent="0.25">
      <c r="A38" s="149" t="s">
        <v>112</v>
      </c>
      <c r="B38" s="149">
        <v>1</v>
      </c>
      <c r="C38" s="149">
        <v>1601.8671717167999</v>
      </c>
      <c r="D38" s="149">
        <v>19114.7949999956</v>
      </c>
      <c r="E38" s="149">
        <v>38089399.671858914</v>
      </c>
      <c r="F38" s="149">
        <v>0</v>
      </c>
      <c r="G38" s="149">
        <v>0</v>
      </c>
      <c r="H38" s="149">
        <v>0</v>
      </c>
    </row>
    <row r="39" spans="1:8" x14ac:dyDescent="0.25">
      <c r="A39" s="149" t="s">
        <v>108</v>
      </c>
      <c r="B39" s="149">
        <v>1</v>
      </c>
      <c r="C39" s="149">
        <v>2013.0444444441</v>
      </c>
      <c r="D39" s="149">
        <v>24328.919999994901</v>
      </c>
      <c r="E39" s="149">
        <v>45407233.8525308</v>
      </c>
      <c r="F39" s="149">
        <v>0</v>
      </c>
      <c r="G39" s="149">
        <v>0</v>
      </c>
      <c r="H39" s="149">
        <v>0</v>
      </c>
    </row>
    <row r="40" spans="1:8" x14ac:dyDescent="0.25">
      <c r="A40" s="149" t="s">
        <v>234</v>
      </c>
      <c r="B40" s="149">
        <v>1</v>
      </c>
      <c r="C40" s="149">
        <v>2575.8442460301999</v>
      </c>
      <c r="D40" s="149">
        <v>13451.421665406</v>
      </c>
      <c r="E40" s="149">
        <v>38511020.179810099</v>
      </c>
      <c r="F40" s="149">
        <v>0</v>
      </c>
      <c r="G40" s="149">
        <v>0</v>
      </c>
      <c r="H40" s="149">
        <v>0</v>
      </c>
    </row>
    <row r="41" spans="1:8" x14ac:dyDescent="0.25">
      <c r="A41" s="149" t="s">
        <v>140</v>
      </c>
      <c r="B41" s="149">
        <v>1</v>
      </c>
      <c r="C41" s="149">
        <v>4643.5154365081999</v>
      </c>
      <c r="D41" s="149">
        <v>22058.482952382499</v>
      </c>
      <c r="E41" s="149">
        <v>53020207.657182917</v>
      </c>
      <c r="F41" s="149">
        <v>0</v>
      </c>
      <c r="G41" s="149">
        <v>0</v>
      </c>
      <c r="H41" s="149">
        <v>0</v>
      </c>
    </row>
    <row r="42" spans="1:8" x14ac:dyDescent="0.25">
      <c r="A42" s="149" t="s">
        <v>217</v>
      </c>
      <c r="B42" s="149">
        <v>1</v>
      </c>
      <c r="C42" s="149">
        <v>769.68611111109999</v>
      </c>
      <c r="D42" s="149">
        <v>8677.3650000005</v>
      </c>
      <c r="E42" s="149">
        <v>17136087.737651758</v>
      </c>
      <c r="F42" s="149">
        <v>0</v>
      </c>
      <c r="G42" s="149">
        <v>0</v>
      </c>
      <c r="H42" s="149">
        <v>0</v>
      </c>
    </row>
    <row r="43" spans="1:8" x14ac:dyDescent="0.25">
      <c r="A43" s="149" t="s">
        <v>145</v>
      </c>
      <c r="B43" s="149">
        <v>1</v>
      </c>
      <c r="C43" s="149">
        <v>1051.2638392839999</v>
      </c>
      <c r="D43" s="149">
        <v>7110.5142830207997</v>
      </c>
      <c r="E43" s="149">
        <v>31230263.361085694</v>
      </c>
      <c r="F43" s="149">
        <v>0</v>
      </c>
      <c r="G43" s="149">
        <v>0</v>
      </c>
      <c r="H43" s="149">
        <v>0</v>
      </c>
    </row>
    <row r="44" spans="1:8" x14ac:dyDescent="0.25">
      <c r="A44" s="149" t="s">
        <v>146</v>
      </c>
      <c r="B44" s="149">
        <v>1</v>
      </c>
      <c r="C44" s="149">
        <v>1566.6459960326999</v>
      </c>
      <c r="D44" s="149">
        <v>14396.834107144001</v>
      </c>
      <c r="E44" s="149">
        <v>24332681.799774844</v>
      </c>
      <c r="F44" s="149">
        <v>0</v>
      </c>
      <c r="G44" s="149">
        <v>0</v>
      </c>
      <c r="H44" s="149">
        <v>0</v>
      </c>
    </row>
    <row r="45" spans="1:8" x14ac:dyDescent="0.25">
      <c r="A45" s="149" t="s">
        <v>156</v>
      </c>
      <c r="B45" s="149">
        <v>1</v>
      </c>
      <c r="C45" s="149">
        <v>744.14952381089995</v>
      </c>
      <c r="D45" s="149">
        <v>7259.8651821449002</v>
      </c>
      <c r="E45" s="149">
        <v>17290617.800145194</v>
      </c>
      <c r="F45" s="149">
        <v>0</v>
      </c>
      <c r="G45" s="149">
        <v>0</v>
      </c>
      <c r="H45" s="149">
        <v>0</v>
      </c>
    </row>
    <row r="46" spans="1:8" x14ac:dyDescent="0.25">
      <c r="A46" s="149" t="s">
        <v>232</v>
      </c>
      <c r="B46" s="149">
        <v>1</v>
      </c>
      <c r="C46" s="149">
        <v>2968.9512222223002</v>
      </c>
      <c r="D46" s="149">
        <v>1731.8200000003999</v>
      </c>
      <c r="E46" s="149">
        <v>78320711.594213665</v>
      </c>
      <c r="F46" s="149">
        <v>0</v>
      </c>
      <c r="G46" s="149">
        <v>0</v>
      </c>
      <c r="H46" s="14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N3" sqref="N3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4" width="18.85546875" style="2" bestFit="1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0" t="s">
        <v>209</v>
      </c>
      <c r="B2" s="57" t="s">
        <v>95</v>
      </c>
      <c r="C2" s="58">
        <v>32279076.638250753</v>
      </c>
      <c r="D2" s="59">
        <f>IFERROR(+VLOOKUP(B2,COMISIONES!A:E,5,FALSE),"0")*1</f>
        <v>45597042.635797866</v>
      </c>
      <c r="E2" s="59">
        <v>44157637.384651572</v>
      </c>
      <c r="F2" s="59">
        <f t="shared" ref="F2:F9" si="0">+D2-E2</f>
        <v>1439405.2511462942</v>
      </c>
      <c r="G2" s="60">
        <f t="shared" ref="G2:G41" si="1">+D2/C2</f>
        <v>1.412588195963614</v>
      </c>
      <c r="H2" s="59">
        <f>+D2/$N$3*$N$4</f>
        <v>47579522.750397772</v>
      </c>
      <c r="I2" s="60">
        <f t="shared" ref="I2:I41" si="2">+H2/C2</f>
        <v>1.4740050740489883</v>
      </c>
      <c r="J2" s="59">
        <f>+D2/$N$3</f>
        <v>1982480.1145999073</v>
      </c>
      <c r="K2" s="59">
        <f t="shared" ref="K2:K41" si="3">+(C2-D2)/$N$2</f>
        <v>-13317965.997547112</v>
      </c>
      <c r="L2" s="61" cm="1">
        <f t="array" ref="L2">+_xlfn.IFS(I2&gt;114%,H2*0.02,I2&gt;109%,H2*0.015,I2&gt;104%,H2*0.0125,I2&gt;99%,H2*0.01,I2&lt;99%,H2*0)</f>
        <v>951590.45500795543</v>
      </c>
      <c r="M2" s="53" t="s">
        <v>36</v>
      </c>
      <c r="N2">
        <v>1</v>
      </c>
    </row>
    <row r="3" spans="1:14" ht="16.5" thickBot="1" x14ac:dyDescent="0.3">
      <c r="A3" s="141"/>
      <c r="B3" s="36" t="s">
        <v>94</v>
      </c>
      <c r="C3" s="62">
        <v>30982728.178883255</v>
      </c>
      <c r="D3" s="4">
        <f>IFERROR(+VLOOKUP(B3,COMISIONES!A:E,5,FALSE),"0")*1</f>
        <v>37990396.607466161</v>
      </c>
      <c r="E3" s="4">
        <v>37041615.029974334</v>
      </c>
      <c r="F3" s="4">
        <f t="shared" si="0"/>
        <v>948781.57749182731</v>
      </c>
      <c r="G3" s="5">
        <f t="shared" si="1"/>
        <v>1.226179837621888</v>
      </c>
      <c r="H3" s="4">
        <f t="shared" ref="H3:H41" si="4">+D3/$N$3*$N$4</f>
        <v>39642152.981703818</v>
      </c>
      <c r="I3" s="5">
        <f t="shared" si="2"/>
        <v>1.2794920044750133</v>
      </c>
      <c r="J3" s="4">
        <f t="shared" ref="J3:J41" si="5">+D3/$N$3</f>
        <v>1651756.3742376592</v>
      </c>
      <c r="K3" s="4">
        <f t="shared" si="3"/>
        <v>-7007668.4285829067</v>
      </c>
      <c r="L3" s="63" cm="1">
        <f t="array" ref="L3">+_xlfn.IFS(I3&gt;114%,H3*0.02,I3&gt;109%,H3*0.015,I3&gt;104%,H3*0.0125,I3&gt;99%,H3*0.01,I3&lt;99%,H3*0)</f>
        <v>792843.05963407643</v>
      </c>
      <c r="M3" s="53" t="s">
        <v>40</v>
      </c>
      <c r="N3">
        <f>N4-N2</f>
        <v>23</v>
      </c>
    </row>
    <row r="4" spans="1:14" ht="16.5" thickBot="1" x14ac:dyDescent="0.3">
      <c r="A4" s="141"/>
      <c r="B4" s="36" t="s">
        <v>92</v>
      </c>
      <c r="C4" s="62">
        <v>28390031.260148253</v>
      </c>
      <c r="D4" s="4">
        <f>IFERROR(+VLOOKUP(B4,COMISIONES!A:E,5,FALSE),"0")*1</f>
        <v>32127304.163806073</v>
      </c>
      <c r="E4" s="4">
        <v>31181136.681907397</v>
      </c>
      <c r="F4" s="4">
        <f t="shared" si="0"/>
        <v>946167.4818986766</v>
      </c>
      <c r="G4" s="5">
        <f t="shared" si="1"/>
        <v>1.1316403236548709</v>
      </c>
      <c r="H4" s="4">
        <f t="shared" si="4"/>
        <v>33524143.4752759</v>
      </c>
      <c r="I4" s="5">
        <f t="shared" si="2"/>
        <v>1.1808420768572565</v>
      </c>
      <c r="J4" s="4">
        <f t="shared" si="5"/>
        <v>1396839.3114698292</v>
      </c>
      <c r="K4" s="4">
        <f t="shared" si="3"/>
        <v>-3737272.9036578201</v>
      </c>
      <c r="L4" s="63" cm="1">
        <f t="array" ref="L4">+_xlfn.IFS(I4&gt;114%,H4*0.02,I4&gt;109%,H4*0.015,I4&gt;104%,H4*0.0125,I4&gt;99%,H4*0.01,I4&lt;99%,H4*0)</f>
        <v>670482.869505518</v>
      </c>
      <c r="M4" s="53" t="s">
        <v>47</v>
      </c>
      <c r="N4">
        <v>24</v>
      </c>
    </row>
    <row r="5" spans="1:14" ht="15.75" x14ac:dyDescent="0.25">
      <c r="A5" s="141"/>
      <c r="B5" s="36" t="s">
        <v>90</v>
      </c>
      <c r="C5" s="62">
        <v>28390031.260148253</v>
      </c>
      <c r="D5" s="4">
        <f>IFERROR(+VLOOKUP(B5,COMISIONES!A:E,5,FALSE),"0")*1</f>
        <v>34257637.396055132</v>
      </c>
      <c r="E5" s="4">
        <v>33155658.157676548</v>
      </c>
      <c r="F5" s="4">
        <f t="shared" si="0"/>
        <v>1101979.2383785844</v>
      </c>
      <c r="G5" s="5">
        <f t="shared" si="1"/>
        <v>1.2066783964462686</v>
      </c>
      <c r="H5" s="4">
        <f t="shared" si="4"/>
        <v>35747099.891535789</v>
      </c>
      <c r="I5" s="5">
        <f t="shared" si="2"/>
        <v>1.259142674552628</v>
      </c>
      <c r="J5" s="4">
        <f t="shared" si="5"/>
        <v>1489462.495480658</v>
      </c>
      <c r="K5" s="4">
        <f t="shared" si="3"/>
        <v>-5867606.1359068789</v>
      </c>
      <c r="L5" s="63" cm="1">
        <f t="array" ref="L5">+_xlfn.IFS(I5&gt;114%,H5*0.02,I5&gt;109%,H5*0.015,I5&gt;104%,H5*0.0125,I5&gt;99%,H5*0.01,I5&lt;99%,H5*0)</f>
        <v>714941.99783071585</v>
      </c>
    </row>
    <row r="6" spans="1:14" ht="15.75" x14ac:dyDescent="0.25">
      <c r="A6" s="141"/>
      <c r="B6" s="36" t="s">
        <v>212</v>
      </c>
      <c r="C6" s="62">
        <v>23528724.537520126</v>
      </c>
      <c r="D6" s="4">
        <f>IFERROR(+VLOOKUP(B6,COMISIONES!A:E,5,FALSE),"0")*1</f>
        <v>25015491.549096961</v>
      </c>
      <c r="E6" s="4">
        <v>23768439.717034202</v>
      </c>
      <c r="F6" s="4">
        <f t="shared" si="0"/>
        <v>1247051.8320627585</v>
      </c>
      <c r="G6" s="5">
        <f t="shared" si="1"/>
        <v>1.0631894435759133</v>
      </c>
      <c r="H6" s="4">
        <f t="shared" si="4"/>
        <v>26103121.616449006</v>
      </c>
      <c r="I6" s="5">
        <f t="shared" si="2"/>
        <v>1.1094150715574749</v>
      </c>
      <c r="J6" s="4">
        <f t="shared" si="5"/>
        <v>1087630.0673520418</v>
      </c>
      <c r="K6" s="4">
        <f t="shared" si="3"/>
        <v>-1486767.0115768351</v>
      </c>
      <c r="L6" s="63" cm="1">
        <f t="array" ref="L6">+_xlfn.IFS(I6&gt;114%,H6*0.02,I6&gt;109%,H6*0.015,I6&gt;104%,H6*0.0125,I6&gt;99%,H6*0.01,I6&lt;99%,H6*0)</f>
        <v>391546.82424673508</v>
      </c>
    </row>
    <row r="7" spans="1:14" ht="15.75" x14ac:dyDescent="0.25">
      <c r="A7" s="141"/>
      <c r="B7" s="36" t="s">
        <v>86</v>
      </c>
      <c r="C7" s="62">
        <v>27741857.030464504</v>
      </c>
      <c r="D7" s="4">
        <f>IFERROR(+VLOOKUP(B7,COMISIONES!A:E,5,FALSE),"0")*1</f>
        <v>21605185.998899002</v>
      </c>
      <c r="E7" s="4">
        <v>21392297.885811795</v>
      </c>
      <c r="F7" s="4">
        <f t="shared" ref="F7:F8" si="6">+D7-E7</f>
        <v>212888.11308720708</v>
      </c>
      <c r="G7" s="5">
        <f t="shared" si="1"/>
        <v>0.77879379073915045</v>
      </c>
      <c r="H7" s="4">
        <f t="shared" si="4"/>
        <v>22544541.911894612</v>
      </c>
      <c r="I7" s="5">
        <f t="shared" si="2"/>
        <v>0.81265439033650488</v>
      </c>
      <c r="J7" s="4">
        <f t="shared" si="5"/>
        <v>939355.91299560876</v>
      </c>
      <c r="K7" s="4">
        <f t="shared" si="3"/>
        <v>6136671.0315655023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1"/>
      <c r="B8" s="36" t="s">
        <v>85</v>
      </c>
      <c r="C8" s="62">
        <v>35831071.416917704</v>
      </c>
      <c r="D8" s="4">
        <f>IFERROR(+VLOOKUP(B8,COMISIONES!A:E,5,FALSE),"0")*1</f>
        <v>38810951.591422051</v>
      </c>
      <c r="E8" s="4">
        <v>36052033.100089625</v>
      </c>
      <c r="F8" s="4">
        <f t="shared" si="6"/>
        <v>2758918.4913324267</v>
      </c>
      <c r="G8" s="5">
        <f t="shared" si="1"/>
        <v>1.0831646963561741</v>
      </c>
      <c r="H8" s="4">
        <f t="shared" si="4"/>
        <v>40498384.269309968</v>
      </c>
      <c r="I8" s="5">
        <f t="shared" si="2"/>
        <v>1.1302588135890512</v>
      </c>
      <c r="J8" s="4">
        <f t="shared" si="5"/>
        <v>1687432.6778879152</v>
      </c>
      <c r="K8" s="4">
        <f t="shared" si="3"/>
        <v>-2979880.1745043471</v>
      </c>
      <c r="L8" s="63" cm="1">
        <f t="array" ref="L8">+_xlfn.IFS(I8&gt;114%,H8*0.02,I8&gt;109%,H8*0.015,I8&gt;104%,H8*0.0125,I8&gt;99%,H8*0.01,I8&lt;99%,H8*0)</f>
        <v>607475.76403964951</v>
      </c>
    </row>
    <row r="9" spans="1:14" ht="15.75" x14ac:dyDescent="0.25">
      <c r="A9" s="141"/>
      <c r="B9" s="36" t="s">
        <v>84</v>
      </c>
      <c r="C9" s="62">
        <v>35831071.416917704</v>
      </c>
      <c r="D9" s="4">
        <f>IFERROR(+VLOOKUP(B9,COMISIONES!A:E,5,FALSE),"0")*1</f>
        <v>39990211.496653654</v>
      </c>
      <c r="E9" s="4">
        <v>37164106.418637924</v>
      </c>
      <c r="F9" s="4">
        <f t="shared" si="0"/>
        <v>2826105.0780157298</v>
      </c>
      <c r="G9" s="5">
        <f t="shared" si="1"/>
        <v>1.1160763525974891</v>
      </c>
      <c r="H9" s="4">
        <f t="shared" si="4"/>
        <v>41728916.344334245</v>
      </c>
      <c r="I9" s="5">
        <f t="shared" si="2"/>
        <v>1.1646014114060754</v>
      </c>
      <c r="J9" s="4">
        <f t="shared" si="5"/>
        <v>1738704.8476805936</v>
      </c>
      <c r="K9" s="4">
        <f t="shared" si="3"/>
        <v>-4159140.0797359496</v>
      </c>
      <c r="L9" s="63" cm="1">
        <f t="array" ref="L9">+_xlfn.IFS(I9&gt;114%,H9*0.02,I9&gt;109%,H9*0.015,I9&gt;104%,H9*0.0125,I9&gt;99%,H9*0.01,I9&lt;99%,H9*0)</f>
        <v>834578.32688668487</v>
      </c>
    </row>
    <row r="10" spans="1:14" ht="16.5" thickBot="1" x14ac:dyDescent="0.3">
      <c r="A10" s="142"/>
      <c r="B10" s="3"/>
      <c r="C10" s="64">
        <v>242974591.73925051</v>
      </c>
      <c r="D10" s="64">
        <f>+SUM(D2:D9)</f>
        <v>275394221.43919694</v>
      </c>
      <c r="E10" s="65">
        <v>263912924.37578344</v>
      </c>
      <c r="F10" s="64">
        <f>+SUM(F2:F9)</f>
        <v>11481297.063413505</v>
      </c>
      <c r="G10" s="66">
        <f t="shared" si="1"/>
        <v>1.1334280653293072</v>
      </c>
      <c r="H10" s="64">
        <f t="shared" si="4"/>
        <v>287367883.24090117</v>
      </c>
      <c r="I10" s="66">
        <f t="shared" si="2"/>
        <v>1.1827075464305814</v>
      </c>
      <c r="J10" s="64">
        <f t="shared" si="5"/>
        <v>11973661.801704215</v>
      </c>
      <c r="K10" s="67">
        <f t="shared" si="3"/>
        <v>-32419629.699946433</v>
      </c>
      <c r="L10" s="68"/>
    </row>
    <row r="11" spans="1:14" ht="15.75" x14ac:dyDescent="0.25">
      <c r="A11" s="140" t="s">
        <v>210</v>
      </c>
      <c r="B11" s="57" t="s">
        <v>97</v>
      </c>
      <c r="C11" s="58">
        <v>96971948.480137512</v>
      </c>
      <c r="D11" s="59">
        <f>IFERROR(+VLOOKUP(B11,COMISIONES!A:E,5,FALSE),"0")*1</f>
        <v>107046963.46643755</v>
      </c>
      <c r="E11" s="59">
        <v>103695343.09111604</v>
      </c>
      <c r="F11" s="59">
        <f t="shared" ref="F11:F16" si="7">+D11-E11</f>
        <v>3351620.3753215075</v>
      </c>
      <c r="G11" s="60">
        <f t="shared" si="1"/>
        <v>1.1038961797118438</v>
      </c>
      <c r="H11" s="59">
        <f t="shared" si="4"/>
        <v>111701179.26932614</v>
      </c>
      <c r="I11" s="60">
        <f t="shared" si="2"/>
        <v>1.1518916657862719</v>
      </c>
      <c r="J11" s="59">
        <f t="shared" si="5"/>
        <v>4654215.802888589</v>
      </c>
      <c r="K11" s="59">
        <f t="shared" si="3"/>
        <v>-10075014.986300036</v>
      </c>
      <c r="L11" s="61" cm="1">
        <f t="array" ref="L11">+_xlfn.IFS(I11&gt;114%,H11*0.0125,I11&gt;109%,H11*0.01,I11&gt;104%,H11*0.0075,I11&gt;99%,H11*0.005,I11&lt;99%,H11*0)</f>
        <v>1396264.7408665768</v>
      </c>
    </row>
    <row r="12" spans="1:14" ht="16.5" thickBot="1" x14ac:dyDescent="0.3">
      <c r="A12" s="141"/>
      <c r="B12" s="36" t="s">
        <v>107</v>
      </c>
      <c r="C12" s="62">
        <v>31630902.408567004</v>
      </c>
      <c r="D12" s="4">
        <f>IFERROR(+VLOOKUP(B12,COMISIONES!A:E,5,FALSE),"0")*1</f>
        <v>37507204.335448697</v>
      </c>
      <c r="E12" s="4">
        <v>29444806.499426268</v>
      </c>
      <c r="F12" s="4">
        <f t="shared" si="7"/>
        <v>8062397.8360224292</v>
      </c>
      <c r="G12" s="5">
        <f t="shared" si="1"/>
        <v>1.1857772456498155</v>
      </c>
      <c r="H12" s="4">
        <f t="shared" si="4"/>
        <v>39137952.350033425</v>
      </c>
      <c r="I12" s="5">
        <f t="shared" si="2"/>
        <v>1.2373327780693728</v>
      </c>
      <c r="J12" s="4">
        <f t="shared" si="5"/>
        <v>1630748.014584726</v>
      </c>
      <c r="K12" s="4">
        <f t="shared" si="3"/>
        <v>-5876301.9268816933</v>
      </c>
      <c r="L12" s="63" cm="1">
        <f t="array" ref="L12">+_xlfn.IFS(I12&gt;114%,H12*0.02,I12&gt;109%,H12*0.015,I12&gt;104%,H12*0.0125,I12&gt;99%,H12*0.01,I12&lt;99%,H12*0)</f>
        <v>782759.04700066848</v>
      </c>
      <c r="M12" s="27"/>
    </row>
    <row r="13" spans="1:14" ht="16.5" thickBot="1" x14ac:dyDescent="0.3">
      <c r="A13" s="141"/>
      <c r="B13" s="36" t="s">
        <v>91</v>
      </c>
      <c r="C13" s="62">
        <v>128363916.07462499</v>
      </c>
      <c r="D13" s="4">
        <f>IFERROR(+VLOOKUP(B13,COMISIONES!A:E,5,FALSE),"0")*1</f>
        <v>107458900.02742086</v>
      </c>
      <c r="E13" s="4">
        <v>105778839.46156521</v>
      </c>
      <c r="F13" s="4">
        <f t="shared" si="7"/>
        <v>1680060.5658556521</v>
      </c>
      <c r="G13" s="5">
        <f t="shared" si="1"/>
        <v>0.83714258113587869</v>
      </c>
      <c r="H13" s="4">
        <f t="shared" si="4"/>
        <v>112131026.11556961</v>
      </c>
      <c r="I13" s="5">
        <f t="shared" si="2"/>
        <v>0.87354008466352562</v>
      </c>
      <c r="J13" s="4">
        <f t="shared" si="5"/>
        <v>4672126.0881487336</v>
      </c>
      <c r="K13" s="4">
        <f t="shared" si="3"/>
        <v>20905016.047204122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41"/>
      <c r="B14" s="36" t="s">
        <v>112</v>
      </c>
      <c r="C14" s="62">
        <v>42449057.394974999</v>
      </c>
      <c r="D14" s="4">
        <f>IFERROR(+VLOOKUP(B14,COMISIONES!A:E,5,FALSE),"0")*1</f>
        <v>38089399.671858914</v>
      </c>
      <c r="E14" s="4">
        <v>37776776.54703892</v>
      </c>
      <c r="F14" s="4">
        <f t="shared" si="7"/>
        <v>312623.12481999397</v>
      </c>
      <c r="G14" s="5">
        <f t="shared" si="1"/>
        <v>0.8972967130329691</v>
      </c>
      <c r="H14" s="4">
        <f t="shared" si="4"/>
        <v>39745460.527157128</v>
      </c>
      <c r="I14" s="5">
        <f t="shared" si="2"/>
        <v>0.93630961359961984</v>
      </c>
      <c r="J14" s="4">
        <f t="shared" si="5"/>
        <v>1656060.8552982137</v>
      </c>
      <c r="K14" s="4">
        <f t="shared" si="3"/>
        <v>4359657.7231160849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141"/>
      <c r="B15" s="36" t="s">
        <v>108</v>
      </c>
      <c r="C15" s="62">
        <v>42449057.394974999</v>
      </c>
      <c r="D15" s="4">
        <f>IFERROR(+VLOOKUP(B15,COMISIONES!A:E,5,FALSE),"0")*1</f>
        <v>45407233.8525308</v>
      </c>
      <c r="E15" s="4">
        <v>42045890.586131968</v>
      </c>
      <c r="F15" s="4">
        <f t="shared" si="7"/>
        <v>3361343.2663988322</v>
      </c>
      <c r="G15" s="5">
        <f t="shared" si="1"/>
        <v>1.0696876830510254</v>
      </c>
      <c r="H15" s="4">
        <f t="shared" si="4"/>
        <v>47381461.411336482</v>
      </c>
      <c r="I15" s="5">
        <f t="shared" si="2"/>
        <v>1.1161958431836785</v>
      </c>
      <c r="J15" s="4">
        <f t="shared" si="5"/>
        <v>1974227.5588056869</v>
      </c>
      <c r="K15" s="4">
        <f t="shared" si="3"/>
        <v>-2958176.4575558007</v>
      </c>
      <c r="L15" s="63" cm="1">
        <f t="array" ref="L15">+_xlfn.IFS(I15&gt;109%,H15*0.015,I15&gt;104%,H15*0.0125,I15&gt;99%,H15*0.01,I15&lt;99%,H15*0)</f>
        <v>710721.92117004725</v>
      </c>
    </row>
    <row r="16" spans="1:14" ht="16.5" thickBot="1" x14ac:dyDescent="0.3">
      <c r="A16" s="142"/>
      <c r="B16" s="3"/>
      <c r="C16" s="64">
        <v>341864881.75327951</v>
      </c>
      <c r="D16" s="64">
        <f>+SUM(D11:D15)</f>
        <v>335509701.35369682</v>
      </c>
      <c r="E16" s="65">
        <v>318741656.18527842</v>
      </c>
      <c r="F16" s="64">
        <f t="shared" si="7"/>
        <v>16768045.168418407</v>
      </c>
      <c r="G16" s="66">
        <f t="shared" si="1"/>
        <v>0.98141025668682413</v>
      </c>
      <c r="H16" s="64">
        <f t="shared" si="4"/>
        <v>350097079.67342281</v>
      </c>
      <c r="I16" s="66">
        <f t="shared" si="2"/>
        <v>1.024080267847121</v>
      </c>
      <c r="J16" s="64">
        <f t="shared" si="5"/>
        <v>14587378.319725949</v>
      </c>
      <c r="K16" s="67">
        <f t="shared" si="3"/>
        <v>6355180.399582684</v>
      </c>
      <c r="L16" s="68"/>
    </row>
    <row r="17" spans="1:13" ht="15.75" x14ac:dyDescent="0.25">
      <c r="A17" s="143" t="s">
        <v>211</v>
      </c>
      <c r="B17" s="69" t="s">
        <v>82</v>
      </c>
      <c r="C17" s="70">
        <v>29338018.132500004</v>
      </c>
      <c r="D17" s="59">
        <f>IFERROR(+VLOOKUP(B17,COMISIONES!A:E,5,FALSE),"0")*1</f>
        <v>18802479.760139175</v>
      </c>
      <c r="E17" s="59">
        <v>18519638.329950709</v>
      </c>
      <c r="F17" s="59">
        <f t="shared" ref="F17:F40" si="8">+D17-E17</f>
        <v>282841.43018846586</v>
      </c>
      <c r="G17" s="60">
        <f t="shared" si="1"/>
        <v>0.64089127204234042</v>
      </c>
      <c r="H17" s="59">
        <f t="shared" si="4"/>
        <v>19619978.880145226</v>
      </c>
      <c r="I17" s="60">
        <f t="shared" si="2"/>
        <v>0.66875610995722479</v>
      </c>
      <c r="J17" s="59">
        <f t="shared" si="5"/>
        <v>817499.12000605103</v>
      </c>
      <c r="K17" s="59">
        <f t="shared" si="3"/>
        <v>10535538.372360829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4"/>
      <c r="B18" s="19" t="s">
        <v>83</v>
      </c>
      <c r="C18" s="71">
        <v>24959505.900000002</v>
      </c>
      <c r="D18" s="4">
        <f>IFERROR(+VLOOKUP(B18,COMISIONES!A:E,5,FALSE),"0")*1</f>
        <v>20717753.349515107</v>
      </c>
      <c r="E18" s="4">
        <v>19949306.569035217</v>
      </c>
      <c r="F18" s="4">
        <f t="shared" si="8"/>
        <v>768446.78047988936</v>
      </c>
      <c r="G18" s="5">
        <f t="shared" si="1"/>
        <v>0.8300546265827764</v>
      </c>
      <c r="H18" s="4">
        <f t="shared" si="4"/>
        <v>21618525.234276634</v>
      </c>
      <c r="I18" s="5">
        <f t="shared" si="2"/>
        <v>0.8661439581733319</v>
      </c>
      <c r="J18" s="4">
        <f t="shared" si="5"/>
        <v>900771.88476152637</v>
      </c>
      <c r="K18" s="4">
        <f t="shared" si="3"/>
        <v>4241752.5504848957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44"/>
      <c r="B19" s="19" t="s">
        <v>93</v>
      </c>
      <c r="C19" s="71">
        <v>25856650.1655</v>
      </c>
      <c r="D19" s="4">
        <f>IFERROR(+VLOOKUP(B19,COMISIONES!A:E,5,FALSE),"0")*1</f>
        <v>21195317.753972314</v>
      </c>
      <c r="E19" s="4">
        <v>20503926.713739973</v>
      </c>
      <c r="F19" s="4">
        <f t="shared" si="8"/>
        <v>691391.04023234174</v>
      </c>
      <c r="G19" s="5">
        <f t="shared" si="1"/>
        <v>0.8197240407519143</v>
      </c>
      <c r="H19" s="4">
        <f t="shared" si="4"/>
        <v>22116853.308492851</v>
      </c>
      <c r="I19" s="5">
        <f t="shared" si="2"/>
        <v>0.85536421643678018</v>
      </c>
      <c r="J19" s="4">
        <f t="shared" si="5"/>
        <v>921535.5545205354</v>
      </c>
      <c r="K19" s="4">
        <f t="shared" si="3"/>
        <v>4661332.4115276858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44"/>
      <c r="B20" s="19" t="s">
        <v>96</v>
      </c>
      <c r="C20" s="71">
        <v>33548130</v>
      </c>
      <c r="D20" s="4">
        <f>IFERROR(+VLOOKUP(B20,COMISIONES!A:E,5,FALSE),"0")*1</f>
        <v>45288523.133737519</v>
      </c>
      <c r="E20" s="4">
        <v>42609969.777067572</v>
      </c>
      <c r="F20" s="4">
        <f t="shared" si="8"/>
        <v>2678553.3566699475</v>
      </c>
      <c r="G20" s="5">
        <f t="shared" si="1"/>
        <v>1.3499567079815631</v>
      </c>
      <c r="H20" s="4">
        <f t="shared" si="4"/>
        <v>47257589.356943503</v>
      </c>
      <c r="I20" s="5">
        <f t="shared" si="2"/>
        <v>1.4086504778938052</v>
      </c>
      <c r="J20" s="4">
        <f t="shared" si="5"/>
        <v>1969066.2232059792</v>
      </c>
      <c r="K20" s="4">
        <f t="shared" si="3"/>
        <v>-11740393.133737519</v>
      </c>
      <c r="L20" s="63" cm="1">
        <f t="array" ref="L20">+_xlfn.IFS(I20&gt;114%,H20*0.02,I20&gt;109%,H20*0.015,I20&gt;104%,H20*0.0125,I20&gt;99%,H20*0.01,I20&lt;99%,H20*0)</f>
        <v>945151.7871388701</v>
      </c>
    </row>
    <row r="21" spans="1:13" ht="15.75" x14ac:dyDescent="0.25">
      <c r="A21" s="144"/>
      <c r="B21" s="19" t="s">
        <v>98</v>
      </c>
      <c r="C21" s="71">
        <v>25458510</v>
      </c>
      <c r="D21" s="4">
        <f>IFERROR(+VLOOKUP(B21,COMISIONES!A:E,5,FALSE),"0")*1</f>
        <v>24833322.870954808</v>
      </c>
      <c r="E21" s="4">
        <v>24017143.276620157</v>
      </c>
      <c r="F21" s="4">
        <f t="shared" ref="F21:F23" si="9">+D21-E21</f>
        <v>816179.59433465078</v>
      </c>
      <c r="G21" s="5">
        <f t="shared" si="1"/>
        <v>0.97544290184126281</v>
      </c>
      <c r="H21" s="4">
        <f t="shared" si="4"/>
        <v>25913032.560996324</v>
      </c>
      <c r="I21" s="5">
        <f t="shared" si="2"/>
        <v>1.0178534627908831</v>
      </c>
      <c r="J21" s="4">
        <f t="shared" si="5"/>
        <v>1079709.6900415134</v>
      </c>
      <c r="K21" s="4">
        <f t="shared" si="3"/>
        <v>625187.12904519215</v>
      </c>
      <c r="L21" s="63" cm="1">
        <f t="array" ref="L21">+_xlfn.IFS(I21&gt;114%,H21*0.02,I21&gt;109%,H21*0.015,I21&gt;104%,H21*0.0125,I21&gt;99%,H21*0.01,I21&lt;99%,H21*0)</f>
        <v>259130.32560996324</v>
      </c>
    </row>
    <row r="22" spans="1:13" ht="15.75" x14ac:dyDescent="0.25">
      <c r="A22" s="144"/>
      <c r="B22" s="19" t="s">
        <v>233</v>
      </c>
      <c r="C22" s="71">
        <v>31742890.200000003</v>
      </c>
      <c r="D22" s="4">
        <f>IFERROR(+VLOOKUP(B22,COMISIONES!A:E,5,FALSE),"0")*1</f>
        <v>29990683.655022953</v>
      </c>
      <c r="E22" s="4">
        <v>28451281.664784946</v>
      </c>
      <c r="F22" s="4">
        <f t="shared" si="9"/>
        <v>1539401.9902380072</v>
      </c>
      <c r="G22" s="5">
        <f t="shared" si="1"/>
        <v>0.94480003131608192</v>
      </c>
      <c r="H22" s="4">
        <f t="shared" si="4"/>
        <v>31294626.422632646</v>
      </c>
      <c r="I22" s="5">
        <f t="shared" si="2"/>
        <v>0.9858782935472159</v>
      </c>
      <c r="J22" s="4">
        <f t="shared" si="5"/>
        <v>1303942.7676096936</v>
      </c>
      <c r="K22" s="4">
        <f t="shared" si="3"/>
        <v>1752206.5449770503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4"/>
      <c r="B23" s="19" t="s">
        <v>162</v>
      </c>
      <c r="C23" s="71">
        <v>27435946.230000004</v>
      </c>
      <c r="D23" s="4">
        <f>IFERROR(+VLOOKUP(B23,COMISIONES!A:E,5,FALSE),"0")*1</f>
        <v>25061497.754885402</v>
      </c>
      <c r="E23" s="4">
        <v>24380732.158744249</v>
      </c>
      <c r="F23" s="4">
        <f t="shared" si="9"/>
        <v>680765.59614115208</v>
      </c>
      <c r="G23" s="5">
        <f t="shared" si="1"/>
        <v>0.91345483566671204</v>
      </c>
      <c r="H23" s="4">
        <f t="shared" si="4"/>
        <v>26151128.092054334</v>
      </c>
      <c r="I23" s="5">
        <f t="shared" si="2"/>
        <v>0.95317026330439525</v>
      </c>
      <c r="J23" s="4">
        <f t="shared" si="5"/>
        <v>1089630.3371689306</v>
      </c>
      <c r="K23" s="4">
        <f t="shared" si="3"/>
        <v>2374448.4751146026</v>
      </c>
      <c r="L23" s="63" cm="1">
        <f t="array" ref="L23">+_xlfn.IFS(I23&gt;114%,H23*0.02,I23&gt;109%,H23*0.015,I23&gt;104%,H23*0.0125,I23&gt;99%,H23*0.01,I23&lt;99%,H23*0)</f>
        <v>0</v>
      </c>
    </row>
    <row r="24" spans="1:13" ht="15.75" x14ac:dyDescent="0.25">
      <c r="A24" s="144"/>
      <c r="B24" s="19" t="s">
        <v>234</v>
      </c>
      <c r="C24" s="71">
        <v>33494055</v>
      </c>
      <c r="D24" s="4">
        <f>IFERROR(+VLOOKUP(B24,COMISIONES!A:E,5,FALSE),"0")*1</f>
        <v>38511020.179810099</v>
      </c>
      <c r="E24" s="4">
        <v>37582810.232203752</v>
      </c>
      <c r="F24" s="4">
        <f t="shared" si="8"/>
        <v>928209.9476063475</v>
      </c>
      <c r="G24" s="5">
        <f t="shared" si="1"/>
        <v>1.1497867361778111</v>
      </c>
      <c r="H24" s="4">
        <f t="shared" si="4"/>
        <v>40185412.361540973</v>
      </c>
      <c r="I24" s="5">
        <f t="shared" si="2"/>
        <v>1.1997774638377161</v>
      </c>
      <c r="J24" s="4">
        <f t="shared" si="5"/>
        <v>1674392.1817308739</v>
      </c>
      <c r="K24" s="4">
        <f t="shared" si="3"/>
        <v>-5016965.1798100993</v>
      </c>
      <c r="L24" s="63" cm="1">
        <f t="array" ref="L24">+_xlfn.IFS(I24&gt;114%,H24*0.02,I24&gt;109%,H24*0.015,I24&gt;104%,H24*0.0125,I24&gt;99%,H24*0.01,I24&lt;99%,H24*0)</f>
        <v>803708.24723081943</v>
      </c>
    </row>
    <row r="25" spans="1:13" ht="15.75" x14ac:dyDescent="0.25">
      <c r="A25" s="144"/>
      <c r="B25" s="19" t="s">
        <v>140</v>
      </c>
      <c r="C25" s="71">
        <v>54064952.86500001</v>
      </c>
      <c r="D25" s="4">
        <f>IFERROR(+VLOOKUP(B25,COMISIONES!A:E,5,FALSE),"0")*1</f>
        <v>53020207.657182917</v>
      </c>
      <c r="E25" s="4">
        <v>53019373.768282913</v>
      </c>
      <c r="F25" s="4">
        <f t="shared" si="8"/>
        <v>833.8889000043273</v>
      </c>
      <c r="G25" s="5">
        <f t="shared" si="1"/>
        <v>0.98067610989274667</v>
      </c>
      <c r="H25" s="4">
        <f t="shared" si="4"/>
        <v>55325434.077060431</v>
      </c>
      <c r="I25" s="5">
        <f t="shared" si="2"/>
        <v>1.0233142016272139</v>
      </c>
      <c r="J25" s="4">
        <f t="shared" si="5"/>
        <v>2305226.419877518</v>
      </c>
      <c r="K25" s="4">
        <f t="shared" si="3"/>
        <v>1044745.2078170925</v>
      </c>
      <c r="L25" s="63" cm="1">
        <f t="array" ref="L25">+_xlfn.IFS(I25&gt;109%,H25*0.015,I25&gt;104%,H25*0.0125,I25&gt;99%,H25*0.01,I25&lt;99%,H25*0)</f>
        <v>553254.34077060432</v>
      </c>
    </row>
    <row r="26" spans="1:13" ht="16.5" thickBot="1" x14ac:dyDescent="0.3">
      <c r="A26" s="145"/>
      <c r="B26" s="72"/>
      <c r="C26" s="67">
        <v>285898658.49300003</v>
      </c>
      <c r="D26" s="67">
        <f>+SUM(D17:D25)</f>
        <v>277420806.11522031</v>
      </c>
      <c r="E26" s="65">
        <v>269034182.49042946</v>
      </c>
      <c r="F26" s="67">
        <f>+D26-E26</f>
        <v>8386623.6247908473</v>
      </c>
      <c r="G26" s="66">
        <f t="shared" si="1"/>
        <v>0.97034665212328275</v>
      </c>
      <c r="H26" s="64">
        <f t="shared" si="4"/>
        <v>289482580.2941429</v>
      </c>
      <c r="I26" s="66">
        <f t="shared" si="2"/>
        <v>1.0125356369982079</v>
      </c>
      <c r="J26" s="64">
        <f t="shared" si="5"/>
        <v>12061774.178922622</v>
      </c>
      <c r="K26" s="67">
        <f t="shared" si="3"/>
        <v>8477852.3777797222</v>
      </c>
      <c r="L26" s="68"/>
    </row>
    <row r="27" spans="1:13" ht="15.75" x14ac:dyDescent="0.25">
      <c r="A27" s="140" t="s">
        <v>219</v>
      </c>
      <c r="B27" s="57" t="s">
        <v>214</v>
      </c>
      <c r="C27" s="73">
        <v>81977700</v>
      </c>
      <c r="D27" s="59">
        <f>IFERROR(+VLOOKUP(B27,COMISIONES!A:E,5,FALSE),"0")*1</f>
        <v>79349932.648902804</v>
      </c>
      <c r="E27" s="59">
        <v>73318656.191592291</v>
      </c>
      <c r="F27" s="59">
        <f t="shared" si="8"/>
        <v>6031276.4573105127</v>
      </c>
      <c r="G27" s="60">
        <f t="shared" si="1"/>
        <v>0.96794533938989269</v>
      </c>
      <c r="H27" s="59">
        <f t="shared" si="4"/>
        <v>82799929.720594227</v>
      </c>
      <c r="I27" s="60">
        <f t="shared" si="2"/>
        <v>1.0100299193633662</v>
      </c>
      <c r="J27" s="59">
        <f t="shared" si="5"/>
        <v>3449997.0716914264</v>
      </c>
      <c r="K27" s="59">
        <f t="shared" si="3"/>
        <v>2627767.3510971963</v>
      </c>
      <c r="L27" s="61" cm="1">
        <f t="array" ref="L27">+_xlfn.IFS(I27&gt;114%,H27*0.0125,I27&gt;109%,H27*0.01,I27&gt;104%,H27*0.0075,I27&gt;99%,H27*0.005,I27&lt;99%,H27*0)</f>
        <v>413999.64860297117</v>
      </c>
    </row>
    <row r="28" spans="1:13" ht="15.75" x14ac:dyDescent="0.25">
      <c r="A28" s="141"/>
      <c r="B28" s="36" t="s">
        <v>216</v>
      </c>
      <c r="C28" s="74">
        <v>21000000</v>
      </c>
      <c r="D28" s="4">
        <f>IFERROR(+VLOOKUP(B28,COMISIONES!A:E,5,FALSE),"0")*1</f>
        <v>13582204.364812182</v>
      </c>
      <c r="E28" s="4">
        <v>13006263.855134467</v>
      </c>
      <c r="F28" s="4">
        <f t="shared" si="8"/>
        <v>575940.5096777156</v>
      </c>
      <c r="G28" s="5">
        <f t="shared" si="1"/>
        <v>0.64677163641962776</v>
      </c>
      <c r="H28" s="4">
        <f t="shared" si="4"/>
        <v>14172734.989369236</v>
      </c>
      <c r="I28" s="5">
        <f t="shared" si="2"/>
        <v>0.67489214235091599</v>
      </c>
      <c r="J28" s="4">
        <f t="shared" si="5"/>
        <v>590530.62455705146</v>
      </c>
      <c r="K28" s="4">
        <f t="shared" si="3"/>
        <v>7417795.6351878177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1"/>
      <c r="B29" s="36" t="s">
        <v>87</v>
      </c>
      <c r="C29" s="74">
        <v>25739700</v>
      </c>
      <c r="D29" s="4">
        <f>IFERROR(+VLOOKUP(B29,COMISIONES!A:E,5,FALSE),"0")*1</f>
        <v>21103395.521965481</v>
      </c>
      <c r="E29" s="4">
        <v>18875616.021936387</v>
      </c>
      <c r="F29" s="4">
        <f t="shared" si="8"/>
        <v>2227779.5000290945</v>
      </c>
      <c r="G29" s="5">
        <f t="shared" si="1"/>
        <v>0.81987729157548384</v>
      </c>
      <c r="H29" s="4">
        <f t="shared" si="4"/>
        <v>22020934.457703114</v>
      </c>
      <c r="I29" s="5">
        <f t="shared" si="2"/>
        <v>0.85552413033963537</v>
      </c>
      <c r="J29" s="4">
        <f t="shared" si="5"/>
        <v>917538.93573762965</v>
      </c>
      <c r="K29" s="4">
        <f t="shared" si="3"/>
        <v>4636304.4780345187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41"/>
      <c r="B30" s="36" t="s">
        <v>215</v>
      </c>
      <c r="C30" s="74">
        <v>38233205.112125672</v>
      </c>
      <c r="D30" s="4">
        <f>IFERROR(+VLOOKUP(B30,COMISIONES!A:E,5,FALSE),"0")*1</f>
        <v>21279417.512409199</v>
      </c>
      <c r="E30" s="4">
        <v>19737576.516502388</v>
      </c>
      <c r="F30" s="4">
        <f t="shared" si="8"/>
        <v>1541840.9959068112</v>
      </c>
      <c r="G30" s="5">
        <f t="shared" si="1"/>
        <v>0.55656902030587085</v>
      </c>
      <c r="H30" s="4">
        <f t="shared" si="4"/>
        <v>22204609.57816612</v>
      </c>
      <c r="I30" s="5">
        <f t="shared" si="2"/>
        <v>0.58076767336264778</v>
      </c>
      <c r="J30" s="4">
        <f t="shared" si="5"/>
        <v>925192.06575692166</v>
      </c>
      <c r="K30" s="4">
        <f t="shared" si="3"/>
        <v>16953787.599716473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1"/>
      <c r="B31" s="36" t="s">
        <v>99</v>
      </c>
      <c r="C31" s="74">
        <v>25415250</v>
      </c>
      <c r="D31" s="4">
        <f>IFERROR(+VLOOKUP(B31,COMISIONES!A:E,5,FALSE),"0")*1</f>
        <v>25866298.235398188</v>
      </c>
      <c r="E31" s="4">
        <v>24013464.626306195</v>
      </c>
      <c r="F31" s="4">
        <f t="shared" si="8"/>
        <v>1852833.6090919934</v>
      </c>
      <c r="G31" s="5">
        <f t="shared" si="1"/>
        <v>1.0177471492666093</v>
      </c>
      <c r="H31" s="4">
        <f t="shared" si="4"/>
        <v>26990919.897806805</v>
      </c>
      <c r="I31" s="5">
        <f t="shared" si="2"/>
        <v>1.0619970253216791</v>
      </c>
      <c r="J31" s="4">
        <f t="shared" si="5"/>
        <v>1124621.6624086169</v>
      </c>
      <c r="K31" s="4">
        <f t="shared" si="3"/>
        <v>-451048.23539818823</v>
      </c>
      <c r="L31" s="63" cm="1">
        <f t="array" ref="L31">+_xlfn.IFS(I31&gt;114%,H31*0.02,I31&gt;109%,H31*0.015,I31&gt;104%,H31*0.0125,I31&gt;99%,H31*0.01,I31&lt;99%,H31*0)</f>
        <v>337386.49872258509</v>
      </c>
      <c r="M31" s="27"/>
    </row>
    <row r="32" spans="1:13" ht="15.75" x14ac:dyDescent="0.25">
      <c r="A32" s="141"/>
      <c r="B32" s="36" t="s">
        <v>213</v>
      </c>
      <c r="C32" s="74">
        <v>25200000</v>
      </c>
      <c r="D32" s="4">
        <f>IFERROR(+VLOOKUP(B32,COMISIONES!A:E,5,FALSE),"0")*1</f>
        <v>17244550.074721541</v>
      </c>
      <c r="E32" s="4">
        <v>16731120.700667424</v>
      </c>
      <c r="F32" s="4">
        <f t="shared" si="8"/>
        <v>513429.37405411713</v>
      </c>
      <c r="G32" s="5">
        <f t="shared" si="1"/>
        <v>0.68430754264768023</v>
      </c>
      <c r="H32" s="4">
        <f t="shared" si="4"/>
        <v>17994313.121448565</v>
      </c>
      <c r="I32" s="5">
        <f t="shared" si="2"/>
        <v>0.71406004450192717</v>
      </c>
      <c r="J32" s="4">
        <f t="shared" si="5"/>
        <v>749763.04672702355</v>
      </c>
      <c r="K32" s="4">
        <f t="shared" si="3"/>
        <v>7955449.9252784587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1"/>
      <c r="B33" s="36" t="s">
        <v>100</v>
      </c>
      <c r="C33" s="74">
        <v>26496750</v>
      </c>
      <c r="D33" s="4">
        <f>IFERROR(+VLOOKUP(B33,COMISIONES!A:E,5,FALSE),"0")*1</f>
        <v>20072218.044281825</v>
      </c>
      <c r="E33" s="4">
        <v>19453595.434784111</v>
      </c>
      <c r="F33" s="4">
        <f t="shared" si="8"/>
        <v>618622.60949771479</v>
      </c>
      <c r="G33" s="5">
        <f t="shared" si="1"/>
        <v>0.75753509559783083</v>
      </c>
      <c r="H33" s="4">
        <f t="shared" si="4"/>
        <v>20944923.176641904</v>
      </c>
      <c r="I33" s="5">
        <f t="shared" si="2"/>
        <v>0.79047140410208439</v>
      </c>
      <c r="J33" s="4">
        <f t="shared" si="5"/>
        <v>872705.13236007933</v>
      </c>
      <c r="K33" s="4">
        <f t="shared" si="3"/>
        <v>6424531.9557181746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1"/>
      <c r="B34" s="36" t="s">
        <v>139</v>
      </c>
      <c r="C34" s="74">
        <v>21000000</v>
      </c>
      <c r="D34" s="4">
        <f>IFERROR(+VLOOKUP(B34,COMISIONES!A:E,5,FALSE),"0")*1</f>
        <v>13039481.563812835</v>
      </c>
      <c r="E34" s="4">
        <v>12587892.411526166</v>
      </c>
      <c r="F34" s="4">
        <f t="shared" si="8"/>
        <v>451589.15228666924</v>
      </c>
      <c r="G34" s="5">
        <f t="shared" si="1"/>
        <v>0.62092769351489696</v>
      </c>
      <c r="H34" s="4">
        <f t="shared" si="4"/>
        <v>13606415.544848178</v>
      </c>
      <c r="I34" s="5">
        <f t="shared" si="2"/>
        <v>0.64792454975467517</v>
      </c>
      <c r="J34" s="4">
        <f t="shared" si="5"/>
        <v>566933.98103534069</v>
      </c>
      <c r="K34" s="4">
        <f t="shared" si="3"/>
        <v>7960518.4361871649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41"/>
      <c r="B35" s="19" t="s">
        <v>104</v>
      </c>
      <c r="C35" s="74">
        <v>24658200</v>
      </c>
      <c r="D35" s="4">
        <f>IFERROR(+VLOOKUP(B35,COMISIONES!A:E,5,FALSE),"0")*1</f>
        <v>7427038.0634731874</v>
      </c>
      <c r="E35" s="4">
        <v>7158983.3199484432</v>
      </c>
      <c r="F35" s="4">
        <f t="shared" si="8"/>
        <v>268054.74352474418</v>
      </c>
      <c r="G35" s="5">
        <f t="shared" si="1"/>
        <v>0.30119952240930753</v>
      </c>
      <c r="H35" s="4">
        <f t="shared" si="4"/>
        <v>7749952.7618850656</v>
      </c>
      <c r="I35" s="5">
        <f t="shared" si="2"/>
        <v>0.31429515381840789</v>
      </c>
      <c r="J35" s="4">
        <f t="shared" si="5"/>
        <v>322914.69841187773</v>
      </c>
      <c r="K35" s="4">
        <f t="shared" si="3"/>
        <v>17231161.936526813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1"/>
      <c r="B36" s="36" t="s">
        <v>207</v>
      </c>
      <c r="C36" s="74">
        <v>25235000</v>
      </c>
      <c r="D36" s="4">
        <f>IFERROR(+VLOOKUP(B36,COMISIONES!A:E,5,FALSE),"0")*1</f>
        <v>13787711.752287488</v>
      </c>
      <c r="E36" s="4">
        <v>13091725.349718288</v>
      </c>
      <c r="F36" s="4">
        <f t="shared" si="8"/>
        <v>695986.40256920084</v>
      </c>
      <c r="G36" s="5">
        <f t="shared" si="1"/>
        <v>0.54637256795274369</v>
      </c>
      <c r="H36" s="4">
        <f t="shared" si="4"/>
        <v>14387177.480647814</v>
      </c>
      <c r="I36" s="5">
        <f t="shared" si="2"/>
        <v>0.57012789699416733</v>
      </c>
      <c r="J36" s="4">
        <f t="shared" si="5"/>
        <v>599465.72836032556</v>
      </c>
      <c r="K36" s="4">
        <f t="shared" si="3"/>
        <v>11447288.247712512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1"/>
      <c r="B37" s="36" t="s">
        <v>111</v>
      </c>
      <c r="C37" s="74">
        <v>122011750</v>
      </c>
      <c r="D37" s="4">
        <f>IFERROR(+VLOOKUP(B37,COMISIONES!A:E,5,FALSE),"0")*1</f>
        <v>59403378.702583797</v>
      </c>
      <c r="E37" s="4">
        <v>58539253.364833802</v>
      </c>
      <c r="F37" s="4">
        <f t="shared" si="8"/>
        <v>864125.33774999529</v>
      </c>
      <c r="G37" s="5">
        <f t="shared" si="1"/>
        <v>0.48686604939756867</v>
      </c>
      <c r="H37" s="4">
        <f t="shared" si="4"/>
        <v>61986134.298348315</v>
      </c>
      <c r="I37" s="5">
        <f t="shared" si="2"/>
        <v>0.50803413850181078</v>
      </c>
      <c r="J37" s="4">
        <f t="shared" si="5"/>
        <v>2582755.5957645131</v>
      </c>
      <c r="K37" s="4">
        <f t="shared" si="3"/>
        <v>62608371.297416203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1"/>
      <c r="B38" s="36" t="s">
        <v>217</v>
      </c>
      <c r="C38" s="74">
        <v>35700000</v>
      </c>
      <c r="D38" s="4">
        <f>IFERROR(+VLOOKUP(B38,COMISIONES!A:E,5,FALSE),"0")*1</f>
        <v>17136087.737651758</v>
      </c>
      <c r="E38" s="4">
        <v>16480410.572651757</v>
      </c>
      <c r="F38" s="4">
        <f t="shared" ref="F38" si="10">+D38-E38</f>
        <v>655677.16500000097</v>
      </c>
      <c r="G38" s="5">
        <f t="shared" si="1"/>
        <v>0.48000245763730415</v>
      </c>
      <c r="H38" s="4">
        <f t="shared" si="4"/>
        <v>17881135.030593138</v>
      </c>
      <c r="I38" s="5">
        <f t="shared" si="2"/>
        <v>0.50087212970849126</v>
      </c>
      <c r="J38" s="4">
        <f t="shared" si="5"/>
        <v>745047.29294138076</v>
      </c>
      <c r="K38" s="4">
        <f t="shared" si="3"/>
        <v>18563912.262348242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1"/>
      <c r="B39" s="36" t="s">
        <v>81</v>
      </c>
      <c r="C39" s="74">
        <v>36361427.739</v>
      </c>
      <c r="D39" s="4">
        <f>IFERROR(+VLOOKUP(B39,COMISIONES!A:E,5,FALSE),"0")*1</f>
        <v>24470367.165487725</v>
      </c>
      <c r="E39" s="4">
        <v>24062245.476462353</v>
      </c>
      <c r="F39" s="4">
        <f t="shared" si="8"/>
        <v>408121.68902537227</v>
      </c>
      <c r="G39" s="5">
        <f t="shared" si="1"/>
        <v>0.67297597171195955</v>
      </c>
      <c r="H39" s="4">
        <f t="shared" si="4"/>
        <v>25534296.172682844</v>
      </c>
      <c r="I39" s="5">
        <f t="shared" si="2"/>
        <v>0.70223579656900126</v>
      </c>
      <c r="J39" s="4">
        <f t="shared" si="5"/>
        <v>1063929.0071951186</v>
      </c>
      <c r="K39" s="4">
        <f t="shared" si="3"/>
        <v>11891060.573512275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2"/>
      <c r="B40" s="3"/>
      <c r="C40" s="75">
        <v>509028982.85112572</v>
      </c>
      <c r="D40" s="67">
        <f>+SUM(D27:D39)</f>
        <v>333762081.387788</v>
      </c>
      <c r="E40" s="65">
        <v>317056803.84206402</v>
      </c>
      <c r="F40" s="67">
        <f t="shared" si="8"/>
        <v>16705277.545723975</v>
      </c>
      <c r="G40" s="66">
        <f t="shared" si="1"/>
        <v>0.65568384636637178</v>
      </c>
      <c r="H40" s="64">
        <f t="shared" si="4"/>
        <v>348273476.2307353</v>
      </c>
      <c r="I40" s="66">
        <f t="shared" si="2"/>
        <v>0.68419183968664876</v>
      </c>
      <c r="J40" s="64">
        <f t="shared" si="5"/>
        <v>14511394.842947304</v>
      </c>
      <c r="K40" s="67">
        <f t="shared" si="3"/>
        <v>175266901.46333772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1222086810.2959023</v>
      </c>
      <c r="E41" s="82">
        <v>1168745566.8935554</v>
      </c>
      <c r="F41" s="81">
        <f>+D41-E41</f>
        <v>53341243.402346849</v>
      </c>
      <c r="G41" s="83">
        <f t="shared" si="1"/>
        <v>0.8857196033914625</v>
      </c>
      <c r="H41" s="81">
        <f t="shared" si="4"/>
        <v>1275221019.4392023</v>
      </c>
      <c r="I41" s="139">
        <f t="shared" si="2"/>
        <v>0.92422915136500439</v>
      </c>
      <c r="J41" s="81">
        <f t="shared" si="5"/>
        <v>53134209.143300101</v>
      </c>
      <c r="K41" s="81">
        <f t="shared" si="3"/>
        <v>157680336.79723382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31230263.361085694</v>
      </c>
      <c r="E43" s="4">
        <v>31160129.193313804</v>
      </c>
      <c r="F43" s="4">
        <f t="shared" ref="F43" si="11">+D43-E43</f>
        <v>70134.167771890759</v>
      </c>
      <c r="G43" s="5">
        <f>+D43/C43</f>
        <v>0.78075658402714232</v>
      </c>
      <c r="H43" s="4">
        <f t="shared" ref="H43" si="12">+D43/$N$3*$N$4</f>
        <v>32588100.898524202</v>
      </c>
      <c r="I43" s="5">
        <f>+H43/C43</f>
        <v>0.81470252246310504</v>
      </c>
      <c r="J43" s="4">
        <f t="shared" ref="J43" si="13">+D43/$N$3</f>
        <v>1357837.5374385084</v>
      </c>
      <c r="K43" s="4">
        <f>+(C43-D43)/$N$2</f>
        <v>8769736.6389143057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24332681.799774844</v>
      </c>
      <c r="E44" s="4">
        <v>24332681.799774844</v>
      </c>
      <c r="F44" s="4">
        <f t="shared" ref="F44" si="14">+D44-E44</f>
        <v>0</v>
      </c>
      <c r="G44" s="5">
        <f>+D44/C44</f>
        <v>0.81108939332582819</v>
      </c>
      <c r="H44" s="4">
        <f t="shared" ref="H44" si="15">+D44/$N$3*$N$4</f>
        <v>25390624.486721579</v>
      </c>
      <c r="I44" s="5">
        <f>+H44/C44</f>
        <v>0.84635414955738597</v>
      </c>
      <c r="J44" s="4">
        <f t="shared" ref="J44" si="16">+D44/$N$3</f>
        <v>1057942.6869467325</v>
      </c>
      <c r="K44" s="4">
        <f>+(C44-D44)/$N$2</f>
        <v>5667318.2002251558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9" workbookViewId="0">
      <selection activeCell="C33" sqref="C33:I33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6" t="s">
        <v>37</v>
      </c>
      <c r="B2">
        <v>22</v>
      </c>
      <c r="C2" s="12" t="str">
        <f>+AVANCE!B11</f>
        <v>22 - ALMIRON NICOLAS</v>
      </c>
      <c r="D2" s="22">
        <f>H2/G2</f>
        <v>0.90666666666666662</v>
      </c>
      <c r="E2" s="13">
        <v>33</v>
      </c>
      <c r="F2" s="12">
        <f>+H2-E2</f>
        <v>35</v>
      </c>
      <c r="G2" s="13">
        <f>VLOOKUP(B2,'Base Cobertura'!$A:$C,3,FALSE)</f>
        <v>75</v>
      </c>
      <c r="H2" s="13">
        <f>VLOOKUP(B2,'Base Cobertura'!$A:$C,2,FALSE)</f>
        <v>68</v>
      </c>
      <c r="I2" s="17">
        <f>(+G2*$M$2)-H2</f>
        <v>-4.25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6"/>
      <c r="B3">
        <v>49</v>
      </c>
      <c r="C3" s="13" t="str">
        <f>+AVANCE!B12</f>
        <v>49 - ESCOBAR RAÚL</v>
      </c>
      <c r="D3" s="22">
        <f t="shared" ref="D3:D38" si="0">H3/G3</f>
        <v>0.44855967078189302</v>
      </c>
      <c r="E3" s="13">
        <v>1</v>
      </c>
      <c r="F3" s="12">
        <f t="shared" ref="F3:F38" si="1">+H3-E3</f>
        <v>108</v>
      </c>
      <c r="G3" s="13">
        <f>VLOOKUP(B3,'Base Cobertura'!$A:$C,3,FALSE)</f>
        <v>243</v>
      </c>
      <c r="H3" s="13">
        <f>VLOOKUP(B3,'Base Cobertura'!$A:$C,2,FALSE)</f>
        <v>109</v>
      </c>
      <c r="I3" s="17">
        <f t="shared" ref="I3:I38" si="2">(+G3*$M$2)-H3</f>
        <v>97.549999999999983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81</v>
      </c>
      <c r="T3" s="12">
        <v>214</v>
      </c>
      <c r="U3" s="41">
        <f>+S3/T3</f>
        <v>0.37850467289719625</v>
      </c>
    </row>
    <row r="4" spans="1:21" x14ac:dyDescent="0.25">
      <c r="A4" s="146"/>
      <c r="B4">
        <v>20</v>
      </c>
      <c r="C4" s="13" t="str">
        <f>+AVANCE!B2</f>
        <v>20 - FLORES JAVIER</v>
      </c>
      <c r="D4" s="22">
        <f t="shared" si="0"/>
        <v>0.90308370044052866</v>
      </c>
      <c r="E4" s="13">
        <v>126</v>
      </c>
      <c r="F4" s="12">
        <f t="shared" si="1"/>
        <v>79</v>
      </c>
      <c r="G4" s="13">
        <f>VLOOKUP(B4,'Base Cobertura'!$A:$C,3,FALSE)</f>
        <v>227</v>
      </c>
      <c r="H4" s="13">
        <f>VLOOKUP(B4,'Base Cobertura'!$A:$C,2,FALSE)</f>
        <v>205</v>
      </c>
      <c r="I4" s="17">
        <f t="shared" si="2"/>
        <v>-12.050000000000011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62</v>
      </c>
      <c r="T4" s="13">
        <v>214</v>
      </c>
      <c r="U4" s="5">
        <f t="shared" ref="U4:U11" si="3">+S4/T4</f>
        <v>0.28971962616822428</v>
      </c>
    </row>
    <row r="5" spans="1:21" x14ac:dyDescent="0.25">
      <c r="A5" s="146"/>
      <c r="B5">
        <v>15</v>
      </c>
      <c r="C5" s="13" t="str">
        <f>+AVANCE!B13</f>
        <v>15 - GALARZA GERARDO</v>
      </c>
      <c r="D5" s="22">
        <f t="shared" si="0"/>
        <v>0.7846153846153846</v>
      </c>
      <c r="E5" s="13">
        <v>21</v>
      </c>
      <c r="F5" s="12">
        <f t="shared" si="1"/>
        <v>30</v>
      </c>
      <c r="G5" s="13">
        <f>VLOOKUP(B5,'Base Cobertura'!$A:$C,3,FALSE)</f>
        <v>65</v>
      </c>
      <c r="H5" s="13">
        <f>VLOOKUP(B5,'Base Cobertura'!$A:$C,2,FALSE)</f>
        <v>51</v>
      </c>
      <c r="I5" s="17">
        <f t="shared" si="2"/>
        <v>4.25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99</v>
      </c>
      <c r="T5" s="13">
        <v>214</v>
      </c>
      <c r="U5" s="5">
        <f t="shared" si="3"/>
        <v>0.46261682242990654</v>
      </c>
    </row>
    <row r="6" spans="1:21" x14ac:dyDescent="0.25">
      <c r="A6" s="146"/>
      <c r="B6">
        <v>19</v>
      </c>
      <c r="C6" s="13" t="str">
        <f>+AVANCE!B3</f>
        <v>19 - GONZALEZ MARCELO</v>
      </c>
      <c r="D6" s="22">
        <f t="shared" si="0"/>
        <v>0.88888888888888884</v>
      </c>
      <c r="E6" s="13">
        <v>100</v>
      </c>
      <c r="F6" s="12">
        <f t="shared" si="1"/>
        <v>84</v>
      </c>
      <c r="G6" s="13">
        <f>VLOOKUP(B6,'Base Cobertura'!$A:$C,3,FALSE)</f>
        <v>207</v>
      </c>
      <c r="H6" s="13">
        <f>VLOOKUP(B6,'Base Cobertura'!$A:$C,2,FALSE)</f>
        <v>184</v>
      </c>
      <c r="I6" s="17">
        <f t="shared" si="2"/>
        <v>-8.0500000000000114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51</v>
      </c>
      <c r="T6" s="13">
        <v>214</v>
      </c>
      <c r="U6" s="5">
        <f t="shared" si="3"/>
        <v>0.23831775700934579</v>
      </c>
    </row>
    <row r="7" spans="1:21" x14ac:dyDescent="0.25">
      <c r="A7" s="146"/>
      <c r="B7">
        <v>16</v>
      </c>
      <c r="C7" s="13" t="str">
        <f>+AVANCE!B4</f>
        <v>16 - GOMEZ MATÍAS</v>
      </c>
      <c r="D7" s="22">
        <f t="shared" si="0"/>
        <v>0.84422110552763818</v>
      </c>
      <c r="E7" s="13">
        <v>81</v>
      </c>
      <c r="F7" s="12">
        <f t="shared" si="1"/>
        <v>87</v>
      </c>
      <c r="G7" s="13">
        <f>VLOOKUP(B7,'Base Cobertura'!$A:$C,3,FALSE)</f>
        <v>199</v>
      </c>
      <c r="H7" s="13">
        <f>VLOOKUP(B7,'Base Cobertura'!$A:$C,2,FALSE)</f>
        <v>168</v>
      </c>
      <c r="I7" s="17">
        <f t="shared" si="2"/>
        <v>1.1500000000000057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102</v>
      </c>
      <c r="T7" s="13">
        <v>214</v>
      </c>
      <c r="U7" s="5">
        <f t="shared" si="3"/>
        <v>0.47663551401869159</v>
      </c>
    </row>
    <row r="8" spans="1:21" x14ac:dyDescent="0.25">
      <c r="A8" s="146"/>
      <c r="B8">
        <v>12</v>
      </c>
      <c r="C8" s="13" t="str">
        <f>+AVANCE!B5</f>
        <v>12 - GUTIERREZ MARCOS DAVID</v>
      </c>
      <c r="D8" s="22">
        <f t="shared" si="0"/>
        <v>0.88785046728971961</v>
      </c>
      <c r="E8" s="13">
        <v>89</v>
      </c>
      <c r="F8" s="12">
        <f t="shared" si="1"/>
        <v>101</v>
      </c>
      <c r="G8" s="13">
        <f>VLOOKUP(B8,'Base Cobertura'!$A:$C,3,FALSE)</f>
        <v>214</v>
      </c>
      <c r="H8" s="13">
        <f>VLOOKUP(B8,'Base Cobertura'!$A:$C,2,FALSE)</f>
        <v>190</v>
      </c>
      <c r="I8" s="17">
        <f t="shared" si="2"/>
        <v>-8.0999999999999943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90</v>
      </c>
      <c r="T8" s="13">
        <v>214</v>
      </c>
      <c r="U8" s="5">
        <f t="shared" si="3"/>
        <v>0.42056074766355139</v>
      </c>
    </row>
    <row r="9" spans="1:21" x14ac:dyDescent="0.25">
      <c r="A9" s="146"/>
      <c r="B9">
        <v>11</v>
      </c>
      <c r="C9" s="30" t="str">
        <f>+AVANCE!B6</f>
        <v>11 - SANCHEZ RICARDO</v>
      </c>
      <c r="D9" s="22">
        <f>H9/G9</f>
        <v>0.8224852071005917</v>
      </c>
      <c r="E9" s="13">
        <v>92</v>
      </c>
      <c r="F9" s="12">
        <f t="shared" si="1"/>
        <v>47</v>
      </c>
      <c r="G9" s="13">
        <f>VLOOKUP(B9,'Base Cobertura'!$A:$C,3,FALSE)</f>
        <v>169</v>
      </c>
      <c r="H9" s="13">
        <f>VLOOKUP(B9,'Base Cobertura'!$A:$C,2,FALSE)</f>
        <v>139</v>
      </c>
      <c r="I9" s="17">
        <f t="shared" si="2"/>
        <v>4.6500000000000057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24</v>
      </c>
      <c r="T9" s="13">
        <v>214</v>
      </c>
      <c r="U9" s="5">
        <f t="shared" si="3"/>
        <v>0.11214953271028037</v>
      </c>
    </row>
    <row r="10" spans="1:21" x14ac:dyDescent="0.25">
      <c r="A10" s="146"/>
      <c r="B10">
        <v>8</v>
      </c>
      <c r="C10" s="13" t="str">
        <f>+AVANCE!B7</f>
        <v>8 - RAVAROTTO EMANUEL</v>
      </c>
      <c r="D10" s="22">
        <f t="shared" si="0"/>
        <v>0.81538461538461537</v>
      </c>
      <c r="E10" s="13">
        <v>64</v>
      </c>
      <c r="F10" s="12">
        <f t="shared" si="1"/>
        <v>95</v>
      </c>
      <c r="G10" s="13">
        <f>VLOOKUP(B10,'Base Cobertura'!$A:$C,3,FALSE)</f>
        <v>195</v>
      </c>
      <c r="H10" s="13">
        <f>VLOOKUP(B10,'Base Cobertura'!$A:$C,2,FALSE)</f>
        <v>159</v>
      </c>
      <c r="I10" s="17">
        <f t="shared" si="2"/>
        <v>6.75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31</v>
      </c>
      <c r="T10" s="13">
        <v>214</v>
      </c>
      <c r="U10" s="5">
        <f t="shared" si="3"/>
        <v>0.14485981308411214</v>
      </c>
    </row>
    <row r="11" spans="1:21" x14ac:dyDescent="0.25">
      <c r="A11" s="146"/>
      <c r="B11">
        <v>52</v>
      </c>
      <c r="C11" s="31" t="str">
        <f>+AVANCE!B14</f>
        <v>52 - MARSALL NICOLAS</v>
      </c>
      <c r="D11" s="32">
        <f t="shared" si="0"/>
        <v>0.5145631067961165</v>
      </c>
      <c r="E11" s="31">
        <v>19</v>
      </c>
      <c r="F11" s="33">
        <f t="shared" si="1"/>
        <v>34</v>
      </c>
      <c r="G11" s="13">
        <f>VLOOKUP(B11,'Base Cobertura'!$A:$C,3,FALSE)</f>
        <v>103</v>
      </c>
      <c r="H11" s="13">
        <f>VLOOKUP(B11,'Base Cobertura'!$A:$C,2,FALSE)</f>
        <v>53</v>
      </c>
      <c r="I11" s="34">
        <f t="shared" si="2"/>
        <v>34.549999999999997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46</v>
      </c>
      <c r="T11" s="13">
        <v>214</v>
      </c>
      <c r="U11" s="5">
        <f t="shared" si="3"/>
        <v>0.21495327102803738</v>
      </c>
    </row>
    <row r="12" spans="1:21" x14ac:dyDescent="0.25">
      <c r="A12" s="146"/>
      <c r="B12">
        <v>53</v>
      </c>
      <c r="C12" s="31" t="str">
        <f>+AVANCE!B15</f>
        <v>53 - SANDOVAL RODRIGO</v>
      </c>
      <c r="D12" s="32">
        <f t="shared" si="0"/>
        <v>0.6</v>
      </c>
      <c r="E12" s="31">
        <v>24</v>
      </c>
      <c r="F12" s="33">
        <f t="shared" si="1"/>
        <v>39</v>
      </c>
      <c r="G12" s="13">
        <f>VLOOKUP(B12,'Base Cobertura'!$A:$C,3,FALSE)</f>
        <v>105</v>
      </c>
      <c r="H12" s="13">
        <f>VLOOKUP(B12,'Base Cobertura'!$A:$C,2,FALSE)</f>
        <v>63</v>
      </c>
      <c r="I12" s="34">
        <f t="shared" si="2"/>
        <v>26.25</v>
      </c>
      <c r="J12" t="s">
        <v>59</v>
      </c>
    </row>
    <row r="13" spans="1:21" x14ac:dyDescent="0.25">
      <c r="A13" s="146"/>
      <c r="B13">
        <v>5</v>
      </c>
      <c r="C13" s="13" t="str">
        <f>+AVANCE!B8</f>
        <v>5 - SCHELOVER RAUL</v>
      </c>
      <c r="D13" s="22">
        <f t="shared" si="0"/>
        <v>0.90038314176245215</v>
      </c>
      <c r="E13" s="13">
        <v>144</v>
      </c>
      <c r="F13" s="12">
        <f t="shared" si="1"/>
        <v>91</v>
      </c>
      <c r="G13" s="13">
        <f>VLOOKUP(B13,'Base Cobertura'!$A:$C,3,FALSE)</f>
        <v>261</v>
      </c>
      <c r="H13" s="13">
        <f>VLOOKUP(B13,'Base Cobertura'!$A:$C,2,FALSE)</f>
        <v>235</v>
      </c>
      <c r="I13" s="17">
        <f t="shared" si="2"/>
        <v>-13.150000000000006</v>
      </c>
      <c r="J13" t="s">
        <v>57</v>
      </c>
      <c r="K13" t="s">
        <v>64</v>
      </c>
    </row>
    <row r="14" spans="1:21" ht="15.75" thickBot="1" x14ac:dyDescent="0.3">
      <c r="A14" s="146"/>
      <c r="B14">
        <v>4</v>
      </c>
      <c r="C14" s="10" t="str">
        <f>+AVANCE!B9</f>
        <v>4 - TUR SPRINGER FERNANDO</v>
      </c>
      <c r="D14" s="22">
        <f t="shared" si="0"/>
        <v>0.91758241758241754</v>
      </c>
      <c r="E14" s="13">
        <v>85</v>
      </c>
      <c r="F14" s="12">
        <f t="shared" si="1"/>
        <v>82</v>
      </c>
      <c r="G14" s="13">
        <f>VLOOKUP(B14,'Base Cobertura'!$A:$C,3,FALSE)</f>
        <v>182</v>
      </c>
      <c r="H14" s="13">
        <f>VLOOKUP(B14,'Base Cobertura'!$A:$C,2,FALSE)</f>
        <v>167</v>
      </c>
      <c r="I14" s="17">
        <f t="shared" si="2"/>
        <v>-12.300000000000011</v>
      </c>
      <c r="J14" t="s">
        <v>55</v>
      </c>
      <c r="K14" t="s">
        <v>64</v>
      </c>
    </row>
    <row r="15" spans="1:21" ht="15.75" thickBot="1" x14ac:dyDescent="0.3">
      <c r="A15" s="147"/>
      <c r="C15" s="9"/>
      <c r="D15" s="23"/>
      <c r="E15" s="14"/>
      <c r="F15" s="16">
        <f>+SUM(F2:F14)</f>
        <v>912</v>
      </c>
      <c r="G15" s="8">
        <f>+SUM(G2:G14)</f>
        <v>2245</v>
      </c>
      <c r="H15" s="8">
        <f>+SUM(H2:H14)</f>
        <v>1791</v>
      </c>
      <c r="I15" s="8"/>
    </row>
    <row r="16" spans="1:21" x14ac:dyDescent="0.25">
      <c r="A16" s="148" t="s">
        <v>38</v>
      </c>
      <c r="B16">
        <v>31</v>
      </c>
      <c r="C16" s="12" t="str">
        <f>+AVANCE!B22</f>
        <v>31 - RENZO RAMOS</v>
      </c>
      <c r="D16" s="22">
        <f t="shared" si="0"/>
        <v>0.83229813664596275</v>
      </c>
      <c r="E16" s="13">
        <v>90</v>
      </c>
      <c r="F16" s="12">
        <f t="shared" si="1"/>
        <v>44</v>
      </c>
      <c r="G16" s="13">
        <f>VLOOKUP(B16,'Base Cobertura'!$A:$C,3,FALSE)</f>
        <v>161</v>
      </c>
      <c r="H16" s="13">
        <f>VLOOKUP(B16,'Base Cobertura'!$A:$C,2,FALSE)</f>
        <v>134</v>
      </c>
      <c r="I16" s="17">
        <f t="shared" si="2"/>
        <v>2.8499999999999943</v>
      </c>
      <c r="J16" t="s">
        <v>55</v>
      </c>
      <c r="K16" t="s">
        <v>55</v>
      </c>
    </row>
    <row r="17" spans="1:11" x14ac:dyDescent="0.25">
      <c r="A17" s="146"/>
      <c r="B17">
        <v>54</v>
      </c>
      <c r="C17" s="13" t="str">
        <f>+AVANCE!B24</f>
        <v>54 - BARTSCHAT EMILIANO NAHUEL</v>
      </c>
      <c r="D17" s="22">
        <f t="shared" si="0"/>
        <v>0.73743016759776536</v>
      </c>
      <c r="E17" s="13">
        <v>92</v>
      </c>
      <c r="F17" s="12">
        <f t="shared" si="1"/>
        <v>40</v>
      </c>
      <c r="G17" s="13">
        <f>VLOOKUP(B17,'Base Cobertura'!$A:$C,3,FALSE)</f>
        <v>179</v>
      </c>
      <c r="H17" s="13">
        <f>VLOOKUP(B17,'Base Cobertura'!$A:$C,2,FALSE)</f>
        <v>132</v>
      </c>
      <c r="I17" s="17">
        <f t="shared" si="2"/>
        <v>20.150000000000006</v>
      </c>
      <c r="J17" t="s">
        <v>55</v>
      </c>
      <c r="K17" t="s">
        <v>63</v>
      </c>
    </row>
    <row r="18" spans="1:11" x14ac:dyDescent="0.25">
      <c r="A18" s="146"/>
      <c r="B18">
        <v>21</v>
      </c>
      <c r="C18" s="13" t="str">
        <f>+AVANCE!B20</f>
        <v>21 - CATAN MATIAS</v>
      </c>
      <c r="D18" s="22">
        <f t="shared" si="0"/>
        <v>0.86549707602339176</v>
      </c>
      <c r="E18" s="13">
        <v>88</v>
      </c>
      <c r="F18" s="12">
        <f t="shared" si="1"/>
        <v>60</v>
      </c>
      <c r="G18" s="13">
        <f>VLOOKUP(B18,'Base Cobertura'!$A:$C,3,FALSE)</f>
        <v>171</v>
      </c>
      <c r="H18" s="13">
        <f>VLOOKUP(B18,'Base Cobertura'!$A:$C,2,FALSE)</f>
        <v>148</v>
      </c>
      <c r="I18" s="17">
        <f t="shared" si="2"/>
        <v>-2.6500000000000057</v>
      </c>
      <c r="J18" t="s">
        <v>58</v>
      </c>
      <c r="K18" t="s">
        <v>55</v>
      </c>
    </row>
    <row r="19" spans="1:11" x14ac:dyDescent="0.25">
      <c r="A19" s="146"/>
      <c r="B19">
        <v>23</v>
      </c>
      <c r="C19" s="13" t="str">
        <f>+AVANCE!B21</f>
        <v>23 - DELGADO JOSÉ</v>
      </c>
      <c r="D19" s="22">
        <f t="shared" si="0"/>
        <v>0.90909090909090906</v>
      </c>
      <c r="E19" s="13">
        <v>95</v>
      </c>
      <c r="F19" s="12">
        <f t="shared" si="1"/>
        <v>45</v>
      </c>
      <c r="G19" s="13">
        <f>VLOOKUP(B19,'Base Cobertura'!$A:$C,3,FALSE)</f>
        <v>154</v>
      </c>
      <c r="H19" s="13">
        <f>VLOOKUP(B19,'Base Cobertura'!$A:$C,2,FALSE)</f>
        <v>140</v>
      </c>
      <c r="I19" s="17">
        <f t="shared" si="2"/>
        <v>-9.0999999999999943</v>
      </c>
      <c r="J19" t="s">
        <v>58</v>
      </c>
      <c r="K19" t="s">
        <v>64</v>
      </c>
    </row>
    <row r="20" spans="1:11" x14ac:dyDescent="0.25">
      <c r="A20" s="146"/>
      <c r="B20">
        <v>18</v>
      </c>
      <c r="C20" s="13" t="str">
        <f>+AVANCE!B19</f>
        <v>18 - HERRERA PABLO</v>
      </c>
      <c r="D20" s="22">
        <f t="shared" si="0"/>
        <v>0.87570621468926557</v>
      </c>
      <c r="E20" s="13">
        <v>83</v>
      </c>
      <c r="F20" s="12">
        <f t="shared" si="1"/>
        <v>72</v>
      </c>
      <c r="G20" s="13">
        <f>VLOOKUP(B20,'Base Cobertura'!$A:$C,3,FALSE)</f>
        <v>177</v>
      </c>
      <c r="H20" s="13">
        <f>VLOOKUP(B20,'Base Cobertura'!$A:$C,2,FALSE)</f>
        <v>155</v>
      </c>
      <c r="I20" s="17">
        <f t="shared" si="2"/>
        <v>-4.5500000000000114</v>
      </c>
      <c r="J20" t="s">
        <v>55</v>
      </c>
      <c r="K20" t="s">
        <v>55</v>
      </c>
    </row>
    <row r="21" spans="1:11" x14ac:dyDescent="0.25">
      <c r="A21" s="146"/>
      <c r="B21">
        <v>44</v>
      </c>
      <c r="C21" s="13" t="str">
        <f>+AVANCE!B23</f>
        <v>44 - MONGES CESAR LUIS</v>
      </c>
      <c r="D21" s="22">
        <f t="shared" si="0"/>
        <v>0.85798816568047342</v>
      </c>
      <c r="E21" s="13">
        <v>64</v>
      </c>
      <c r="F21" s="12">
        <f t="shared" si="1"/>
        <v>81</v>
      </c>
      <c r="G21" s="13">
        <f>VLOOKUP(B21,'Base Cobertura'!$A:$C,3,FALSE)</f>
        <v>169</v>
      </c>
      <c r="H21" s="13">
        <f>VLOOKUP(B21,'Base Cobertura'!$A:$C,2,FALSE)</f>
        <v>145</v>
      </c>
      <c r="I21" s="17">
        <f t="shared" si="2"/>
        <v>-1.3499999999999943</v>
      </c>
      <c r="J21" t="s">
        <v>58</v>
      </c>
      <c r="K21" t="s">
        <v>64</v>
      </c>
    </row>
    <row r="22" spans="1:11" x14ac:dyDescent="0.25">
      <c r="A22" s="146"/>
      <c r="B22">
        <v>56</v>
      </c>
      <c r="C22" s="13" t="str">
        <f>+AVANCE!B25</f>
        <v>56 - JUAN ANDRES SANCHEZ</v>
      </c>
      <c r="D22" s="22">
        <f t="shared" si="0"/>
        <v>0.45177664974619292</v>
      </c>
      <c r="E22" s="13">
        <v>66</v>
      </c>
      <c r="F22" s="12">
        <f t="shared" si="1"/>
        <v>23</v>
      </c>
      <c r="G22" s="13">
        <f>VLOOKUP(B22,'Base Cobertura'!$A:$C,3,FALSE)</f>
        <v>197</v>
      </c>
      <c r="H22" s="13">
        <f>VLOOKUP(B22,'Base Cobertura'!$A:$C,2,FALSE)</f>
        <v>89</v>
      </c>
      <c r="I22" s="17">
        <f t="shared" si="2"/>
        <v>78.449999999999989</v>
      </c>
      <c r="J22" t="s">
        <v>58</v>
      </c>
      <c r="K22" t="s">
        <v>66</v>
      </c>
    </row>
    <row r="23" spans="1:11" x14ac:dyDescent="0.25">
      <c r="A23" s="146"/>
      <c r="B23">
        <v>2</v>
      </c>
      <c r="C23" s="13" t="str">
        <f>+AVANCE!B17</f>
        <v>2 - OJEDA NORBERTO</v>
      </c>
      <c r="D23" s="22">
        <f t="shared" si="0"/>
        <v>0.82608695652173914</v>
      </c>
      <c r="E23" s="13">
        <v>70</v>
      </c>
      <c r="F23" s="12">
        <f t="shared" si="1"/>
        <v>44</v>
      </c>
      <c r="G23" s="13">
        <f>VLOOKUP(B23,'Base Cobertura'!$A:$C,3,FALSE)</f>
        <v>138</v>
      </c>
      <c r="H23" s="13">
        <f>VLOOKUP(B23,'Base Cobertura'!$A:$C,2,FALSE)</f>
        <v>114</v>
      </c>
      <c r="I23" s="17">
        <f t="shared" si="2"/>
        <v>3.2999999999999972</v>
      </c>
      <c r="J23" t="s">
        <v>58</v>
      </c>
      <c r="K23" t="s">
        <v>67</v>
      </c>
    </row>
    <row r="24" spans="1:11" ht="15.75" thickBot="1" x14ac:dyDescent="0.3">
      <c r="A24" s="146"/>
      <c r="B24">
        <v>3</v>
      </c>
      <c r="C24" s="10" t="str">
        <f>+AVANCE!B18</f>
        <v>3 - VIDAL NAHUEL</v>
      </c>
      <c r="D24" s="22">
        <f t="shared" si="0"/>
        <v>0.90588235294117647</v>
      </c>
      <c r="E24" s="13">
        <v>79</v>
      </c>
      <c r="F24" s="12">
        <f t="shared" si="1"/>
        <v>75</v>
      </c>
      <c r="G24" s="13">
        <f>VLOOKUP(B24,'Base Cobertura'!$A:$C,3,FALSE)</f>
        <v>170</v>
      </c>
      <c r="H24" s="13">
        <f>VLOOKUP(B24,'Base Cobertura'!$A:$C,2,FALSE)</f>
        <v>154</v>
      </c>
      <c r="I24" s="17">
        <f t="shared" si="2"/>
        <v>-9.5</v>
      </c>
      <c r="J24" t="s">
        <v>60</v>
      </c>
      <c r="K24" t="s">
        <v>64</v>
      </c>
    </row>
    <row r="25" spans="1:11" ht="15.75" thickBot="1" x14ac:dyDescent="0.3">
      <c r="A25" s="147"/>
      <c r="C25" s="9"/>
      <c r="D25" s="23"/>
      <c r="E25" s="14"/>
      <c r="F25" s="16">
        <f>+SUM(F16:F24)</f>
        <v>484</v>
      </c>
      <c r="G25" s="8">
        <f>+SUM(G16:G24)</f>
        <v>1516</v>
      </c>
      <c r="H25" s="8">
        <f>+SUM(H16:H24)</f>
        <v>1211</v>
      </c>
      <c r="I25" s="8"/>
    </row>
    <row r="26" spans="1:11" x14ac:dyDescent="0.25">
      <c r="A26" s="148" t="s">
        <v>218</v>
      </c>
      <c r="B26">
        <v>32</v>
      </c>
      <c r="C26" s="12" t="str">
        <f>+AVANCE!B27</f>
        <v>32 - CABRAL GONZALO</v>
      </c>
      <c r="D26" s="22">
        <f t="shared" si="0"/>
        <v>0.89655172413793105</v>
      </c>
      <c r="E26" s="13">
        <v>20</v>
      </c>
      <c r="F26" s="12">
        <f>+H26-E26</f>
        <v>32</v>
      </c>
      <c r="G26" s="13">
        <f>VLOOKUP(B26,'Base Cobertura'!$A:$C,3,FALSE)</f>
        <v>58</v>
      </c>
      <c r="H26" s="13">
        <f>VLOOKUP(B26,'Base Cobertura'!$A:$C,2,FALSE)</f>
        <v>52</v>
      </c>
      <c r="I26" s="17">
        <f t="shared" si="2"/>
        <v>-2.7000000000000028</v>
      </c>
      <c r="J26" t="s">
        <v>55</v>
      </c>
      <c r="K26" t="s">
        <v>67</v>
      </c>
    </row>
    <row r="27" spans="1:11" x14ac:dyDescent="0.25">
      <c r="A27" s="146"/>
      <c r="B27">
        <v>36</v>
      </c>
      <c r="C27" s="12" t="str">
        <f>+AVANCE!B28</f>
        <v>36 - COSARINSKI DIEGO</v>
      </c>
      <c r="D27" s="22">
        <f t="shared" si="0"/>
        <v>0.75</v>
      </c>
      <c r="E27" s="13">
        <v>68</v>
      </c>
      <c r="F27" s="12">
        <f t="shared" si="1"/>
        <v>52</v>
      </c>
      <c r="G27" s="13">
        <f>VLOOKUP(B27,'Base Cobertura'!$A:$C,3,FALSE)</f>
        <v>160</v>
      </c>
      <c r="H27" s="13">
        <f>VLOOKUP(B27,'Base Cobertura'!$A:$C,2,FALSE)</f>
        <v>120</v>
      </c>
      <c r="I27" s="17">
        <f t="shared" si="2"/>
        <v>16</v>
      </c>
      <c r="J27" t="s">
        <v>58</v>
      </c>
      <c r="K27" t="s">
        <v>67</v>
      </c>
    </row>
    <row r="28" spans="1:11" x14ac:dyDescent="0.25">
      <c r="A28" s="146"/>
      <c r="B28">
        <v>9</v>
      </c>
      <c r="C28" s="12" t="str">
        <f>+AVANCE!B29</f>
        <v>9 - ESTIGARRIBIA DAVID</v>
      </c>
      <c r="D28" s="22">
        <f t="shared" si="0"/>
        <v>0.86538461538461542</v>
      </c>
      <c r="E28" s="13">
        <v>80</v>
      </c>
      <c r="F28" s="12">
        <f t="shared" si="1"/>
        <v>55</v>
      </c>
      <c r="G28" s="13">
        <f>VLOOKUP(B28,'Base Cobertura'!$A:$C,3,FALSE)</f>
        <v>156</v>
      </c>
      <c r="H28" s="13">
        <f>VLOOKUP(B28,'Base Cobertura'!$A:$C,2,FALSE)</f>
        <v>135</v>
      </c>
      <c r="I28" s="17">
        <f t="shared" si="2"/>
        <v>-2.4000000000000057</v>
      </c>
      <c r="J28" t="s">
        <v>58</v>
      </c>
      <c r="K28" t="s">
        <v>55</v>
      </c>
    </row>
    <row r="29" spans="1:11" x14ac:dyDescent="0.25">
      <c r="A29" s="146"/>
      <c r="B29">
        <v>40</v>
      </c>
      <c r="C29" s="12" t="str">
        <f>+AVANCE!B30</f>
        <v>40 - IBARROLA JORGE</v>
      </c>
      <c r="D29" s="22">
        <f t="shared" si="0"/>
        <v>0.48</v>
      </c>
      <c r="E29" s="13">
        <v>68</v>
      </c>
      <c r="F29" s="12">
        <f t="shared" si="1"/>
        <v>52</v>
      </c>
      <c r="G29" s="13">
        <f>VLOOKUP(B29,'Base Cobertura'!$A:$C,3,FALSE)</f>
        <v>250</v>
      </c>
      <c r="H29" s="13">
        <f>VLOOKUP(B29,'Base Cobertura'!$A:$C,2,FALSE)</f>
        <v>120</v>
      </c>
      <c r="I29" s="17">
        <f t="shared" si="2"/>
        <v>92.5</v>
      </c>
      <c r="J29" t="s">
        <v>58</v>
      </c>
      <c r="K29" t="s">
        <v>67</v>
      </c>
    </row>
    <row r="30" spans="1:11" x14ac:dyDescent="0.25">
      <c r="A30" s="146"/>
      <c r="B30">
        <v>27</v>
      </c>
      <c r="C30" s="12" t="str">
        <f>+AVANCE!B31</f>
        <v>27 - GOMEZ ADRIÁN</v>
      </c>
      <c r="D30" s="22">
        <f t="shared" si="0"/>
        <v>0.97744360902255634</v>
      </c>
      <c r="E30" s="13">
        <v>73</v>
      </c>
      <c r="F30" s="12">
        <f t="shared" si="1"/>
        <v>57</v>
      </c>
      <c r="G30" s="13">
        <f>VLOOKUP(B30,'Base Cobertura'!$A:$C,3,FALSE)</f>
        <v>133</v>
      </c>
      <c r="H30" s="13">
        <f>VLOOKUP(B30,'Base Cobertura'!$A:$C,2,FALSE)</f>
        <v>130</v>
      </c>
      <c r="I30" s="17">
        <f t="shared" si="2"/>
        <v>-16.950000000000003</v>
      </c>
      <c r="J30" t="s">
        <v>55</v>
      </c>
      <c r="K30" t="s">
        <v>67</v>
      </c>
    </row>
    <row r="31" spans="1:11" x14ac:dyDescent="0.25">
      <c r="A31" s="146"/>
      <c r="B31">
        <v>10</v>
      </c>
      <c r="C31" s="12" t="str">
        <f>+AVANCE!B32</f>
        <v>10 - BRITEZ EMMANUEL</v>
      </c>
      <c r="D31" s="22">
        <f t="shared" si="0"/>
        <v>0.74863387978142082</v>
      </c>
      <c r="E31" s="13">
        <v>40</v>
      </c>
      <c r="F31" s="12">
        <f t="shared" si="1"/>
        <v>97</v>
      </c>
      <c r="G31" s="13">
        <f>VLOOKUP(B31,'Base Cobertura'!$A:$C,3,FALSE)</f>
        <v>183</v>
      </c>
      <c r="H31" s="13">
        <f>VLOOKUP(B31,'Base Cobertura'!$A:$C,2,FALSE)</f>
        <v>137</v>
      </c>
      <c r="I31" s="17">
        <f t="shared" si="2"/>
        <v>18.549999999999983</v>
      </c>
      <c r="J31" t="s">
        <v>58</v>
      </c>
      <c r="K31" t="s">
        <v>67</v>
      </c>
    </row>
    <row r="32" spans="1:11" x14ac:dyDescent="0.25">
      <c r="A32" s="146"/>
      <c r="B32">
        <v>28</v>
      </c>
      <c r="C32" s="12" t="str">
        <f>+AVANCE!B33</f>
        <v>28 - GOMEZ PABLO</v>
      </c>
      <c r="D32" s="22">
        <f t="shared" si="0"/>
        <v>0.86309523809523814</v>
      </c>
      <c r="E32" s="13">
        <v>67</v>
      </c>
      <c r="F32" s="12">
        <f t="shared" si="1"/>
        <v>78</v>
      </c>
      <c r="G32" s="13">
        <f>VLOOKUP(B32,'Base Cobertura'!$A:$C,3,FALSE)</f>
        <v>168</v>
      </c>
      <c r="H32" s="13">
        <f>VLOOKUP(B32,'Base Cobertura'!$A:$C,2,FALSE)</f>
        <v>145</v>
      </c>
      <c r="I32" s="17">
        <f t="shared" si="2"/>
        <v>-2.2000000000000171</v>
      </c>
      <c r="J32" t="s">
        <v>58</v>
      </c>
      <c r="K32" t="s">
        <v>67</v>
      </c>
    </row>
    <row r="33" spans="1:12" x14ac:dyDescent="0.25">
      <c r="A33" s="146"/>
      <c r="B33">
        <v>33</v>
      </c>
      <c r="C33" s="12" t="str">
        <f>+AVANCE!B34</f>
        <v>33 - NICOLAS AZULA</v>
      </c>
      <c r="D33" s="22">
        <f t="shared" si="0"/>
        <v>0.86227544910179643</v>
      </c>
      <c r="E33" s="13">
        <v>66</v>
      </c>
      <c r="F33" s="12">
        <f t="shared" si="1"/>
        <v>78</v>
      </c>
      <c r="G33" s="13">
        <f>VLOOKUP(B33,'Base Cobertura'!$A:$C,3,FALSE)</f>
        <v>167</v>
      </c>
      <c r="H33" s="13">
        <f>VLOOKUP(B33,'Base Cobertura'!$A:$C,2,FALSE)</f>
        <v>144</v>
      </c>
      <c r="I33" s="17">
        <f t="shared" si="2"/>
        <v>-2.0500000000000114</v>
      </c>
      <c r="J33" t="s">
        <v>58</v>
      </c>
      <c r="K33" t="s">
        <v>67</v>
      </c>
    </row>
    <row r="34" spans="1:12" x14ac:dyDescent="0.25">
      <c r="A34" s="146"/>
      <c r="B34">
        <v>37</v>
      </c>
      <c r="C34" s="12" t="str">
        <f>+AVANCE!B35</f>
        <v>37 - PEREZ ESQUIVEL BRUNO NICOLAS</v>
      </c>
      <c r="D34" s="22">
        <f t="shared" si="0"/>
        <v>0.49295774647887325</v>
      </c>
      <c r="E34" s="13">
        <v>82</v>
      </c>
      <c r="F34" s="12">
        <f t="shared" si="1"/>
        <v>-12</v>
      </c>
      <c r="G34" s="13">
        <f>VLOOKUP(B34,'Base Cobertura'!$A:$C,3,FALSE)</f>
        <v>142</v>
      </c>
      <c r="H34" s="13">
        <f>VLOOKUP(B34,'Base Cobertura'!$A:$C,2,FALSE)</f>
        <v>70</v>
      </c>
      <c r="I34" s="17">
        <f t="shared" si="2"/>
        <v>50.7</v>
      </c>
      <c r="J34" t="s">
        <v>55</v>
      </c>
      <c r="K34" t="s">
        <v>67</v>
      </c>
    </row>
    <row r="35" spans="1:12" x14ac:dyDescent="0.25">
      <c r="A35" s="146"/>
      <c r="B35">
        <v>24</v>
      </c>
      <c r="C35" s="12" t="str">
        <f>+AVANCE!B36</f>
        <v>24 - MARTINEZ JORGE NICOLAS</v>
      </c>
      <c r="D35" s="22">
        <f t="shared" si="0"/>
        <v>0.6629213483146067</v>
      </c>
      <c r="E35" s="13">
        <v>81</v>
      </c>
      <c r="F35" s="12">
        <f t="shared" si="1"/>
        <v>37</v>
      </c>
      <c r="G35" s="13">
        <f>VLOOKUP(B35,'Base Cobertura'!$A:$C,3,FALSE)</f>
        <v>178</v>
      </c>
      <c r="H35" s="13">
        <f>VLOOKUP(B35,'Base Cobertura'!$A:$C,2,FALSE)</f>
        <v>118</v>
      </c>
      <c r="I35" s="17">
        <f t="shared" si="2"/>
        <v>33.299999999999983</v>
      </c>
      <c r="J35" t="s">
        <v>58</v>
      </c>
      <c r="K35" t="s">
        <v>67</v>
      </c>
    </row>
    <row r="36" spans="1:12" x14ac:dyDescent="0.25">
      <c r="A36" s="146"/>
      <c r="B36">
        <v>7</v>
      </c>
      <c r="C36" s="12" t="str">
        <f>+AVANCE!B37</f>
        <v>7 - VALLEJOS EDUARDO</v>
      </c>
      <c r="D36" s="22">
        <f t="shared" si="0"/>
        <v>0.17391304347826086</v>
      </c>
      <c r="E36" s="13">
        <v>0</v>
      </c>
      <c r="F36" s="12">
        <f t="shared" si="1"/>
        <v>20</v>
      </c>
      <c r="G36" s="13">
        <f>VLOOKUP(B36,'Base Cobertura'!$A:$C,3,FALSE)</f>
        <v>115</v>
      </c>
      <c r="H36" s="13">
        <f>VLOOKUP(B36,'Base Cobertura'!$A:$C,2,FALSE)</f>
        <v>20</v>
      </c>
      <c r="I36" s="17">
        <f t="shared" si="2"/>
        <v>77.75</v>
      </c>
      <c r="J36" t="s">
        <v>58</v>
      </c>
    </row>
    <row r="37" spans="1:12" x14ac:dyDescent="0.25">
      <c r="A37" s="146"/>
      <c r="B37">
        <v>57</v>
      </c>
      <c r="C37" s="12" t="str">
        <f>+AVANCE!B38</f>
        <v>57 - ROUBINEAU SEBASTIAN</v>
      </c>
      <c r="D37" s="22">
        <f t="shared" si="0"/>
        <v>0.41904761904761906</v>
      </c>
      <c r="E37" s="13">
        <v>17</v>
      </c>
      <c r="F37" s="12">
        <f t="shared" si="1"/>
        <v>27</v>
      </c>
      <c r="G37" s="13">
        <f>VLOOKUP(B37,'Base Cobertura'!$A:$C,3,FALSE)</f>
        <v>105</v>
      </c>
      <c r="H37" s="13">
        <f>VLOOKUP(B37,'Base Cobertura'!$A:$C,2,FALSE)</f>
        <v>44</v>
      </c>
      <c r="I37" s="17">
        <f t="shared" si="2"/>
        <v>45.25</v>
      </c>
      <c r="J37" t="s">
        <v>59</v>
      </c>
    </row>
    <row r="38" spans="1:12" ht="15.75" thickBot="1" x14ac:dyDescent="0.3">
      <c r="A38" s="146"/>
      <c r="B38">
        <v>1</v>
      </c>
      <c r="C38" s="12" t="str">
        <f>+AVANCE!B39</f>
        <v>1 - VERA ERNESTO</v>
      </c>
      <c r="D38" s="22">
        <f t="shared" si="0"/>
        <v>0.85039370078740162</v>
      </c>
      <c r="E38" s="13">
        <v>60</v>
      </c>
      <c r="F38" s="12">
        <f t="shared" si="1"/>
        <v>48</v>
      </c>
      <c r="G38" s="13">
        <f>VLOOKUP(B38,'Base Cobertura'!$A:$C,3,FALSE)</f>
        <v>127</v>
      </c>
      <c r="H38" s="13">
        <f>VLOOKUP(B38,'Base Cobertura'!$A:$C,2,FALSE)</f>
        <v>108</v>
      </c>
      <c r="I38" s="17">
        <f t="shared" si="2"/>
        <v>-4.9999999999997158E-2</v>
      </c>
      <c r="J38" t="s">
        <v>55</v>
      </c>
      <c r="K38" t="s">
        <v>55</v>
      </c>
    </row>
    <row r="39" spans="1:12" ht="15.75" thickBot="1" x14ac:dyDescent="0.3">
      <c r="A39" s="147"/>
      <c r="C39" s="9"/>
      <c r="D39" s="23"/>
      <c r="E39" s="14"/>
      <c r="F39" s="8">
        <f>+SUM(F26:F38)</f>
        <v>621</v>
      </c>
      <c r="G39" s="8">
        <f>+SUM(G26:G38)</f>
        <v>1942</v>
      </c>
      <c r="H39" s="8">
        <f>+SUM(H26:H38)</f>
        <v>1343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2017</v>
      </c>
      <c r="G40" s="8">
        <f>+G15+G25+G39</f>
        <v>5703</v>
      </c>
      <c r="H40" s="8">
        <f>+H15+H25+H39</f>
        <v>4345</v>
      </c>
      <c r="I40" s="8"/>
      <c r="L40" s="1">
        <f>+H40/G40</f>
        <v>0.76187971243205332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0.33606557377049179</v>
      </c>
      <c r="E41" s="13">
        <v>60</v>
      </c>
      <c r="F41" s="12">
        <f t="shared" ref="F41:F42" si="5">+H41-E41</f>
        <v>-19</v>
      </c>
      <c r="G41" s="13">
        <f>VLOOKUP(B41,'Base Cobertura'!$A:$C,3,FALSE)</f>
        <v>122</v>
      </c>
      <c r="H41" s="13">
        <f>VLOOKUP(B41,'Base Cobertura'!$A:$C,2,FALSE)</f>
        <v>41</v>
      </c>
      <c r="I41" s="17">
        <f t="shared" ref="I41:I42" si="6">(+G41*$M$2)-H41</f>
        <v>62.7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0.50806451612903225</v>
      </c>
      <c r="E42" s="13">
        <v>60</v>
      </c>
      <c r="F42" s="12">
        <f t="shared" si="5"/>
        <v>3</v>
      </c>
      <c r="G42" s="13">
        <f>VLOOKUP(B42,'Base Cobertura'!$A:$C,3,FALSE)</f>
        <v>124</v>
      </c>
      <c r="H42" s="13">
        <f>VLOOKUP(B42,'Base Cobertura'!$A:$C,2,FALSE)</f>
        <v>63</v>
      </c>
      <c r="I42" s="17">
        <f t="shared" si="6"/>
        <v>42.399999999999991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11</v>
      </c>
      <c r="C3" s="51">
        <v>3474</v>
      </c>
      <c r="G3" t="s">
        <v>222</v>
      </c>
      <c r="H3" s="51">
        <v>3</v>
      </c>
      <c r="I3" s="51">
        <v>3474</v>
      </c>
    </row>
    <row r="4" spans="1:9" x14ac:dyDescent="0.25">
      <c r="A4">
        <v>1</v>
      </c>
      <c r="B4" s="51">
        <v>108</v>
      </c>
      <c r="C4" s="51">
        <v>127</v>
      </c>
      <c r="G4" t="s">
        <v>223</v>
      </c>
      <c r="H4">
        <v>5</v>
      </c>
      <c r="I4" s="51">
        <v>3474</v>
      </c>
    </row>
    <row r="5" spans="1:9" x14ac:dyDescent="0.25">
      <c r="A5">
        <v>10</v>
      </c>
      <c r="B5" s="51">
        <v>137</v>
      </c>
      <c r="C5" s="51">
        <v>183</v>
      </c>
      <c r="G5" t="s">
        <v>224</v>
      </c>
      <c r="H5" s="51">
        <v>6</v>
      </c>
      <c r="I5" s="51">
        <v>3474</v>
      </c>
    </row>
    <row r="6" spans="1:9" x14ac:dyDescent="0.25">
      <c r="A6">
        <v>100</v>
      </c>
      <c r="B6" s="51">
        <v>47</v>
      </c>
      <c r="C6" s="51">
        <v>2030</v>
      </c>
      <c r="G6" t="s">
        <v>225</v>
      </c>
      <c r="H6" s="51">
        <v>3</v>
      </c>
      <c r="I6" s="51">
        <v>3474</v>
      </c>
    </row>
    <row r="7" spans="1:9" x14ac:dyDescent="0.25">
      <c r="A7">
        <v>11</v>
      </c>
      <c r="B7" s="51">
        <v>139</v>
      </c>
      <c r="C7" s="51">
        <v>169</v>
      </c>
      <c r="G7" t="s">
        <v>226</v>
      </c>
      <c r="H7" s="51">
        <v>6</v>
      </c>
      <c r="I7" s="51">
        <v>3474</v>
      </c>
    </row>
    <row r="8" spans="1:9" x14ac:dyDescent="0.25">
      <c r="A8">
        <v>12</v>
      </c>
      <c r="B8" s="51">
        <v>190</v>
      </c>
      <c r="C8" s="51">
        <v>214</v>
      </c>
      <c r="G8" t="s">
        <v>227</v>
      </c>
      <c r="H8" s="51">
        <v>4</v>
      </c>
      <c r="I8" s="51">
        <v>3474</v>
      </c>
    </row>
    <row r="9" spans="1:9" x14ac:dyDescent="0.25">
      <c r="A9">
        <v>123</v>
      </c>
      <c r="B9" s="51">
        <v>39</v>
      </c>
      <c r="C9" s="51">
        <v>490</v>
      </c>
      <c r="G9" t="s">
        <v>228</v>
      </c>
      <c r="H9" s="51">
        <v>4</v>
      </c>
      <c r="I9" s="51">
        <v>3474</v>
      </c>
    </row>
    <row r="10" spans="1:9" x14ac:dyDescent="0.25">
      <c r="A10">
        <v>15</v>
      </c>
      <c r="B10" s="51">
        <v>51</v>
      </c>
      <c r="C10" s="51">
        <v>65</v>
      </c>
      <c r="G10" t="s">
        <v>229</v>
      </c>
      <c r="H10">
        <v>3</v>
      </c>
      <c r="I10" s="51">
        <v>3474</v>
      </c>
    </row>
    <row r="11" spans="1:9" x14ac:dyDescent="0.25">
      <c r="A11">
        <v>16</v>
      </c>
      <c r="B11" s="51">
        <v>168</v>
      </c>
      <c r="C11" s="51">
        <v>199</v>
      </c>
      <c r="G11" t="s">
        <v>230</v>
      </c>
      <c r="H11" s="51">
        <v>4</v>
      </c>
      <c r="I11" s="51">
        <v>3474</v>
      </c>
    </row>
    <row r="12" spans="1:9" x14ac:dyDescent="0.25">
      <c r="A12">
        <v>18</v>
      </c>
      <c r="B12" s="51">
        <v>155</v>
      </c>
      <c r="C12" s="51">
        <v>177</v>
      </c>
      <c r="E12">
        <f>+F12</f>
        <v>1</v>
      </c>
      <c r="F12">
        <v>1</v>
      </c>
      <c r="G12" t="s">
        <v>222</v>
      </c>
      <c r="H12">
        <v>49</v>
      </c>
      <c r="I12" s="51">
        <v>127</v>
      </c>
    </row>
    <row r="13" spans="1:9" x14ac:dyDescent="0.25">
      <c r="A13">
        <v>19</v>
      </c>
      <c r="B13" s="51">
        <v>184</v>
      </c>
      <c r="C13" s="51">
        <v>207</v>
      </c>
      <c r="E13">
        <f>+$E$12</f>
        <v>1</v>
      </c>
      <c r="G13" t="s">
        <v>223</v>
      </c>
      <c r="H13" s="51">
        <v>46</v>
      </c>
      <c r="I13" s="51">
        <v>127</v>
      </c>
    </row>
    <row r="14" spans="1:9" x14ac:dyDescent="0.25">
      <c r="A14">
        <v>2</v>
      </c>
      <c r="B14" s="51">
        <v>114</v>
      </c>
      <c r="C14" s="51">
        <v>138</v>
      </c>
      <c r="E14">
        <f t="shared" ref="E14:E20" si="0">+$E$12</f>
        <v>1</v>
      </c>
      <c r="G14" t="s">
        <v>224</v>
      </c>
      <c r="H14" s="51">
        <v>54</v>
      </c>
      <c r="I14" s="51">
        <v>127</v>
      </c>
    </row>
    <row r="15" spans="1:9" x14ac:dyDescent="0.25">
      <c r="A15">
        <v>20</v>
      </c>
      <c r="B15" s="51">
        <v>205</v>
      </c>
      <c r="C15" s="51">
        <v>227</v>
      </c>
      <c r="E15">
        <f t="shared" si="0"/>
        <v>1</v>
      </c>
      <c r="G15" t="s">
        <v>225</v>
      </c>
      <c r="H15" s="51">
        <v>46</v>
      </c>
      <c r="I15" s="51">
        <v>127</v>
      </c>
    </row>
    <row r="16" spans="1:9" x14ac:dyDescent="0.25">
      <c r="A16">
        <v>21</v>
      </c>
      <c r="B16" s="51">
        <v>148</v>
      </c>
      <c r="C16" s="51">
        <v>171</v>
      </c>
      <c r="E16">
        <f t="shared" si="0"/>
        <v>1</v>
      </c>
      <c r="G16" t="s">
        <v>226</v>
      </c>
      <c r="H16" s="51">
        <v>68</v>
      </c>
      <c r="I16" s="51">
        <v>127</v>
      </c>
    </row>
    <row r="17" spans="1:9" x14ac:dyDescent="0.25">
      <c r="A17">
        <v>22</v>
      </c>
      <c r="B17" s="51">
        <v>68</v>
      </c>
      <c r="C17" s="51">
        <v>75</v>
      </c>
      <c r="E17">
        <f t="shared" si="0"/>
        <v>1</v>
      </c>
      <c r="G17" t="s">
        <v>227</v>
      </c>
      <c r="H17" s="51">
        <v>65</v>
      </c>
      <c r="I17" s="51">
        <v>127</v>
      </c>
    </row>
    <row r="18" spans="1:9" x14ac:dyDescent="0.25">
      <c r="A18">
        <v>23</v>
      </c>
      <c r="B18" s="51">
        <v>140</v>
      </c>
      <c r="C18" s="51">
        <v>154</v>
      </c>
      <c r="E18">
        <f t="shared" si="0"/>
        <v>1</v>
      </c>
      <c r="G18" t="s">
        <v>228</v>
      </c>
      <c r="H18" s="51">
        <v>28</v>
      </c>
      <c r="I18" s="51">
        <v>127</v>
      </c>
    </row>
    <row r="19" spans="1:9" x14ac:dyDescent="0.25">
      <c r="A19">
        <v>24</v>
      </c>
      <c r="B19" s="51">
        <v>118</v>
      </c>
      <c r="C19" s="51">
        <v>178</v>
      </c>
      <c r="E19">
        <f t="shared" si="0"/>
        <v>1</v>
      </c>
      <c r="G19" t="s">
        <v>229</v>
      </c>
      <c r="H19" s="51">
        <v>36</v>
      </c>
      <c r="I19" s="51">
        <v>127</v>
      </c>
    </row>
    <row r="20" spans="1:9" x14ac:dyDescent="0.25">
      <c r="A20">
        <v>25</v>
      </c>
      <c r="B20" s="51">
        <v>83</v>
      </c>
      <c r="C20" s="51">
        <v>172</v>
      </c>
      <c r="E20">
        <f t="shared" si="0"/>
        <v>1</v>
      </c>
      <c r="G20" t="s">
        <v>230</v>
      </c>
      <c r="H20">
        <v>48</v>
      </c>
      <c r="I20" s="51">
        <v>127</v>
      </c>
    </row>
    <row r="21" spans="1:9" x14ac:dyDescent="0.25">
      <c r="A21">
        <v>26</v>
      </c>
      <c r="B21" s="51">
        <v>75</v>
      </c>
      <c r="C21" s="51">
        <v>166</v>
      </c>
      <c r="E21">
        <f>+$F$21</f>
        <v>10</v>
      </c>
      <c r="F21">
        <v>10</v>
      </c>
      <c r="G21" t="s">
        <v>222</v>
      </c>
      <c r="H21" s="51">
        <v>29</v>
      </c>
      <c r="I21" s="51">
        <v>183</v>
      </c>
    </row>
    <row r="22" spans="1:9" x14ac:dyDescent="0.25">
      <c r="A22">
        <v>27</v>
      </c>
      <c r="B22" s="51">
        <v>130</v>
      </c>
      <c r="C22" s="51">
        <v>133</v>
      </c>
      <c r="E22">
        <f t="shared" ref="E22:E29" si="1">+$F$21</f>
        <v>10</v>
      </c>
      <c r="G22" t="s">
        <v>223</v>
      </c>
      <c r="H22" s="51">
        <v>24</v>
      </c>
      <c r="I22" s="51">
        <v>183</v>
      </c>
    </row>
    <row r="23" spans="1:9" x14ac:dyDescent="0.25">
      <c r="A23">
        <v>28</v>
      </c>
      <c r="B23" s="51">
        <v>145</v>
      </c>
      <c r="C23" s="51">
        <v>168</v>
      </c>
      <c r="E23">
        <f t="shared" si="1"/>
        <v>10</v>
      </c>
      <c r="G23" t="s">
        <v>224</v>
      </c>
      <c r="H23" s="51">
        <v>69</v>
      </c>
      <c r="I23" s="51">
        <v>183</v>
      </c>
    </row>
    <row r="24" spans="1:9" x14ac:dyDescent="0.25">
      <c r="A24">
        <v>3</v>
      </c>
      <c r="B24" s="51">
        <v>154</v>
      </c>
      <c r="C24" s="51">
        <v>170</v>
      </c>
      <c r="E24">
        <f t="shared" si="1"/>
        <v>10</v>
      </c>
      <c r="G24" t="s">
        <v>225</v>
      </c>
      <c r="H24" s="51">
        <v>51</v>
      </c>
      <c r="I24" s="51">
        <v>183</v>
      </c>
    </row>
    <row r="25" spans="1:9" x14ac:dyDescent="0.25">
      <c r="A25">
        <v>30</v>
      </c>
      <c r="B25" s="51">
        <v>27</v>
      </c>
      <c r="C25" s="51">
        <v>139</v>
      </c>
      <c r="E25">
        <f t="shared" si="1"/>
        <v>10</v>
      </c>
      <c r="G25" t="s">
        <v>226</v>
      </c>
      <c r="H25" s="51">
        <v>77</v>
      </c>
      <c r="I25" s="51">
        <v>183</v>
      </c>
    </row>
    <row r="26" spans="1:9" x14ac:dyDescent="0.25">
      <c r="A26">
        <v>31</v>
      </c>
      <c r="B26" s="51">
        <v>134</v>
      </c>
      <c r="C26" s="51">
        <v>161</v>
      </c>
      <c r="E26">
        <f t="shared" si="1"/>
        <v>10</v>
      </c>
      <c r="G26" t="s">
        <v>227</v>
      </c>
      <c r="H26" s="51">
        <v>65</v>
      </c>
      <c r="I26" s="51">
        <v>183</v>
      </c>
    </row>
    <row r="27" spans="1:9" x14ac:dyDescent="0.25">
      <c r="A27">
        <v>32</v>
      </c>
      <c r="B27" s="51">
        <v>52</v>
      </c>
      <c r="C27" s="51">
        <v>58</v>
      </c>
      <c r="E27">
        <f t="shared" si="1"/>
        <v>10</v>
      </c>
      <c r="G27" t="s">
        <v>228</v>
      </c>
      <c r="H27" s="51">
        <v>20</v>
      </c>
      <c r="I27" s="51">
        <v>183</v>
      </c>
    </row>
    <row r="28" spans="1:9" x14ac:dyDescent="0.25">
      <c r="A28">
        <v>33</v>
      </c>
      <c r="B28" s="51">
        <v>144</v>
      </c>
      <c r="C28" s="51">
        <v>167</v>
      </c>
      <c r="E28">
        <f t="shared" si="1"/>
        <v>10</v>
      </c>
      <c r="G28" t="s">
        <v>229</v>
      </c>
      <c r="H28" s="51">
        <v>18</v>
      </c>
      <c r="I28" s="51">
        <v>183</v>
      </c>
    </row>
    <row r="29" spans="1:9" x14ac:dyDescent="0.25">
      <c r="A29">
        <v>36</v>
      </c>
      <c r="B29" s="51">
        <v>120</v>
      </c>
      <c r="C29" s="51">
        <v>160</v>
      </c>
      <c r="E29">
        <f t="shared" si="1"/>
        <v>10</v>
      </c>
      <c r="G29" t="s">
        <v>230</v>
      </c>
      <c r="H29" s="51">
        <v>30</v>
      </c>
      <c r="I29" s="51">
        <v>183</v>
      </c>
    </row>
    <row r="30" spans="1:9" x14ac:dyDescent="0.25">
      <c r="A30">
        <v>37</v>
      </c>
      <c r="B30" s="51">
        <v>70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29</v>
      </c>
      <c r="I30" s="51">
        <v>2030</v>
      </c>
    </row>
    <row r="31" spans="1:9" x14ac:dyDescent="0.25">
      <c r="A31">
        <v>4</v>
      </c>
      <c r="B31" s="51">
        <v>167</v>
      </c>
      <c r="C31" s="51">
        <v>182</v>
      </c>
      <c r="E31">
        <f t="shared" ref="E31:E38" si="2">+$F$30</f>
        <v>100</v>
      </c>
      <c r="G31" t="s">
        <v>223</v>
      </c>
      <c r="H31" s="51">
        <v>26</v>
      </c>
      <c r="I31" s="51">
        <v>2030</v>
      </c>
    </row>
    <row r="32" spans="1:9" x14ac:dyDescent="0.25">
      <c r="A32">
        <v>40</v>
      </c>
      <c r="B32" s="51">
        <v>120</v>
      </c>
      <c r="C32" s="51">
        <v>250</v>
      </c>
      <c r="E32">
        <f t="shared" si="2"/>
        <v>100</v>
      </c>
      <c r="G32" t="s">
        <v>224</v>
      </c>
      <c r="H32" s="51">
        <v>29</v>
      </c>
      <c r="I32" s="51">
        <v>2030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225</v>
      </c>
      <c r="H33" s="51">
        <v>12</v>
      </c>
      <c r="I33" s="51">
        <v>2030</v>
      </c>
    </row>
    <row r="34" spans="1:9" x14ac:dyDescent="0.25">
      <c r="A34">
        <v>43</v>
      </c>
      <c r="B34" s="51">
        <v>22</v>
      </c>
      <c r="C34" s="51">
        <v>93</v>
      </c>
      <c r="E34">
        <f t="shared" si="2"/>
        <v>100</v>
      </c>
      <c r="G34" t="s">
        <v>226</v>
      </c>
      <c r="H34" s="51">
        <v>32</v>
      </c>
      <c r="I34" s="51">
        <v>2030</v>
      </c>
    </row>
    <row r="35" spans="1:9" x14ac:dyDescent="0.25">
      <c r="A35">
        <v>44</v>
      </c>
      <c r="B35" s="51">
        <v>145</v>
      </c>
      <c r="C35" s="51">
        <v>169</v>
      </c>
      <c r="E35">
        <f t="shared" si="2"/>
        <v>100</v>
      </c>
      <c r="G35" t="s">
        <v>227</v>
      </c>
      <c r="H35" s="51">
        <v>19</v>
      </c>
      <c r="I35" s="51">
        <v>2030</v>
      </c>
    </row>
    <row r="36" spans="1:9" x14ac:dyDescent="0.25">
      <c r="A36">
        <v>49</v>
      </c>
      <c r="B36" s="51">
        <v>109</v>
      </c>
      <c r="C36" s="51">
        <v>243</v>
      </c>
      <c r="E36">
        <f t="shared" si="2"/>
        <v>100</v>
      </c>
      <c r="G36" t="s">
        <v>228</v>
      </c>
      <c r="H36" s="51">
        <v>23</v>
      </c>
      <c r="I36" s="51">
        <v>2030</v>
      </c>
    </row>
    <row r="37" spans="1:9" x14ac:dyDescent="0.25">
      <c r="A37">
        <v>5</v>
      </c>
      <c r="B37" s="51">
        <v>235</v>
      </c>
      <c r="C37" s="51">
        <v>261</v>
      </c>
      <c r="E37">
        <f t="shared" si="2"/>
        <v>100</v>
      </c>
      <c r="G37" t="s">
        <v>229</v>
      </c>
      <c r="H37" s="51">
        <v>9</v>
      </c>
      <c r="I37" s="51">
        <v>2030</v>
      </c>
    </row>
    <row r="38" spans="1:9" x14ac:dyDescent="0.25">
      <c r="A38">
        <v>52</v>
      </c>
      <c r="B38" s="51">
        <v>53</v>
      </c>
      <c r="C38" s="51">
        <v>103</v>
      </c>
      <c r="E38">
        <f t="shared" si="2"/>
        <v>100</v>
      </c>
      <c r="G38" t="s">
        <v>230</v>
      </c>
      <c r="H38" s="51">
        <v>4</v>
      </c>
      <c r="I38" s="51">
        <v>2030</v>
      </c>
    </row>
    <row r="39" spans="1:9" x14ac:dyDescent="0.25">
      <c r="A39">
        <v>53</v>
      </c>
      <c r="B39" s="51">
        <v>63</v>
      </c>
      <c r="C39" s="51">
        <v>105</v>
      </c>
      <c r="E39">
        <f>+$F$39</f>
        <v>11</v>
      </c>
      <c r="F39">
        <v>11</v>
      </c>
      <c r="G39" t="s">
        <v>222</v>
      </c>
      <c r="H39" s="51">
        <v>58</v>
      </c>
      <c r="I39" s="51">
        <v>169</v>
      </c>
    </row>
    <row r="40" spans="1:9" x14ac:dyDescent="0.25">
      <c r="A40">
        <v>54</v>
      </c>
      <c r="B40" s="51">
        <v>132</v>
      </c>
      <c r="C40" s="51">
        <v>179</v>
      </c>
      <c r="E40">
        <f t="shared" ref="E40:E47" si="3">+$F$39</f>
        <v>11</v>
      </c>
      <c r="G40" t="s">
        <v>223</v>
      </c>
      <c r="H40" s="51">
        <v>39</v>
      </c>
      <c r="I40" s="51">
        <v>169</v>
      </c>
    </row>
    <row r="41" spans="1:9" x14ac:dyDescent="0.25">
      <c r="A41">
        <v>56</v>
      </c>
      <c r="B41">
        <v>89</v>
      </c>
      <c r="C41" s="51">
        <v>197</v>
      </c>
      <c r="E41">
        <f t="shared" si="3"/>
        <v>11</v>
      </c>
      <c r="G41" t="s">
        <v>224</v>
      </c>
      <c r="H41" s="51">
        <v>96</v>
      </c>
      <c r="I41" s="51">
        <v>169</v>
      </c>
    </row>
    <row r="42" spans="1:9" x14ac:dyDescent="0.25">
      <c r="A42">
        <v>57</v>
      </c>
      <c r="B42" s="51">
        <v>44</v>
      </c>
      <c r="C42" s="51">
        <v>105</v>
      </c>
      <c r="E42">
        <f t="shared" si="3"/>
        <v>11</v>
      </c>
      <c r="G42" t="s">
        <v>225</v>
      </c>
      <c r="H42" s="51">
        <v>51</v>
      </c>
      <c r="I42" s="51">
        <v>169</v>
      </c>
    </row>
    <row r="43" spans="1:9" x14ac:dyDescent="0.25">
      <c r="A43">
        <v>58</v>
      </c>
      <c r="B43" s="51">
        <v>41</v>
      </c>
      <c r="C43" s="51">
        <v>122</v>
      </c>
      <c r="E43">
        <f t="shared" si="3"/>
        <v>11</v>
      </c>
      <c r="G43" t="s">
        <v>226</v>
      </c>
      <c r="H43" s="51">
        <v>94</v>
      </c>
      <c r="I43" s="51">
        <v>169</v>
      </c>
    </row>
    <row r="44" spans="1:9" x14ac:dyDescent="0.25">
      <c r="A44">
        <v>59</v>
      </c>
      <c r="B44" s="51">
        <v>63</v>
      </c>
      <c r="C44" s="51">
        <v>124</v>
      </c>
      <c r="E44">
        <f t="shared" si="3"/>
        <v>11</v>
      </c>
      <c r="G44" t="s">
        <v>227</v>
      </c>
      <c r="H44" s="51">
        <v>76</v>
      </c>
      <c r="I44" s="51">
        <v>169</v>
      </c>
    </row>
    <row r="45" spans="1:9" x14ac:dyDescent="0.25">
      <c r="A45">
        <v>7</v>
      </c>
      <c r="B45" s="51">
        <v>20</v>
      </c>
      <c r="C45" s="51">
        <v>115</v>
      </c>
      <c r="E45">
        <f t="shared" si="3"/>
        <v>11</v>
      </c>
      <c r="G45" t="s">
        <v>228</v>
      </c>
      <c r="H45" s="51">
        <v>15</v>
      </c>
      <c r="I45" s="51">
        <v>169</v>
      </c>
    </row>
    <row r="46" spans="1:9" x14ac:dyDescent="0.25">
      <c r="A46">
        <v>8</v>
      </c>
      <c r="B46" s="51">
        <v>159</v>
      </c>
      <c r="C46" s="51">
        <v>195</v>
      </c>
      <c r="E46">
        <f t="shared" si="3"/>
        <v>11</v>
      </c>
      <c r="G46" t="s">
        <v>229</v>
      </c>
      <c r="H46" s="51">
        <v>31</v>
      </c>
      <c r="I46" s="51">
        <v>169</v>
      </c>
    </row>
    <row r="47" spans="1:9" x14ac:dyDescent="0.25">
      <c r="A47">
        <v>9</v>
      </c>
      <c r="B47" s="51">
        <v>135</v>
      </c>
      <c r="C47" s="51">
        <v>156</v>
      </c>
      <c r="E47">
        <f t="shared" si="3"/>
        <v>11</v>
      </c>
      <c r="G47" t="s">
        <v>230</v>
      </c>
      <c r="H47" s="51">
        <v>26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81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62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99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51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102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90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24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31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46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223</v>
      </c>
      <c r="H58" s="51">
        <v>20</v>
      </c>
      <c r="I58" s="51">
        <v>490</v>
      </c>
    </row>
    <row r="59" spans="2:9" x14ac:dyDescent="0.25">
      <c r="E59">
        <f t="shared" si="5"/>
        <v>123</v>
      </c>
      <c r="G59" t="s">
        <v>224</v>
      </c>
      <c r="H59" s="51">
        <v>21</v>
      </c>
      <c r="I59" s="51">
        <v>490</v>
      </c>
    </row>
    <row r="60" spans="2:9" x14ac:dyDescent="0.25">
      <c r="E60">
        <f t="shared" si="5"/>
        <v>123</v>
      </c>
      <c r="G60" t="s">
        <v>225</v>
      </c>
      <c r="H60" s="51">
        <v>3</v>
      </c>
      <c r="I60" s="51">
        <v>490</v>
      </c>
    </row>
    <row r="61" spans="2:9" x14ac:dyDescent="0.25">
      <c r="E61">
        <f t="shared" si="5"/>
        <v>123</v>
      </c>
      <c r="G61" t="s">
        <v>226</v>
      </c>
      <c r="H61" s="51">
        <v>22</v>
      </c>
      <c r="I61" s="51">
        <v>490</v>
      </c>
    </row>
    <row r="62" spans="2:9" x14ac:dyDescent="0.25">
      <c r="E62">
        <f t="shared" si="5"/>
        <v>123</v>
      </c>
      <c r="G62" t="s">
        <v>227</v>
      </c>
      <c r="H62" s="51">
        <v>12</v>
      </c>
      <c r="I62" s="51">
        <v>490</v>
      </c>
    </row>
    <row r="63" spans="2:9" x14ac:dyDescent="0.25">
      <c r="E63">
        <f t="shared" si="5"/>
        <v>123</v>
      </c>
      <c r="G63" t="s">
        <v>228</v>
      </c>
      <c r="H63" s="51">
        <v>17</v>
      </c>
      <c r="I63" s="51">
        <v>490</v>
      </c>
    </row>
    <row r="64" spans="2:9" x14ac:dyDescent="0.25">
      <c r="E64">
        <f t="shared" si="5"/>
        <v>123</v>
      </c>
      <c r="G64" t="s">
        <v>229</v>
      </c>
      <c r="H64" s="51">
        <v>6</v>
      </c>
      <c r="I64" s="51">
        <v>490</v>
      </c>
    </row>
    <row r="65" spans="5:9" x14ac:dyDescent="0.25">
      <c r="E65">
        <f t="shared" si="5"/>
        <v>123</v>
      </c>
      <c r="G65" t="s">
        <v>230</v>
      </c>
      <c r="H65" s="51">
        <v>4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37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14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28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21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40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19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25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12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16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58</v>
      </c>
      <c r="I75" s="51">
        <v>199</v>
      </c>
    </row>
    <row r="76" spans="5:9" x14ac:dyDescent="0.25">
      <c r="E76">
        <f t="shared" ref="E76:E83" si="7">+$F$75</f>
        <v>16</v>
      </c>
      <c r="G76" t="s">
        <v>223</v>
      </c>
      <c r="H76">
        <v>36</v>
      </c>
      <c r="I76" s="51">
        <v>199</v>
      </c>
    </row>
    <row r="77" spans="5:9" x14ac:dyDescent="0.25">
      <c r="E77">
        <f t="shared" si="7"/>
        <v>16</v>
      </c>
      <c r="G77" t="s">
        <v>224</v>
      </c>
      <c r="H77" s="51">
        <v>103</v>
      </c>
      <c r="I77" s="51">
        <v>199</v>
      </c>
    </row>
    <row r="78" spans="5:9" x14ac:dyDescent="0.25">
      <c r="E78">
        <f t="shared" si="7"/>
        <v>16</v>
      </c>
      <c r="G78" t="s">
        <v>225</v>
      </c>
      <c r="H78" s="51">
        <v>48</v>
      </c>
      <c r="I78" s="51">
        <v>199</v>
      </c>
    </row>
    <row r="79" spans="5:9" x14ac:dyDescent="0.25">
      <c r="E79">
        <f t="shared" si="7"/>
        <v>16</v>
      </c>
      <c r="G79" t="s">
        <v>226</v>
      </c>
      <c r="H79" s="51">
        <v>94</v>
      </c>
      <c r="I79" s="51">
        <v>199</v>
      </c>
    </row>
    <row r="80" spans="5:9" x14ac:dyDescent="0.25">
      <c r="E80">
        <f t="shared" si="7"/>
        <v>16</v>
      </c>
      <c r="G80" t="s">
        <v>227</v>
      </c>
      <c r="H80" s="51">
        <v>82</v>
      </c>
      <c r="I80" s="51">
        <v>199</v>
      </c>
    </row>
    <row r="81" spans="5:9" x14ac:dyDescent="0.25">
      <c r="E81">
        <f t="shared" si="7"/>
        <v>16</v>
      </c>
      <c r="G81" t="s">
        <v>228</v>
      </c>
      <c r="H81" s="51">
        <v>12</v>
      </c>
      <c r="I81" s="51">
        <v>199</v>
      </c>
    </row>
    <row r="82" spans="5:9" x14ac:dyDescent="0.25">
      <c r="E82">
        <f t="shared" si="7"/>
        <v>16</v>
      </c>
      <c r="G82" t="s">
        <v>229</v>
      </c>
      <c r="H82" s="51">
        <v>44</v>
      </c>
      <c r="I82" s="51">
        <v>199</v>
      </c>
    </row>
    <row r="83" spans="5:9" x14ac:dyDescent="0.25">
      <c r="E83">
        <f t="shared" si="7"/>
        <v>16</v>
      </c>
      <c r="G83" t="s">
        <v>230</v>
      </c>
      <c r="H83" s="51">
        <v>37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68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54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71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63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122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90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21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43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49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74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51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97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68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128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101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15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41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50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34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52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53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47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75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63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16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27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38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87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67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120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73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130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114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45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40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76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71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110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65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128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102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29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41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40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53</v>
      </c>
      <c r="I129" s="51">
        <v>75</v>
      </c>
    </row>
    <row r="130" spans="5:9" x14ac:dyDescent="0.25">
      <c r="E130">
        <f t="shared" ref="E130:E137" si="13">+$F$129</f>
        <v>22</v>
      </c>
      <c r="G130" t="s">
        <v>223</v>
      </c>
      <c r="H130" s="51">
        <v>35</v>
      </c>
      <c r="I130" s="51">
        <v>75</v>
      </c>
    </row>
    <row r="131" spans="5:9" x14ac:dyDescent="0.25">
      <c r="E131">
        <f t="shared" si="13"/>
        <v>22</v>
      </c>
      <c r="G131" t="s">
        <v>224</v>
      </c>
      <c r="H131" s="51">
        <v>38</v>
      </c>
      <c r="I131" s="51">
        <v>75</v>
      </c>
    </row>
    <row r="132" spans="5:9" x14ac:dyDescent="0.25">
      <c r="E132">
        <f t="shared" si="13"/>
        <v>22</v>
      </c>
      <c r="G132" t="s">
        <v>225</v>
      </c>
      <c r="H132" s="51">
        <v>34</v>
      </c>
      <c r="I132" s="51">
        <v>75</v>
      </c>
    </row>
    <row r="133" spans="5:9" x14ac:dyDescent="0.25">
      <c r="E133">
        <f t="shared" si="13"/>
        <v>22</v>
      </c>
      <c r="G133" t="s">
        <v>226</v>
      </c>
      <c r="H133" s="51">
        <v>55</v>
      </c>
      <c r="I133" s="51">
        <v>75</v>
      </c>
    </row>
    <row r="134" spans="5:9" x14ac:dyDescent="0.25">
      <c r="E134">
        <f t="shared" si="13"/>
        <v>22</v>
      </c>
      <c r="G134" t="s">
        <v>227</v>
      </c>
      <c r="H134" s="51">
        <v>43</v>
      </c>
      <c r="I134" s="51">
        <v>75</v>
      </c>
    </row>
    <row r="135" spans="5:9" x14ac:dyDescent="0.25">
      <c r="E135">
        <f t="shared" si="13"/>
        <v>22</v>
      </c>
      <c r="G135" t="s">
        <v>228</v>
      </c>
      <c r="H135" s="51">
        <v>47</v>
      </c>
      <c r="I135" s="51">
        <v>75</v>
      </c>
    </row>
    <row r="136" spans="5:9" x14ac:dyDescent="0.25">
      <c r="E136">
        <f t="shared" si="13"/>
        <v>22</v>
      </c>
      <c r="G136" t="s">
        <v>229</v>
      </c>
      <c r="H136" s="51">
        <v>38</v>
      </c>
      <c r="I136" s="51">
        <v>75</v>
      </c>
    </row>
    <row r="137" spans="5:9" x14ac:dyDescent="0.25">
      <c r="E137">
        <f t="shared" si="13"/>
        <v>22</v>
      </c>
      <c r="G137" t="s">
        <v>230</v>
      </c>
      <c r="H137" s="51">
        <v>37</v>
      </c>
      <c r="I137" s="51">
        <v>75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67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68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104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58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116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103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19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39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34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48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16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83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34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73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57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27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14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42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33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38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50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61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57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56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28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23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42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9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15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29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35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35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41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24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29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66</v>
      </c>
      <c r="I174" s="51">
        <v>133</v>
      </c>
    </row>
    <row r="175" spans="5:9" x14ac:dyDescent="0.25">
      <c r="E175">
        <f t="shared" ref="E175:E182" si="18">+$F$174</f>
        <v>27</v>
      </c>
      <c r="G175" t="s">
        <v>223</v>
      </c>
      <c r="H175" s="51">
        <v>37</v>
      </c>
      <c r="I175" s="51">
        <v>133</v>
      </c>
    </row>
    <row r="176" spans="5:9" x14ac:dyDescent="0.25">
      <c r="E176">
        <f t="shared" si="18"/>
        <v>27</v>
      </c>
      <c r="G176" t="s">
        <v>224</v>
      </c>
      <c r="H176" s="51">
        <v>68</v>
      </c>
      <c r="I176" s="51">
        <v>133</v>
      </c>
    </row>
    <row r="177" spans="5:9" x14ac:dyDescent="0.25">
      <c r="E177">
        <f t="shared" si="18"/>
        <v>27</v>
      </c>
      <c r="G177" t="s">
        <v>225</v>
      </c>
      <c r="H177" s="51">
        <v>58</v>
      </c>
      <c r="I177" s="51">
        <v>133</v>
      </c>
    </row>
    <row r="178" spans="5:9" x14ac:dyDescent="0.25">
      <c r="E178">
        <f t="shared" si="18"/>
        <v>27</v>
      </c>
      <c r="G178" t="s">
        <v>226</v>
      </c>
      <c r="H178" s="51">
        <v>104</v>
      </c>
      <c r="I178" s="51">
        <v>133</v>
      </c>
    </row>
    <row r="179" spans="5:9" x14ac:dyDescent="0.25">
      <c r="E179">
        <f t="shared" si="18"/>
        <v>27</v>
      </c>
      <c r="G179" t="s">
        <v>227</v>
      </c>
      <c r="H179" s="51">
        <v>89</v>
      </c>
      <c r="I179" s="51">
        <v>133</v>
      </c>
    </row>
    <row r="180" spans="5:9" x14ac:dyDescent="0.25">
      <c r="E180">
        <f t="shared" si="18"/>
        <v>27</v>
      </c>
      <c r="G180" t="s">
        <v>228</v>
      </c>
      <c r="H180">
        <v>29</v>
      </c>
      <c r="I180" s="51">
        <v>133</v>
      </c>
    </row>
    <row r="181" spans="5:9" x14ac:dyDescent="0.25">
      <c r="E181">
        <f t="shared" si="18"/>
        <v>27</v>
      </c>
      <c r="G181" t="s">
        <v>229</v>
      </c>
      <c r="H181" s="51">
        <v>38</v>
      </c>
      <c r="I181" s="51">
        <v>133</v>
      </c>
    </row>
    <row r="182" spans="5:9" x14ac:dyDescent="0.25">
      <c r="E182">
        <f t="shared" si="18"/>
        <v>27</v>
      </c>
      <c r="G182" t="s">
        <v>230</v>
      </c>
      <c r="H182" s="51">
        <v>31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41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33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60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48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94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92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17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28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21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60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46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88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51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102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86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19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41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35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9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14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4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8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2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11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64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38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77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49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105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94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35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40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23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32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14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24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25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42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28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28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19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22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55</v>
      </c>
      <c r="I228" s="51">
        <v>167</v>
      </c>
    </row>
    <row r="229" spans="5:9" x14ac:dyDescent="0.25">
      <c r="E229">
        <f t="shared" ref="E229:E236" si="24">+$F$228</f>
        <v>33</v>
      </c>
      <c r="G229" t="s">
        <v>223</v>
      </c>
      <c r="H229" s="51">
        <v>43</v>
      </c>
      <c r="I229" s="51">
        <v>167</v>
      </c>
    </row>
    <row r="230" spans="5:9" x14ac:dyDescent="0.25">
      <c r="E230">
        <f t="shared" si="24"/>
        <v>33</v>
      </c>
      <c r="G230" t="s">
        <v>224</v>
      </c>
      <c r="H230" s="51">
        <v>69</v>
      </c>
      <c r="I230" s="51">
        <v>167</v>
      </c>
    </row>
    <row r="231" spans="5:9" x14ac:dyDescent="0.25">
      <c r="E231">
        <f t="shared" si="24"/>
        <v>33</v>
      </c>
      <c r="G231" t="s">
        <v>225</v>
      </c>
      <c r="H231" s="51">
        <v>50</v>
      </c>
      <c r="I231" s="51">
        <v>167</v>
      </c>
    </row>
    <row r="232" spans="5:9" x14ac:dyDescent="0.25">
      <c r="E232">
        <f t="shared" si="24"/>
        <v>33</v>
      </c>
      <c r="G232" t="s">
        <v>226</v>
      </c>
      <c r="H232" s="51">
        <v>87</v>
      </c>
      <c r="I232" s="51">
        <v>167</v>
      </c>
    </row>
    <row r="233" spans="5:9" x14ac:dyDescent="0.25">
      <c r="E233">
        <f t="shared" si="24"/>
        <v>33</v>
      </c>
      <c r="G233" t="s">
        <v>227</v>
      </c>
      <c r="H233" s="51">
        <v>78</v>
      </c>
      <c r="I233" s="51">
        <v>167</v>
      </c>
    </row>
    <row r="234" spans="5:9" x14ac:dyDescent="0.25">
      <c r="E234">
        <f t="shared" si="24"/>
        <v>33</v>
      </c>
      <c r="G234" t="s">
        <v>228</v>
      </c>
      <c r="H234" s="51">
        <v>15</v>
      </c>
      <c r="I234" s="51">
        <v>167</v>
      </c>
    </row>
    <row r="235" spans="5:9" x14ac:dyDescent="0.25">
      <c r="E235">
        <f t="shared" si="24"/>
        <v>33</v>
      </c>
      <c r="G235" t="s">
        <v>229</v>
      </c>
      <c r="H235" s="51">
        <v>32</v>
      </c>
      <c r="I235" s="51">
        <v>167</v>
      </c>
    </row>
    <row r="236" spans="5:9" x14ac:dyDescent="0.25">
      <c r="E236">
        <f t="shared" si="24"/>
        <v>33</v>
      </c>
      <c r="G236" t="s">
        <v>230</v>
      </c>
      <c r="H236">
        <v>22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38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23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64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56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85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60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22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17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18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15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21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46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31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20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16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48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39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75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59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96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76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26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44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49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36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13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44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47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81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80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32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32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21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12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4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3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44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47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85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54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116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103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19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40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35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36</v>
      </c>
      <c r="I300" s="51">
        <v>243</v>
      </c>
    </row>
    <row r="301" spans="5:9" x14ac:dyDescent="0.25">
      <c r="E301">
        <f t="shared" ref="E301:E308" si="32">+$F$300</f>
        <v>49</v>
      </c>
      <c r="G301" t="s">
        <v>223</v>
      </c>
      <c r="H301" s="51">
        <v>15</v>
      </c>
      <c r="I301" s="51">
        <v>243</v>
      </c>
    </row>
    <row r="302" spans="5:9" x14ac:dyDescent="0.25">
      <c r="E302">
        <f t="shared" si="32"/>
        <v>49</v>
      </c>
      <c r="G302" t="s">
        <v>224</v>
      </c>
      <c r="H302" s="51">
        <v>59</v>
      </c>
      <c r="I302" s="51">
        <v>243</v>
      </c>
    </row>
    <row r="303" spans="5:9" x14ac:dyDescent="0.25">
      <c r="E303">
        <f t="shared" si="32"/>
        <v>49</v>
      </c>
      <c r="G303" t="s">
        <v>225</v>
      </c>
      <c r="H303" s="51">
        <v>16</v>
      </c>
      <c r="I303" s="51">
        <v>243</v>
      </c>
    </row>
    <row r="304" spans="5:9" x14ac:dyDescent="0.25">
      <c r="E304">
        <f t="shared" si="32"/>
        <v>49</v>
      </c>
      <c r="G304" t="s">
        <v>226</v>
      </c>
      <c r="H304" s="51">
        <v>51</v>
      </c>
      <c r="I304" s="51">
        <v>243</v>
      </c>
    </row>
    <row r="305" spans="5:9" x14ac:dyDescent="0.25">
      <c r="E305">
        <f t="shared" si="32"/>
        <v>49</v>
      </c>
      <c r="G305" t="s">
        <v>227</v>
      </c>
      <c r="H305" s="51">
        <v>34</v>
      </c>
      <c r="I305" s="51">
        <v>243</v>
      </c>
    </row>
    <row r="306" spans="5:9" x14ac:dyDescent="0.25">
      <c r="E306">
        <f t="shared" si="32"/>
        <v>49</v>
      </c>
      <c r="G306" t="s">
        <v>228</v>
      </c>
      <c r="H306" s="51">
        <v>45</v>
      </c>
      <c r="I306" s="51">
        <v>243</v>
      </c>
    </row>
    <row r="307" spans="5:9" x14ac:dyDescent="0.25">
      <c r="E307">
        <f t="shared" si="32"/>
        <v>49</v>
      </c>
      <c r="G307" t="s">
        <v>229</v>
      </c>
      <c r="H307">
        <v>24</v>
      </c>
      <c r="I307" s="51">
        <v>243</v>
      </c>
    </row>
    <row r="308" spans="5:9" x14ac:dyDescent="0.25">
      <c r="E308">
        <f t="shared" si="32"/>
        <v>49</v>
      </c>
      <c r="G308" t="s">
        <v>230</v>
      </c>
      <c r="H308">
        <v>26</v>
      </c>
      <c r="I308" s="51">
        <v>243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106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79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126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68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165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128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49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59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49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103</v>
      </c>
    </row>
    <row r="319" spans="5:9" x14ac:dyDescent="0.25">
      <c r="E319">
        <f t="shared" ref="E319:E326" si="34">+$F$318</f>
        <v>52</v>
      </c>
      <c r="G319" t="s">
        <v>223</v>
      </c>
      <c r="H319" s="51">
        <v>10</v>
      </c>
      <c r="I319" s="51">
        <v>103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103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103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103</v>
      </c>
    </row>
    <row r="323" spans="5:9" x14ac:dyDescent="0.25">
      <c r="E323">
        <f t="shared" si="34"/>
        <v>52</v>
      </c>
      <c r="G323" t="s">
        <v>227</v>
      </c>
      <c r="I323" s="51">
        <v>103</v>
      </c>
    </row>
    <row r="324" spans="5:9" x14ac:dyDescent="0.25">
      <c r="E324">
        <f t="shared" si="34"/>
        <v>52</v>
      </c>
      <c r="G324" t="s">
        <v>228</v>
      </c>
      <c r="H324" s="51">
        <v>53</v>
      </c>
      <c r="I324" s="51">
        <v>103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103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103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17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62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55</v>
      </c>
      <c r="I336" s="51">
        <v>179</v>
      </c>
    </row>
    <row r="337" spans="5:9" x14ac:dyDescent="0.25">
      <c r="E337">
        <f t="shared" ref="E337:E344" si="36">+$F$336</f>
        <v>54</v>
      </c>
      <c r="G337" t="s">
        <v>223</v>
      </c>
      <c r="H337" s="51">
        <v>28</v>
      </c>
      <c r="I337" s="51">
        <v>179</v>
      </c>
    </row>
    <row r="338" spans="5:9" x14ac:dyDescent="0.25">
      <c r="E338">
        <f t="shared" si="36"/>
        <v>54</v>
      </c>
      <c r="G338" t="s">
        <v>224</v>
      </c>
      <c r="H338" s="51">
        <v>88</v>
      </c>
      <c r="I338" s="51">
        <v>179</v>
      </c>
    </row>
    <row r="339" spans="5:9" x14ac:dyDescent="0.25">
      <c r="E339">
        <f t="shared" si="36"/>
        <v>54</v>
      </c>
      <c r="G339" t="s">
        <v>225</v>
      </c>
      <c r="H339" s="51">
        <v>66</v>
      </c>
      <c r="I339" s="51">
        <v>179</v>
      </c>
    </row>
    <row r="340" spans="5:9" x14ac:dyDescent="0.25">
      <c r="E340">
        <f t="shared" si="36"/>
        <v>54</v>
      </c>
      <c r="G340" t="s">
        <v>226</v>
      </c>
      <c r="H340">
        <v>92</v>
      </c>
      <c r="I340" s="51">
        <v>179</v>
      </c>
    </row>
    <row r="341" spans="5:9" x14ac:dyDescent="0.25">
      <c r="E341">
        <f t="shared" si="36"/>
        <v>54</v>
      </c>
      <c r="G341" t="s">
        <v>227</v>
      </c>
      <c r="H341" s="51">
        <v>82</v>
      </c>
      <c r="I341" s="51">
        <v>179</v>
      </c>
    </row>
    <row r="342" spans="5:9" x14ac:dyDescent="0.25">
      <c r="E342">
        <f t="shared" si="36"/>
        <v>54</v>
      </c>
      <c r="G342" t="s">
        <v>228</v>
      </c>
      <c r="H342" s="51">
        <v>23</v>
      </c>
      <c r="I342" s="51">
        <v>179</v>
      </c>
    </row>
    <row r="343" spans="5:9" x14ac:dyDescent="0.25">
      <c r="E343">
        <f t="shared" si="36"/>
        <v>54</v>
      </c>
      <c r="G343" t="s">
        <v>229</v>
      </c>
      <c r="H343" s="51">
        <v>35</v>
      </c>
      <c r="I343" s="51">
        <v>179</v>
      </c>
    </row>
    <row r="344" spans="5:9" x14ac:dyDescent="0.25">
      <c r="E344">
        <f t="shared" si="36"/>
        <v>54</v>
      </c>
      <c r="G344" t="s">
        <v>230</v>
      </c>
      <c r="H344" s="51">
        <v>42</v>
      </c>
      <c r="I344" s="51">
        <v>179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28</v>
      </c>
      <c r="I345" s="51">
        <v>197</v>
      </c>
    </row>
    <row r="346" spans="5:9" x14ac:dyDescent="0.25">
      <c r="E346">
        <f t="shared" ref="E346:E353" si="37">+$F$345</f>
        <v>56</v>
      </c>
      <c r="G346" t="s">
        <v>223</v>
      </c>
      <c r="H346" s="51">
        <v>19</v>
      </c>
      <c r="I346" s="51">
        <v>197</v>
      </c>
    </row>
    <row r="347" spans="5:9" x14ac:dyDescent="0.25">
      <c r="E347">
        <f t="shared" si="37"/>
        <v>56</v>
      </c>
      <c r="G347" t="s">
        <v>224</v>
      </c>
      <c r="H347" s="51">
        <v>58</v>
      </c>
      <c r="I347" s="51">
        <v>197</v>
      </c>
    </row>
    <row r="348" spans="5:9" x14ac:dyDescent="0.25">
      <c r="E348">
        <f t="shared" si="37"/>
        <v>56</v>
      </c>
      <c r="G348" t="s">
        <v>225</v>
      </c>
      <c r="H348">
        <v>28</v>
      </c>
      <c r="I348" s="51">
        <v>197</v>
      </c>
    </row>
    <row r="349" spans="5:9" x14ac:dyDescent="0.25">
      <c r="E349">
        <f t="shared" si="37"/>
        <v>56</v>
      </c>
      <c r="G349" t="s">
        <v>226</v>
      </c>
      <c r="H349" s="51">
        <v>38</v>
      </c>
      <c r="I349" s="51">
        <v>197</v>
      </c>
    </row>
    <row r="350" spans="5:9" x14ac:dyDescent="0.25">
      <c r="E350">
        <f t="shared" si="37"/>
        <v>56</v>
      </c>
      <c r="G350" t="s">
        <v>227</v>
      </c>
      <c r="H350" s="51">
        <v>34</v>
      </c>
      <c r="I350" s="51">
        <v>197</v>
      </c>
    </row>
    <row r="351" spans="5:9" x14ac:dyDescent="0.25">
      <c r="E351">
        <f t="shared" si="37"/>
        <v>56</v>
      </c>
      <c r="G351" t="s">
        <v>228</v>
      </c>
      <c r="H351" s="51">
        <v>37</v>
      </c>
      <c r="I351" s="51">
        <v>197</v>
      </c>
    </row>
    <row r="352" spans="5:9" x14ac:dyDescent="0.25">
      <c r="E352">
        <f t="shared" si="37"/>
        <v>56</v>
      </c>
      <c r="G352" t="s">
        <v>229</v>
      </c>
      <c r="H352">
        <v>17</v>
      </c>
      <c r="I352" s="51">
        <v>197</v>
      </c>
    </row>
    <row r="353" spans="5:9" x14ac:dyDescent="0.25">
      <c r="E353">
        <f t="shared" si="37"/>
        <v>56</v>
      </c>
      <c r="G353" t="s">
        <v>230</v>
      </c>
      <c r="H353" s="51">
        <v>13</v>
      </c>
      <c r="I353" s="51">
        <v>197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223</v>
      </c>
      <c r="H355" s="51">
        <v>3</v>
      </c>
      <c r="I355" s="51">
        <v>105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228</v>
      </c>
      <c r="H360" s="51">
        <v>44</v>
      </c>
      <c r="I360" s="51">
        <v>105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8</v>
      </c>
      <c r="I363" s="51">
        <v>122</v>
      </c>
    </row>
    <row r="364" spans="5:9" x14ac:dyDescent="0.25">
      <c r="E364">
        <f t="shared" ref="E364:E371" si="39">+$F$363</f>
        <v>58</v>
      </c>
      <c r="G364" t="s">
        <v>223</v>
      </c>
      <c r="H364" s="51">
        <v>18</v>
      </c>
      <c r="I364" s="51">
        <v>122</v>
      </c>
    </row>
    <row r="365" spans="5:9" x14ac:dyDescent="0.25">
      <c r="E365">
        <f t="shared" si="39"/>
        <v>58</v>
      </c>
      <c r="G365" t="s">
        <v>224</v>
      </c>
      <c r="H365" s="51">
        <v>16</v>
      </c>
      <c r="I365" s="51">
        <v>122</v>
      </c>
    </row>
    <row r="366" spans="5:9" x14ac:dyDescent="0.25">
      <c r="E366">
        <f t="shared" si="39"/>
        <v>58</v>
      </c>
      <c r="G366" t="s">
        <v>225</v>
      </c>
      <c r="H366" s="51">
        <v>26</v>
      </c>
      <c r="I366" s="51">
        <v>122</v>
      </c>
    </row>
    <row r="367" spans="5:9" x14ac:dyDescent="0.25">
      <c r="E367">
        <f t="shared" si="39"/>
        <v>58</v>
      </c>
      <c r="G367" t="s">
        <v>226</v>
      </c>
      <c r="H367" s="51">
        <v>29</v>
      </c>
      <c r="I367" s="51">
        <v>122</v>
      </c>
    </row>
    <row r="368" spans="5:9" x14ac:dyDescent="0.25">
      <c r="E368">
        <f t="shared" si="39"/>
        <v>58</v>
      </c>
      <c r="G368" t="s">
        <v>227</v>
      </c>
      <c r="H368" s="51">
        <v>29</v>
      </c>
      <c r="I368" s="51">
        <v>122</v>
      </c>
    </row>
    <row r="369" spans="5:9" x14ac:dyDescent="0.25">
      <c r="E369">
        <f t="shared" si="39"/>
        <v>58</v>
      </c>
      <c r="G369" t="s">
        <v>228</v>
      </c>
      <c r="H369" s="51">
        <v>9</v>
      </c>
      <c r="I369" s="51">
        <v>122</v>
      </c>
    </row>
    <row r="370" spans="5:9" x14ac:dyDescent="0.25">
      <c r="E370">
        <f t="shared" si="39"/>
        <v>58</v>
      </c>
      <c r="G370" t="s">
        <v>229</v>
      </c>
      <c r="H370" s="51">
        <v>9</v>
      </c>
      <c r="I370" s="51">
        <v>122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31</v>
      </c>
      <c r="I372">
        <v>124</v>
      </c>
    </row>
    <row r="373" spans="5:9" x14ac:dyDescent="0.25">
      <c r="E373">
        <f t="shared" ref="E373:E380" si="40">+$F$372</f>
        <v>59</v>
      </c>
      <c r="G373" t="s">
        <v>223</v>
      </c>
      <c r="H373">
        <v>21</v>
      </c>
      <c r="I373">
        <v>124</v>
      </c>
    </row>
    <row r="374" spans="5:9" x14ac:dyDescent="0.25">
      <c r="E374">
        <f t="shared" si="40"/>
        <v>59</v>
      </c>
      <c r="G374" t="s">
        <v>224</v>
      </c>
      <c r="H374">
        <v>31</v>
      </c>
      <c r="I374">
        <v>124</v>
      </c>
    </row>
    <row r="375" spans="5:9" x14ac:dyDescent="0.25">
      <c r="E375">
        <f t="shared" si="40"/>
        <v>59</v>
      </c>
      <c r="G375" t="s">
        <v>225</v>
      </c>
      <c r="H375">
        <v>32</v>
      </c>
      <c r="I375">
        <v>124</v>
      </c>
    </row>
    <row r="376" spans="5:9" x14ac:dyDescent="0.25">
      <c r="E376">
        <f t="shared" si="40"/>
        <v>59</v>
      </c>
      <c r="G376" t="s">
        <v>226</v>
      </c>
      <c r="H376">
        <v>39</v>
      </c>
      <c r="I376">
        <v>124</v>
      </c>
    </row>
    <row r="377" spans="5:9" x14ac:dyDescent="0.25">
      <c r="E377">
        <f t="shared" si="40"/>
        <v>59</v>
      </c>
      <c r="G377" t="s">
        <v>227</v>
      </c>
      <c r="H377">
        <v>34</v>
      </c>
      <c r="I377">
        <v>124</v>
      </c>
    </row>
    <row r="378" spans="5:9" x14ac:dyDescent="0.25">
      <c r="E378">
        <f t="shared" si="40"/>
        <v>59</v>
      </c>
      <c r="G378" t="s">
        <v>228</v>
      </c>
      <c r="H378">
        <v>10</v>
      </c>
      <c r="I378">
        <v>124</v>
      </c>
    </row>
    <row r="379" spans="5:9" x14ac:dyDescent="0.25">
      <c r="E379">
        <f t="shared" si="40"/>
        <v>59</v>
      </c>
      <c r="G379" t="s">
        <v>229</v>
      </c>
      <c r="H379">
        <v>11</v>
      </c>
      <c r="I379">
        <v>124</v>
      </c>
    </row>
    <row r="380" spans="5:9" x14ac:dyDescent="0.25">
      <c r="E380">
        <f t="shared" si="40"/>
        <v>59</v>
      </c>
      <c r="G380" t="s">
        <v>230</v>
      </c>
      <c r="H380">
        <v>9</v>
      </c>
      <c r="I380">
        <v>124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5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3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12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5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13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76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40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88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36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100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88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21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35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47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44</v>
      </c>
      <c r="I399">
        <v>156</v>
      </c>
    </row>
    <row r="400" spans="5:9" x14ac:dyDescent="0.25">
      <c r="E400">
        <f t="shared" ref="E400:E407" si="43">+$F$399</f>
        <v>9</v>
      </c>
      <c r="G400" t="s">
        <v>223</v>
      </c>
      <c r="H400">
        <v>57</v>
      </c>
      <c r="I400">
        <v>156</v>
      </c>
    </row>
    <row r="401" spans="5:9" x14ac:dyDescent="0.25">
      <c r="E401">
        <f t="shared" si="43"/>
        <v>9</v>
      </c>
      <c r="G401" t="s">
        <v>224</v>
      </c>
      <c r="H401">
        <v>52</v>
      </c>
      <c r="I401">
        <v>156</v>
      </c>
    </row>
    <row r="402" spans="5:9" x14ac:dyDescent="0.25">
      <c r="E402">
        <f t="shared" si="43"/>
        <v>9</v>
      </c>
      <c r="G402" t="s">
        <v>225</v>
      </c>
      <c r="H402">
        <v>46</v>
      </c>
      <c r="I402">
        <v>156</v>
      </c>
    </row>
    <row r="403" spans="5:9" x14ac:dyDescent="0.25">
      <c r="E403">
        <f t="shared" si="43"/>
        <v>9</v>
      </c>
      <c r="G403" t="s">
        <v>226</v>
      </c>
      <c r="H403">
        <v>79</v>
      </c>
      <c r="I403">
        <v>156</v>
      </c>
    </row>
    <row r="404" spans="5:9" x14ac:dyDescent="0.25">
      <c r="E404">
        <f t="shared" si="43"/>
        <v>9</v>
      </c>
      <c r="G404" t="s">
        <v>227</v>
      </c>
      <c r="H404">
        <v>81</v>
      </c>
      <c r="I404">
        <v>156</v>
      </c>
    </row>
    <row r="405" spans="5:9" x14ac:dyDescent="0.25">
      <c r="E405">
        <f t="shared" si="43"/>
        <v>9</v>
      </c>
      <c r="G405" t="s">
        <v>228</v>
      </c>
      <c r="H405">
        <v>20</v>
      </c>
      <c r="I405">
        <v>156</v>
      </c>
    </row>
    <row r="406" spans="5:9" x14ac:dyDescent="0.25">
      <c r="E406">
        <f t="shared" si="43"/>
        <v>9</v>
      </c>
      <c r="G406" t="s">
        <v>229</v>
      </c>
      <c r="H406">
        <v>33</v>
      </c>
      <c r="I406">
        <v>156</v>
      </c>
    </row>
    <row r="407" spans="5:9" x14ac:dyDescent="0.25">
      <c r="E407">
        <f t="shared" si="43"/>
        <v>9</v>
      </c>
      <c r="G407" t="s">
        <v>230</v>
      </c>
      <c r="H407">
        <v>30</v>
      </c>
      <c r="I407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241</v>
      </c>
      <c r="B1" s="135" t="s">
        <v>242</v>
      </c>
      <c r="C1" s="136"/>
      <c r="D1" s="137" t="s">
        <v>243</v>
      </c>
    </row>
    <row r="2" spans="1:4" x14ac:dyDescent="0.25">
      <c r="A2" s="138" t="s">
        <v>244</v>
      </c>
      <c r="B2" s="138" t="s">
        <v>7</v>
      </c>
      <c r="C2" s="136"/>
      <c r="D2" s="136">
        <v>0.22551142939814814</v>
      </c>
    </row>
    <row r="3" spans="1:4" x14ac:dyDescent="0.25">
      <c r="A3" s="138" t="s">
        <v>245</v>
      </c>
      <c r="B3" s="138" t="s">
        <v>4</v>
      </c>
      <c r="C3" s="136"/>
      <c r="D3" s="136">
        <v>0.27609534143518516</v>
      </c>
    </row>
    <row r="4" spans="1:4" x14ac:dyDescent="0.25">
      <c r="A4" s="138" t="s">
        <v>246</v>
      </c>
      <c r="B4" s="138" t="s">
        <v>11</v>
      </c>
      <c r="C4" s="136"/>
      <c r="D4" s="136">
        <v>0.2637492766203704</v>
      </c>
    </row>
    <row r="5" spans="1:4" x14ac:dyDescent="0.25">
      <c r="A5" s="138" t="s">
        <v>247</v>
      </c>
      <c r="B5" s="138" t="s">
        <v>17</v>
      </c>
      <c r="C5" s="136"/>
      <c r="D5" s="136">
        <v>0.25212210648148148</v>
      </c>
    </row>
    <row r="6" spans="1:4" x14ac:dyDescent="0.25">
      <c r="A6" s="138" t="s">
        <v>248</v>
      </c>
      <c r="B6" s="138" t="s">
        <v>22</v>
      </c>
      <c r="C6" s="136"/>
      <c r="D6" s="136">
        <v>0.23458912037037036</v>
      </c>
    </row>
    <row r="7" spans="1:4" x14ac:dyDescent="0.25">
      <c r="A7" s="138" t="s">
        <v>249</v>
      </c>
      <c r="B7" s="138" t="s">
        <v>279</v>
      </c>
      <c r="C7" s="136"/>
      <c r="D7" s="136">
        <v>0.2691832561728395</v>
      </c>
    </row>
    <row r="8" spans="1:4" x14ac:dyDescent="0.25">
      <c r="A8" s="138" t="s">
        <v>250</v>
      </c>
      <c r="B8" s="138" t="s">
        <v>72</v>
      </c>
      <c r="C8" s="136"/>
      <c r="D8" s="136">
        <v>0.24449363425925924</v>
      </c>
    </row>
    <row r="9" spans="1:4" x14ac:dyDescent="0.25">
      <c r="A9" s="138" t="s">
        <v>251</v>
      </c>
      <c r="B9" s="138" t="s">
        <v>3</v>
      </c>
      <c r="C9" s="136"/>
      <c r="D9" s="136">
        <v>0.25631076388888885</v>
      </c>
    </row>
    <row r="10" spans="1:4" x14ac:dyDescent="0.25">
      <c r="A10" s="138" t="s">
        <v>252</v>
      </c>
      <c r="B10" s="138" t="s">
        <v>187</v>
      </c>
      <c r="C10" s="136"/>
      <c r="D10" s="136">
        <v>0.14165822723765434</v>
      </c>
    </row>
    <row r="11" spans="1:4" x14ac:dyDescent="0.25">
      <c r="A11" s="138" t="s">
        <v>253</v>
      </c>
      <c r="B11" s="138" t="s">
        <v>19</v>
      </c>
      <c r="C11" s="136"/>
      <c r="D11" s="136">
        <v>0.25591464120370372</v>
      </c>
    </row>
    <row r="12" spans="1:4" x14ac:dyDescent="0.25">
      <c r="A12" s="138" t="s">
        <v>254</v>
      </c>
      <c r="B12" s="138" t="s">
        <v>71</v>
      </c>
      <c r="C12" s="136"/>
      <c r="D12" s="136">
        <v>0.28938570601851854</v>
      </c>
    </row>
    <row r="13" spans="1:4" x14ac:dyDescent="0.25">
      <c r="A13" s="138" t="s">
        <v>255</v>
      </c>
      <c r="B13" s="138" t="s">
        <v>6</v>
      </c>
      <c r="C13" s="136"/>
      <c r="D13" s="136">
        <v>0.24636675347222223</v>
      </c>
    </row>
    <row r="14" spans="1:4" x14ac:dyDescent="0.25">
      <c r="A14" s="138" t="s">
        <v>256</v>
      </c>
      <c r="B14" s="138" t="s">
        <v>280</v>
      </c>
      <c r="C14" s="136"/>
      <c r="D14" s="136">
        <v>0.27402025462962959</v>
      </c>
    </row>
    <row r="15" spans="1:4" x14ac:dyDescent="0.25">
      <c r="A15" s="138" t="s">
        <v>257</v>
      </c>
      <c r="B15" s="138" t="s">
        <v>12</v>
      </c>
      <c r="C15" s="136"/>
      <c r="D15" s="136">
        <v>0.23564916087962962</v>
      </c>
    </row>
    <row r="16" spans="1:4" x14ac:dyDescent="0.25">
      <c r="A16" s="138" t="s">
        <v>258</v>
      </c>
      <c r="B16" s="138" t="s">
        <v>21</v>
      </c>
      <c r="C16" s="136"/>
      <c r="D16" s="136">
        <v>0.23280324074074071</v>
      </c>
    </row>
    <row r="17" spans="1:4" x14ac:dyDescent="0.25">
      <c r="A17" s="138" t="s">
        <v>259</v>
      </c>
      <c r="B17" s="138" t="s">
        <v>73</v>
      </c>
      <c r="C17" s="136"/>
      <c r="D17" s="136">
        <v>0.2503810763888889</v>
      </c>
    </row>
    <row r="18" spans="1:4" x14ac:dyDescent="0.25">
      <c r="A18" s="138" t="s">
        <v>260</v>
      </c>
      <c r="B18" s="138" t="s">
        <v>20</v>
      </c>
      <c r="C18" s="136"/>
      <c r="D18" s="136">
        <v>0.26080410879629629</v>
      </c>
    </row>
    <row r="19" spans="1:4" x14ac:dyDescent="0.25">
      <c r="A19" s="138" t="s">
        <v>261</v>
      </c>
      <c r="B19" s="138" t="s">
        <v>15</v>
      </c>
      <c r="C19" s="136"/>
      <c r="D19" s="136">
        <v>0.26115653935185185</v>
      </c>
    </row>
    <row r="20" spans="1:4" x14ac:dyDescent="0.25">
      <c r="A20" s="138" t="s">
        <v>262</v>
      </c>
      <c r="B20" s="138" t="s">
        <v>14</v>
      </c>
      <c r="C20" s="136"/>
      <c r="D20" s="136">
        <v>0.28231148726851846</v>
      </c>
    </row>
    <row r="21" spans="1:4" x14ac:dyDescent="0.25">
      <c r="A21" s="138" t="s">
        <v>263</v>
      </c>
      <c r="B21" s="138" t="s">
        <v>8</v>
      </c>
      <c r="C21" s="136"/>
      <c r="D21" s="136">
        <v>0.23796484375000002</v>
      </c>
    </row>
    <row r="22" spans="1:4" x14ac:dyDescent="0.25">
      <c r="A22" s="138" t="s">
        <v>264</v>
      </c>
      <c r="B22" s="138" t="s">
        <v>1</v>
      </c>
      <c r="C22" s="136"/>
      <c r="D22" s="136">
        <v>0.23814771412037039</v>
      </c>
    </row>
    <row r="23" spans="1:4" x14ac:dyDescent="0.25">
      <c r="A23" s="138" t="s">
        <v>265</v>
      </c>
      <c r="B23" s="138" t="s">
        <v>281</v>
      </c>
      <c r="C23" s="136"/>
      <c r="D23" s="136">
        <v>0.19399247685185184</v>
      </c>
    </row>
    <row r="24" spans="1:4" x14ac:dyDescent="0.25">
      <c r="A24" s="138" t="s">
        <v>266</v>
      </c>
      <c r="B24" s="138" t="s">
        <v>26</v>
      </c>
      <c r="C24" s="136"/>
      <c r="D24" s="136">
        <v>0.24429239004629633</v>
      </c>
    </row>
    <row r="25" spans="1:4" x14ac:dyDescent="0.25">
      <c r="A25" s="138" t="s">
        <v>267</v>
      </c>
      <c r="B25" s="138" t="s">
        <v>282</v>
      </c>
      <c r="C25" s="136"/>
      <c r="D25" s="136">
        <v>0.22348061342592593</v>
      </c>
    </row>
    <row r="26" spans="1:4" x14ac:dyDescent="0.25">
      <c r="A26" s="138" t="s">
        <v>268</v>
      </c>
      <c r="B26" s="138" t="s">
        <v>176</v>
      </c>
      <c r="C26" s="136"/>
      <c r="D26" s="136">
        <v>0.25603819444444442</v>
      </c>
    </row>
    <row r="27" spans="1:4" x14ac:dyDescent="0.25">
      <c r="A27" s="138" t="s">
        <v>269</v>
      </c>
      <c r="B27" s="138" t="s">
        <v>283</v>
      </c>
      <c r="C27" s="136"/>
      <c r="D27" s="136">
        <v>0.22360879629629632</v>
      </c>
    </row>
    <row r="28" spans="1:4" x14ac:dyDescent="0.25">
      <c r="A28" s="138" t="s">
        <v>270</v>
      </c>
      <c r="B28" s="138" t="s">
        <v>25</v>
      </c>
      <c r="C28" s="136"/>
      <c r="D28" s="136">
        <v>0.18398017939814815</v>
      </c>
    </row>
    <row r="29" spans="1:4" x14ac:dyDescent="0.25">
      <c r="A29" s="138" t="s">
        <v>271</v>
      </c>
      <c r="B29" s="138" t="s">
        <v>284</v>
      </c>
      <c r="C29" s="136"/>
      <c r="D29" s="136">
        <v>0.21951142939814816</v>
      </c>
    </row>
    <row r="30" spans="1:4" x14ac:dyDescent="0.25">
      <c r="A30" s="138" t="s">
        <v>272</v>
      </c>
      <c r="B30" s="138" t="s">
        <v>192</v>
      </c>
      <c r="C30" s="136"/>
      <c r="D30" s="136">
        <v>0.17569169560185185</v>
      </c>
    </row>
    <row r="31" spans="1:4" x14ac:dyDescent="0.25">
      <c r="A31" s="138" t="s">
        <v>273</v>
      </c>
      <c r="B31" s="138" t="s">
        <v>9</v>
      </c>
      <c r="C31" s="136"/>
      <c r="D31" s="136">
        <v>0.1633337673611111</v>
      </c>
    </row>
    <row r="32" spans="1:4" x14ac:dyDescent="0.25">
      <c r="A32" s="138" t="s">
        <v>274</v>
      </c>
      <c r="B32" s="138" t="s">
        <v>13</v>
      </c>
      <c r="C32" s="136"/>
      <c r="D32" s="136">
        <v>0.18586313657407408</v>
      </c>
    </row>
    <row r="33" spans="1:4" x14ac:dyDescent="0.25">
      <c r="A33" s="138" t="s">
        <v>275</v>
      </c>
      <c r="B33" s="138" t="s">
        <v>23</v>
      </c>
      <c r="C33" s="136"/>
      <c r="D33" s="136">
        <v>0.16017361111111111</v>
      </c>
    </row>
    <row r="34" spans="1:4" x14ac:dyDescent="0.25">
      <c r="A34" s="138" t="s">
        <v>276</v>
      </c>
      <c r="B34" s="138" t="s">
        <v>10</v>
      </c>
      <c r="C34" s="136"/>
      <c r="D34" s="136">
        <v>0.14027970679012344</v>
      </c>
    </row>
    <row r="35" spans="1:4" x14ac:dyDescent="0.25">
      <c r="A35" s="138" t="s">
        <v>277</v>
      </c>
      <c r="B35" s="138" t="s">
        <v>285</v>
      </c>
      <c r="C35" s="136"/>
      <c r="D35" s="136">
        <v>0.18282812500000001</v>
      </c>
    </row>
    <row r="36" spans="1:4" x14ac:dyDescent="0.25">
      <c r="A36" s="138" t="s">
        <v>278</v>
      </c>
      <c r="B36" s="138" t="s">
        <v>286</v>
      </c>
      <c r="C36" s="136"/>
      <c r="D36" s="136">
        <v>0.14208492476851853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6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6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6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6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6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6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6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6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6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6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6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6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6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7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8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6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6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6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6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6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6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6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6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7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8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6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6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6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6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6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6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6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6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6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6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6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6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7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2026-06-29T18:50:26Z</dcterms:modified>
</cp:coreProperties>
</file>