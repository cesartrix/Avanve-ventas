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13_ncr:1_{E8C2209C-4B48-4D64-B086-EFFC7758B2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</sheets>
  <definedNames>
    <definedName name="_xlnm._FilterDatabase" localSheetId="1" hidden="1">AVANCE!$B$1:$N$41</definedName>
    <definedName name="_xlnm._FilterDatabase" localSheetId="2" hidden="1">COBERTURA!$C$1:$N$40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6" l="1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H42" i="6"/>
  <c r="F42" i="6" s="1"/>
  <c r="G42" i="6"/>
  <c r="H41" i="6"/>
  <c r="F41" i="6" s="1"/>
  <c r="G41" i="6"/>
  <c r="C42" i="6"/>
  <c r="C41" i="6"/>
  <c r="E14" i="9" l="1"/>
  <c r="E15" i="9"/>
  <c r="E16" i="9"/>
  <c r="E17" i="9"/>
  <c r="E18" i="9"/>
  <c r="E13" i="9"/>
  <c r="E19" i="9"/>
  <c r="D44" i="3"/>
  <c r="I41" i="6"/>
  <c r="I42" i="6"/>
  <c r="D42" i="6"/>
  <c r="D41" i="6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2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G44" i="3" l="1"/>
  <c r="F44" i="3"/>
  <c r="K44" i="3"/>
  <c r="D43" i="3"/>
  <c r="D33" i="6"/>
  <c r="I33" i="6"/>
  <c r="F33" i="6"/>
  <c r="R2" i="6"/>
  <c r="Q2" i="6"/>
  <c r="K43" i="3" l="1"/>
  <c r="F43" i="3"/>
  <c r="G43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5" i="3"/>
  <c r="F15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P3" i="6" l="1"/>
  <c r="U11" i="6"/>
  <c r="H44" i="3"/>
  <c r="I44" i="3" s="1"/>
  <c r="L44" i="3" s="1" a="1"/>
  <c r="L44" i="3" s="1"/>
  <c r="J44" i="3"/>
  <c r="J43" i="3"/>
  <c r="H43" i="3"/>
  <c r="I43" i="3" s="1"/>
  <c r="L43" i="3" s="1" a="1"/>
  <c r="L43" i="3" s="1"/>
  <c r="F10" i="3"/>
  <c r="D16" i="3"/>
  <c r="F16" i="3" s="1"/>
  <c r="D26" i="3"/>
  <c r="F26" i="3" s="1"/>
  <c r="D40" i="3"/>
  <c r="F40" i="3" s="1"/>
  <c r="D10" i="3"/>
  <c r="D41" i="3" l="1"/>
  <c r="F41" i="3" s="1"/>
  <c r="D9" i="6"/>
  <c r="G36" i="3" l="1"/>
  <c r="G6" i="3"/>
  <c r="K3" i="3"/>
  <c r="G2" i="3"/>
  <c r="G39" i="6" l="1"/>
  <c r="G15" i="6"/>
  <c r="G25" i="6"/>
  <c r="H25" i="3"/>
  <c r="I25" i="3" s="1"/>
  <c r="L25" i="3" s="1" a="1"/>
  <c r="L25" i="3" s="1"/>
  <c r="G23" i="3"/>
  <c r="H18" i="3"/>
  <c r="J18" i="3"/>
  <c r="H22" i="3"/>
  <c r="I22" i="3" s="1"/>
  <c r="L22" i="3" s="1" a="1"/>
  <c r="L22" i="3" s="1"/>
  <c r="H23" i="3"/>
  <c r="I23" i="3" s="1"/>
  <c r="L23" i="3" s="1" a="1"/>
  <c r="L23" i="3" s="1"/>
  <c r="J22" i="3"/>
  <c r="H24" i="3"/>
  <c r="J24" i="3"/>
  <c r="G25" i="3"/>
  <c r="J25" i="3"/>
  <c r="J19" i="3"/>
  <c r="H21" i="3"/>
  <c r="J20" i="3"/>
  <c r="H20" i="3"/>
  <c r="J17" i="3"/>
  <c r="H17" i="3"/>
  <c r="I17" i="3" s="1"/>
  <c r="L17" i="3" s="1" a="1"/>
  <c r="L17" i="3" s="1"/>
  <c r="H19" i="3"/>
  <c r="J21" i="3"/>
  <c r="J23" i="3"/>
  <c r="D19" i="6"/>
  <c r="F19" i="6"/>
  <c r="I5" i="6"/>
  <c r="I6" i="6"/>
  <c r="I7" i="6"/>
  <c r="I8" i="6"/>
  <c r="I9" i="6"/>
  <c r="I14" i="6"/>
  <c r="H39" i="6" l="1"/>
  <c r="H15" i="6"/>
  <c r="H25" i="6"/>
  <c r="G40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2" i="3"/>
  <c r="J32" i="3"/>
  <c r="H9" i="3"/>
  <c r="J9" i="3"/>
  <c r="H15" i="3"/>
  <c r="J15" i="3"/>
  <c r="J14" i="3"/>
  <c r="H14" i="3"/>
  <c r="H28" i="3"/>
  <c r="J28" i="3"/>
  <c r="J38" i="3"/>
  <c r="H38" i="3"/>
  <c r="J37" i="3"/>
  <c r="H37" i="3"/>
  <c r="I37" i="3" s="1"/>
  <c r="L37" i="3" s="1" a="1"/>
  <c r="L37" i="3" s="1"/>
  <c r="H4" i="3"/>
  <c r="J4" i="3"/>
  <c r="J3" i="3"/>
  <c r="H3" i="3"/>
  <c r="I3" i="3" s="1"/>
  <c r="L3" i="3" s="1" a="1"/>
  <c r="L3" i="3" s="1"/>
  <c r="J35" i="3"/>
  <c r="H35" i="3"/>
  <c r="J13" i="3"/>
  <c r="H13" i="3"/>
  <c r="H34" i="3"/>
  <c r="J34" i="3"/>
  <c r="J26" i="3"/>
  <c r="H26" i="3"/>
  <c r="H12" i="3"/>
  <c r="J12" i="3"/>
  <c r="H31" i="3"/>
  <c r="J31" i="3"/>
  <c r="H8" i="3"/>
  <c r="J8" i="3"/>
  <c r="H30" i="3"/>
  <c r="J30" i="3"/>
  <c r="J29" i="3"/>
  <c r="H29" i="3"/>
  <c r="H27" i="3"/>
  <c r="J27" i="3"/>
  <c r="H7" i="3"/>
  <c r="J7" i="3"/>
  <c r="H39" i="3"/>
  <c r="J39" i="3"/>
  <c r="H6" i="3"/>
  <c r="J6" i="3"/>
  <c r="H5" i="3"/>
  <c r="J5" i="3"/>
  <c r="J36" i="3"/>
  <c r="H36" i="3"/>
  <c r="I36" i="3" s="1"/>
  <c r="L36" i="3" s="1" a="1"/>
  <c r="L36" i="3" s="1"/>
  <c r="H2" i="3"/>
  <c r="I2" i="3" s="1"/>
  <c r="L2" i="3" s="1" a="1"/>
  <c r="L2" i="3" s="1"/>
  <c r="J2" i="3"/>
  <c r="H33" i="3"/>
  <c r="J33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3" i="3"/>
  <c r="K25" i="3"/>
  <c r="I30" i="6"/>
  <c r="I34" i="6"/>
  <c r="G15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9" i="3"/>
  <c r="K17" i="3"/>
  <c r="K5" i="3"/>
  <c r="K32" i="3"/>
  <c r="I24" i="3"/>
  <c r="L24" i="3" s="1" a="1"/>
  <c r="L24" i="3" s="1"/>
  <c r="K38" i="3"/>
  <c r="G38" i="3"/>
  <c r="G22" i="3"/>
  <c r="K22" i="3"/>
  <c r="K21" i="3"/>
  <c r="I21" i="3"/>
  <c r="L21" i="3" s="1" a="1"/>
  <c r="L21" i="3" s="1"/>
  <c r="G21" i="3"/>
  <c r="K8" i="3"/>
  <c r="G8" i="3"/>
  <c r="K7" i="3"/>
  <c r="K14" i="3"/>
  <c r="G14" i="3"/>
  <c r="K15" i="3"/>
  <c r="G7" i="3"/>
  <c r="I20" i="3"/>
  <c r="L20" i="3" s="1" a="1"/>
  <c r="L20" i="3" s="1"/>
  <c r="K27" i="3"/>
  <c r="G32" i="3"/>
  <c r="G17" i="3"/>
  <c r="I19" i="3"/>
  <c r="L19" i="3" s="1" a="1"/>
  <c r="L19" i="3" s="1"/>
  <c r="K39" i="3"/>
  <c r="K2" i="3"/>
  <c r="G31" i="3"/>
  <c r="G9" i="3"/>
  <c r="I18" i="3"/>
  <c r="L18" i="3" s="1" a="1"/>
  <c r="L18" i="3" s="1"/>
  <c r="K37" i="3"/>
  <c r="K12" i="3"/>
  <c r="G30" i="3"/>
  <c r="K36" i="3"/>
  <c r="K24" i="3"/>
  <c r="G29" i="3"/>
  <c r="G5" i="3"/>
  <c r="K35" i="3"/>
  <c r="K20" i="3"/>
  <c r="G28" i="3"/>
  <c r="G4" i="3"/>
  <c r="K34" i="3"/>
  <c r="K19" i="3"/>
  <c r="K13" i="3"/>
  <c r="G27" i="3"/>
  <c r="G3" i="3"/>
  <c r="K33" i="3"/>
  <c r="K18" i="3"/>
  <c r="G39" i="3"/>
  <c r="G13" i="3"/>
  <c r="G37" i="3"/>
  <c r="K31" i="3"/>
  <c r="K9" i="3"/>
  <c r="G24" i="3"/>
  <c r="G12" i="3"/>
  <c r="K30" i="3"/>
  <c r="K6" i="3"/>
  <c r="G35" i="3"/>
  <c r="G20" i="3"/>
  <c r="G34" i="3"/>
  <c r="G19" i="3"/>
  <c r="K11" i="3"/>
  <c r="K28" i="3"/>
  <c r="K4" i="3"/>
  <c r="G33" i="3"/>
  <c r="G18" i="3"/>
  <c r="G11" i="3"/>
  <c r="H40" i="6" l="1"/>
  <c r="L40" i="6" s="1"/>
  <c r="F39" i="6"/>
  <c r="H40" i="3"/>
  <c r="J40" i="3"/>
  <c r="J10" i="3"/>
  <c r="H10" i="3"/>
  <c r="K16" i="3"/>
  <c r="G16" i="3"/>
  <c r="H16" i="3"/>
  <c r="I16" i="3" s="1"/>
  <c r="J16" i="3"/>
  <c r="F25" i="6"/>
  <c r="F15" i="6"/>
  <c r="I6" i="3"/>
  <c r="L6" i="3" s="1" a="1"/>
  <c r="L6" i="3" s="1"/>
  <c r="I29" i="3"/>
  <c r="L29" i="3" s="1" a="1"/>
  <c r="L29" i="3" s="1"/>
  <c r="I35" i="3"/>
  <c r="L35" i="3" s="1" a="1"/>
  <c r="L35" i="3" s="1"/>
  <c r="I5" i="3"/>
  <c r="L5" i="3" s="1" a="1"/>
  <c r="L5" i="3" s="1"/>
  <c r="I28" i="3"/>
  <c r="L28" i="3" s="1" a="1"/>
  <c r="L28" i="3" s="1"/>
  <c r="I9" i="3"/>
  <c r="L9" i="3" s="1" a="1"/>
  <c r="L9" i="3" s="1"/>
  <c r="I14" i="3"/>
  <c r="L14" i="3" s="1" a="1"/>
  <c r="L14" i="3" s="1"/>
  <c r="I39" i="3"/>
  <c r="L39" i="3" s="1" a="1"/>
  <c r="L39" i="3" s="1"/>
  <c r="I32" i="3"/>
  <c r="L32" i="3" s="1" a="1"/>
  <c r="L32" i="3" s="1"/>
  <c r="I13" i="3"/>
  <c r="L13" i="3" s="1" a="1"/>
  <c r="L13" i="3" s="1"/>
  <c r="I8" i="3"/>
  <c r="L8" i="3" s="1" a="1"/>
  <c r="L8" i="3" s="1"/>
  <c r="I4" i="3"/>
  <c r="L4" i="3" s="1" a="1"/>
  <c r="L4" i="3" s="1"/>
  <c r="I31" i="3"/>
  <c r="L31" i="3" s="1" a="1"/>
  <c r="L31" i="3" s="1"/>
  <c r="I27" i="3"/>
  <c r="L27" i="3" s="1" a="1"/>
  <c r="L27" i="3" s="1"/>
  <c r="I33" i="3"/>
  <c r="L33" i="3" s="1" a="1"/>
  <c r="L33" i="3" s="1"/>
  <c r="I34" i="3"/>
  <c r="L34" i="3" s="1" a="1"/>
  <c r="L34" i="3" s="1"/>
  <c r="I12" i="3"/>
  <c r="L12" i="3" s="1" a="1"/>
  <c r="L12" i="3" s="1"/>
  <c r="I15" i="3"/>
  <c r="L15" i="3" s="1" a="1"/>
  <c r="L15" i="3" s="1"/>
  <c r="I30" i="3"/>
  <c r="L30" i="3" s="1" a="1"/>
  <c r="L30" i="3" s="1"/>
  <c r="I7" i="3"/>
  <c r="L7" i="3" s="1" a="1"/>
  <c r="L7" i="3" s="1"/>
  <c r="I38" i="3"/>
  <c r="L38" i="3" s="1" a="1"/>
  <c r="L38" i="3" s="1"/>
  <c r="G26" i="3"/>
  <c r="K26" i="3"/>
  <c r="K40" i="3"/>
  <c r="G10" i="3"/>
  <c r="K10" i="3"/>
  <c r="G40" i="3"/>
  <c r="F40" i="6" l="1"/>
  <c r="H41" i="3"/>
  <c r="J41" i="3"/>
  <c r="I40" i="3"/>
  <c r="I26" i="3"/>
  <c r="I10" i="3"/>
  <c r="K41" i="3"/>
  <c r="G41" i="3"/>
  <c r="I41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<sst xmlns="http://schemas.openxmlformats.org/spreadsheetml/2006/main" count="894" uniqueCount="229">
  <si>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</si>
  <si>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</si>
  <si>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</si>
  <si>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</si>
  <si>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</si>
  <si>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</si>
  <si>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</si>
  <si>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</si>
  <si>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</si>
  <si>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</si>
  <si>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</si>
  <si>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</si>
  <si>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</si>
  <si>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</si>
  <si>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</si>
  <si>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</si>
  <si>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</si>
  <si>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</si>
  <si>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</si>
  <si>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</si>
  <si>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</si>
  <si>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</si>
  <si>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</si>
  <si>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</si>
  <si>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</si>
  <si>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</si>
  <si>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</si>
  <si>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</si>
  <si>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</si>
  <si>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</si>
  <si>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</si>
  <si>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</si>
  <si>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</si>
  <si>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</si>
  <si>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</si>
  <si>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</si>
  <si>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</si>
  <si>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</si>
  <si>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</si>
  <si>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</si>
  <si>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</si>
  <si>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</si>
  <si>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</si>
  <si>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</si>
  <si>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</si>
  <si>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</si>
  <si>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</si>
  <si>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</si>
  <si>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</si>
  <si>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</si>
  <si>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</si>
  <si>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</si>
  <si>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</si>
  <si>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</si>
  <si>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</si>
  <si>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</si>
  <si>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</si>
  <si>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</si>
  <si>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</si>
  <si>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</si>
  <si>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</si>
  <si>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</si>
  <si>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</si>
  <si>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</si>
  <si>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</si>
  <si>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</si>
  <si>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</si>
  <si>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</si>
  <si>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</si>
  <si>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</si>
  <si>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</si>
  <si>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</si>
  <si>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</si>
  <si>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</si>
  <si>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</si>
  <si>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</si>
  <si>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</si>
  <si>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</si>
  <si>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</si>
  <si>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</si>
  <si>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</si>
  <si>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</si>
  <si>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</si>
  <si>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</si>
  <si>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</si>
  <si>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</si>
  <si>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</si>
  <si>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</si>
  <si>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</si>
  <si>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</si>
  <si>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</si>
  <si>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</si>
  <si>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</si>
  <si>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</si>
  <si>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</si>
  <si>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</si>
  <si>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</si>
  <si>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</si>
  <si>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</si>
  <si>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</si>
  <si>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</si>
  <si>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</si>
  <si>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</si>
  <si>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</si>
  <si>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</si>
  <si>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</si>
  <si>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</si>
  <si>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</si>
  <si>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</si>
  <si>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</si>
  <si>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</si>
  <si>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</si>
  <si>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</si>
  <si>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</si>
  <si>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</si>
  <si>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</si>
  <si>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</si>
  <si>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</si>
  <si>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</si>
  <si>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</si>
  <si>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</si>
  <si>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</si>
  <si>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</si>
  <si>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</si>
  <si>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</si>
  <si>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</si>
  <si>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</si>
  <si>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</si>
  <si>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</si>
  <si>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</si>
  <si>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</si>
  <si>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</si>
  <si>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</si>
  <si>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</si>
  <si>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</si>
  <si>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</si>
  <si>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</si>
  <si>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</si>
  <si>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</si>
  <si>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</si>
  <si>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</si>
  <si>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</si>
  <si>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</si>
  <si>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</si>
  <si>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</si>
  <si>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</si>
  <si>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</si>
  <si>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</si>
  <si>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</si>
  <si>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</si>
  <si>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</si>
  <si>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</si>
  <si>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</si>
  <si>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</si>
  <si>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</si>
  <si>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25 - KALATAKI GUSTAVO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</si>
  <si>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</si>
  <si>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</si>
  <si>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</si>
  <si>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</si>
  <si>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</si>
  <si>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</si>
  <si>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</si>
  <si>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</si>
  <si>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</si>
  <si>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</si>
  <si>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</si>
  <si>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</si>
  <si>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</si>
  <si>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</si>
  <si>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</si>
  <si>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</si>
  <si>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</si>
  <si>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</si>
  <si>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</si>
  <si>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</si>
  <si>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</si>
  <si>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</si>
  <si>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</si>
  <si>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</si>
  <si>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</si>
  <si>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</si>
  <si>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</si>
  <si>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</si>
  <si>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</si>
  <si>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</si>
  <si>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</si>
  <si>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</si>
  <si>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</si>
  <si>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</si>
  <si>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</si>
  <si>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</si>
  <si>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</si>
  <si>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</si>
  <si>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</si>
  <si>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</si>
  <si>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</si>
  <si>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</si>
  <si>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</si>
  <si>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</si>
  <si>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</si>
  <si>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</si>
  <si>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</si>
  <si>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</si>
  <si>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</si>
  <si>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</si>
  <si>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43 - COLHER DIEGO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</si>
  <si>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</si>
  <si>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</si>
  <si>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</si>
  <si>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</si>
  <si>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</si>
  <si>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</si>
  <si>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</si>
  <si>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</si>
  <si>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</si>
  <si>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</si>
  <si>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</si>
  <si>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148 - ALMACEN</t>
  </si>
  <si>
    <t>148 - Articulos Sin Asociar Agrupacion</t>
  </si>
  <si>
    <t>148 - BEBIDAS</t>
  </si>
  <si>
    <t>148 - CHOCOLATE</t>
  </si>
  <si>
    <t>148 - GALLETITAS</t>
  </si>
  <si>
    <t>148 - GOLOSINAS</t>
  </si>
  <si>
    <t>148 - MASCOTAS</t>
  </si>
  <si>
    <t>148 - NO PERECEDEROS</t>
  </si>
  <si>
    <t>148 - PILAS</t>
  </si>
  <si>
    <t>GONZALO (SUPERVISOR)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</si>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</sst>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7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9" fillId="35" borderId="36" xfId="47" applyFont="1" applyFill="1" applyBorder="1" applyAlignment="1">
      <alignment horizontal="center" vertical="center" wrapText="1"/>
    </xf>
    <xf numFmtId="9" fontId="19" fillId="35" borderId="36" xfId="2" applyFont="1" applyFill="1" applyBorder="1" applyAlignment="1">
      <alignment horizontal="center" vertical="center" wrapText="1"/>
    </xf>
    <xf numFmtId="164" fontId="19" fillId="35" borderId="36" xfId="1" applyFont="1" applyFill="1" applyBorder="1" applyAlignment="1">
      <alignment horizontal="center" vertical="center" wrapText="1"/>
    </xf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0" fontId="23" fillId="38" borderId="18" xfId="0" applyFont="1" applyFill="1" applyBorder="1" applyAlignment="1">
      <alignment horizontal="left"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opLeftCell="A16" workbookViewId="0">
      <selection activeCell="A39" sqref="A39:XFD46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87" t="s">
        <v>76</v>
      </c>
      <c r="B1" s="87" t="s">
        <v>147</v>
      </c>
      <c r="C1" s="87" t="s">
        <v>148</v>
      </c>
      <c r="D1" s="87" t="s">
        <v>149</v>
      </c>
      <c r="E1" s="87" t="s">
        <v>150</v>
      </c>
      <c r="F1" s="87" t="s">
        <v>151</v>
      </c>
      <c r="G1" s="87" t="s">
        <v>152</v>
      </c>
      <c r="H1" s="87" t="s">
        <v>153</v>
      </c>
    </row>
    <row r="2" spans="1:8" x14ac:dyDescent="0.25">
      <c r="A2" t="s">
        <v>154</v>
      </c>
      <c r="B2">
        <v>0</v>
      </c>
      <c r="C2">
        <v>2833.8917890185999</v>
      </c>
      <c r="D2">
        <v>17845.0831506539</v>
      </c>
      <c r="E2">
        <v>64466959.741401754</v>
      </c>
      <c r="F2">
        <v>0</v>
      </c>
      <c r="G2">
        <v>72294.260573036299</v>
      </c>
      <c r="H2">
        <v>72294.23</v>
      </c>
    </row>
    <row r="3" spans="1:8" x14ac:dyDescent="0.25">
      <c r="A3" t="s">
        <v>81</v>
      </c>
      <c r="B3">
        <v>1</v>
      </c>
      <c r="C3">
        <v>69.3782903436</v>
      </c>
      <c r="D3">
        <v>127.8257233814</v>
      </c>
      <c r="E3">
        <v>2409808.6857678718</v>
      </c>
      <c r="F3">
        <v>0</v>
      </c>
      <c r="G3">
        <v>72294.260573036299</v>
      </c>
      <c r="H3">
        <v>72294.23</v>
      </c>
    </row>
    <row r="4" spans="1:8" x14ac:dyDescent="0.25">
      <c r="A4" t="s">
        <v>82</v>
      </c>
      <c r="B4">
        <v>1</v>
      </c>
      <c r="C4">
        <v>10.483333332999999</v>
      </c>
      <c r="D4">
        <v>57.009999999599998</v>
      </c>
      <c r="E4">
        <v>910195.66733517474</v>
      </c>
      <c r="F4">
        <v>0</v>
      </c>
      <c r="G4">
        <v>0</v>
      </c>
      <c r="H4">
        <v>0</v>
      </c>
    </row>
    <row r="5" spans="1:8" x14ac:dyDescent="0.25">
      <c r="A5" t="s">
        <v>83</v>
      </c>
      <c r="B5">
        <v>1</v>
      </c>
      <c r="C5">
        <v>27.2044642856</v>
      </c>
      <c r="D5">
        <v>28.252499999800001</v>
      </c>
      <c r="E5">
        <v>501148.95527489512</v>
      </c>
      <c r="F5">
        <v>0</v>
      </c>
      <c r="G5">
        <v>0</v>
      </c>
      <c r="H5">
        <v>0</v>
      </c>
    </row>
    <row r="6" spans="1:8" x14ac:dyDescent="0.25">
      <c r="A6" t="s">
        <v>84</v>
      </c>
      <c r="B6">
        <v>1</v>
      </c>
      <c r="C6">
        <v>150.14464285720001</v>
      </c>
      <c r="D6">
        <v>414.1002500029</v>
      </c>
      <c r="E6">
        <v>2772298.6238154541</v>
      </c>
      <c r="F6">
        <v>0</v>
      </c>
      <c r="G6">
        <v>0</v>
      </c>
      <c r="H6">
        <v>0</v>
      </c>
    </row>
    <row r="7" spans="1:8" x14ac:dyDescent="0.25">
      <c r="A7" t="s">
        <v>85</v>
      </c>
      <c r="B7">
        <v>1</v>
      </c>
      <c r="C7">
        <v>60.1561309521</v>
      </c>
      <c r="D7">
        <v>287.27250000409998</v>
      </c>
      <c r="E7">
        <v>1318036.6824969184</v>
      </c>
      <c r="F7">
        <v>0</v>
      </c>
      <c r="G7">
        <v>0</v>
      </c>
      <c r="H7">
        <v>0</v>
      </c>
    </row>
    <row r="8" spans="1:8" x14ac:dyDescent="0.25">
      <c r="A8" t="s">
        <v>111</v>
      </c>
      <c r="B8">
        <v>1</v>
      </c>
      <c r="C8">
        <v>-6.6666666599999994E-2</v>
      </c>
      <c r="D8">
        <v>-1.4759999986000001</v>
      </c>
      <c r="E8">
        <v>-41520.785791812603</v>
      </c>
      <c r="F8">
        <v>0</v>
      </c>
      <c r="G8">
        <v>0</v>
      </c>
      <c r="H8">
        <v>0</v>
      </c>
    </row>
    <row r="9" spans="1:8" x14ac:dyDescent="0.25">
      <c r="A9" t="s">
        <v>86</v>
      </c>
      <c r="B9">
        <v>1</v>
      </c>
      <c r="C9">
        <v>27.2205357144</v>
      </c>
      <c r="D9">
        <v>123.7474999998</v>
      </c>
      <c r="E9">
        <v>488198.71039685211</v>
      </c>
      <c r="F9">
        <v>0</v>
      </c>
      <c r="G9">
        <v>0</v>
      </c>
      <c r="H9">
        <v>0</v>
      </c>
    </row>
    <row r="10" spans="1:8" x14ac:dyDescent="0.25">
      <c r="A10" t="s">
        <v>87</v>
      </c>
      <c r="B10">
        <v>1</v>
      </c>
      <c r="C10">
        <v>11.9626984129</v>
      </c>
      <c r="D10">
        <v>24.005833333000002</v>
      </c>
      <c r="E10">
        <v>560866.8378297271</v>
      </c>
      <c r="F10">
        <v>0</v>
      </c>
      <c r="G10">
        <v>0</v>
      </c>
      <c r="H10">
        <v>0</v>
      </c>
    </row>
    <row r="11" spans="1:8" x14ac:dyDescent="0.25">
      <c r="A11" t="s">
        <v>213</v>
      </c>
      <c r="B11">
        <v>1</v>
      </c>
      <c r="C11">
        <v>14.2825396825</v>
      </c>
      <c r="D11">
        <v>69.213928571500006</v>
      </c>
      <c r="E11">
        <v>235546.28047396851</v>
      </c>
      <c r="F11">
        <v>0</v>
      </c>
      <c r="G11">
        <v>0</v>
      </c>
      <c r="H11">
        <v>0</v>
      </c>
    </row>
    <row r="12" spans="1:8" x14ac:dyDescent="0.25">
      <c r="A12" t="s">
        <v>212</v>
      </c>
      <c r="B12">
        <v>1</v>
      </c>
      <c r="C12">
        <v>24.419047619000001</v>
      </c>
      <c r="D12">
        <v>85.116666668400001</v>
      </c>
      <c r="E12">
        <v>673949.31322047231</v>
      </c>
      <c r="F12">
        <v>0</v>
      </c>
      <c r="G12">
        <v>0</v>
      </c>
      <c r="H12">
        <v>0</v>
      </c>
    </row>
    <row r="13" spans="1:8" x14ac:dyDescent="0.25">
      <c r="A13" t="s">
        <v>90</v>
      </c>
      <c r="B13">
        <v>1</v>
      </c>
      <c r="C13">
        <v>143.6990079361</v>
      </c>
      <c r="D13">
        <v>557.15250000100002</v>
      </c>
      <c r="E13">
        <v>2694955.1972862789</v>
      </c>
      <c r="F13">
        <v>0</v>
      </c>
      <c r="G13">
        <v>0</v>
      </c>
      <c r="H13">
        <v>0</v>
      </c>
    </row>
    <row r="14" spans="1:8" x14ac:dyDescent="0.25">
      <c r="A14" t="s">
        <v>91</v>
      </c>
      <c r="B14">
        <v>1</v>
      </c>
      <c r="C14">
        <v>807.71805555599997</v>
      </c>
      <c r="D14">
        <v>9180.8625000041993</v>
      </c>
      <c r="E14">
        <v>22103798.373994444</v>
      </c>
      <c r="F14">
        <v>0</v>
      </c>
      <c r="G14">
        <v>0</v>
      </c>
      <c r="H14">
        <v>0</v>
      </c>
    </row>
    <row r="15" spans="1:8" x14ac:dyDescent="0.25">
      <c r="A15" t="s">
        <v>92</v>
      </c>
      <c r="B15">
        <v>1</v>
      </c>
      <c r="C15">
        <v>72.143551587399998</v>
      </c>
      <c r="D15">
        <v>253.01999999860001</v>
      </c>
      <c r="E15">
        <v>1183899.192504474</v>
      </c>
      <c r="F15">
        <v>0</v>
      </c>
      <c r="G15">
        <v>0</v>
      </c>
      <c r="H15">
        <v>0</v>
      </c>
    </row>
    <row r="16" spans="1:8" x14ac:dyDescent="0.25">
      <c r="A16" t="s">
        <v>93</v>
      </c>
      <c r="B16">
        <v>1</v>
      </c>
      <c r="C16">
        <v>47.845436507700001</v>
      </c>
      <c r="D16">
        <v>217.25249999819999</v>
      </c>
      <c r="E16">
        <v>1123309.4293535382</v>
      </c>
      <c r="F16">
        <v>0</v>
      </c>
      <c r="G16">
        <v>0</v>
      </c>
      <c r="H16">
        <v>0</v>
      </c>
    </row>
    <row r="17" spans="1:8" x14ac:dyDescent="0.25">
      <c r="A17" t="s">
        <v>94</v>
      </c>
      <c r="B17">
        <v>1</v>
      </c>
      <c r="C17">
        <v>44.1025793648</v>
      </c>
      <c r="D17">
        <v>162.5050000034</v>
      </c>
      <c r="E17">
        <v>1210391.5076398768</v>
      </c>
      <c r="F17">
        <v>0</v>
      </c>
      <c r="G17">
        <v>0</v>
      </c>
      <c r="H17">
        <v>0</v>
      </c>
    </row>
    <row r="18" spans="1:8" x14ac:dyDescent="0.25">
      <c r="A18" t="s">
        <v>95</v>
      </c>
      <c r="B18">
        <v>1</v>
      </c>
      <c r="C18">
        <v>91.236706349200006</v>
      </c>
      <c r="D18">
        <v>171.89416666540001</v>
      </c>
      <c r="E18">
        <v>1379496.2566107768</v>
      </c>
      <c r="F18">
        <v>0</v>
      </c>
      <c r="G18">
        <v>0</v>
      </c>
      <c r="H18">
        <v>0</v>
      </c>
    </row>
    <row r="19" spans="1:8" x14ac:dyDescent="0.25">
      <c r="A19" t="s">
        <v>96</v>
      </c>
      <c r="B19">
        <v>1</v>
      </c>
      <c r="C19">
        <v>56.020634920299997</v>
      </c>
      <c r="D19">
        <v>107.7189285721</v>
      </c>
      <c r="E19">
        <v>1545484.3455725485</v>
      </c>
      <c r="F19">
        <v>0</v>
      </c>
      <c r="G19">
        <v>0</v>
      </c>
      <c r="H19">
        <v>0</v>
      </c>
    </row>
    <row r="20" spans="1:8" x14ac:dyDescent="0.25">
      <c r="A20" t="s">
        <v>97</v>
      </c>
      <c r="B20">
        <v>1</v>
      </c>
      <c r="C20">
        <v>55.678472222300002</v>
      </c>
      <c r="D20">
        <v>241.7050000033</v>
      </c>
      <c r="E20">
        <v>1279296.2102717794</v>
      </c>
      <c r="F20">
        <v>0</v>
      </c>
      <c r="G20">
        <v>0</v>
      </c>
      <c r="H20">
        <v>0</v>
      </c>
    </row>
    <row r="21" spans="1:8" x14ac:dyDescent="0.25">
      <c r="A21" t="s">
        <v>98</v>
      </c>
      <c r="B21">
        <v>1</v>
      </c>
      <c r="C21">
        <v>56.560218254299997</v>
      </c>
      <c r="D21">
        <v>230.9696071473</v>
      </c>
      <c r="E21">
        <v>1299165.9114931743</v>
      </c>
      <c r="F21">
        <v>0</v>
      </c>
      <c r="G21">
        <v>0</v>
      </c>
      <c r="H21">
        <v>0</v>
      </c>
    </row>
    <row r="22" spans="1:8" x14ac:dyDescent="0.25">
      <c r="A22" t="s">
        <v>207</v>
      </c>
      <c r="B22">
        <v>1</v>
      </c>
      <c r="C22">
        <v>56.883630952300003</v>
      </c>
      <c r="D22">
        <v>127.0099999944</v>
      </c>
      <c r="E22">
        <v>1074255.4229483344</v>
      </c>
      <c r="F22">
        <v>0</v>
      </c>
      <c r="G22">
        <v>0</v>
      </c>
      <c r="H22">
        <v>0</v>
      </c>
    </row>
    <row r="23" spans="1:8" x14ac:dyDescent="0.25">
      <c r="A23" t="s">
        <v>155</v>
      </c>
      <c r="B23">
        <v>1</v>
      </c>
      <c r="C23">
        <v>122.10228174549999</v>
      </c>
      <c r="D23">
        <v>255.25166666370001</v>
      </c>
      <c r="E23">
        <v>1915368.1820728134</v>
      </c>
      <c r="F23">
        <v>0</v>
      </c>
      <c r="G23">
        <v>0</v>
      </c>
      <c r="H23">
        <v>0</v>
      </c>
    </row>
    <row r="24" spans="1:8" x14ac:dyDescent="0.25">
      <c r="A24" t="s">
        <v>99</v>
      </c>
      <c r="B24">
        <v>1</v>
      </c>
      <c r="C24">
        <v>38.5916666667</v>
      </c>
      <c r="D24">
        <v>121.515</v>
      </c>
      <c r="E24">
        <v>967034.52092210797</v>
      </c>
      <c r="F24">
        <v>0</v>
      </c>
      <c r="G24">
        <v>0</v>
      </c>
      <c r="H24">
        <v>0</v>
      </c>
    </row>
    <row r="25" spans="1:8" x14ac:dyDescent="0.25">
      <c r="A25" t="s">
        <v>100</v>
      </c>
      <c r="B25">
        <v>1</v>
      </c>
      <c r="C25">
        <v>13.939484127</v>
      </c>
      <c r="D25">
        <v>138.0000000014</v>
      </c>
      <c r="E25">
        <v>370995.20136279258</v>
      </c>
      <c r="F25">
        <v>0</v>
      </c>
      <c r="G25">
        <v>0</v>
      </c>
      <c r="H25">
        <v>0</v>
      </c>
    </row>
    <row r="26" spans="1:8" x14ac:dyDescent="0.25">
      <c r="A26" t="s">
        <v>101</v>
      </c>
      <c r="B26">
        <v>1</v>
      </c>
      <c r="C26">
        <v>88.634642857100005</v>
      </c>
      <c r="D26">
        <v>627.48958333509995</v>
      </c>
      <c r="E26">
        <v>1904211.5763949119</v>
      </c>
      <c r="F26">
        <v>0</v>
      </c>
      <c r="G26">
        <v>0</v>
      </c>
      <c r="H26">
        <v>0</v>
      </c>
    </row>
    <row r="27" spans="1:8" x14ac:dyDescent="0.25">
      <c r="A27" t="s">
        <v>214</v>
      </c>
      <c r="B27">
        <v>1</v>
      </c>
      <c r="C27">
        <v>103.7097222222</v>
      </c>
      <c r="D27">
        <v>470.41000000029999</v>
      </c>
      <c r="E27">
        <v>2145545.2733516009</v>
      </c>
      <c r="F27">
        <v>0</v>
      </c>
      <c r="G27">
        <v>0</v>
      </c>
      <c r="H27">
        <v>0</v>
      </c>
    </row>
    <row r="28" spans="1:8" x14ac:dyDescent="0.25">
      <c r="A28" t="s">
        <v>139</v>
      </c>
      <c r="B28">
        <v>1</v>
      </c>
      <c r="C28">
        <v>34.320634920400003</v>
      </c>
      <c r="D28">
        <v>162.7625000024</v>
      </c>
      <c r="E28">
        <v>602361.45632991486</v>
      </c>
      <c r="F28">
        <v>0</v>
      </c>
      <c r="G28">
        <v>0</v>
      </c>
      <c r="H28">
        <v>0</v>
      </c>
    </row>
    <row r="29" spans="1:8" x14ac:dyDescent="0.25">
      <c r="A29" t="s">
        <v>216</v>
      </c>
      <c r="B29">
        <v>1</v>
      </c>
      <c r="C29">
        <v>36.426587300999998</v>
      </c>
      <c r="D29">
        <v>131.58500000000001</v>
      </c>
      <c r="E29">
        <v>682680.93729586795</v>
      </c>
      <c r="F29">
        <v>0</v>
      </c>
      <c r="G29">
        <v>0</v>
      </c>
      <c r="H29">
        <v>0</v>
      </c>
    </row>
    <row r="30" spans="1:8" x14ac:dyDescent="0.25">
      <c r="A30" t="s">
        <v>104</v>
      </c>
      <c r="B30">
        <v>1</v>
      </c>
      <c r="C30">
        <v>7.8875000002000002</v>
      </c>
      <c r="D30">
        <v>78</v>
      </c>
      <c r="E30">
        <v>269184.13865821779</v>
      </c>
      <c r="F30">
        <v>0</v>
      </c>
      <c r="G30">
        <v>0</v>
      </c>
      <c r="H30">
        <v>0</v>
      </c>
    </row>
    <row r="31" spans="1:8" x14ac:dyDescent="0.25">
      <c r="A31" t="s">
        <v>215</v>
      </c>
      <c r="B31">
        <v>1</v>
      </c>
      <c r="C31">
        <v>47.335416666699999</v>
      </c>
      <c r="D31">
        <v>372.99999999879998</v>
      </c>
      <c r="E31">
        <v>1241096.8257165046</v>
      </c>
      <c r="F31">
        <v>0</v>
      </c>
      <c r="G31">
        <v>0</v>
      </c>
      <c r="H31">
        <v>0</v>
      </c>
    </row>
    <row r="32" spans="1:8" x14ac:dyDescent="0.25">
      <c r="A32" t="s">
        <v>206</v>
      </c>
      <c r="B32">
        <v>1</v>
      </c>
      <c r="C32">
        <v>-25</v>
      </c>
      <c r="D32">
        <v>0</v>
      </c>
      <c r="E32">
        <v>-233849</v>
      </c>
      <c r="F32">
        <v>0</v>
      </c>
      <c r="G32">
        <v>0</v>
      </c>
      <c r="H32">
        <v>0</v>
      </c>
    </row>
    <row r="33" spans="1:8" x14ac:dyDescent="0.25">
      <c r="A33" t="s">
        <v>162</v>
      </c>
      <c r="B33">
        <v>1</v>
      </c>
      <c r="C33">
        <v>40.482440475899999</v>
      </c>
      <c r="D33">
        <v>119.000000005</v>
      </c>
      <c r="E33">
        <v>831624.25115675328</v>
      </c>
      <c r="F33">
        <v>0</v>
      </c>
      <c r="G33">
        <v>0</v>
      </c>
      <c r="H33">
        <v>0</v>
      </c>
    </row>
    <row r="34" spans="1:8" x14ac:dyDescent="0.25">
      <c r="A34" t="s">
        <v>107</v>
      </c>
      <c r="B34">
        <v>1</v>
      </c>
      <c r="C34">
        <v>419.9150396828</v>
      </c>
      <c r="D34">
        <v>2354.8888214259</v>
      </c>
      <c r="E34">
        <v>7398671.9615932852</v>
      </c>
      <c r="F34">
        <v>0</v>
      </c>
      <c r="G34">
        <v>0</v>
      </c>
      <c r="H34">
        <v>0</v>
      </c>
    </row>
    <row r="35" spans="1:8" x14ac:dyDescent="0.25">
      <c r="A35" t="s">
        <v>112</v>
      </c>
      <c r="B35">
        <v>1</v>
      </c>
      <c r="C35">
        <v>18.399999999999999</v>
      </c>
      <c r="D35">
        <v>345.63</v>
      </c>
      <c r="E35">
        <v>483655.59259999997</v>
      </c>
      <c r="F35">
        <v>0</v>
      </c>
      <c r="G35">
        <v>0</v>
      </c>
      <c r="H35">
        <v>0</v>
      </c>
    </row>
    <row r="36" spans="1:8" x14ac:dyDescent="0.25">
      <c r="A36" t="s">
        <v>108</v>
      </c>
      <c r="B36">
        <v>1</v>
      </c>
      <c r="C36">
        <v>4.5</v>
      </c>
      <c r="D36">
        <v>-24.56</v>
      </c>
      <c r="E36">
        <v>-6760.5810000000001</v>
      </c>
      <c r="F36">
        <v>0</v>
      </c>
      <c r="G36">
        <v>0</v>
      </c>
      <c r="H36">
        <v>0</v>
      </c>
    </row>
    <row r="37" spans="1:8" x14ac:dyDescent="0.25">
      <c r="A37" t="s">
        <v>109</v>
      </c>
      <c r="B37">
        <v>1</v>
      </c>
      <c r="C37">
        <v>39.323062168900002</v>
      </c>
      <c r="D37">
        <v>188.95147487009999</v>
      </c>
      <c r="E37">
        <v>855590.57458566967</v>
      </c>
      <c r="F37">
        <v>0</v>
      </c>
      <c r="G37">
        <v>0</v>
      </c>
      <c r="H37">
        <v>0</v>
      </c>
    </row>
    <row r="38" spans="1:8" x14ac:dyDescent="0.25">
      <c r="A38" t="s">
        <v>156</v>
      </c>
      <c r="B38">
        <v>1</v>
      </c>
      <c r="C38">
        <v>16.250000000099998</v>
      </c>
      <c r="D38">
        <v>38.000000001399997</v>
      </c>
      <c r="E38">
        <v>316968.01186656969</v>
      </c>
      <c r="F38">
        <v>0</v>
      </c>
      <c r="G38">
        <v>0</v>
      </c>
      <c r="H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4"/>
  <sheetViews>
    <sheetView tabSelected="1" topLeftCell="A2" zoomScale="80" zoomScaleNormal="80" workbookViewId="0">
      <selection activeCell="M26" sqref="M2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8.85546875" style="2" customWidth="1"/>
    <col min="5" max="5" width="18.85546875" style="2" hidden="1" customWidth="1"/>
    <col min="6" max="6" width="17.140625" style="2" bestFit="1" customWidth="1"/>
    <col min="7" max="7" width="13" style="1" bestFit="1" customWidth="1"/>
    <col min="8" max="8" width="18.85546875" style="2" bestFit="1" customWidth="1"/>
    <col min="9" max="9" width="18" style="1" bestFit="1" customWidth="1"/>
    <col min="10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208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88" t="s">
        <v>209</v>
      </c>
      <c r="B2" s="57" t="s">
        <v>95</v>
      </c>
      <c r="C2" s="58">
        <v>32279076.638250753</v>
      </c>
      <c r="D2" s="59">
        <f>IFERROR(+VLOOKUP(B2,COMISIONES!A:E,5,FALSE),"0")*1</f>
        <v>1379496.2566107768</v>
      </c>
      <c r="E2" s="59"/>
      <c r="F2" s="59">
        <f t="shared" ref="F2:F9" si="0">+D2-E2</f>
        <v>1379496.2566107768</v>
      </c>
      <c r="G2" s="60">
        <f t="shared" ref="G2:G41" si="1">+D2/C2</f>
        <v>4.2736546403439303E-2</v>
      </c>
      <c r="H2" s="59">
        <f>+D2/$N$3*$N$4</f>
        <v>33107910.158658642</v>
      </c>
      <c r="I2" s="60">
        <f t="shared" ref="I2:I41" si="2">+H2/C2</f>
        <v>1.0256771136825431</v>
      </c>
      <c r="J2" s="59">
        <f>+D2/$N$3</f>
        <v>1379496.2566107768</v>
      </c>
      <c r="K2" s="59">
        <f t="shared" ref="K2:K41" si="3">+(C2-D2)/$N$2</f>
        <v>1343460.0165930425</v>
      </c>
      <c r="L2" s="61" cm="1">
        <f t="array" ref="L2">+_xlfn.IFS(I2&gt;114%,H2*0.02,I2&gt;109%,H2*0.015,I2&gt;104%,H2*0.0125,I2&gt;99%,H2*0.01,I2&lt;99%,H2*0)</f>
        <v>331079.10158658645</v>
      </c>
      <c r="M2" s="53" t="s">
        <v>36</v>
      </c>
      <c r="N2">
        <v>23</v>
      </c>
    </row>
    <row r="3" spans="1:14" ht="16.5" thickBot="1" x14ac:dyDescent="0.3">
      <c r="A3" s="89"/>
      <c r="B3" s="36" t="s">
        <v>94</v>
      </c>
      <c r="C3" s="62">
        <v>30982728.178883255</v>
      </c>
      <c r="D3" s="4">
        <f>IFERROR(+VLOOKUP(B3,COMISIONES!A:E,5,FALSE),"0")*1</f>
        <v>1210391.5076398768</v>
      </c>
      <c r="E3" s="4"/>
      <c r="F3" s="4">
        <f t="shared" si="0"/>
        <v>1210391.5076398768</v>
      </c>
      <c r="G3" s="5">
        <f t="shared" si="1"/>
        <v>3.906665354488819E-2</v>
      </c>
      <c r="H3" s="4">
        <f t="shared" ref="H3:H41" si="4">+D3/$N$3*$N$4</f>
        <v>29049396.183357045</v>
      </c>
      <c r="I3" s="5">
        <f t="shared" si="2"/>
        <v>0.93759968507731672</v>
      </c>
      <c r="J3" s="4">
        <f t="shared" ref="J3:J41" si="5">+D3/$N$3</f>
        <v>1210391.5076398768</v>
      </c>
      <c r="K3" s="4">
        <f t="shared" si="3"/>
        <v>1294449.4204888425</v>
      </c>
      <c r="L3" s="63" cm="1">
        <f t="array" ref="L3">+_xlfn.IFS(I3&gt;114%,H3*0.02,I3&gt;109%,H3*0.015,I3&gt;104%,H3*0.0125,I3&gt;99%,H3*0.01,I3&lt;99%,H3*0)</f>
        <v>0</v>
      </c>
      <c r="M3" s="53" t="s">
        <v>40</v>
      </c>
      <c r="N3">
        <f>N4-N2</f>
        <v>1</v>
      </c>
    </row>
    <row r="4" spans="1:14" ht="16.5" thickBot="1" x14ac:dyDescent="0.3">
      <c r="A4" s="89"/>
      <c r="B4" s="36" t="s">
        <v>92</v>
      </c>
      <c r="C4" s="62">
        <v>28390031.260148253</v>
      </c>
      <c r="D4" s="4">
        <f>IFERROR(+VLOOKUP(B4,COMISIONES!A:E,5,FALSE),"0")*1</f>
        <v>1183899.192504474</v>
      </c>
      <c r="E4" s="4"/>
      <c r="F4" s="4">
        <f t="shared" si="0"/>
        <v>1183899.192504474</v>
      </c>
      <c r="G4" s="5">
        <f t="shared" si="1"/>
        <v>4.1701228915740601E-2</v>
      </c>
      <c r="H4" s="4">
        <f t="shared" si="4"/>
        <v>28413580.620107375</v>
      </c>
      <c r="I4" s="5">
        <f t="shared" si="2"/>
        <v>1.0008294939777744</v>
      </c>
      <c r="J4" s="4">
        <f t="shared" si="5"/>
        <v>1183899.192504474</v>
      </c>
      <c r="K4" s="4">
        <f t="shared" si="3"/>
        <v>1182875.30728886</v>
      </c>
      <c r="L4" s="63" cm="1">
        <f t="array" ref="L4">+_xlfn.IFS(I4&gt;114%,H4*0.02,I4&gt;109%,H4*0.015,I4&gt;104%,H4*0.0125,I4&gt;99%,H4*0.01,I4&lt;99%,H4*0)</f>
        <v>284135.80620107375</v>
      </c>
      <c r="M4" s="53" t="s">
        <v>47</v>
      </c>
      <c r="N4">
        <v>24</v>
      </c>
    </row>
    <row r="5" spans="1:14" ht="15.75" x14ac:dyDescent="0.25">
      <c r="A5" s="89"/>
      <c r="B5" s="36" t="s">
        <v>90</v>
      </c>
      <c r="C5" s="62">
        <v>28390031.260148253</v>
      </c>
      <c r="D5" s="4">
        <f>IFERROR(+VLOOKUP(B5,COMISIONES!A:E,5,FALSE),"0")*1</f>
        <v>2694955.1972862789</v>
      </c>
      <c r="E5" s="4"/>
      <c r="F5" s="4">
        <f t="shared" si="0"/>
        <v>2694955.1972862789</v>
      </c>
      <c r="G5" s="5">
        <f t="shared" si="1"/>
        <v>9.4926108836986392E-2</v>
      </c>
      <c r="H5" s="4">
        <f t="shared" si="4"/>
        <v>64678924.734870695</v>
      </c>
      <c r="I5" s="5">
        <f t="shared" si="2"/>
        <v>2.2782266120876735</v>
      </c>
      <c r="J5" s="4">
        <f t="shared" si="5"/>
        <v>2694955.1972862789</v>
      </c>
      <c r="K5" s="4">
        <f t="shared" si="3"/>
        <v>1117177.2201244337</v>
      </c>
      <c r="L5" s="63" cm="1">
        <f t="array" ref="L5">+_xlfn.IFS(I5&gt;114%,H5*0.02,I5&gt;109%,H5*0.015,I5&gt;104%,H5*0.0125,I5&gt;99%,H5*0.01,I5&lt;99%,H5*0)</f>
        <v>1293578.4946974139</v>
      </c>
    </row>
    <row r="6" spans="1:14" ht="15.75" x14ac:dyDescent="0.25">
      <c r="A6" s="89"/>
      <c r="B6" s="36" t="s">
        <v>212</v>
      </c>
      <c r="C6" s="62">
        <v>23528724.537520126</v>
      </c>
      <c r="D6" s="4">
        <f>IFERROR(+VLOOKUP(B6,COMISIONES!A:E,5,FALSE),"0")*1</f>
        <v>673949.31322047231</v>
      </c>
      <c r="E6" s="4"/>
      <c r="F6" s="4">
        <f t="shared" si="0"/>
        <v>673949.31322047231</v>
      </c>
      <c r="G6" s="5">
        <f t="shared" si="1"/>
        <v>2.8643682412353367E-2</v>
      </c>
      <c r="H6" s="4">
        <f t="shared" si="4"/>
        <v>16174783.517291335</v>
      </c>
      <c r="I6" s="5">
        <f t="shared" si="2"/>
        <v>0.68744837789648083</v>
      </c>
      <c r="J6" s="4">
        <f t="shared" si="5"/>
        <v>673949.31322047231</v>
      </c>
      <c r="K6" s="4">
        <f t="shared" si="3"/>
        <v>993685.8793173763</v>
      </c>
      <c r="L6" s="63" cm="1">
        <f t="array" ref="L6">+_xlfn.IFS(I6&gt;114%,H6*0.02,I6&gt;109%,H6*0.015,I6&gt;104%,H6*0.0125,I6&gt;99%,H6*0.01,I6&lt;99%,H6*0)</f>
        <v>0</v>
      </c>
    </row>
    <row r="7" spans="1:14" ht="15.75" x14ac:dyDescent="0.25">
      <c r="A7" s="89"/>
      <c r="B7" s="36" t="s">
        <v>86</v>
      </c>
      <c r="C7" s="62">
        <v>27741857.030464504</v>
      </c>
      <c r="D7" s="4">
        <f>IFERROR(+VLOOKUP(B7,COMISIONES!A:E,5,FALSE),"0")*1</f>
        <v>488198.71039685211</v>
      </c>
      <c r="E7" s="4"/>
      <c r="F7" s="4">
        <f t="shared" ref="F7:F8" si="6">+D7-E7</f>
        <v>488198.71039685211</v>
      </c>
      <c r="G7" s="5">
        <f t="shared" si="1"/>
        <v>1.7597910257440248E-2</v>
      </c>
      <c r="H7" s="4">
        <f t="shared" si="4"/>
        <v>11716769.049524451</v>
      </c>
      <c r="I7" s="5">
        <f t="shared" si="2"/>
        <v>0.42234984617856591</v>
      </c>
      <c r="J7" s="4">
        <f t="shared" si="5"/>
        <v>488198.71039685211</v>
      </c>
      <c r="K7" s="4">
        <f t="shared" si="3"/>
        <v>1184941.666089898</v>
      </c>
      <c r="L7" s="63" cm="1">
        <f t="array" ref="L7">+_xlfn.IFS(I7&gt;114%,H7*0.02,I7&gt;109%,H7*0.015,I7&gt;104%,H7*0.0125,I7&gt;99%,H7*0.01,I7&lt;99%,H7*0)</f>
        <v>0</v>
      </c>
    </row>
    <row r="8" spans="1:14" ht="15.75" x14ac:dyDescent="0.25">
      <c r="A8" s="89"/>
      <c r="B8" s="36" t="s">
        <v>85</v>
      </c>
      <c r="C8" s="62">
        <v>35831071.416917704</v>
      </c>
      <c r="D8" s="4">
        <f>IFERROR(+VLOOKUP(B8,COMISIONES!A:E,5,FALSE),"0")*1</f>
        <v>1318036.6824969184</v>
      </c>
      <c r="E8" s="4"/>
      <c r="F8" s="4">
        <f t="shared" si="6"/>
        <v>1318036.6824969184</v>
      </c>
      <c r="G8" s="5">
        <f t="shared" si="1"/>
        <v>3.6784741018785302E-2</v>
      </c>
      <c r="H8" s="4">
        <f t="shared" si="4"/>
        <v>31632880.379926041</v>
      </c>
      <c r="I8" s="5">
        <f t="shared" si="2"/>
        <v>0.88283378445084737</v>
      </c>
      <c r="J8" s="4">
        <f t="shared" si="5"/>
        <v>1318036.6824969184</v>
      </c>
      <c r="K8" s="4">
        <f t="shared" si="3"/>
        <v>1500566.7275835124</v>
      </c>
      <c r="L8" s="63" cm="1">
        <f t="array" ref="L8">+_xlfn.IFS(I8&gt;114%,H8*0.02,I8&gt;109%,H8*0.015,I8&gt;104%,H8*0.0125,I8&gt;99%,H8*0.01,I8&lt;99%,H8*0)</f>
        <v>0</v>
      </c>
    </row>
    <row r="9" spans="1:14" ht="15.75" x14ac:dyDescent="0.25">
      <c r="A9" s="89"/>
      <c r="B9" s="36" t="s">
        <v>84</v>
      </c>
      <c r="C9" s="62">
        <v>35831071.416917704</v>
      </c>
      <c r="D9" s="4">
        <f>IFERROR(+VLOOKUP(B9,COMISIONES!A:E,5,FALSE),"0")*1</f>
        <v>2772298.6238154541</v>
      </c>
      <c r="E9" s="4"/>
      <c r="F9" s="4">
        <f t="shared" si="0"/>
        <v>2772298.6238154541</v>
      </c>
      <c r="G9" s="5">
        <f t="shared" si="1"/>
        <v>7.7371357154185139E-2</v>
      </c>
      <c r="H9" s="4">
        <f t="shared" si="4"/>
        <v>66535166.971570894</v>
      </c>
      <c r="I9" s="5">
        <f t="shared" si="2"/>
        <v>1.8569125717004431</v>
      </c>
      <c r="J9" s="4">
        <f t="shared" si="5"/>
        <v>2772298.6238154541</v>
      </c>
      <c r="K9" s="4">
        <f t="shared" si="3"/>
        <v>1437337.9475261848</v>
      </c>
      <c r="L9" s="63" cm="1">
        <f t="array" ref="L9">+_xlfn.IFS(I9&gt;114%,H9*0.02,I9&gt;109%,H9*0.015,I9&gt;104%,H9*0.0125,I9&gt;99%,H9*0.01,I9&lt;99%,H9*0)</f>
        <v>1330703.3394314179</v>
      </c>
    </row>
    <row r="10" spans="1:14" ht="16.5" thickBot="1" x14ac:dyDescent="0.3">
      <c r="A10" s="90"/>
      <c r="B10" s="3"/>
      <c r="C10" s="64">
        <v>242974591.73925051</v>
      </c>
      <c r="D10" s="64">
        <f>+SUM(D2:D9)</f>
        <v>11721225.483971104</v>
      </c>
      <c r="E10" s="65"/>
      <c r="F10" s="64">
        <f>+SUM(F2:F9)</f>
        <v>11721225.483971104</v>
      </c>
      <c r="G10" s="66">
        <f t="shared" si="1"/>
        <v>4.8240539885544081E-2</v>
      </c>
      <c r="H10" s="64">
        <f t="shared" si="4"/>
        <v>281309411.6153065</v>
      </c>
      <c r="I10" s="66">
        <f t="shared" si="2"/>
        <v>1.157772957253058</v>
      </c>
      <c r="J10" s="64">
        <f t="shared" si="5"/>
        <v>11721225.483971104</v>
      </c>
      <c r="K10" s="67">
        <f t="shared" si="3"/>
        <v>10054494.185012149</v>
      </c>
      <c r="L10" s="68"/>
    </row>
    <row r="11" spans="1:14" ht="15.75" x14ac:dyDescent="0.25">
      <c r="A11" s="88" t="s">
        <v>210</v>
      </c>
      <c r="B11" s="57" t="s">
        <v>97</v>
      </c>
      <c r="C11" s="58">
        <v>96971948.480137512</v>
      </c>
      <c r="D11" s="59">
        <f>IFERROR(+VLOOKUP(B11,COMISIONES!A:E,5,FALSE),"0")*1</f>
        <v>1279296.2102717794</v>
      </c>
      <c r="E11" s="59"/>
      <c r="F11" s="59">
        <f t="shared" ref="F11:F16" si="7">+D11-E11</f>
        <v>1279296.2102717794</v>
      </c>
      <c r="G11" s="60">
        <f t="shared" si="1"/>
        <v>1.319243585719858E-2</v>
      </c>
      <c r="H11" s="59">
        <f t="shared" si="4"/>
        <v>30703109.046522707</v>
      </c>
      <c r="I11" s="60">
        <f t="shared" si="2"/>
        <v>0.31661846057276594</v>
      </c>
      <c r="J11" s="59">
        <f t="shared" si="5"/>
        <v>1279296.2102717794</v>
      </c>
      <c r="K11" s="59">
        <f t="shared" si="3"/>
        <v>4160550.0986898146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89"/>
      <c r="B12" s="36" t="s">
        <v>107</v>
      </c>
      <c r="C12" s="62">
        <v>31630902.408567004</v>
      </c>
      <c r="D12" s="4">
        <f>IFERROR(+VLOOKUP(B12,COMISIONES!A:E,5,FALSE),"0")*1</f>
        <v>7398671.9615932852</v>
      </c>
      <c r="E12" s="4"/>
      <c r="F12" s="4">
        <f t="shared" si="7"/>
        <v>7398671.9615932852</v>
      </c>
      <c r="G12" s="5">
        <f t="shared" si="1"/>
        <v>0.23390644585560125</v>
      </c>
      <c r="H12" s="4">
        <f t="shared" si="4"/>
        <v>177568127.07823884</v>
      </c>
      <c r="I12" s="5">
        <f t="shared" si="2"/>
        <v>5.6137547005344297</v>
      </c>
      <c r="J12" s="4">
        <f t="shared" si="5"/>
        <v>7398671.9615932852</v>
      </c>
      <c r="K12" s="4">
        <f t="shared" si="3"/>
        <v>1053575.2368249444</v>
      </c>
      <c r="L12" s="63" cm="1">
        <f t="array" ref="L12">+_xlfn.IFS(I12&gt;114%,H12*0.02,I12&gt;109%,H12*0.015,I12&gt;104%,H12*0.0125,I12&gt;99%,H12*0.01,I12&lt;99%,H12*0)</f>
        <v>3551362.541564777</v>
      </c>
      <c r="M12" s="27"/>
    </row>
    <row r="13" spans="1:14" ht="16.5" thickBot="1" x14ac:dyDescent="0.3">
      <c r="A13" s="89"/>
      <c r="B13" s="36" t="s">
        <v>91</v>
      </c>
      <c r="C13" s="62">
        <v>128363916.07462499</v>
      </c>
      <c r="D13" s="4">
        <f>IFERROR(+VLOOKUP(B13,COMISIONES!A:E,5,FALSE),"0")*1</f>
        <v>22103798.373994444</v>
      </c>
      <c r="E13" s="4"/>
      <c r="F13" s="4">
        <f t="shared" si="7"/>
        <v>22103798.373994444</v>
      </c>
      <c r="G13" s="5">
        <f t="shared" si="1"/>
        <v>0.17219635431770633</v>
      </c>
      <c r="H13" s="4">
        <f t="shared" si="4"/>
        <v>530491160.97586668</v>
      </c>
      <c r="I13" s="5">
        <f t="shared" si="2"/>
        <v>4.1327125036249521</v>
      </c>
      <c r="J13" s="4">
        <f t="shared" si="5"/>
        <v>22103798.373994444</v>
      </c>
      <c r="K13" s="4">
        <f t="shared" si="3"/>
        <v>4620005.1174187195</v>
      </c>
      <c r="L13" s="63" cm="1">
        <f t="array" ref="L13">+_xlfn.IFS(I13&gt;114%,H13*0.0125,I13&gt;109%,H13*0.01,I13&gt;104%,H13*0.0075,I13&gt;99%,H13*0.005,I13&lt;99%,H13*0)</f>
        <v>6631139.5121983336</v>
      </c>
      <c r="M13" s="53" t="s">
        <v>61</v>
      </c>
      <c r="N13" s="25">
        <v>0.02</v>
      </c>
    </row>
    <row r="14" spans="1:14" ht="15.75" x14ac:dyDescent="0.25">
      <c r="A14" s="89"/>
      <c r="B14" s="36" t="s">
        <v>112</v>
      </c>
      <c r="C14" s="62">
        <v>42449057.394974999</v>
      </c>
      <c r="D14" s="4">
        <f>IFERROR(+VLOOKUP(B14,COMISIONES!A:E,5,FALSE),"0")*1</f>
        <v>483655.59259999997</v>
      </c>
      <c r="E14" s="4"/>
      <c r="F14" s="4">
        <f t="shared" si="7"/>
        <v>483655.59259999997</v>
      </c>
      <c r="G14" s="5">
        <f t="shared" si="1"/>
        <v>1.1393788750118483E-2</v>
      </c>
      <c r="H14" s="4">
        <f t="shared" si="4"/>
        <v>11607734.222399998</v>
      </c>
      <c r="I14" s="5">
        <f t="shared" si="2"/>
        <v>0.2734509300028436</v>
      </c>
      <c r="J14" s="4">
        <f t="shared" si="5"/>
        <v>483655.59259999997</v>
      </c>
      <c r="K14" s="4">
        <f t="shared" si="3"/>
        <v>1824582.6870597824</v>
      </c>
      <c r="L14" s="63" cm="1">
        <f t="array" ref="L14">+_xlfn.IFS(I14&gt;109%,H14*0.015,I14&gt;104%,H14*0.0125,I14&gt;99%,H14*0.01,I14&lt;99%,H14*0)</f>
        <v>0</v>
      </c>
      <c r="N14" s="28"/>
    </row>
    <row r="15" spans="1:14" ht="15.75" x14ac:dyDescent="0.25">
      <c r="A15" s="89"/>
      <c r="B15" s="36" t="s">
        <v>108</v>
      </c>
      <c r="C15" s="62">
        <v>42449057.394974999</v>
      </c>
      <c r="D15" s="4">
        <f>IFERROR(+VLOOKUP(B15,COMISIONES!A:E,5,FALSE),"0")*1</f>
        <v>-6760.5810000000001</v>
      </c>
      <c r="E15" s="4"/>
      <c r="F15" s="4">
        <f t="shared" si="7"/>
        <v>-6760.5810000000001</v>
      </c>
      <c r="G15" s="5">
        <f t="shared" si="1"/>
        <v>-1.5926339511134347E-4</v>
      </c>
      <c r="H15" s="4">
        <f t="shared" si="4"/>
        <v>-162253.94400000002</v>
      </c>
      <c r="I15" s="5">
        <f t="shared" si="2"/>
        <v>-3.8223214826722438E-3</v>
      </c>
      <c r="J15" s="4">
        <f t="shared" si="5"/>
        <v>-6760.5810000000001</v>
      </c>
      <c r="K15" s="4">
        <f t="shared" si="3"/>
        <v>1845905.1293902174</v>
      </c>
      <c r="L15" s="63" cm="1">
        <f t="array" ref="L15">+_xlfn.IFS(I15&gt;109%,H15*0.015,I15&gt;104%,H15*0.0125,I15&gt;99%,H15*0.01,I15&lt;99%,H15*0)</f>
        <v>0</v>
      </c>
    </row>
    <row r="16" spans="1:14" ht="16.5" thickBot="1" x14ac:dyDescent="0.3">
      <c r="A16" s="90"/>
      <c r="B16" s="3"/>
      <c r="C16" s="64">
        <v>341864881.75327951</v>
      </c>
      <c r="D16" s="64">
        <f>+SUM(D11:D15)</f>
        <v>31258661.557459507</v>
      </c>
      <c r="E16" s="65"/>
      <c r="F16" s="64">
        <f t="shared" si="7"/>
        <v>31258661.557459507</v>
      </c>
      <c r="G16" s="66">
        <f t="shared" si="1"/>
        <v>9.1435719858521683E-2</v>
      </c>
      <c r="H16" s="64">
        <f t="shared" si="4"/>
        <v>750207877.3790282</v>
      </c>
      <c r="I16" s="66">
        <f t="shared" si="2"/>
        <v>2.1944572766045205</v>
      </c>
      <c r="J16" s="64">
        <f t="shared" si="5"/>
        <v>31258661.557459507</v>
      </c>
      <c r="K16" s="67">
        <f t="shared" si="3"/>
        <v>13504618.269383477</v>
      </c>
      <c r="L16" s="68"/>
    </row>
    <row r="17" spans="1:13" ht="15.75" x14ac:dyDescent="0.25">
      <c r="A17" s="91" t="s">
        <v>211</v>
      </c>
      <c r="B17" s="69" t="s">
        <v>82</v>
      </c>
      <c r="C17" s="70">
        <v>29338018.132500004</v>
      </c>
      <c r="D17" s="59">
        <f>IFERROR(+VLOOKUP(B17,COMISIONES!A:E,5,FALSE),"0")*1</f>
        <v>910195.66733517474</v>
      </c>
      <c r="E17" s="59"/>
      <c r="F17" s="59">
        <f t="shared" ref="F17:F40" si="8">+D17-E17</f>
        <v>910195.66733517474</v>
      </c>
      <c r="G17" s="60">
        <f t="shared" si="1"/>
        <v>3.1024442865378157E-2</v>
      </c>
      <c r="H17" s="59">
        <f t="shared" si="4"/>
        <v>21844696.016044192</v>
      </c>
      <c r="I17" s="60">
        <f t="shared" si="2"/>
        <v>0.74458662876907566</v>
      </c>
      <c r="J17" s="59">
        <f t="shared" si="5"/>
        <v>910195.66733517474</v>
      </c>
      <c r="K17" s="59">
        <f t="shared" si="3"/>
        <v>1235992.2810941229</v>
      </c>
      <c r="L17" s="61" cm="1">
        <f t="array" ref="L17">+_xlfn.IFS(I17&gt;114%,H17*0.02,I17&gt;109%,H17*0.015,I17&gt;104%,H17*0.0125,I17&gt;99%,H17*0.01,I17&lt;99%,H17*0)</f>
        <v>0</v>
      </c>
    </row>
    <row r="18" spans="1:13" ht="15.75" x14ac:dyDescent="0.25">
      <c r="A18" s="92"/>
      <c r="B18" s="19" t="s">
        <v>83</v>
      </c>
      <c r="C18" s="71">
        <v>24959505.900000002</v>
      </c>
      <c r="D18" s="4">
        <f>IFERROR(+VLOOKUP(B18,COMISIONES!A:E,5,FALSE),"0")*1</f>
        <v>501148.95527489512</v>
      </c>
      <c r="E18" s="4"/>
      <c r="F18" s="4">
        <f t="shared" si="8"/>
        <v>501148.95527489512</v>
      </c>
      <c r="G18" s="5">
        <f t="shared" si="1"/>
        <v>2.0078480611064303E-2</v>
      </c>
      <c r="H18" s="4">
        <f t="shared" si="4"/>
        <v>12027574.926597483</v>
      </c>
      <c r="I18" s="5">
        <f t="shared" si="2"/>
        <v>0.48188353466554329</v>
      </c>
      <c r="J18" s="4">
        <f t="shared" si="5"/>
        <v>501148.95527489512</v>
      </c>
      <c r="K18" s="4">
        <f t="shared" si="3"/>
        <v>1063406.8236837003</v>
      </c>
      <c r="L18" s="63" cm="1">
        <f t="array" ref="L18">+_xlfn.IFS(I18&gt;114%,H18*0.02,I18&gt;109%,H18*0.015,I18&gt;104%,H18*0.0125,I18&gt;99%,H18*0.01,I18&lt;99%,H18*0)</f>
        <v>0</v>
      </c>
    </row>
    <row r="19" spans="1:13" ht="15.75" x14ac:dyDescent="0.25">
      <c r="A19" s="92"/>
      <c r="B19" s="19" t="s">
        <v>93</v>
      </c>
      <c r="C19" s="71">
        <v>25856650.1655</v>
      </c>
      <c r="D19" s="4">
        <f>IFERROR(+VLOOKUP(B19,COMISIONES!A:E,5,FALSE),"0")*1</f>
        <v>1123309.4293535382</v>
      </c>
      <c r="E19" s="4"/>
      <c r="F19" s="4">
        <f t="shared" si="8"/>
        <v>1123309.4293535382</v>
      </c>
      <c r="G19" s="5">
        <f t="shared" si="1"/>
        <v>4.3443733900702539E-2</v>
      </c>
      <c r="H19" s="4">
        <f t="shared" si="4"/>
        <v>26959426.304484919</v>
      </c>
      <c r="I19" s="5">
        <f t="shared" si="2"/>
        <v>1.042649613616861</v>
      </c>
      <c r="J19" s="4">
        <f t="shared" si="5"/>
        <v>1123309.4293535382</v>
      </c>
      <c r="K19" s="4">
        <f t="shared" si="3"/>
        <v>1075362.6407020201</v>
      </c>
      <c r="L19" s="63" cm="1">
        <f t="array" ref="L19">+_xlfn.IFS(I19&gt;114%,H19*0.02,I19&gt;109%,H19*0.015,I19&gt;104%,H19*0.0125,I19&gt;99%,H19*0.01,I19&lt;99%,H19*0)</f>
        <v>336992.82880606153</v>
      </c>
    </row>
    <row r="20" spans="1:13" ht="15.75" x14ac:dyDescent="0.25">
      <c r="A20" s="92"/>
      <c r="B20" s="19" t="s">
        <v>96</v>
      </c>
      <c r="C20" s="71">
        <v>33548130</v>
      </c>
      <c r="D20" s="4">
        <f>IFERROR(+VLOOKUP(B20,COMISIONES!A:E,5,FALSE),"0")*1</f>
        <v>1545484.3455725485</v>
      </c>
      <c r="E20" s="4"/>
      <c r="F20" s="4">
        <f t="shared" si="8"/>
        <v>1545484.3455725485</v>
      </c>
      <c r="G20" s="5">
        <f t="shared" si="1"/>
        <v>4.6067674877036321E-2</v>
      </c>
      <c r="H20" s="4">
        <f t="shared" si="4"/>
        <v>37091624.293741167</v>
      </c>
      <c r="I20" s="5">
        <f t="shared" si="2"/>
        <v>1.1056241970488718</v>
      </c>
      <c r="J20" s="4">
        <f t="shared" si="5"/>
        <v>1545484.3455725485</v>
      </c>
      <c r="K20" s="4">
        <f t="shared" si="3"/>
        <v>1391419.3762794544</v>
      </c>
      <c r="L20" s="63" cm="1">
        <f t="array" ref="L20">+_xlfn.IFS(I20&gt;114%,H20*0.02,I20&gt;109%,H20*0.015,I20&gt;104%,H20*0.0125,I20&gt;99%,H20*0.01,I20&lt;99%,H20*0)</f>
        <v>556374.36440611747</v>
      </c>
    </row>
    <row r="21" spans="1:13" ht="15.75" x14ac:dyDescent="0.25">
      <c r="A21" s="92"/>
      <c r="B21" s="19" t="s">
        <v>98</v>
      </c>
      <c r="C21" s="71">
        <v>25458510</v>
      </c>
      <c r="D21" s="4">
        <f>IFERROR(+VLOOKUP(B21,COMISIONES!A:E,5,FALSE),"0")*1</f>
        <v>1299165.9114931743</v>
      </c>
      <c r="E21" s="4"/>
      <c r="F21" s="4">
        <f t="shared" ref="F21:F23" si="9">+D21-E21</f>
        <v>1299165.9114931743</v>
      </c>
      <c r="G21" s="5">
        <f t="shared" si="1"/>
        <v>5.103071277514569E-2</v>
      </c>
      <c r="H21" s="4">
        <f t="shared" si="4"/>
        <v>31179981.875836182</v>
      </c>
      <c r="I21" s="5">
        <f t="shared" si="2"/>
        <v>1.2247371066034964</v>
      </c>
      <c r="J21" s="4">
        <f t="shared" si="5"/>
        <v>1299165.9114931743</v>
      </c>
      <c r="K21" s="4">
        <f t="shared" si="3"/>
        <v>1050406.2647176881</v>
      </c>
      <c r="L21" s="63" cm="1">
        <f t="array" ref="L21">+_xlfn.IFS(I21&gt;114%,H21*0.02,I21&gt;109%,H21*0.015,I21&gt;104%,H21*0.0125,I21&gt;99%,H21*0.01,I21&lt;99%,H21*0)</f>
        <v>623599.63751672371</v>
      </c>
    </row>
    <row r="22" spans="1:13" ht="15.75" x14ac:dyDescent="0.25">
      <c r="A22" s="92"/>
      <c r="B22" s="19" t="s">
        <v>101</v>
      </c>
      <c r="C22" s="71">
        <v>31742890.200000003</v>
      </c>
      <c r="D22" s="4">
        <f>IFERROR(+VLOOKUP(B22,COMISIONES!A:E,5,FALSE),"0")*1</f>
        <v>1904211.5763949119</v>
      </c>
      <c r="E22" s="4"/>
      <c r="F22" s="4">
        <f t="shared" si="9"/>
        <v>1904211.5763949119</v>
      </c>
      <c r="G22" s="5">
        <f t="shared" si="1"/>
        <v>5.9988601050414488E-2</v>
      </c>
      <c r="H22" s="4">
        <f t="shared" si="4"/>
        <v>45701077.833477885</v>
      </c>
      <c r="I22" s="5">
        <f t="shared" si="2"/>
        <v>1.4397264252099478</v>
      </c>
      <c r="J22" s="4">
        <f t="shared" si="5"/>
        <v>1904211.5763949119</v>
      </c>
      <c r="K22" s="4">
        <f t="shared" si="3"/>
        <v>1297333.8532002214</v>
      </c>
      <c r="L22" s="63" cm="1">
        <f t="array" ref="L22">+_xlfn.IFS(I22&gt;114%,H22*0.02,I22&gt;109%,H22*0.015,I22&gt;104%,H22*0.0125,I22&gt;99%,H22*0.01,I22&lt;99%,H22*0)</f>
        <v>914021.5566695577</v>
      </c>
    </row>
    <row r="23" spans="1:13" ht="15.75" x14ac:dyDescent="0.25">
      <c r="A23" s="92"/>
      <c r="B23" s="19" t="s">
        <v>162</v>
      </c>
      <c r="C23" s="71">
        <v>27435946.230000004</v>
      </c>
      <c r="D23" s="4">
        <f>IFERROR(+VLOOKUP(B23,COMISIONES!A:E,5,FALSE),"0")*1</f>
        <v>831624.25115675328</v>
      </c>
      <c r="E23" s="4"/>
      <c r="F23" s="4">
        <f t="shared" si="9"/>
        <v>831624.25115675328</v>
      </c>
      <c r="G23" s="5">
        <f t="shared" si="1"/>
        <v>3.0311484218007712E-2</v>
      </c>
      <c r="H23" s="4">
        <f t="shared" si="4"/>
        <v>19958982.027762078</v>
      </c>
      <c r="I23" s="5">
        <f t="shared" si="2"/>
        <v>0.72747562123218501</v>
      </c>
      <c r="J23" s="4">
        <f t="shared" si="5"/>
        <v>831624.25115675328</v>
      </c>
      <c r="K23" s="4">
        <f t="shared" si="3"/>
        <v>1156709.6512540544</v>
      </c>
      <c r="L23" s="63" cm="1">
        <f t="array" ref="L23">+_xlfn.IFS(I23&gt;114%,H23*0.02,I23&gt;109%,H23*0.015,I23&gt;104%,H23*0.0125,I23&gt;99%,H23*0.01,I23&lt;99%,H23*0)</f>
        <v>0</v>
      </c>
    </row>
    <row r="24" spans="1:13" ht="15.75" x14ac:dyDescent="0.25">
      <c r="A24" s="92"/>
      <c r="B24" s="19" t="s">
        <v>109</v>
      </c>
      <c r="C24" s="71">
        <v>33494055</v>
      </c>
      <c r="D24" s="4">
        <f>IFERROR(+VLOOKUP(B24,COMISIONES!A:E,5,FALSE),"0")*1</f>
        <v>855590.57458566967</v>
      </c>
      <c r="E24" s="4"/>
      <c r="F24" s="4">
        <f t="shared" si="8"/>
        <v>855590.57458566967</v>
      </c>
      <c r="G24" s="5">
        <f t="shared" si="1"/>
        <v>2.5544550356344422E-2</v>
      </c>
      <c r="H24" s="4">
        <f t="shared" si="4"/>
        <v>20534173.790056072</v>
      </c>
      <c r="I24" s="5">
        <f t="shared" si="2"/>
        <v>0.6130692085522661</v>
      </c>
      <c r="J24" s="4">
        <f t="shared" si="5"/>
        <v>855590.57458566967</v>
      </c>
      <c r="K24" s="4">
        <f t="shared" si="3"/>
        <v>1419063.6706701883</v>
      </c>
      <c r="L24" s="63" cm="1">
        <f t="array" ref="L24">+_xlfn.IFS(I24&gt;114%,H24*0.02,I24&gt;109%,H24*0.015,I24&gt;104%,H24*0.0125,I24&gt;99%,H24*0.01,I24&lt;99%,H24*0)</f>
        <v>0</v>
      </c>
    </row>
    <row r="25" spans="1:13" ht="15.75" x14ac:dyDescent="0.25">
      <c r="A25" s="92"/>
      <c r="B25" s="19" t="s">
        <v>140</v>
      </c>
      <c r="C25" s="71">
        <v>54064952.86500001</v>
      </c>
      <c r="D25" s="4">
        <f>IFERROR(+VLOOKUP(B25,COMISIONES!A:E,5,FALSE),"0")*1</f>
        <v>0</v>
      </c>
      <c r="E25" s="4"/>
      <c r="F25" s="4">
        <f t="shared" si="8"/>
        <v>0</v>
      </c>
      <c r="G25" s="5">
        <f t="shared" si="1"/>
        <v>0</v>
      </c>
      <c r="H25" s="4">
        <f t="shared" si="4"/>
        <v>0</v>
      </c>
      <c r="I25" s="5">
        <f t="shared" si="2"/>
        <v>0</v>
      </c>
      <c r="J25" s="4">
        <f t="shared" si="5"/>
        <v>0</v>
      </c>
      <c r="K25" s="4">
        <f t="shared" si="3"/>
        <v>2350650.1245652176</v>
      </c>
      <c r="L25" s="63" cm="1">
        <f t="array" ref="L25">+_xlfn.IFS(I25&gt;109%,H25*0.015,I25&gt;104%,H25*0.0125,I25&gt;99%,H25*0.01,I25&lt;99%,H25*0)</f>
        <v>0</v>
      </c>
    </row>
    <row r="26" spans="1:13" ht="16.5" thickBot="1" x14ac:dyDescent="0.3">
      <c r="A26" s="93"/>
      <c r="B26" s="72"/>
      <c r="C26" s="67">
        <v>285898658.49300003</v>
      </c>
      <c r="D26" s="67">
        <f>+SUM(D17:D25)</f>
        <v>8970730.711166665</v>
      </c>
      <c r="E26" s="65"/>
      <c r="F26" s="67">
        <f>+D26-E26</f>
        <v>8970730.711166665</v>
      </c>
      <c r="G26" s="66">
        <f t="shared" si="1"/>
        <v>3.1377309562948874E-2</v>
      </c>
      <c r="H26" s="64">
        <f t="shared" si="4"/>
        <v>215297537.06799996</v>
      </c>
      <c r="I26" s="66">
        <f t="shared" si="2"/>
        <v>0.75305542951077309</v>
      </c>
      <c r="J26" s="64">
        <f t="shared" si="5"/>
        <v>8970730.711166665</v>
      </c>
      <c r="K26" s="67">
        <f t="shared" si="3"/>
        <v>12040344.686166668</v>
      </c>
      <c r="L26" s="68"/>
    </row>
    <row r="27" spans="1:13" ht="15.75" x14ac:dyDescent="0.25">
      <c r="A27" s="88" t="s">
        <v>228</v>
      </c>
      <c r="B27" s="57" t="s">
        <v>214</v>
      </c>
      <c r="C27" s="73">
        <v>81977700</v>
      </c>
      <c r="D27" s="59">
        <f>IFERROR(+VLOOKUP(B27,COMISIONES!A:E,5,FALSE),"0")*1</f>
        <v>2145545.2733516009</v>
      </c>
      <c r="E27" s="59"/>
      <c r="F27" s="59">
        <f t="shared" si="8"/>
        <v>2145545.2733516009</v>
      </c>
      <c r="G27" s="60">
        <f t="shared" si="1"/>
        <v>2.6172303850334918E-2</v>
      </c>
      <c r="H27" s="59">
        <f t="shared" si="4"/>
        <v>51493086.560438424</v>
      </c>
      <c r="I27" s="60">
        <f t="shared" si="2"/>
        <v>0.62813529240803812</v>
      </c>
      <c r="J27" s="59">
        <f t="shared" si="5"/>
        <v>2145545.2733516009</v>
      </c>
      <c r="K27" s="59">
        <f t="shared" si="3"/>
        <v>3470963.2489847131</v>
      </c>
      <c r="L27" s="61" cm="1">
        <f t="array" ref="L27">+_xlfn.IFS(I27&gt;114%,H27*0.0125,I27&gt;109%,H27*0.01,I27&gt;104%,H27*0.0075,I27&gt;99%,H27*0.005,I27&lt;99%,H27*0)</f>
        <v>0</v>
      </c>
    </row>
    <row r="28" spans="1:13" ht="15.75" x14ac:dyDescent="0.25">
      <c r="A28" s="89"/>
      <c r="B28" s="36" t="s">
        <v>216</v>
      </c>
      <c r="C28" s="74">
        <v>21000000</v>
      </c>
      <c r="D28" s="4">
        <f>IFERROR(+VLOOKUP(B28,COMISIONES!A:E,5,FALSE),"0")*1</f>
        <v>682680.93729586795</v>
      </c>
      <c r="E28" s="4"/>
      <c r="F28" s="4">
        <f t="shared" si="8"/>
        <v>682680.93729586795</v>
      </c>
      <c r="G28" s="5">
        <f t="shared" si="1"/>
        <v>3.2508616061707997E-2</v>
      </c>
      <c r="H28" s="4">
        <f t="shared" si="4"/>
        <v>16384342.49510083</v>
      </c>
      <c r="I28" s="5">
        <f t="shared" si="2"/>
        <v>0.78020678548099187</v>
      </c>
      <c r="J28" s="4">
        <f t="shared" si="5"/>
        <v>682680.93729586795</v>
      </c>
      <c r="K28" s="4">
        <f t="shared" si="3"/>
        <v>883361.69837844046</v>
      </c>
      <c r="L28" s="63" cm="1">
        <f t="array" ref="L28">+_xlfn.IFS(I28&gt;114%,H28*0.02,I28&gt;109%,H28*0.015,I28&gt;104%,H28*0.0125,I28&gt;99%,H28*0.01,I28&lt;99%,H28*0)</f>
        <v>0</v>
      </c>
    </row>
    <row r="29" spans="1:13" ht="15.75" x14ac:dyDescent="0.25">
      <c r="A29" s="89"/>
      <c r="B29" s="36" t="s">
        <v>87</v>
      </c>
      <c r="C29" s="74">
        <v>25739700</v>
      </c>
      <c r="D29" s="4">
        <f>IFERROR(+VLOOKUP(B29,COMISIONES!A:E,5,FALSE),"0")*1</f>
        <v>560866.8378297271</v>
      </c>
      <c r="E29" s="4"/>
      <c r="F29" s="4">
        <f t="shared" si="8"/>
        <v>560866.8378297271</v>
      </c>
      <c r="G29" s="5">
        <f t="shared" si="1"/>
        <v>2.1789952401532538E-2</v>
      </c>
      <c r="H29" s="4">
        <f t="shared" si="4"/>
        <v>13460804.107913449</v>
      </c>
      <c r="I29" s="5">
        <f t="shared" si="2"/>
        <v>0.52295885763678085</v>
      </c>
      <c r="J29" s="4">
        <f t="shared" si="5"/>
        <v>560866.8378297271</v>
      </c>
      <c r="K29" s="4">
        <f t="shared" si="3"/>
        <v>1094731.8766160987</v>
      </c>
      <c r="L29" s="63" cm="1">
        <f t="array" ref="L29">+_xlfn.IFS(I29&gt;114%,H29*0.02,I29&gt;109%,H29*0.015,I29&gt;104%,H29*0.0125,I29&gt;99%,H29*0.01,I29&lt;99%,H29*0)</f>
        <v>0</v>
      </c>
      <c r="M29" s="27"/>
    </row>
    <row r="30" spans="1:13" ht="15.75" x14ac:dyDescent="0.25">
      <c r="A30" s="89"/>
      <c r="B30" s="36" t="s">
        <v>215</v>
      </c>
      <c r="C30" s="74">
        <v>38233205.112125672</v>
      </c>
      <c r="D30" s="4">
        <f>IFERROR(+VLOOKUP(B30,COMISIONES!A:E,5,FALSE),"0")*1</f>
        <v>1241096.8257165046</v>
      </c>
      <c r="E30" s="4"/>
      <c r="F30" s="4">
        <f t="shared" si="8"/>
        <v>1241096.8257165046</v>
      </c>
      <c r="G30" s="5">
        <f t="shared" si="1"/>
        <v>3.2461228978234169E-2</v>
      </c>
      <c r="H30" s="4">
        <f t="shared" si="4"/>
        <v>29786323.817196108</v>
      </c>
      <c r="I30" s="5">
        <f t="shared" si="2"/>
        <v>0.77906949547761994</v>
      </c>
      <c r="J30" s="4">
        <f t="shared" si="5"/>
        <v>1241096.8257165046</v>
      </c>
      <c r="K30" s="4">
        <f t="shared" si="3"/>
        <v>1608352.534191703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5.75" x14ac:dyDescent="0.25">
      <c r="A31" s="89"/>
      <c r="B31" s="36" t="s">
        <v>99</v>
      </c>
      <c r="C31" s="74">
        <v>25415250</v>
      </c>
      <c r="D31" s="4">
        <f>IFERROR(+VLOOKUP(B31,COMISIONES!A:E,5,FALSE),"0")*1</f>
        <v>967034.52092210797</v>
      </c>
      <c r="E31" s="4"/>
      <c r="F31" s="4">
        <f t="shared" si="8"/>
        <v>967034.52092210797</v>
      </c>
      <c r="G31" s="5">
        <f t="shared" si="1"/>
        <v>3.8049380624707918E-2</v>
      </c>
      <c r="H31" s="4">
        <f t="shared" si="4"/>
        <v>23208828.50213059</v>
      </c>
      <c r="I31" s="5">
        <f t="shared" si="2"/>
        <v>0.91318513499299003</v>
      </c>
      <c r="J31" s="4">
        <f t="shared" si="5"/>
        <v>967034.52092210797</v>
      </c>
      <c r="K31" s="4">
        <f t="shared" si="3"/>
        <v>1062965.8903946909</v>
      </c>
      <c r="L31" s="63" cm="1">
        <f t="array" ref="L31">+_xlfn.IFS(I31&gt;114%,H31*0.02,I31&gt;109%,H31*0.015,I31&gt;104%,H31*0.0125,I31&gt;99%,H31*0.01,I31&lt;99%,H31*0)</f>
        <v>0</v>
      </c>
      <c r="M31" s="27"/>
    </row>
    <row r="32" spans="1:13" ht="15.75" x14ac:dyDescent="0.25">
      <c r="A32" s="89"/>
      <c r="B32" s="36" t="s">
        <v>213</v>
      </c>
      <c r="C32" s="74">
        <v>25200000</v>
      </c>
      <c r="D32" s="4">
        <f>IFERROR(+VLOOKUP(B32,COMISIONES!A:E,5,FALSE),"0")*1</f>
        <v>235546.28047396851</v>
      </c>
      <c r="E32" s="4"/>
      <c r="F32" s="4">
        <f t="shared" si="8"/>
        <v>235546.28047396851</v>
      </c>
      <c r="G32" s="5">
        <f t="shared" si="1"/>
        <v>9.347074621982877E-3</v>
      </c>
      <c r="H32" s="4">
        <f t="shared" si="4"/>
        <v>5653110.7313752444</v>
      </c>
      <c r="I32" s="5">
        <f t="shared" si="2"/>
        <v>0.22432979092758906</v>
      </c>
      <c r="J32" s="4">
        <f t="shared" si="5"/>
        <v>235546.28047396851</v>
      </c>
      <c r="K32" s="4">
        <f t="shared" si="3"/>
        <v>1085411.0312837404</v>
      </c>
      <c r="L32" s="63" cm="1">
        <f t="array" ref="L32">+_xlfn.IFS(I32&gt;114%,H32*0.02,I32&gt;109%,H32*0.015,I32&gt;104%,H32*0.0125,I32&gt;99%,H32*0.01,I32&lt;99%,H32*0)</f>
        <v>0</v>
      </c>
      <c r="M32" s="26"/>
    </row>
    <row r="33" spans="1:12" ht="15.75" x14ac:dyDescent="0.25">
      <c r="A33" s="89"/>
      <c r="B33" s="36" t="s">
        <v>100</v>
      </c>
      <c r="C33" s="74">
        <v>26496750</v>
      </c>
      <c r="D33" s="4">
        <f>IFERROR(+VLOOKUP(B33,COMISIONES!A:E,5,FALSE),"0")*1</f>
        <v>370995.20136279258</v>
      </c>
      <c r="E33" s="4"/>
      <c r="F33" s="4">
        <f t="shared" si="8"/>
        <v>370995.20136279258</v>
      </c>
      <c r="G33" s="5">
        <f t="shared" si="1"/>
        <v>1.4001536088870996E-2</v>
      </c>
      <c r="H33" s="4">
        <f t="shared" si="4"/>
        <v>8903884.8327070214</v>
      </c>
      <c r="I33" s="5">
        <f t="shared" si="2"/>
        <v>0.3360368661329039</v>
      </c>
      <c r="J33" s="4">
        <f t="shared" si="5"/>
        <v>370995.20136279258</v>
      </c>
      <c r="K33" s="4">
        <f t="shared" si="3"/>
        <v>1135902.3825494437</v>
      </c>
      <c r="L33" s="63" cm="1">
        <f t="array" ref="L33">+_xlfn.IFS(I33&gt;114%,H33*0.02,I33&gt;109%,H33*0.015,I33&gt;104%,H33*0.0125,I33&gt;99%,H33*0.01,I33&lt;99%,H33*0)</f>
        <v>0</v>
      </c>
    </row>
    <row r="34" spans="1:12" ht="15.75" x14ac:dyDescent="0.25">
      <c r="A34" s="89"/>
      <c r="B34" s="36" t="s">
        <v>139</v>
      </c>
      <c r="C34" s="74">
        <v>21000000</v>
      </c>
      <c r="D34" s="4">
        <f>IFERROR(+VLOOKUP(B34,COMISIONES!A:E,5,FALSE),"0")*1</f>
        <v>602361.45632991486</v>
      </c>
      <c r="E34" s="4"/>
      <c r="F34" s="4">
        <f t="shared" si="8"/>
        <v>602361.45632991486</v>
      </c>
      <c r="G34" s="5">
        <f t="shared" si="1"/>
        <v>2.8683878872853088E-2</v>
      </c>
      <c r="H34" s="4">
        <f t="shared" si="4"/>
        <v>14456674.951917958</v>
      </c>
      <c r="I34" s="5">
        <f t="shared" si="2"/>
        <v>0.68841309294847419</v>
      </c>
      <c r="J34" s="4">
        <f t="shared" si="5"/>
        <v>602361.45632991486</v>
      </c>
      <c r="K34" s="4">
        <f t="shared" si="3"/>
        <v>886853.84972478624</v>
      </c>
      <c r="L34" s="63" cm="1">
        <f t="array" ref="L34">+_xlfn.IFS(I34&gt;114%,H34*0.02,I34&gt;109%,H34*0.015,I34&gt;104%,H34*0.0125,I34&gt;99%,H34*0.01,I34&lt;99%,H34*0)</f>
        <v>0</v>
      </c>
    </row>
    <row r="35" spans="1:12" ht="15.75" x14ac:dyDescent="0.25">
      <c r="A35" s="89"/>
      <c r="B35" s="19" t="s">
        <v>104</v>
      </c>
      <c r="C35" s="74">
        <v>24658200</v>
      </c>
      <c r="D35" s="4">
        <f>IFERROR(+VLOOKUP(B35,COMISIONES!A:E,5,FALSE),"0")*1</f>
        <v>269184.13865821779</v>
      </c>
      <c r="E35" s="4"/>
      <c r="F35" s="4">
        <f t="shared" si="8"/>
        <v>269184.13865821779</v>
      </c>
      <c r="G35" s="5">
        <f t="shared" si="1"/>
        <v>1.0916617541354106E-2</v>
      </c>
      <c r="H35" s="4">
        <f t="shared" si="4"/>
        <v>6460419.3277972266</v>
      </c>
      <c r="I35" s="5">
        <f t="shared" si="2"/>
        <v>0.26199882099249849</v>
      </c>
      <c r="J35" s="4">
        <f t="shared" si="5"/>
        <v>269184.13865821779</v>
      </c>
      <c r="K35" s="4">
        <f t="shared" si="3"/>
        <v>1060391.9939713818</v>
      </c>
      <c r="L35" s="63" cm="1">
        <f t="array" ref="L35">+_xlfn.IFS(I35&gt;114%,H35*0.02,I35&gt;109%,H35*0.015,I35&gt;104%,H35*0.0125,I35&gt;99%,H35*0.01,I35&lt;99%,H35*0)</f>
        <v>0</v>
      </c>
    </row>
    <row r="36" spans="1:12" ht="15.75" x14ac:dyDescent="0.25">
      <c r="A36" s="89"/>
      <c r="B36" s="36" t="s">
        <v>207</v>
      </c>
      <c r="C36" s="74">
        <v>25235000</v>
      </c>
      <c r="D36" s="4">
        <f>IFERROR(+VLOOKUP(B36,COMISIONES!A:E,5,FALSE),"0")*1</f>
        <v>1074255.4229483344</v>
      </c>
      <c r="E36" s="4"/>
      <c r="F36" s="4">
        <f t="shared" si="8"/>
        <v>1074255.4229483344</v>
      </c>
      <c r="G36" s="5">
        <f t="shared" si="1"/>
        <v>4.2570058369262309E-2</v>
      </c>
      <c r="H36" s="4">
        <f t="shared" si="4"/>
        <v>25782130.150760025</v>
      </c>
      <c r="I36" s="5">
        <f t="shared" si="2"/>
        <v>1.0216814008622954</v>
      </c>
      <c r="J36" s="4">
        <f t="shared" si="5"/>
        <v>1074255.4229483344</v>
      </c>
      <c r="K36" s="4">
        <f t="shared" si="3"/>
        <v>1050467.1555239854</v>
      </c>
      <c r="L36" s="63" cm="1">
        <f t="array" ref="L36">+_xlfn.IFS(I36&gt;114%,H36*0.02,I36&gt;109%,H36*0.015,I36&gt;104%,H36*0.0125,I36&gt;99%,H36*0.01,I36&lt;99%,H36*0)</f>
        <v>257821.30150760026</v>
      </c>
    </row>
    <row r="37" spans="1:12" ht="15.75" x14ac:dyDescent="0.25">
      <c r="A37" s="89"/>
      <c r="B37" s="36" t="s">
        <v>111</v>
      </c>
      <c r="C37" s="74">
        <v>122011750</v>
      </c>
      <c r="D37" s="4">
        <f>IFERROR(+VLOOKUP(B37,COMISIONES!A:E,5,FALSE),"0")*1</f>
        <v>-41520.785791812603</v>
      </c>
      <c r="E37" s="4"/>
      <c r="F37" s="4">
        <f t="shared" si="8"/>
        <v>-41520.785791812603</v>
      </c>
      <c r="G37" s="5">
        <f t="shared" si="1"/>
        <v>-3.4030153482605242E-4</v>
      </c>
      <c r="H37" s="4">
        <f t="shared" si="4"/>
        <v>-996498.85900350241</v>
      </c>
      <c r="I37" s="5">
        <f t="shared" si="2"/>
        <v>-8.1672368358252576E-3</v>
      </c>
      <c r="J37" s="4">
        <f t="shared" si="5"/>
        <v>-41520.785791812603</v>
      </c>
      <c r="K37" s="4">
        <f t="shared" si="3"/>
        <v>5306663.9472083393</v>
      </c>
      <c r="L37" s="63" cm="1">
        <f t="array" ref="L37">+_xlfn.IFS(I37&gt;114%,H37*0.0125,I37&gt;109%,H37*0.01,I37&gt;104%,H37*0.0075,I37&gt;99%,H37*0.005,I37&lt;99%,H37*0)</f>
        <v>0</v>
      </c>
    </row>
    <row r="38" spans="1:12" ht="15.75" x14ac:dyDescent="0.25">
      <c r="A38" s="89"/>
      <c r="B38" s="36" t="s">
        <v>217</v>
      </c>
      <c r="C38" s="74">
        <v>35700000</v>
      </c>
      <c r="D38" s="4">
        <f>IFERROR(+VLOOKUP(B38,COMISIONES!A:E,5,FALSE),"0")*1</f>
        <v>0</v>
      </c>
      <c r="E38" s="4"/>
      <c r="F38" s="4">
        <f t="shared" ref="F38" si="10">+D38-E38</f>
        <v>0</v>
      </c>
      <c r="G38" s="5">
        <f t="shared" si="1"/>
        <v>0</v>
      </c>
      <c r="H38" s="4">
        <f t="shared" si="4"/>
        <v>0</v>
      </c>
      <c r="I38" s="5">
        <f t="shared" si="2"/>
        <v>0</v>
      </c>
      <c r="J38" s="4">
        <f t="shared" si="5"/>
        <v>0</v>
      </c>
      <c r="K38" s="4">
        <f t="shared" si="3"/>
        <v>1552173.9130434783</v>
      </c>
      <c r="L38" s="63" cm="1">
        <f t="array" ref="L38">+_xlfn.IFS(I38&gt;109%,H38*0.015,I38&gt;104%,H38*0.0125,I38&gt;99%,H38*0.01,I38&lt;99%,H38*0)</f>
        <v>0</v>
      </c>
    </row>
    <row r="39" spans="1:12" ht="15.75" x14ac:dyDescent="0.25">
      <c r="A39" s="89"/>
      <c r="B39" s="36" t="s">
        <v>81</v>
      </c>
      <c r="C39" s="74">
        <v>36361427.739</v>
      </c>
      <c r="D39" s="4">
        <f>IFERROR(+VLOOKUP(B39,COMISIONES!A:E,5,FALSE),"0")*1</f>
        <v>2409808.6857678718</v>
      </c>
      <c r="E39" s="4"/>
      <c r="F39" s="4">
        <f t="shared" si="8"/>
        <v>2409808.6857678718</v>
      </c>
      <c r="G39" s="5">
        <f t="shared" si="1"/>
        <v>6.6273764139992641E-2</v>
      </c>
      <c r="H39" s="4">
        <f t="shared" si="4"/>
        <v>57835408.458428919</v>
      </c>
      <c r="I39" s="5">
        <f t="shared" si="2"/>
        <v>1.5905703393598232</v>
      </c>
      <c r="J39" s="4">
        <f t="shared" si="5"/>
        <v>2409808.6857678718</v>
      </c>
      <c r="K39" s="4">
        <f t="shared" si="3"/>
        <v>1476157.3501405271</v>
      </c>
      <c r="L39" s="63" cm="1">
        <f t="array" ref="L39">+_xlfn.IFS(I39&gt;114%,H39*0.02,I39&gt;109%,H39*0.015,I39&gt;104%,H39*0.0125,I39&gt;99%,H39*0.01,I39&lt;99%,H39*0)</f>
        <v>1156708.1691685785</v>
      </c>
    </row>
    <row r="40" spans="1:12" ht="16.5" thickBot="1" x14ac:dyDescent="0.3">
      <c r="A40" s="90"/>
      <c r="B40" s="3"/>
      <c r="C40" s="75">
        <v>509028982.85112572</v>
      </c>
      <c r="D40" s="67">
        <f>+SUM(D27:D39)</f>
        <v>10517854.794865096</v>
      </c>
      <c r="E40" s="65"/>
      <c r="F40" s="67">
        <f t="shared" si="8"/>
        <v>10517854.794865096</v>
      </c>
      <c r="G40" s="66">
        <f t="shared" si="1"/>
        <v>2.0662585332476488E-2</v>
      </c>
      <c r="H40" s="64">
        <f t="shared" si="4"/>
        <v>252428515.07676232</v>
      </c>
      <c r="I40" s="66">
        <f t="shared" si="2"/>
        <v>0.49590204797943577</v>
      </c>
      <c r="J40" s="64">
        <f t="shared" si="5"/>
        <v>10517854.794865096</v>
      </c>
      <c r="K40" s="67">
        <f t="shared" si="3"/>
        <v>21674396.872011334</v>
      </c>
      <c r="L40" s="68"/>
    </row>
    <row r="41" spans="1:12" ht="16.5" thickBot="1" x14ac:dyDescent="0.3">
      <c r="A41" s="79" t="s">
        <v>42</v>
      </c>
      <c r="B41" s="80"/>
      <c r="C41" s="81">
        <v>1379767147.0931361</v>
      </c>
      <c r="D41" s="81">
        <f>+D40+D26+D10+D16</f>
        <v>62468472.547462374</v>
      </c>
      <c r="E41" s="82"/>
      <c r="F41" s="81">
        <f>+D41-E41</f>
        <v>62468472.547462374</v>
      </c>
      <c r="G41" s="83">
        <f t="shared" si="1"/>
        <v>4.5274648464467077E-2</v>
      </c>
      <c r="H41" s="81">
        <f t="shared" si="4"/>
        <v>1499243341.139097</v>
      </c>
      <c r="I41" s="83">
        <f t="shared" si="2"/>
        <v>1.0865915631472098</v>
      </c>
      <c r="J41" s="81">
        <f t="shared" si="5"/>
        <v>62468472.547462374</v>
      </c>
      <c r="K41" s="81">
        <f t="shared" si="3"/>
        <v>57273855.415029287</v>
      </c>
      <c r="L41" s="84"/>
    </row>
    <row r="42" spans="1:12" ht="30" x14ac:dyDescent="0.25">
      <c r="B42" s="76" t="s">
        <v>30</v>
      </c>
      <c r="C42" s="76" t="s">
        <v>31</v>
      </c>
      <c r="D42" s="76" t="s">
        <v>32</v>
      </c>
      <c r="E42" s="76" t="s">
        <v>32</v>
      </c>
      <c r="F42" s="76" t="s">
        <v>33</v>
      </c>
      <c r="G42" s="77" t="s">
        <v>41</v>
      </c>
      <c r="H42" s="78" t="s">
        <v>45</v>
      </c>
      <c r="I42" s="77" t="s">
        <v>46</v>
      </c>
      <c r="J42" s="76" t="s">
        <v>35</v>
      </c>
      <c r="K42" s="76" t="s">
        <v>34</v>
      </c>
      <c r="L42" s="76" t="s">
        <v>53</v>
      </c>
    </row>
    <row r="43" spans="1:12" ht="15.75" x14ac:dyDescent="0.25">
      <c r="B43" s="36" t="s">
        <v>145</v>
      </c>
      <c r="C43" s="2">
        <v>40000000</v>
      </c>
      <c r="D43" s="4">
        <f>IFERROR(+VLOOKUP(B43,COMISIONES!A:E,5,FALSE),"0")*1</f>
        <v>0</v>
      </c>
      <c r="E43" s="4">
        <v>22657877.380181327</v>
      </c>
      <c r="F43" s="4">
        <f t="shared" ref="F43" si="11">+D43-E43</f>
        <v>-22657877.380181327</v>
      </c>
      <c r="G43" s="5">
        <f>+D43/C43</f>
        <v>0</v>
      </c>
      <c r="H43" s="4">
        <f t="shared" ref="H43" si="12">+D43/$N$3*$N$4</f>
        <v>0</v>
      </c>
      <c r="I43" s="5">
        <f>+H43/C43</f>
        <v>0</v>
      </c>
      <c r="J43" s="4">
        <f t="shared" ref="J43" si="13">+D43/$N$3</f>
        <v>0</v>
      </c>
      <c r="K43" s="4">
        <f>+(C43-D43)/$N$2</f>
        <v>1739130.4347826086</v>
      </c>
      <c r="L43" s="4" cm="1">
        <f t="array" ref="L43">+_xlfn.IFS(I43&gt;114%,H43*0.02,I43&gt;109%,H43*0.015,I43&gt;104%,H43*0.0125,I43&gt;99%,H43*0.01,I43&lt;99%,H43*0)</f>
        <v>0</v>
      </c>
    </row>
    <row r="44" spans="1:12" ht="15.75" x14ac:dyDescent="0.25">
      <c r="B44" s="36" t="s">
        <v>146</v>
      </c>
      <c r="C44" s="2">
        <v>30000000</v>
      </c>
      <c r="D44" s="4">
        <f>IFERROR(+VLOOKUP(B44,COMISIONES!A:E,5,FALSE),"0")*1</f>
        <v>0</v>
      </c>
      <c r="E44" s="4">
        <v>16555407.699089281</v>
      </c>
      <c r="F44" s="4">
        <f t="shared" ref="F44" si="14">+D44-E44</f>
        <v>-16555407.699089281</v>
      </c>
      <c r="G44" s="5">
        <f>+D44/C44</f>
        <v>0</v>
      </c>
      <c r="H44" s="4">
        <f t="shared" ref="H44" si="15">+D44/$N$3*$N$4</f>
        <v>0</v>
      </c>
      <c r="I44" s="5">
        <f>+H44/C44</f>
        <v>0</v>
      </c>
      <c r="J44" s="4">
        <f t="shared" ref="J44" si="16">+D44/$N$3</f>
        <v>0</v>
      </c>
      <c r="K44" s="4">
        <f>+(C44-D44)/$N$2</f>
        <v>1304347.8260869565</v>
      </c>
      <c r="L44" s="4" cm="1">
        <f t="array" ref="L44">+_xlfn.IFS(I44&gt;114%,H44*0.02,I44&gt;109%,H44*0.015,I44&gt;104%,H44*0.0125,I44&gt;99%,H44*0.01,I44&lt;99%,H44*0)</f>
        <v>0</v>
      </c>
    </row>
  </sheetData>
  <mergeCells count="4">
    <mergeCell ref="A2:A10"/>
    <mergeCell ref="A11:A16"/>
    <mergeCell ref="A17:A26"/>
    <mergeCell ref="A27:A40"/>
  </mergeCells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F10 L13 L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2"/>
  <sheetViews>
    <sheetView topLeftCell="A5" workbookViewId="0">
      <selection activeCell="A40" sqref="A40"/>
    </sheetView>
  </sheetViews>
  <sheetFormatPr baseColWidth="10" defaultRowHeight="15" x14ac:dyDescent="0.25"/>
  <cols>
    <col min="1" max="1" width="23.285156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5" t="s">
        <v>208</v>
      </c>
      <c r="C1" s="86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94" t="s">
        <v>37</v>
      </c>
      <c r="B2">
        <v>22</v>
      </c>
      <c r="C2" s="12" t="str">
        <f>+AVANCE!B11</f>
        <v>22 - ALMIRON NICOLAS</v>
      </c>
      <c r="D2" s="22">
        <f>H2/G2</f>
        <v>0.79166666666666663</v>
      </c>
      <c r="E2" s="13">
        <v>33</v>
      </c>
      <c r="F2" s="12">
        <f>+H2-E2</f>
        <v>24</v>
      </c>
      <c r="G2" s="13">
        <f>VLOOKUP(B2,'Base Cobertura'!$A:$C,3,FALSE)</f>
        <v>72</v>
      </c>
      <c r="H2" s="13">
        <f>VLOOKUP(B2,'Base Cobertura'!$A:$C,2,FALSE)</f>
        <v>57</v>
      </c>
      <c r="I2" s="17">
        <f>(+G2*$M$2)-H2</f>
        <v>4.1999999999999957</v>
      </c>
      <c r="J2" t="s">
        <v>55</v>
      </c>
      <c r="K2" t="s">
        <v>55</v>
      </c>
      <c r="L2" t="s">
        <v>31</v>
      </c>
      <c r="M2" s="1">
        <v>0.85</v>
      </c>
      <c r="P2" s="38">
        <v>12</v>
      </c>
      <c r="Q2" s="39" t="str">
        <f>VLOOKUP(P2,$B:$C,2,FALSE)</f>
        <v>12 - GUTIERREZ MARCOS DAVID</v>
      </c>
      <c r="R2" s="42" t="str">
        <f>VLOOKUP(P2,$B:$C,2,FALSE)</f>
        <v>12 - GUTIERREZ MARCOS DAVID</v>
      </c>
      <c r="S2" s="7" t="s">
        <v>49</v>
      </c>
      <c r="T2" s="7" t="s">
        <v>48</v>
      </c>
      <c r="U2" s="7" t="s">
        <v>116</v>
      </c>
    </row>
    <row r="3" spans="1:21" x14ac:dyDescent="0.25">
      <c r="A3" s="94"/>
      <c r="B3">
        <v>49</v>
      </c>
      <c r="C3" s="13" t="str">
        <f>+AVANCE!B12</f>
        <v>49 - ESCOBAR RAÚL</v>
      </c>
      <c r="D3" s="22">
        <f t="shared" ref="D3:D38" si="0">H3/G3</f>
        <v>0.42259414225941422</v>
      </c>
      <c r="E3" s="13">
        <v>1</v>
      </c>
      <c r="F3" s="12">
        <f t="shared" ref="F3:F38" si="1">+H3-E3</f>
        <v>100</v>
      </c>
      <c r="G3" s="13">
        <f>VLOOKUP(B3,'Base Cobertura'!$A:$C,3,FALSE)</f>
        <v>239</v>
      </c>
      <c r="H3" s="13">
        <f>VLOOKUP(B3,'Base Cobertura'!$A:$C,2,FALSE)</f>
        <v>101</v>
      </c>
      <c r="I3" s="17">
        <f t="shared" ref="I3:I38" si="2">(+G3*$M$2)-H3</f>
        <v>102.15</v>
      </c>
      <c r="J3" t="s">
        <v>56</v>
      </c>
      <c r="K3" t="s">
        <v>63</v>
      </c>
      <c r="P3" s="12" cm="1">
        <f t="array" ref="P3:T11">+_xlfn._xlws.FILTER('Base Cobertura'!E:I,'Base Cobertura'!E:E=COBERTURA!P2)</f>
        <v>12</v>
      </c>
      <c r="Q3" s="12">
        <v>12</v>
      </c>
      <c r="R3" s="12" t="str">
        <v>148 - ALMACEN</v>
      </c>
      <c r="S3" s="12">
        <v>66</v>
      </c>
      <c r="T3" s="12">
        <v>213</v>
      </c>
      <c r="U3" s="41">
        <f>+S3/T3</f>
        <v>0.30985915492957744</v>
      </c>
    </row>
    <row r="4" spans="1:21" x14ac:dyDescent="0.25">
      <c r="A4" s="94"/>
      <c r="B4">
        <v>20</v>
      </c>
      <c r="C4" s="13" t="str">
        <f>+AVANCE!B2</f>
        <v>20 - FLORES JAVIER</v>
      </c>
      <c r="D4" s="22">
        <f t="shared" si="0"/>
        <v>0.92920353982300885</v>
      </c>
      <c r="E4" s="13">
        <v>126</v>
      </c>
      <c r="F4" s="12">
        <f t="shared" si="1"/>
        <v>84</v>
      </c>
      <c r="G4" s="13">
        <f>VLOOKUP(B4,'Base Cobertura'!$A:$C,3,FALSE)</f>
        <v>226</v>
      </c>
      <c r="H4" s="13">
        <f>VLOOKUP(B4,'Base Cobertura'!$A:$C,2,FALSE)</f>
        <v>210</v>
      </c>
      <c r="I4" s="17">
        <f t="shared" si="2"/>
        <v>-17.900000000000006</v>
      </c>
      <c r="J4" t="s">
        <v>57</v>
      </c>
      <c r="K4" t="s">
        <v>64</v>
      </c>
      <c r="P4" s="13">
        <v>12</v>
      </c>
      <c r="Q4" s="13">
        <v>0</v>
      </c>
      <c r="R4" s="13" t="str">
        <v>148 - Articulos Sin Asociar Agrupacion</v>
      </c>
      <c r="S4" s="13">
        <v>58</v>
      </c>
      <c r="T4" s="13">
        <v>213</v>
      </c>
      <c r="U4" s="5">
        <f t="shared" ref="U4:U11" si="3">+S4/T4</f>
        <v>0.27230046948356806</v>
      </c>
    </row>
    <row r="5" spans="1:21" x14ac:dyDescent="0.25">
      <c r="A5" s="94"/>
      <c r="B5">
        <v>15</v>
      </c>
      <c r="C5" s="13" t="str">
        <f>+AVANCE!B13</f>
        <v>15 - GALARZA GERARDO</v>
      </c>
      <c r="D5" s="22">
        <f t="shared" si="0"/>
        <v>0.81538461538461537</v>
      </c>
      <c r="E5" s="13">
        <v>21</v>
      </c>
      <c r="F5" s="12">
        <f t="shared" si="1"/>
        <v>32</v>
      </c>
      <c r="G5" s="13">
        <f>VLOOKUP(B5,'Base Cobertura'!$A:$C,3,FALSE)</f>
        <v>65</v>
      </c>
      <c r="H5" s="13">
        <f>VLOOKUP(B5,'Base Cobertura'!$A:$C,2,FALSE)</f>
        <v>53</v>
      </c>
      <c r="I5" s="17">
        <f t="shared" si="2"/>
        <v>2.25</v>
      </c>
      <c r="K5" t="s">
        <v>64</v>
      </c>
      <c r="P5" s="13">
        <v>12</v>
      </c>
      <c r="Q5" s="13">
        <v>0</v>
      </c>
      <c r="R5" s="13" t="str">
        <v>148 - BEBIDAS</v>
      </c>
      <c r="S5" s="13">
        <v>90</v>
      </c>
      <c r="T5" s="13">
        <v>213</v>
      </c>
      <c r="U5" s="5">
        <f t="shared" si="3"/>
        <v>0.42253521126760563</v>
      </c>
    </row>
    <row r="6" spans="1:21" x14ac:dyDescent="0.25">
      <c r="A6" s="94"/>
      <c r="B6">
        <v>19</v>
      </c>
      <c r="C6" s="13" t="str">
        <f>+AVANCE!B3</f>
        <v>19 - GONZALEZ MARCELO</v>
      </c>
      <c r="D6" s="22">
        <f t="shared" si="0"/>
        <v>0.88405797101449279</v>
      </c>
      <c r="E6" s="13">
        <v>100</v>
      </c>
      <c r="F6" s="12">
        <f t="shared" si="1"/>
        <v>83</v>
      </c>
      <c r="G6" s="13">
        <f>VLOOKUP(B6,'Base Cobertura'!$A:$C,3,FALSE)</f>
        <v>207</v>
      </c>
      <c r="H6" s="13">
        <f>VLOOKUP(B6,'Base Cobertura'!$A:$C,2,FALSE)</f>
        <v>183</v>
      </c>
      <c r="I6" s="17">
        <f t="shared" si="2"/>
        <v>-7.0500000000000114</v>
      </c>
      <c r="J6" t="s">
        <v>58</v>
      </c>
      <c r="K6" t="s">
        <v>58</v>
      </c>
      <c r="P6" s="13">
        <v>12</v>
      </c>
      <c r="Q6" s="13">
        <v>0</v>
      </c>
      <c r="R6" s="13" t="str">
        <v>148 - CHOCOLATE</v>
      </c>
      <c r="S6" s="13">
        <v>51</v>
      </c>
      <c r="T6" s="13">
        <v>213</v>
      </c>
      <c r="U6" s="5">
        <f t="shared" si="3"/>
        <v>0.23943661971830985</v>
      </c>
    </row>
    <row r="7" spans="1:21" x14ac:dyDescent="0.25">
      <c r="A7" s="94"/>
      <c r="B7">
        <v>16</v>
      </c>
      <c r="C7" s="13" t="str">
        <f>+AVANCE!B4</f>
        <v>16 - GOMEZ MATÍAS</v>
      </c>
      <c r="D7" s="22">
        <f t="shared" si="0"/>
        <v>0.85858585858585856</v>
      </c>
      <c r="E7" s="13">
        <v>81</v>
      </c>
      <c r="F7" s="12">
        <f t="shared" si="1"/>
        <v>89</v>
      </c>
      <c r="G7" s="13">
        <f>VLOOKUP(B7,'Base Cobertura'!$A:$C,3,FALSE)</f>
        <v>198</v>
      </c>
      <c r="H7" s="13">
        <f>VLOOKUP(B7,'Base Cobertura'!$A:$C,2,FALSE)</f>
        <v>170</v>
      </c>
      <c r="I7" s="17">
        <f t="shared" si="2"/>
        <v>-1.7000000000000171</v>
      </c>
      <c r="J7" t="s">
        <v>58</v>
      </c>
      <c r="K7" t="s">
        <v>58</v>
      </c>
      <c r="P7" s="13">
        <v>12</v>
      </c>
      <c r="Q7" s="13">
        <v>0</v>
      </c>
      <c r="R7" s="13" t="str">
        <v>148 - GALLETITAS</v>
      </c>
      <c r="S7" s="13">
        <v>107</v>
      </c>
      <c r="T7" s="13">
        <v>213</v>
      </c>
      <c r="U7" s="5">
        <f t="shared" si="3"/>
        <v>0.50234741784037562</v>
      </c>
    </row>
    <row r="8" spans="1:21" x14ac:dyDescent="0.25">
      <c r="A8" s="94"/>
      <c r="B8">
        <v>12</v>
      </c>
      <c r="C8" s="13" t="str">
        <f>+AVANCE!B5</f>
        <v>12 - GUTIERREZ MARCOS DAVID</v>
      </c>
      <c r="D8" s="22">
        <f t="shared" si="0"/>
        <v>0.85915492957746475</v>
      </c>
      <c r="E8" s="13">
        <v>89</v>
      </c>
      <c r="F8" s="12">
        <f t="shared" si="1"/>
        <v>94</v>
      </c>
      <c r="G8" s="13">
        <f>VLOOKUP(B8,'Base Cobertura'!$A:$C,3,FALSE)</f>
        <v>213</v>
      </c>
      <c r="H8" s="13">
        <f>VLOOKUP(B8,'Base Cobertura'!$A:$C,2,FALSE)</f>
        <v>183</v>
      </c>
      <c r="I8" s="17">
        <f t="shared" si="2"/>
        <v>-1.9500000000000171</v>
      </c>
      <c r="J8" t="s">
        <v>55</v>
      </c>
      <c r="K8" t="s">
        <v>58</v>
      </c>
      <c r="N8" s="29"/>
      <c r="P8" s="13">
        <v>12</v>
      </c>
      <c r="Q8" s="13">
        <v>0</v>
      </c>
      <c r="R8" s="13" t="str">
        <v>148 - GOLOSINAS</v>
      </c>
      <c r="S8" s="13">
        <v>83</v>
      </c>
      <c r="T8" s="13">
        <v>213</v>
      </c>
      <c r="U8" s="5">
        <f t="shared" si="3"/>
        <v>0.38967136150234744</v>
      </c>
    </row>
    <row r="9" spans="1:21" x14ac:dyDescent="0.25">
      <c r="A9" s="94"/>
      <c r="B9">
        <v>11</v>
      </c>
      <c r="C9" s="30" t="str">
        <f>+AVANCE!B6</f>
        <v>11 - SANCHEZ RICARDO</v>
      </c>
      <c r="D9" s="22">
        <f>H9/G9</f>
        <v>0.7407407407407407</v>
      </c>
      <c r="E9" s="13">
        <v>92</v>
      </c>
      <c r="F9" s="12">
        <f t="shared" si="1"/>
        <v>28</v>
      </c>
      <c r="G9" s="13">
        <f>VLOOKUP(B9,'Base Cobertura'!$A:$C,3,FALSE)</f>
        <v>162</v>
      </c>
      <c r="H9" s="13">
        <f>VLOOKUP(B9,'Base Cobertura'!$A:$C,2,FALSE)</f>
        <v>120</v>
      </c>
      <c r="I9" s="17">
        <f t="shared" si="2"/>
        <v>17.699999999999989</v>
      </c>
      <c r="J9" t="s">
        <v>55</v>
      </c>
      <c r="K9" t="s">
        <v>65</v>
      </c>
      <c r="P9" s="13">
        <v>12</v>
      </c>
      <c r="Q9" s="13">
        <v>0</v>
      </c>
      <c r="R9" s="13" t="str">
        <v>148 - MASCOTAS</v>
      </c>
      <c r="S9" s="13">
        <v>22</v>
      </c>
      <c r="T9" s="13">
        <v>213</v>
      </c>
      <c r="U9" s="5">
        <f t="shared" si="3"/>
        <v>0.10328638497652583</v>
      </c>
    </row>
    <row r="10" spans="1:21" x14ac:dyDescent="0.25">
      <c r="A10" s="94"/>
      <c r="B10">
        <v>8</v>
      </c>
      <c r="C10" s="13" t="str">
        <f>+AVANCE!B7</f>
        <v>8 - RAVAROTTO EMANUEL</v>
      </c>
      <c r="D10" s="22">
        <f t="shared" si="0"/>
        <v>0.865979381443299</v>
      </c>
      <c r="E10" s="13">
        <v>64</v>
      </c>
      <c r="F10" s="12">
        <f t="shared" si="1"/>
        <v>104</v>
      </c>
      <c r="G10" s="13">
        <f>VLOOKUP(B10,'Base Cobertura'!$A:$C,3,FALSE)</f>
        <v>194</v>
      </c>
      <c r="H10" s="13">
        <f>VLOOKUP(B10,'Base Cobertura'!$A:$C,2,FALSE)</f>
        <v>168</v>
      </c>
      <c r="I10" s="17">
        <f t="shared" si="2"/>
        <v>-3.0999999999999943</v>
      </c>
      <c r="J10" t="s">
        <v>58</v>
      </c>
      <c r="K10" t="s">
        <v>58</v>
      </c>
      <c r="P10" s="13">
        <v>12</v>
      </c>
      <c r="Q10" s="13">
        <v>0</v>
      </c>
      <c r="R10" s="13" t="str">
        <v>148 - NO PERECEDEROS</v>
      </c>
      <c r="S10" s="13">
        <v>46</v>
      </c>
      <c r="T10" s="13">
        <v>213</v>
      </c>
      <c r="U10" s="5">
        <f t="shared" si="3"/>
        <v>0.215962441314554</v>
      </c>
    </row>
    <row r="11" spans="1:21" x14ac:dyDescent="0.25">
      <c r="A11" s="94"/>
      <c r="B11">
        <v>52</v>
      </c>
      <c r="C11" s="31" t="str">
        <f>+AVANCE!B14</f>
        <v>52 - MARSALL NICOLAS</v>
      </c>
      <c r="D11" s="32">
        <f t="shared" si="0"/>
        <v>0.57425742574257421</v>
      </c>
      <c r="E11" s="31">
        <v>19</v>
      </c>
      <c r="F11" s="33">
        <f t="shared" si="1"/>
        <v>39</v>
      </c>
      <c r="G11" s="13">
        <f>VLOOKUP(B11,'Base Cobertura'!$A:$C,3,FALSE)</f>
        <v>101</v>
      </c>
      <c r="H11" s="13">
        <f>VLOOKUP(B11,'Base Cobertura'!$A:$C,2,FALSE)</f>
        <v>58</v>
      </c>
      <c r="I11" s="34">
        <f t="shared" si="2"/>
        <v>27.849999999999994</v>
      </c>
      <c r="J11" t="s">
        <v>59</v>
      </c>
      <c r="P11" s="13">
        <v>12</v>
      </c>
      <c r="Q11" s="13">
        <v>0</v>
      </c>
      <c r="R11" s="13" t="str">
        <v>148 - PILAS</v>
      </c>
      <c r="S11" s="13">
        <v>51</v>
      </c>
      <c r="T11" s="13">
        <v>213</v>
      </c>
      <c r="U11" s="5">
        <f t="shared" si="3"/>
        <v>0.23943661971830985</v>
      </c>
    </row>
    <row r="12" spans="1:21" x14ac:dyDescent="0.25">
      <c r="A12" s="94"/>
      <c r="B12">
        <v>53</v>
      </c>
      <c r="C12" s="31" t="str">
        <f>+AVANCE!B15</f>
        <v>53 - SANDOVAL RODRIGO</v>
      </c>
      <c r="D12" s="32">
        <f t="shared" si="0"/>
        <v>0.64761904761904765</v>
      </c>
      <c r="E12" s="31">
        <v>24</v>
      </c>
      <c r="F12" s="33">
        <f t="shared" si="1"/>
        <v>44</v>
      </c>
      <c r="G12" s="13">
        <f>VLOOKUP(B12,'Base Cobertura'!$A:$C,3,FALSE)</f>
        <v>105</v>
      </c>
      <c r="H12" s="13">
        <f>VLOOKUP(B12,'Base Cobertura'!$A:$C,2,FALSE)</f>
        <v>68</v>
      </c>
      <c r="I12" s="34">
        <f t="shared" si="2"/>
        <v>21.25</v>
      </c>
      <c r="J12" t="s">
        <v>59</v>
      </c>
    </row>
    <row r="13" spans="1:21" x14ac:dyDescent="0.25">
      <c r="A13" s="94"/>
      <c r="B13">
        <v>5</v>
      </c>
      <c r="C13" s="13" t="str">
        <f>+AVANCE!B8</f>
        <v>5 - SCHELOVER RAUL</v>
      </c>
      <c r="D13" s="22">
        <f t="shared" si="0"/>
        <v>0.90384615384615385</v>
      </c>
      <c r="E13" s="13">
        <v>144</v>
      </c>
      <c r="F13" s="12">
        <f t="shared" si="1"/>
        <v>91</v>
      </c>
      <c r="G13" s="13">
        <f>VLOOKUP(B13,'Base Cobertura'!$A:$C,3,FALSE)</f>
        <v>260</v>
      </c>
      <c r="H13" s="13">
        <f>VLOOKUP(B13,'Base Cobertura'!$A:$C,2,FALSE)</f>
        <v>235</v>
      </c>
      <c r="I13" s="17">
        <f t="shared" si="2"/>
        <v>-14</v>
      </c>
      <c r="J13" t="s">
        <v>57</v>
      </c>
      <c r="K13" t="s">
        <v>64</v>
      </c>
    </row>
    <row r="14" spans="1:21" ht="15.75" thickBot="1" x14ac:dyDescent="0.3">
      <c r="A14" s="94"/>
      <c r="B14">
        <v>4</v>
      </c>
      <c r="C14" s="10" t="str">
        <f>+AVANCE!B9</f>
        <v>4 - TUR SPRINGER FERNANDO</v>
      </c>
      <c r="D14" s="22">
        <f t="shared" si="0"/>
        <v>0.87912087912087911</v>
      </c>
      <c r="E14" s="13">
        <v>85</v>
      </c>
      <c r="F14" s="12">
        <f t="shared" si="1"/>
        <v>75</v>
      </c>
      <c r="G14" s="13">
        <f>VLOOKUP(B14,'Base Cobertura'!$A:$C,3,FALSE)</f>
        <v>182</v>
      </c>
      <c r="H14" s="13">
        <f>VLOOKUP(B14,'Base Cobertura'!$A:$C,2,FALSE)</f>
        <v>160</v>
      </c>
      <c r="I14" s="17">
        <f t="shared" si="2"/>
        <v>-5.3000000000000114</v>
      </c>
      <c r="J14" t="s">
        <v>55</v>
      </c>
      <c r="K14" t="s">
        <v>64</v>
      </c>
    </row>
    <row r="15" spans="1:21" ht="15.75" thickBot="1" x14ac:dyDescent="0.3">
      <c r="A15" s="95"/>
      <c r="C15" s="9"/>
      <c r="D15" s="23"/>
      <c r="E15" s="14"/>
      <c r="F15" s="16">
        <f>+SUM(F2:F14)</f>
        <v>887</v>
      </c>
      <c r="G15" s="8">
        <f>+SUM(G2:G14)</f>
        <v>2224</v>
      </c>
      <c r="H15" s="8">
        <f>+SUM(H2:H14)</f>
        <v>1766</v>
      </c>
      <c r="I15" s="8"/>
    </row>
    <row r="16" spans="1:21" x14ac:dyDescent="0.25">
      <c r="A16" s="96" t="s">
        <v>38</v>
      </c>
      <c r="B16">
        <v>31</v>
      </c>
      <c r="C16" s="12" t="str">
        <f>+AVANCE!B22</f>
        <v>31 - BARTSCHAT EMILIANO NAHUEL</v>
      </c>
      <c r="D16" s="22">
        <f t="shared" si="0"/>
        <v>0.87577639751552794</v>
      </c>
      <c r="E16" s="13">
        <v>90</v>
      </c>
      <c r="F16" s="12">
        <f t="shared" si="1"/>
        <v>51</v>
      </c>
      <c r="G16" s="13">
        <f>VLOOKUP(B16,'Base Cobertura'!$A:$C,3,FALSE)</f>
        <v>161</v>
      </c>
      <c r="H16" s="13">
        <f>VLOOKUP(B16,'Base Cobertura'!$A:$C,2,FALSE)</f>
        <v>141</v>
      </c>
      <c r="I16" s="17">
        <f t="shared" si="2"/>
        <v>-4.1500000000000057</v>
      </c>
      <c r="J16" t="s">
        <v>55</v>
      </c>
      <c r="K16" t="s">
        <v>55</v>
      </c>
    </row>
    <row r="17" spans="1:11" x14ac:dyDescent="0.25">
      <c r="A17" s="94"/>
      <c r="B17">
        <v>54</v>
      </c>
      <c r="C17" s="13" t="str">
        <f>+AVANCE!B24</f>
        <v>54 - CAÑETE DIEGO</v>
      </c>
      <c r="D17" s="22">
        <f t="shared" si="0"/>
        <v>0.74752475247524752</v>
      </c>
      <c r="E17" s="13">
        <v>92</v>
      </c>
      <c r="F17" s="12">
        <f t="shared" si="1"/>
        <v>59</v>
      </c>
      <c r="G17" s="13">
        <f>VLOOKUP(B17,'Base Cobertura'!$A:$C,3,FALSE)</f>
        <v>202</v>
      </c>
      <c r="H17" s="13">
        <f>VLOOKUP(B17,'Base Cobertura'!$A:$C,2,FALSE)</f>
        <v>151</v>
      </c>
      <c r="I17" s="17">
        <f t="shared" si="2"/>
        <v>20.699999999999989</v>
      </c>
      <c r="J17" t="s">
        <v>55</v>
      </c>
      <c r="K17" t="s">
        <v>63</v>
      </c>
    </row>
    <row r="18" spans="1:11" x14ac:dyDescent="0.25">
      <c r="A18" s="94"/>
      <c r="B18">
        <v>21</v>
      </c>
      <c r="C18" s="13" t="str">
        <f>+AVANCE!B20</f>
        <v>21 - CATAN MATIAS</v>
      </c>
      <c r="D18" s="22">
        <f t="shared" si="0"/>
        <v>0.88165680473372776</v>
      </c>
      <c r="E18" s="13">
        <v>88</v>
      </c>
      <c r="F18" s="12">
        <f t="shared" si="1"/>
        <v>61</v>
      </c>
      <c r="G18" s="13">
        <f>VLOOKUP(B18,'Base Cobertura'!$A:$C,3,FALSE)</f>
        <v>169</v>
      </c>
      <c r="H18" s="13">
        <f>VLOOKUP(B18,'Base Cobertura'!$A:$C,2,FALSE)</f>
        <v>149</v>
      </c>
      <c r="I18" s="17">
        <f t="shared" si="2"/>
        <v>-5.3499999999999943</v>
      </c>
      <c r="J18" t="s">
        <v>58</v>
      </c>
      <c r="K18" t="s">
        <v>55</v>
      </c>
    </row>
    <row r="19" spans="1:11" x14ac:dyDescent="0.25">
      <c r="A19" s="94"/>
      <c r="B19">
        <v>23</v>
      </c>
      <c r="C19" s="13" t="str">
        <f>+AVANCE!B21</f>
        <v>23 - DELGADO JOSÉ</v>
      </c>
      <c r="D19" s="22">
        <f t="shared" si="0"/>
        <v>0.86875000000000002</v>
      </c>
      <c r="E19" s="13">
        <v>95</v>
      </c>
      <c r="F19" s="12">
        <f t="shared" si="1"/>
        <v>44</v>
      </c>
      <c r="G19" s="13">
        <f>VLOOKUP(B19,'Base Cobertura'!$A:$C,3,FALSE)</f>
        <v>160</v>
      </c>
      <c r="H19" s="13">
        <f>VLOOKUP(B19,'Base Cobertura'!$A:$C,2,FALSE)</f>
        <v>139</v>
      </c>
      <c r="I19" s="17">
        <f t="shared" si="2"/>
        <v>-3</v>
      </c>
      <c r="J19" t="s">
        <v>58</v>
      </c>
      <c r="K19" t="s">
        <v>64</v>
      </c>
    </row>
    <row r="20" spans="1:11" x14ac:dyDescent="0.25">
      <c r="A20" s="94"/>
      <c r="B20">
        <v>18</v>
      </c>
      <c r="C20" s="13" t="str">
        <f>+AVANCE!B19</f>
        <v>18 - HERRERA PABLO</v>
      </c>
      <c r="D20" s="22">
        <f t="shared" si="0"/>
        <v>0.90340909090909094</v>
      </c>
      <c r="E20" s="13">
        <v>83</v>
      </c>
      <c r="F20" s="12">
        <f t="shared" si="1"/>
        <v>76</v>
      </c>
      <c r="G20" s="13">
        <f>VLOOKUP(B20,'Base Cobertura'!$A:$C,3,FALSE)</f>
        <v>176</v>
      </c>
      <c r="H20" s="13">
        <f>VLOOKUP(B20,'Base Cobertura'!$A:$C,2,FALSE)</f>
        <v>159</v>
      </c>
      <c r="I20" s="17">
        <f t="shared" si="2"/>
        <v>-9.4000000000000057</v>
      </c>
      <c r="J20" t="s">
        <v>55</v>
      </c>
      <c r="K20" t="s">
        <v>55</v>
      </c>
    </row>
    <row r="21" spans="1:11" x14ac:dyDescent="0.25">
      <c r="A21" s="94"/>
      <c r="B21">
        <v>44</v>
      </c>
      <c r="C21" s="13" t="str">
        <f>+AVANCE!B23</f>
        <v>44 - MONGES CESAR LUIS</v>
      </c>
      <c r="D21" s="22">
        <f t="shared" si="0"/>
        <v>0.85798816568047342</v>
      </c>
      <c r="E21" s="13">
        <v>64</v>
      </c>
      <c r="F21" s="12">
        <f t="shared" si="1"/>
        <v>81</v>
      </c>
      <c r="G21" s="13">
        <f>VLOOKUP(B21,'Base Cobertura'!$A:$C,3,FALSE)</f>
        <v>169</v>
      </c>
      <c r="H21" s="13">
        <f>VLOOKUP(B21,'Base Cobertura'!$A:$C,2,FALSE)</f>
        <v>145</v>
      </c>
      <c r="I21" s="17">
        <f t="shared" si="2"/>
        <v>-1.3499999999999943</v>
      </c>
      <c r="J21" t="s">
        <v>58</v>
      </c>
      <c r="K21" t="s">
        <v>64</v>
      </c>
    </row>
    <row r="22" spans="1:11" x14ac:dyDescent="0.25">
      <c r="A22" s="94"/>
      <c r="B22">
        <v>56</v>
      </c>
      <c r="C22" s="13" t="str">
        <f>+AVANCE!B25</f>
        <v>56 - JUAN ANDRES SANCHEZ</v>
      </c>
      <c r="D22" s="22">
        <f t="shared" si="0"/>
        <v>0.51515151515151514</v>
      </c>
      <c r="E22" s="13">
        <v>66</v>
      </c>
      <c r="F22" s="12">
        <f t="shared" si="1"/>
        <v>36</v>
      </c>
      <c r="G22" s="13">
        <f>VLOOKUP(B22,'Base Cobertura'!$A:$C,3,FALSE)</f>
        <v>198</v>
      </c>
      <c r="H22" s="13">
        <f>VLOOKUP(B22,'Base Cobertura'!$A:$C,2,FALSE)</f>
        <v>102</v>
      </c>
      <c r="I22" s="17">
        <f t="shared" si="2"/>
        <v>66.299999999999983</v>
      </c>
      <c r="J22" t="s">
        <v>58</v>
      </c>
      <c r="K22" t="s">
        <v>66</v>
      </c>
    </row>
    <row r="23" spans="1:11" x14ac:dyDescent="0.25">
      <c r="A23" s="94"/>
      <c r="B23">
        <v>2</v>
      </c>
      <c r="C23" s="13" t="str">
        <f>+AVANCE!B17</f>
        <v>2 - OJEDA NORBERTO</v>
      </c>
      <c r="D23" s="22">
        <f t="shared" si="0"/>
        <v>0.88405797101449279</v>
      </c>
      <c r="E23" s="13">
        <v>70</v>
      </c>
      <c r="F23" s="12">
        <f t="shared" si="1"/>
        <v>52</v>
      </c>
      <c r="G23" s="13">
        <f>VLOOKUP(B23,'Base Cobertura'!$A:$C,3,FALSE)</f>
        <v>138</v>
      </c>
      <c r="H23" s="13">
        <f>VLOOKUP(B23,'Base Cobertura'!$A:$C,2,FALSE)</f>
        <v>122</v>
      </c>
      <c r="I23" s="17">
        <f t="shared" si="2"/>
        <v>-4.7000000000000028</v>
      </c>
      <c r="J23" t="s">
        <v>58</v>
      </c>
      <c r="K23" t="s">
        <v>67</v>
      </c>
    </row>
    <row r="24" spans="1:11" ht="15.75" thickBot="1" x14ac:dyDescent="0.3">
      <c r="A24" s="94"/>
      <c r="B24">
        <v>3</v>
      </c>
      <c r="C24" s="10" t="str">
        <f>+AVANCE!B18</f>
        <v>3 - VIDAL NAHUEL</v>
      </c>
      <c r="D24" s="22">
        <f t="shared" si="0"/>
        <v>0.91176470588235292</v>
      </c>
      <c r="E24" s="13">
        <v>79</v>
      </c>
      <c r="F24" s="12">
        <f t="shared" si="1"/>
        <v>76</v>
      </c>
      <c r="G24" s="13">
        <f>VLOOKUP(B24,'Base Cobertura'!$A:$C,3,FALSE)</f>
        <v>170</v>
      </c>
      <c r="H24" s="13">
        <f>VLOOKUP(B24,'Base Cobertura'!$A:$C,2,FALSE)</f>
        <v>155</v>
      </c>
      <c r="I24" s="17">
        <f t="shared" si="2"/>
        <v>-10.5</v>
      </c>
      <c r="J24" t="s">
        <v>60</v>
      </c>
      <c r="K24" t="s">
        <v>64</v>
      </c>
    </row>
    <row r="25" spans="1:11" ht="15.75" thickBot="1" x14ac:dyDescent="0.3">
      <c r="A25" s="95"/>
      <c r="C25" s="9"/>
      <c r="D25" s="23"/>
      <c r="E25" s="14"/>
      <c r="F25" s="16">
        <f>+SUM(F16:F24)</f>
        <v>536</v>
      </c>
      <c r="G25" s="8">
        <f>+SUM(G16:G24)</f>
        <v>1543</v>
      </c>
      <c r="H25" s="8">
        <f>+SUM(H16:H24)</f>
        <v>1263</v>
      </c>
      <c r="I25" s="8"/>
    </row>
    <row r="26" spans="1:11" x14ac:dyDescent="0.25">
      <c r="A26" s="96" t="s">
        <v>227</v>
      </c>
      <c r="B26">
        <v>32</v>
      </c>
      <c r="C26" s="12" t="str">
        <f>+AVANCE!B27</f>
        <v>32 - CABRAL GONZALO</v>
      </c>
      <c r="D26" s="22">
        <f t="shared" si="0"/>
        <v>0.8928571428571429</v>
      </c>
      <c r="E26" s="13">
        <v>20</v>
      </c>
      <c r="F26" s="12">
        <f>+H26-E26</f>
        <v>30</v>
      </c>
      <c r="G26" s="13">
        <f>VLOOKUP(B26,'Base Cobertura'!$A:$C,3,FALSE)</f>
        <v>56</v>
      </c>
      <c r="H26" s="13">
        <f>VLOOKUP(B26,'Base Cobertura'!$A:$C,2,FALSE)</f>
        <v>50</v>
      </c>
      <c r="I26" s="17">
        <f t="shared" si="2"/>
        <v>-2.3999999999999986</v>
      </c>
      <c r="J26" t="s">
        <v>55</v>
      </c>
      <c r="K26" t="s">
        <v>67</v>
      </c>
    </row>
    <row r="27" spans="1:11" x14ac:dyDescent="0.25">
      <c r="A27" s="94"/>
      <c r="B27">
        <v>36</v>
      </c>
      <c r="C27" s="12" t="str">
        <f>+AVANCE!B28</f>
        <v>36 - COSARINSKI DIEGO</v>
      </c>
      <c r="D27" s="22">
        <f t="shared" si="0"/>
        <v>0.60897435897435892</v>
      </c>
      <c r="E27" s="13">
        <v>68</v>
      </c>
      <c r="F27" s="12">
        <f t="shared" si="1"/>
        <v>27</v>
      </c>
      <c r="G27" s="13">
        <f>VLOOKUP(B27,'Base Cobertura'!$A:$C,3,FALSE)</f>
        <v>156</v>
      </c>
      <c r="H27" s="13">
        <f>VLOOKUP(B27,'Base Cobertura'!$A:$C,2,FALSE)</f>
        <v>95</v>
      </c>
      <c r="I27" s="17">
        <f t="shared" si="2"/>
        <v>37.599999999999994</v>
      </c>
      <c r="J27" t="s">
        <v>58</v>
      </c>
      <c r="K27" t="s">
        <v>67</v>
      </c>
    </row>
    <row r="28" spans="1:11" x14ac:dyDescent="0.25">
      <c r="A28" s="94"/>
      <c r="B28">
        <v>9</v>
      </c>
      <c r="C28" s="12" t="str">
        <f>+AVANCE!B29</f>
        <v>9 - ESTIGARRIBIA DAVID</v>
      </c>
      <c r="D28" s="22">
        <f t="shared" si="0"/>
        <v>0.86335403726708071</v>
      </c>
      <c r="E28" s="13">
        <v>80</v>
      </c>
      <c r="F28" s="12">
        <f t="shared" si="1"/>
        <v>59</v>
      </c>
      <c r="G28" s="13">
        <f>VLOOKUP(B28,'Base Cobertura'!$A:$C,3,FALSE)</f>
        <v>161</v>
      </c>
      <c r="H28" s="13">
        <f>VLOOKUP(B28,'Base Cobertura'!$A:$C,2,FALSE)</f>
        <v>139</v>
      </c>
      <c r="I28" s="17">
        <f t="shared" si="2"/>
        <v>-2.1500000000000057</v>
      </c>
      <c r="J28" t="s">
        <v>58</v>
      </c>
      <c r="K28" t="s">
        <v>55</v>
      </c>
    </row>
    <row r="29" spans="1:11" x14ac:dyDescent="0.25">
      <c r="A29" s="94"/>
      <c r="B29">
        <v>40</v>
      </c>
      <c r="C29" s="12" t="str">
        <f>+AVANCE!B30</f>
        <v>40 - IBARROLA JORGE</v>
      </c>
      <c r="D29" s="22">
        <f t="shared" si="0"/>
        <v>0.50602409638554213</v>
      </c>
      <c r="E29" s="13">
        <v>68</v>
      </c>
      <c r="F29" s="12">
        <f t="shared" si="1"/>
        <v>58</v>
      </c>
      <c r="G29" s="13">
        <f>VLOOKUP(B29,'Base Cobertura'!$A:$C,3,FALSE)</f>
        <v>249</v>
      </c>
      <c r="H29" s="13">
        <f>VLOOKUP(B29,'Base Cobertura'!$A:$C,2,FALSE)</f>
        <v>126</v>
      </c>
      <c r="I29" s="17">
        <f t="shared" si="2"/>
        <v>85.65</v>
      </c>
      <c r="J29" t="s">
        <v>58</v>
      </c>
      <c r="K29" t="s">
        <v>67</v>
      </c>
    </row>
    <row r="30" spans="1:11" x14ac:dyDescent="0.25">
      <c r="A30" s="94"/>
      <c r="B30">
        <v>27</v>
      </c>
      <c r="C30" s="12" t="str">
        <f>+AVANCE!B31</f>
        <v>27 - GOMEZ ADRIÁN</v>
      </c>
      <c r="D30" s="22">
        <f t="shared" si="0"/>
        <v>0.8928571428571429</v>
      </c>
      <c r="E30" s="13">
        <v>73</v>
      </c>
      <c r="F30" s="12">
        <f t="shared" si="1"/>
        <v>52</v>
      </c>
      <c r="G30" s="13">
        <f>VLOOKUP(B30,'Base Cobertura'!$A:$C,3,FALSE)</f>
        <v>140</v>
      </c>
      <c r="H30" s="13">
        <f>VLOOKUP(B30,'Base Cobertura'!$A:$C,2,FALSE)</f>
        <v>125</v>
      </c>
      <c r="I30" s="17">
        <f t="shared" si="2"/>
        <v>-6</v>
      </c>
      <c r="J30" t="s">
        <v>55</v>
      </c>
      <c r="K30" t="s">
        <v>67</v>
      </c>
    </row>
    <row r="31" spans="1:11" x14ac:dyDescent="0.25">
      <c r="A31" s="94"/>
      <c r="B31">
        <v>10</v>
      </c>
      <c r="C31" s="12" t="str">
        <f>+AVANCE!B32</f>
        <v>10 - BRITEZ EMMANUEL</v>
      </c>
      <c r="D31" s="22">
        <f t="shared" si="0"/>
        <v>0.72928176795580113</v>
      </c>
      <c r="E31" s="13">
        <v>40</v>
      </c>
      <c r="F31" s="12">
        <f t="shared" si="1"/>
        <v>92</v>
      </c>
      <c r="G31" s="13">
        <f>VLOOKUP(B31,'Base Cobertura'!$A:$C,3,FALSE)</f>
        <v>181</v>
      </c>
      <c r="H31" s="13">
        <f>VLOOKUP(B31,'Base Cobertura'!$A:$C,2,FALSE)</f>
        <v>132</v>
      </c>
      <c r="I31" s="17">
        <f t="shared" si="2"/>
        <v>21.849999999999994</v>
      </c>
      <c r="J31" t="s">
        <v>58</v>
      </c>
      <c r="K31" t="s">
        <v>67</v>
      </c>
    </row>
    <row r="32" spans="1:11" x14ac:dyDescent="0.25">
      <c r="A32" s="94"/>
      <c r="B32">
        <v>28</v>
      </c>
      <c r="C32" s="12" t="str">
        <f>+AVANCE!B33</f>
        <v>28 - GOMEZ PABLO</v>
      </c>
      <c r="D32" s="22">
        <f t="shared" si="0"/>
        <v>0.875</v>
      </c>
      <c r="E32" s="13">
        <v>67</v>
      </c>
      <c r="F32" s="12">
        <f t="shared" si="1"/>
        <v>80</v>
      </c>
      <c r="G32" s="13">
        <f>VLOOKUP(B32,'Base Cobertura'!$A:$C,3,FALSE)</f>
        <v>168</v>
      </c>
      <c r="H32" s="13">
        <f>VLOOKUP(B32,'Base Cobertura'!$A:$C,2,FALSE)</f>
        <v>147</v>
      </c>
      <c r="I32" s="17">
        <f t="shared" si="2"/>
        <v>-4.2000000000000171</v>
      </c>
      <c r="J32" t="s">
        <v>58</v>
      </c>
      <c r="K32" t="s">
        <v>67</v>
      </c>
    </row>
    <row r="33" spans="1:12" x14ac:dyDescent="0.25">
      <c r="A33" s="94"/>
      <c r="B33">
        <v>33</v>
      </c>
      <c r="C33" s="12" t="str">
        <f>+AVANCE!B34</f>
        <v>33 - NICOLAS AZULA</v>
      </c>
      <c r="D33" s="22">
        <f t="shared" si="0"/>
        <v>0.79069767441860461</v>
      </c>
      <c r="E33" s="13">
        <v>66</v>
      </c>
      <c r="F33" s="12">
        <f t="shared" si="1"/>
        <v>70</v>
      </c>
      <c r="G33" s="13">
        <f>VLOOKUP(B33,'Base Cobertura'!$A:$C,3,FALSE)</f>
        <v>172</v>
      </c>
      <c r="H33" s="13">
        <f>VLOOKUP(B33,'Base Cobertura'!$A:$C,2,FALSE)</f>
        <v>136</v>
      </c>
      <c r="I33" s="17">
        <f t="shared" si="2"/>
        <v>10.199999999999989</v>
      </c>
      <c r="J33" t="s">
        <v>58</v>
      </c>
      <c r="K33" t="s">
        <v>67</v>
      </c>
    </row>
    <row r="34" spans="1:12" x14ac:dyDescent="0.25">
      <c r="A34" s="94"/>
      <c r="B34">
        <v>37</v>
      </c>
      <c r="C34" s="12" t="str">
        <f>+AVANCE!B35</f>
        <v>37 - PEREZ ESQUIVEL BRUNO NICOLAS</v>
      </c>
      <c r="D34" s="22">
        <f t="shared" si="0"/>
        <v>0.72340425531914898</v>
      </c>
      <c r="E34" s="13">
        <v>82</v>
      </c>
      <c r="F34" s="12">
        <f t="shared" si="1"/>
        <v>20</v>
      </c>
      <c r="G34" s="13">
        <f>VLOOKUP(B34,'Base Cobertura'!$A:$C,3,FALSE)</f>
        <v>141</v>
      </c>
      <c r="H34" s="13">
        <f>VLOOKUP(B34,'Base Cobertura'!$A:$C,2,FALSE)</f>
        <v>102</v>
      </c>
      <c r="I34" s="17">
        <f t="shared" si="2"/>
        <v>17.849999999999994</v>
      </c>
      <c r="J34" t="s">
        <v>55</v>
      </c>
      <c r="K34" t="s">
        <v>67</v>
      </c>
    </row>
    <row r="35" spans="1:12" x14ac:dyDescent="0.25">
      <c r="A35" s="94"/>
      <c r="B35">
        <v>24</v>
      </c>
      <c r="C35" s="12" t="str">
        <f>+AVANCE!B36</f>
        <v>24 - MARTINEZ JORGE NICOLAS</v>
      </c>
      <c r="D35" s="22">
        <f t="shared" si="0"/>
        <v>0.7247191011235955</v>
      </c>
      <c r="E35" s="13">
        <v>81</v>
      </c>
      <c r="F35" s="12">
        <f t="shared" si="1"/>
        <v>48</v>
      </c>
      <c r="G35" s="13">
        <f>VLOOKUP(B35,'Base Cobertura'!$A:$C,3,FALSE)</f>
        <v>178</v>
      </c>
      <c r="H35" s="13">
        <f>VLOOKUP(B35,'Base Cobertura'!$A:$C,2,FALSE)</f>
        <v>129</v>
      </c>
      <c r="I35" s="17">
        <f t="shared" si="2"/>
        <v>22.299999999999983</v>
      </c>
      <c r="J35" t="s">
        <v>58</v>
      </c>
      <c r="K35" t="s">
        <v>67</v>
      </c>
    </row>
    <row r="36" spans="1:12" x14ac:dyDescent="0.25">
      <c r="A36" s="94"/>
      <c r="B36">
        <v>7</v>
      </c>
      <c r="C36" s="12" t="str">
        <f>+AVANCE!B37</f>
        <v>7 - VALLEJOS EDUARDO</v>
      </c>
      <c r="D36" s="22">
        <f t="shared" si="0"/>
        <v>0.25663716814159293</v>
      </c>
      <c r="E36" s="13">
        <v>0</v>
      </c>
      <c r="F36" s="12">
        <f t="shared" si="1"/>
        <v>29</v>
      </c>
      <c r="G36" s="13">
        <f>VLOOKUP(B36,'Base Cobertura'!$A:$C,3,FALSE)</f>
        <v>113</v>
      </c>
      <c r="H36" s="13">
        <f>VLOOKUP(B36,'Base Cobertura'!$A:$C,2,FALSE)</f>
        <v>29</v>
      </c>
      <c r="I36" s="17">
        <f t="shared" si="2"/>
        <v>67.05</v>
      </c>
      <c r="J36" t="s">
        <v>58</v>
      </c>
    </row>
    <row r="37" spans="1:12" x14ac:dyDescent="0.25">
      <c r="A37" s="94"/>
      <c r="B37">
        <v>57</v>
      </c>
      <c r="C37" s="12" t="str">
        <f>+AVANCE!B38</f>
        <v>57 - ROUBINEAU SEBASTIAN</v>
      </c>
      <c r="D37" s="22">
        <f t="shared" si="0"/>
        <v>0.22330097087378642</v>
      </c>
      <c r="E37" s="13">
        <v>17</v>
      </c>
      <c r="F37" s="12">
        <f t="shared" si="1"/>
        <v>6</v>
      </c>
      <c r="G37" s="13">
        <f>VLOOKUP(B37,'Base Cobertura'!$A:$C,3,FALSE)</f>
        <v>103</v>
      </c>
      <c r="H37" s="13">
        <f>VLOOKUP(B37,'Base Cobertura'!$A:$C,2,FALSE)</f>
        <v>23</v>
      </c>
      <c r="I37" s="17">
        <f t="shared" si="2"/>
        <v>64.55</v>
      </c>
      <c r="J37" t="s">
        <v>59</v>
      </c>
    </row>
    <row r="38" spans="1:12" ht="15.75" thickBot="1" x14ac:dyDescent="0.3">
      <c r="A38" s="94"/>
      <c r="B38">
        <v>1</v>
      </c>
      <c r="C38" s="12" t="str">
        <f>+AVANCE!B39</f>
        <v>1 - VERA ERNESTO</v>
      </c>
      <c r="D38" s="22">
        <f t="shared" si="0"/>
        <v>0.88976377952755903</v>
      </c>
      <c r="E38" s="13">
        <v>60</v>
      </c>
      <c r="F38" s="12">
        <f t="shared" si="1"/>
        <v>53</v>
      </c>
      <c r="G38" s="13">
        <f>VLOOKUP(B38,'Base Cobertura'!$A:$C,3,FALSE)</f>
        <v>127</v>
      </c>
      <c r="H38" s="13">
        <f>VLOOKUP(B38,'Base Cobertura'!$A:$C,2,FALSE)</f>
        <v>113</v>
      </c>
      <c r="I38" s="17">
        <f t="shared" si="2"/>
        <v>-5.0499999999999972</v>
      </c>
      <c r="J38" t="s">
        <v>55</v>
      </c>
      <c r="K38" t="s">
        <v>55</v>
      </c>
    </row>
    <row r="39" spans="1:12" ht="15.75" thickBot="1" x14ac:dyDescent="0.3">
      <c r="A39" s="95"/>
      <c r="C39" s="9"/>
      <c r="D39" s="23"/>
      <c r="E39" s="14"/>
      <c r="F39" s="8">
        <f>+SUM(F26:F38)</f>
        <v>624</v>
      </c>
      <c r="G39" s="8">
        <f>+SUM(G26:G38)</f>
        <v>1945</v>
      </c>
      <c r="H39" s="8">
        <f>+SUM(H26:H38)</f>
        <v>1346</v>
      </c>
      <c r="I39" s="8"/>
      <c r="L39" t="s">
        <v>68</v>
      </c>
    </row>
    <row r="40" spans="1:12" x14ac:dyDescent="0.25">
      <c r="A40" s="11" t="s">
        <v>42</v>
      </c>
      <c r="C40" s="11"/>
      <c r="D40" s="24"/>
      <c r="E40" s="6"/>
      <c r="F40" s="8">
        <f>+SUM(F39+F25+F15)</f>
        <v>2047</v>
      </c>
      <c r="G40" s="8">
        <f>+G15+G25+G39</f>
        <v>5712</v>
      </c>
      <c r="H40" s="8">
        <f>+H15+H25+H39</f>
        <v>4375</v>
      </c>
      <c r="I40" s="8"/>
      <c r="L40" s="1">
        <f>+H40/G40</f>
        <v>0.76593137254901966</v>
      </c>
    </row>
    <row r="41" spans="1:12" x14ac:dyDescent="0.25">
      <c r="B41">
        <v>58</v>
      </c>
      <c r="C41" s="13" t="str">
        <f>+AVANCE!B43</f>
        <v>58 - BLADIMIR LEZCANO</v>
      </c>
      <c r="D41" s="22">
        <f t="shared" ref="D41:D42" si="4">H41/G41</f>
        <v>0.31932773109243695</v>
      </c>
      <c r="E41" s="13">
        <v>60</v>
      </c>
      <c r="F41" s="12">
        <f t="shared" ref="F41:F42" si="5">+H41-E41</f>
        <v>-22</v>
      </c>
      <c r="G41" s="13">
        <f>VLOOKUP(B41,'Base Cobertura'!$A:$C,3,FALSE)</f>
        <v>119</v>
      </c>
      <c r="H41" s="13">
        <f>VLOOKUP(B41,'Base Cobertura'!$A:$C,2,FALSE)</f>
        <v>38</v>
      </c>
      <c r="I41" s="17">
        <f t="shared" ref="I41:I42" si="6">(+G41*$M$2)-H41</f>
        <v>63.149999999999991</v>
      </c>
    </row>
    <row r="42" spans="1:12" x14ac:dyDescent="0.25">
      <c r="B42">
        <v>59</v>
      </c>
      <c r="C42" s="13" t="str">
        <f>+AVANCE!B44</f>
        <v>59 - LEIVA SILVIO</v>
      </c>
      <c r="D42" s="22">
        <f t="shared" si="4"/>
        <v>0.55462184873949583</v>
      </c>
      <c r="E42" s="13">
        <v>60</v>
      </c>
      <c r="F42" s="12">
        <f t="shared" si="5"/>
        <v>6</v>
      </c>
      <c r="G42" s="13">
        <f>VLOOKUP(B42,'Base Cobertura'!$A:$C,3,FALSE)</f>
        <v>119</v>
      </c>
      <c r="H42" s="13">
        <f>VLOOKUP(B42,'Base Cobertura'!$A:$C,2,FALSE)</f>
        <v>66</v>
      </c>
      <c r="I42" s="17">
        <f t="shared" si="6"/>
        <v>35.149999999999991</v>
      </c>
    </row>
  </sheetData>
  <autoFilter ref="C1:N40" xr:uid="{00000000-0001-0000-0500-000000000000}"/>
  <mergeCells count="3">
    <mergeCell ref="A2:A15"/>
    <mergeCell ref="A16:A25"/>
    <mergeCell ref="A26:A39"/>
  </mergeCells>
  <conditionalFormatting sqref="D2:D1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41:D42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227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6</v>
      </c>
      <c r="C3" s="51">
        <v>3408</v>
      </c>
      <c r="G3" t="s">
        <v>218</v>
      </c>
      <c r="H3" s="51">
        <v>3</v>
      </c>
      <c r="I3" s="51">
        <v>3408</v>
      </c>
    </row>
    <row r="4" spans="1:9" x14ac:dyDescent="0.25">
      <c r="A4">
        <v>1</v>
      </c>
      <c r="B4" s="51">
        <v>113</v>
      </c>
      <c r="C4" s="51">
        <v>127</v>
      </c>
      <c r="G4" t="s">
        <v>219</v>
      </c>
      <c r="H4">
        <v>1</v>
      </c>
      <c r="I4" s="51">
        <v>3408</v>
      </c>
    </row>
    <row r="5" spans="1:9" x14ac:dyDescent="0.25">
      <c r="A5">
        <v>10</v>
      </c>
      <c r="B5" s="51">
        <v>132</v>
      </c>
      <c r="C5" s="51">
        <v>181</v>
      </c>
      <c r="G5" t="s">
        <v>220</v>
      </c>
      <c r="H5" s="51">
        <v>2</v>
      </c>
      <c r="I5" s="51">
        <v>3408</v>
      </c>
    </row>
    <row r="6" spans="1:9" x14ac:dyDescent="0.25">
      <c r="A6">
        <v>100</v>
      </c>
      <c r="B6" s="51">
        <v>40</v>
      </c>
      <c r="C6" s="51">
        <v>2024</v>
      </c>
      <c r="G6" t="s">
        <v>221</v>
      </c>
      <c r="H6" s="51">
        <v>2</v>
      </c>
      <c r="I6" s="51">
        <v>3408</v>
      </c>
    </row>
    <row r="7" spans="1:9" x14ac:dyDescent="0.25">
      <c r="A7">
        <v>11</v>
      </c>
      <c r="B7" s="51">
        <v>120</v>
      </c>
      <c r="C7" s="51">
        <v>162</v>
      </c>
      <c r="G7" t="s">
        <v>222</v>
      </c>
      <c r="H7" s="51">
        <v>4</v>
      </c>
      <c r="I7" s="51">
        <v>3408</v>
      </c>
    </row>
    <row r="8" spans="1:9" x14ac:dyDescent="0.25">
      <c r="A8">
        <v>12</v>
      </c>
      <c r="B8" s="51">
        <v>183</v>
      </c>
      <c r="C8" s="51">
        <v>213</v>
      </c>
      <c r="G8" t="s">
        <v>223</v>
      </c>
      <c r="H8" s="51">
        <v>2</v>
      </c>
      <c r="I8" s="51">
        <v>3408</v>
      </c>
    </row>
    <row r="9" spans="1:9" x14ac:dyDescent="0.25">
      <c r="A9">
        <v>123</v>
      </c>
      <c r="B9" s="51">
        <v>36</v>
      </c>
      <c r="C9" s="51">
        <v>489</v>
      </c>
      <c r="G9" t="s">
        <v>224</v>
      </c>
      <c r="H9" s="51">
        <v>3</v>
      </c>
      <c r="I9" s="51">
        <v>3408</v>
      </c>
    </row>
    <row r="10" spans="1:9" x14ac:dyDescent="0.25">
      <c r="A10">
        <v>15</v>
      </c>
      <c r="B10" s="51">
        <v>53</v>
      </c>
      <c r="C10" s="51">
        <v>65</v>
      </c>
      <c r="G10" t="s">
        <v>225</v>
      </c>
      <c r="I10" s="51">
        <v>3408</v>
      </c>
    </row>
    <row r="11" spans="1:9" x14ac:dyDescent="0.25">
      <c r="A11">
        <v>16</v>
      </c>
      <c r="B11" s="51">
        <v>170</v>
      </c>
      <c r="C11" s="51">
        <v>198</v>
      </c>
      <c r="G11" t="s">
        <v>226</v>
      </c>
      <c r="H11" s="51"/>
      <c r="I11" s="51">
        <v>3408</v>
      </c>
    </row>
    <row r="12" spans="1:9" x14ac:dyDescent="0.25">
      <c r="A12">
        <v>18</v>
      </c>
      <c r="B12" s="51">
        <v>159</v>
      </c>
      <c r="C12" s="51">
        <v>176</v>
      </c>
      <c r="E12">
        <f>+F12</f>
        <v>1</v>
      </c>
      <c r="F12">
        <v>1</v>
      </c>
      <c r="G12" t="s">
        <v>218</v>
      </c>
      <c r="H12">
        <v>48</v>
      </c>
      <c r="I12" s="51">
        <v>127</v>
      </c>
    </row>
    <row r="13" spans="1:9" x14ac:dyDescent="0.25">
      <c r="A13">
        <v>19</v>
      </c>
      <c r="B13" s="51">
        <v>183</v>
      </c>
      <c r="C13" s="51">
        <v>207</v>
      </c>
      <c r="E13">
        <f>+$E$12</f>
        <v>1</v>
      </c>
      <c r="G13" t="s">
        <v>219</v>
      </c>
      <c r="H13" s="51">
        <v>50</v>
      </c>
      <c r="I13" s="51">
        <v>127</v>
      </c>
    </row>
    <row r="14" spans="1:9" x14ac:dyDescent="0.25">
      <c r="A14">
        <v>2</v>
      </c>
      <c r="B14" s="51">
        <v>122</v>
      </c>
      <c r="C14" s="51">
        <v>138</v>
      </c>
      <c r="E14">
        <f t="shared" ref="E14:E20" si="0">+$E$12</f>
        <v>1</v>
      </c>
      <c r="G14" t="s">
        <v>220</v>
      </c>
      <c r="H14" s="51">
        <v>55</v>
      </c>
      <c r="I14" s="51">
        <v>127</v>
      </c>
    </row>
    <row r="15" spans="1:9" x14ac:dyDescent="0.25">
      <c r="A15">
        <v>20</v>
      </c>
      <c r="B15" s="51">
        <v>210</v>
      </c>
      <c r="C15" s="51">
        <v>226</v>
      </c>
      <c r="E15">
        <f t="shared" si="0"/>
        <v>1</v>
      </c>
      <c r="G15" t="s">
        <v>221</v>
      </c>
      <c r="H15" s="51">
        <v>51</v>
      </c>
      <c r="I15" s="51">
        <v>127</v>
      </c>
    </row>
    <row r="16" spans="1:9" x14ac:dyDescent="0.25">
      <c r="A16">
        <v>21</v>
      </c>
      <c r="B16" s="51">
        <v>149</v>
      </c>
      <c r="C16" s="51">
        <v>169</v>
      </c>
      <c r="E16">
        <f t="shared" si="0"/>
        <v>1</v>
      </c>
      <c r="G16" t="s">
        <v>222</v>
      </c>
      <c r="H16" s="51">
        <v>77</v>
      </c>
      <c r="I16" s="51">
        <v>127</v>
      </c>
    </row>
    <row r="17" spans="1:9" x14ac:dyDescent="0.25">
      <c r="A17">
        <v>22</v>
      </c>
      <c r="B17" s="51">
        <v>57</v>
      </c>
      <c r="C17" s="51">
        <v>72</v>
      </c>
      <c r="E17">
        <f t="shared" si="0"/>
        <v>1</v>
      </c>
      <c r="G17" t="s">
        <v>223</v>
      </c>
      <c r="H17" s="51">
        <v>66</v>
      </c>
      <c r="I17" s="51">
        <v>127</v>
      </c>
    </row>
    <row r="18" spans="1:9" x14ac:dyDescent="0.25">
      <c r="A18">
        <v>23</v>
      </c>
      <c r="B18" s="51">
        <v>139</v>
      </c>
      <c r="C18" s="51">
        <v>160</v>
      </c>
      <c r="E18">
        <f t="shared" si="0"/>
        <v>1</v>
      </c>
      <c r="G18" t="s">
        <v>224</v>
      </c>
      <c r="H18" s="51">
        <v>29</v>
      </c>
      <c r="I18" s="51">
        <v>127</v>
      </c>
    </row>
    <row r="19" spans="1:9" x14ac:dyDescent="0.25">
      <c r="A19">
        <v>24</v>
      </c>
      <c r="B19" s="51">
        <v>129</v>
      </c>
      <c r="C19" s="51">
        <v>178</v>
      </c>
      <c r="E19">
        <f t="shared" si="0"/>
        <v>1</v>
      </c>
      <c r="G19" t="s">
        <v>225</v>
      </c>
      <c r="H19" s="51">
        <v>46</v>
      </c>
      <c r="I19" s="51">
        <v>127</v>
      </c>
    </row>
    <row r="20" spans="1:9" x14ac:dyDescent="0.25">
      <c r="A20">
        <v>25</v>
      </c>
      <c r="B20" s="51">
        <v>85</v>
      </c>
      <c r="C20" s="51">
        <v>172</v>
      </c>
      <c r="E20">
        <f t="shared" si="0"/>
        <v>1</v>
      </c>
      <c r="G20" t="s">
        <v>226</v>
      </c>
      <c r="H20">
        <v>51</v>
      </c>
      <c r="I20" s="51">
        <v>127</v>
      </c>
    </row>
    <row r="21" spans="1:9" x14ac:dyDescent="0.25">
      <c r="A21">
        <v>26</v>
      </c>
      <c r="B21" s="51">
        <v>67</v>
      </c>
      <c r="C21" s="51">
        <v>162</v>
      </c>
      <c r="E21">
        <f>+$F$21</f>
        <v>10</v>
      </c>
      <c r="F21">
        <v>10</v>
      </c>
      <c r="G21" t="s">
        <v>218</v>
      </c>
      <c r="H21" s="51">
        <v>32</v>
      </c>
      <c r="I21" s="51">
        <v>181</v>
      </c>
    </row>
    <row r="22" spans="1:9" x14ac:dyDescent="0.25">
      <c r="A22">
        <v>27</v>
      </c>
      <c r="B22" s="51">
        <v>125</v>
      </c>
      <c r="C22" s="51">
        <v>140</v>
      </c>
      <c r="E22">
        <f t="shared" ref="E22:E29" si="1">+$F$21</f>
        <v>10</v>
      </c>
      <c r="G22" t="s">
        <v>219</v>
      </c>
      <c r="H22" s="51">
        <v>24</v>
      </c>
      <c r="I22" s="51">
        <v>181</v>
      </c>
    </row>
    <row r="23" spans="1:9" x14ac:dyDescent="0.25">
      <c r="A23">
        <v>28</v>
      </c>
      <c r="B23" s="51">
        <v>147</v>
      </c>
      <c r="C23" s="51">
        <v>168</v>
      </c>
      <c r="E23">
        <f t="shared" si="1"/>
        <v>10</v>
      </c>
      <c r="G23" t="s">
        <v>220</v>
      </c>
      <c r="H23" s="51">
        <v>74</v>
      </c>
      <c r="I23" s="51">
        <v>181</v>
      </c>
    </row>
    <row r="24" spans="1:9" x14ac:dyDescent="0.25">
      <c r="A24">
        <v>3</v>
      </c>
      <c r="B24" s="51">
        <v>155</v>
      </c>
      <c r="C24" s="51">
        <v>170</v>
      </c>
      <c r="E24">
        <f t="shared" si="1"/>
        <v>10</v>
      </c>
      <c r="G24" t="s">
        <v>221</v>
      </c>
      <c r="H24" s="51">
        <v>56</v>
      </c>
      <c r="I24" s="51">
        <v>181</v>
      </c>
    </row>
    <row r="25" spans="1:9" x14ac:dyDescent="0.25">
      <c r="A25">
        <v>30</v>
      </c>
      <c r="B25" s="51">
        <v>31</v>
      </c>
      <c r="C25" s="51">
        <v>138</v>
      </c>
      <c r="E25">
        <f t="shared" si="1"/>
        <v>10</v>
      </c>
      <c r="G25" t="s">
        <v>222</v>
      </c>
      <c r="H25" s="51">
        <v>86</v>
      </c>
      <c r="I25" s="51">
        <v>181</v>
      </c>
    </row>
    <row r="26" spans="1:9" x14ac:dyDescent="0.25">
      <c r="A26">
        <v>31</v>
      </c>
      <c r="B26" s="51">
        <v>141</v>
      </c>
      <c r="C26" s="51">
        <v>161</v>
      </c>
      <c r="E26">
        <f t="shared" si="1"/>
        <v>10</v>
      </c>
      <c r="G26" t="s">
        <v>223</v>
      </c>
      <c r="H26" s="51">
        <v>50</v>
      </c>
      <c r="I26" s="51">
        <v>181</v>
      </c>
    </row>
    <row r="27" spans="1:9" x14ac:dyDescent="0.25">
      <c r="A27">
        <v>32</v>
      </c>
      <c r="B27" s="51">
        <v>50</v>
      </c>
      <c r="C27" s="51">
        <v>56</v>
      </c>
      <c r="E27">
        <f t="shared" si="1"/>
        <v>10</v>
      </c>
      <c r="G27" t="s">
        <v>224</v>
      </c>
      <c r="H27" s="51">
        <v>21</v>
      </c>
      <c r="I27" s="51">
        <v>181</v>
      </c>
    </row>
    <row r="28" spans="1:9" x14ac:dyDescent="0.25">
      <c r="A28">
        <v>33</v>
      </c>
      <c r="B28" s="51">
        <v>136</v>
      </c>
      <c r="C28" s="51">
        <v>172</v>
      </c>
      <c r="E28">
        <f t="shared" si="1"/>
        <v>10</v>
      </c>
      <c r="G28" t="s">
        <v>225</v>
      </c>
      <c r="H28" s="51">
        <v>31</v>
      </c>
      <c r="I28" s="51">
        <v>181</v>
      </c>
    </row>
    <row r="29" spans="1:9" x14ac:dyDescent="0.25">
      <c r="A29">
        <v>36</v>
      </c>
      <c r="B29" s="51">
        <v>95</v>
      </c>
      <c r="C29" s="51">
        <v>156</v>
      </c>
      <c r="E29">
        <f t="shared" si="1"/>
        <v>10</v>
      </c>
      <c r="G29" t="s">
        <v>226</v>
      </c>
      <c r="H29" s="51">
        <v>27</v>
      </c>
      <c r="I29" s="51">
        <v>181</v>
      </c>
    </row>
    <row r="30" spans="1:9" x14ac:dyDescent="0.25">
      <c r="A30">
        <v>37</v>
      </c>
      <c r="B30" s="51">
        <v>102</v>
      </c>
      <c r="C30" s="51">
        <v>141</v>
      </c>
      <c r="E30">
        <f>+$F$30</f>
        <v>100</v>
      </c>
      <c r="F30">
        <v>100</v>
      </c>
      <c r="G30" t="s">
        <v>218</v>
      </c>
      <c r="H30" s="51">
        <v>27</v>
      </c>
      <c r="I30" s="51">
        <v>2024</v>
      </c>
    </row>
    <row r="31" spans="1:9" x14ac:dyDescent="0.25">
      <c r="A31">
        <v>4</v>
      </c>
      <c r="B31" s="51">
        <v>160</v>
      </c>
      <c r="C31" s="51">
        <v>182</v>
      </c>
      <c r="E31">
        <f t="shared" ref="E31:E38" si="2">+$F$30</f>
        <v>100</v>
      </c>
      <c r="G31" t="s">
        <v>219</v>
      </c>
      <c r="H31" s="51">
        <v>22</v>
      </c>
      <c r="I31" s="51">
        <v>2024</v>
      </c>
    </row>
    <row r="32" spans="1:9" x14ac:dyDescent="0.25">
      <c r="A32">
        <v>40</v>
      </c>
      <c r="B32" s="51">
        <v>126</v>
      </c>
      <c r="C32" s="51">
        <v>249</v>
      </c>
      <c r="E32">
        <f t="shared" si="2"/>
        <v>100</v>
      </c>
      <c r="G32" t="s">
        <v>220</v>
      </c>
      <c r="H32" s="51">
        <v>22</v>
      </c>
      <c r="I32" s="51">
        <v>2024</v>
      </c>
    </row>
    <row r="33" spans="1:9" x14ac:dyDescent="0.25">
      <c r="A33">
        <v>42</v>
      </c>
      <c r="B33" s="51">
        <v>12</v>
      </c>
      <c r="C33" s="51">
        <v>52</v>
      </c>
      <c r="E33">
        <f t="shared" si="2"/>
        <v>100</v>
      </c>
      <c r="G33" t="s">
        <v>221</v>
      </c>
      <c r="H33" s="51">
        <v>9</v>
      </c>
      <c r="I33" s="51">
        <v>2024</v>
      </c>
    </row>
    <row r="34" spans="1:9" x14ac:dyDescent="0.25">
      <c r="A34">
        <v>43</v>
      </c>
      <c r="B34" s="51">
        <v>22</v>
      </c>
      <c r="C34" s="51">
        <v>93</v>
      </c>
      <c r="E34">
        <f t="shared" si="2"/>
        <v>100</v>
      </c>
      <c r="G34" t="s">
        <v>222</v>
      </c>
      <c r="H34" s="51">
        <v>27</v>
      </c>
      <c r="I34" s="51">
        <v>2024</v>
      </c>
    </row>
    <row r="35" spans="1:9" x14ac:dyDescent="0.25">
      <c r="A35">
        <v>44</v>
      </c>
      <c r="B35" s="51">
        <v>145</v>
      </c>
      <c r="C35" s="51">
        <v>169</v>
      </c>
      <c r="E35">
        <f t="shared" si="2"/>
        <v>100</v>
      </c>
      <c r="G35" t="s">
        <v>223</v>
      </c>
      <c r="H35" s="51">
        <v>20</v>
      </c>
      <c r="I35" s="51">
        <v>2024</v>
      </c>
    </row>
    <row r="36" spans="1:9" x14ac:dyDescent="0.25">
      <c r="A36">
        <v>49</v>
      </c>
      <c r="B36" s="51">
        <v>101</v>
      </c>
      <c r="C36" s="51">
        <v>239</v>
      </c>
      <c r="E36">
        <f t="shared" si="2"/>
        <v>100</v>
      </c>
      <c r="G36" t="s">
        <v>224</v>
      </c>
      <c r="H36" s="51">
        <v>15</v>
      </c>
      <c r="I36" s="51">
        <v>2024</v>
      </c>
    </row>
    <row r="37" spans="1:9" x14ac:dyDescent="0.25">
      <c r="A37">
        <v>5</v>
      </c>
      <c r="B37" s="51">
        <v>235</v>
      </c>
      <c r="C37" s="51">
        <v>260</v>
      </c>
      <c r="E37">
        <f t="shared" si="2"/>
        <v>100</v>
      </c>
      <c r="G37" t="s">
        <v>225</v>
      </c>
      <c r="H37" s="51">
        <v>13</v>
      </c>
      <c r="I37" s="51">
        <v>2024</v>
      </c>
    </row>
    <row r="38" spans="1:9" x14ac:dyDescent="0.25">
      <c r="A38">
        <v>52</v>
      </c>
      <c r="B38" s="51">
        <v>58</v>
      </c>
      <c r="C38" s="51">
        <v>101</v>
      </c>
      <c r="E38">
        <f t="shared" si="2"/>
        <v>100</v>
      </c>
      <c r="G38" t="s">
        <v>226</v>
      </c>
      <c r="H38" s="51">
        <v>6</v>
      </c>
      <c r="I38" s="51">
        <v>2024</v>
      </c>
    </row>
    <row r="39" spans="1:9" x14ac:dyDescent="0.25">
      <c r="A39">
        <v>53</v>
      </c>
      <c r="B39" s="51">
        <v>68</v>
      </c>
      <c r="C39" s="51">
        <v>105</v>
      </c>
      <c r="E39">
        <f>+$F$39</f>
        <v>11</v>
      </c>
      <c r="F39">
        <v>11</v>
      </c>
      <c r="G39" t="s">
        <v>218</v>
      </c>
      <c r="H39" s="51">
        <v>46</v>
      </c>
      <c r="I39" s="51">
        <v>162</v>
      </c>
    </row>
    <row r="40" spans="1:9" x14ac:dyDescent="0.25">
      <c r="A40">
        <v>54</v>
      </c>
      <c r="B40" s="51">
        <v>151</v>
      </c>
      <c r="C40" s="51">
        <v>202</v>
      </c>
      <c r="E40">
        <f t="shared" ref="E40:E47" si="3">+$F$39</f>
        <v>11</v>
      </c>
      <c r="G40" t="s">
        <v>219</v>
      </c>
      <c r="H40" s="51">
        <v>22</v>
      </c>
      <c r="I40" s="51">
        <v>162</v>
      </c>
    </row>
    <row r="41" spans="1:9" x14ac:dyDescent="0.25">
      <c r="A41">
        <v>56</v>
      </c>
      <c r="B41">
        <v>102</v>
      </c>
      <c r="C41" s="51">
        <v>198</v>
      </c>
      <c r="E41">
        <f t="shared" si="3"/>
        <v>11</v>
      </c>
      <c r="G41" t="s">
        <v>220</v>
      </c>
      <c r="H41" s="51">
        <v>70</v>
      </c>
      <c r="I41" s="51">
        <v>162</v>
      </c>
    </row>
    <row r="42" spans="1:9" x14ac:dyDescent="0.25">
      <c r="A42">
        <v>57</v>
      </c>
      <c r="B42" s="51">
        <v>23</v>
      </c>
      <c r="C42" s="51">
        <v>103</v>
      </c>
      <c r="E42">
        <f t="shared" si="3"/>
        <v>11</v>
      </c>
      <c r="G42" t="s">
        <v>221</v>
      </c>
      <c r="H42" s="51">
        <v>51</v>
      </c>
      <c r="I42" s="51">
        <v>162</v>
      </c>
    </row>
    <row r="43" spans="1:9" x14ac:dyDescent="0.25">
      <c r="A43">
        <v>58</v>
      </c>
      <c r="B43" s="51">
        <v>38</v>
      </c>
      <c r="C43" s="51">
        <v>119</v>
      </c>
      <c r="E43">
        <f t="shared" si="3"/>
        <v>11</v>
      </c>
      <c r="G43" t="s">
        <v>222</v>
      </c>
      <c r="H43" s="51">
        <v>93</v>
      </c>
      <c r="I43" s="51">
        <v>162</v>
      </c>
    </row>
    <row r="44" spans="1:9" x14ac:dyDescent="0.25">
      <c r="A44">
        <v>59</v>
      </c>
      <c r="B44" s="51">
        <v>66</v>
      </c>
      <c r="C44" s="51">
        <v>119</v>
      </c>
      <c r="E44">
        <f t="shared" si="3"/>
        <v>11</v>
      </c>
      <c r="G44" t="s">
        <v>223</v>
      </c>
      <c r="H44" s="51">
        <v>65</v>
      </c>
      <c r="I44" s="51">
        <v>162</v>
      </c>
    </row>
    <row r="45" spans="1:9" x14ac:dyDescent="0.25">
      <c r="A45">
        <v>7</v>
      </c>
      <c r="B45" s="51">
        <v>29</v>
      </c>
      <c r="C45" s="51">
        <v>113</v>
      </c>
      <c r="E45">
        <f t="shared" si="3"/>
        <v>11</v>
      </c>
      <c r="G45" t="s">
        <v>224</v>
      </c>
      <c r="H45" s="51">
        <v>16</v>
      </c>
      <c r="I45" s="51">
        <v>162</v>
      </c>
    </row>
    <row r="46" spans="1:9" x14ac:dyDescent="0.25">
      <c r="A46">
        <v>8</v>
      </c>
      <c r="B46" s="51">
        <v>168</v>
      </c>
      <c r="C46" s="51">
        <v>194</v>
      </c>
      <c r="E46">
        <f t="shared" si="3"/>
        <v>11</v>
      </c>
      <c r="G46" t="s">
        <v>225</v>
      </c>
      <c r="H46" s="51">
        <v>23</v>
      </c>
      <c r="I46" s="51">
        <v>162</v>
      </c>
    </row>
    <row r="47" spans="1:9" x14ac:dyDescent="0.25">
      <c r="A47">
        <v>9</v>
      </c>
      <c r="B47" s="51">
        <v>139</v>
      </c>
      <c r="C47" s="51">
        <v>161</v>
      </c>
      <c r="E47">
        <f t="shared" si="3"/>
        <v>11</v>
      </c>
      <c r="G47" t="s">
        <v>226</v>
      </c>
      <c r="H47" s="51">
        <v>14</v>
      </c>
      <c r="I47" s="51">
        <v>162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218</v>
      </c>
      <c r="H48" s="51">
        <v>66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219</v>
      </c>
      <c r="H49" s="51">
        <v>58</v>
      </c>
      <c r="I49" s="51">
        <v>213</v>
      </c>
    </row>
    <row r="50" spans="2:9" x14ac:dyDescent="0.25">
      <c r="E50">
        <f t="shared" si="4"/>
        <v>12</v>
      </c>
      <c r="G50" t="s">
        <v>220</v>
      </c>
      <c r="H50" s="51">
        <v>90</v>
      </c>
      <c r="I50" s="51">
        <v>213</v>
      </c>
    </row>
    <row r="51" spans="2:9" x14ac:dyDescent="0.25">
      <c r="E51">
        <f t="shared" si="4"/>
        <v>12</v>
      </c>
      <c r="G51" t="s">
        <v>221</v>
      </c>
      <c r="H51" s="51">
        <v>51</v>
      </c>
      <c r="I51" s="51">
        <v>213</v>
      </c>
    </row>
    <row r="52" spans="2:9" x14ac:dyDescent="0.25">
      <c r="E52">
        <f t="shared" si="4"/>
        <v>12</v>
      </c>
      <c r="G52" t="s">
        <v>222</v>
      </c>
      <c r="H52" s="51">
        <v>107</v>
      </c>
      <c r="I52" s="51">
        <v>213</v>
      </c>
    </row>
    <row r="53" spans="2:9" x14ac:dyDescent="0.25">
      <c r="E53">
        <f t="shared" si="4"/>
        <v>12</v>
      </c>
      <c r="G53" t="s">
        <v>223</v>
      </c>
      <c r="H53" s="51">
        <v>83</v>
      </c>
      <c r="I53" s="51">
        <v>213</v>
      </c>
    </row>
    <row r="54" spans="2:9" x14ac:dyDescent="0.25">
      <c r="E54">
        <f t="shared" si="4"/>
        <v>12</v>
      </c>
      <c r="G54" t="s">
        <v>224</v>
      </c>
      <c r="H54" s="51">
        <v>22</v>
      </c>
      <c r="I54" s="51">
        <v>213</v>
      </c>
    </row>
    <row r="55" spans="2:9" x14ac:dyDescent="0.25">
      <c r="E55">
        <f t="shared" si="4"/>
        <v>12</v>
      </c>
      <c r="G55" t="s">
        <v>225</v>
      </c>
      <c r="H55" s="51">
        <v>46</v>
      </c>
      <c r="I55" s="51">
        <v>213</v>
      </c>
    </row>
    <row r="56" spans="2:9" x14ac:dyDescent="0.25">
      <c r="E56">
        <f t="shared" si="4"/>
        <v>12</v>
      </c>
      <c r="G56" t="s">
        <v>226</v>
      </c>
      <c r="H56" s="51">
        <v>51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218</v>
      </c>
      <c r="H57" s="51">
        <v>23</v>
      </c>
      <c r="I57" s="51">
        <v>489</v>
      </c>
    </row>
    <row r="58" spans="2:9" x14ac:dyDescent="0.25">
      <c r="E58">
        <f t="shared" ref="E58:E65" si="5">+$F$57</f>
        <v>123</v>
      </c>
      <c r="G58" t="s">
        <v>219</v>
      </c>
      <c r="H58" s="51">
        <v>19</v>
      </c>
      <c r="I58" s="51">
        <v>489</v>
      </c>
    </row>
    <row r="59" spans="2:9" x14ac:dyDescent="0.25">
      <c r="E59">
        <f t="shared" si="5"/>
        <v>123</v>
      </c>
      <c r="G59" t="s">
        <v>220</v>
      </c>
      <c r="H59" s="51">
        <v>20</v>
      </c>
      <c r="I59" s="51">
        <v>489</v>
      </c>
    </row>
    <row r="60" spans="2:9" x14ac:dyDescent="0.25">
      <c r="E60">
        <f t="shared" si="5"/>
        <v>123</v>
      </c>
      <c r="G60" t="s">
        <v>221</v>
      </c>
      <c r="H60" s="51">
        <v>9</v>
      </c>
      <c r="I60" s="51">
        <v>489</v>
      </c>
    </row>
    <row r="61" spans="2:9" x14ac:dyDescent="0.25">
      <c r="E61">
        <f t="shared" si="5"/>
        <v>123</v>
      </c>
      <c r="G61" t="s">
        <v>222</v>
      </c>
      <c r="H61" s="51">
        <v>22</v>
      </c>
      <c r="I61" s="51">
        <v>489</v>
      </c>
    </row>
    <row r="62" spans="2:9" x14ac:dyDescent="0.25">
      <c r="E62">
        <f t="shared" si="5"/>
        <v>123</v>
      </c>
      <c r="G62" t="s">
        <v>223</v>
      </c>
      <c r="H62" s="51">
        <v>16</v>
      </c>
      <c r="I62" s="51">
        <v>489</v>
      </c>
    </row>
    <row r="63" spans="2:9" x14ac:dyDescent="0.25">
      <c r="E63">
        <f t="shared" si="5"/>
        <v>123</v>
      </c>
      <c r="G63" t="s">
        <v>224</v>
      </c>
      <c r="H63" s="51">
        <v>17</v>
      </c>
      <c r="I63" s="51">
        <v>489</v>
      </c>
    </row>
    <row r="64" spans="2:9" x14ac:dyDescent="0.25">
      <c r="E64">
        <f t="shared" si="5"/>
        <v>123</v>
      </c>
      <c r="G64" t="s">
        <v>225</v>
      </c>
      <c r="H64" s="51">
        <v>10</v>
      </c>
      <c r="I64" s="51">
        <v>489</v>
      </c>
    </row>
    <row r="65" spans="5:9" x14ac:dyDescent="0.25">
      <c r="E65">
        <f t="shared" si="5"/>
        <v>123</v>
      </c>
      <c r="G65" t="s">
        <v>226</v>
      </c>
      <c r="H65" s="51">
        <v>4</v>
      </c>
      <c r="I65" s="51">
        <v>489</v>
      </c>
    </row>
    <row r="66" spans="5:9" x14ac:dyDescent="0.25">
      <c r="E66">
        <f>+$F$66</f>
        <v>15</v>
      </c>
      <c r="F66">
        <v>15</v>
      </c>
      <c r="G66" t="s">
        <v>218</v>
      </c>
      <c r="H66" s="51">
        <v>30</v>
      </c>
      <c r="I66" s="51">
        <v>65</v>
      </c>
    </row>
    <row r="67" spans="5:9" x14ac:dyDescent="0.25">
      <c r="E67">
        <f t="shared" ref="E67:E74" si="6">+$F$66</f>
        <v>15</v>
      </c>
      <c r="G67" t="s">
        <v>219</v>
      </c>
      <c r="H67" s="51">
        <v>8</v>
      </c>
      <c r="I67" s="51">
        <v>65</v>
      </c>
    </row>
    <row r="68" spans="5:9" x14ac:dyDescent="0.25">
      <c r="E68">
        <f t="shared" si="6"/>
        <v>15</v>
      </c>
      <c r="G68" t="s">
        <v>220</v>
      </c>
      <c r="H68" s="51">
        <v>34</v>
      </c>
      <c r="I68" s="51">
        <v>65</v>
      </c>
    </row>
    <row r="69" spans="5:9" x14ac:dyDescent="0.25">
      <c r="E69">
        <f t="shared" si="6"/>
        <v>15</v>
      </c>
      <c r="G69" t="s">
        <v>221</v>
      </c>
      <c r="H69" s="51">
        <v>21</v>
      </c>
      <c r="I69" s="51">
        <v>65</v>
      </c>
    </row>
    <row r="70" spans="5:9" x14ac:dyDescent="0.25">
      <c r="E70">
        <f t="shared" si="6"/>
        <v>15</v>
      </c>
      <c r="G70" t="s">
        <v>222</v>
      </c>
      <c r="H70" s="51">
        <v>39</v>
      </c>
      <c r="I70" s="51">
        <v>65</v>
      </c>
    </row>
    <row r="71" spans="5:9" x14ac:dyDescent="0.25">
      <c r="E71">
        <f t="shared" si="6"/>
        <v>15</v>
      </c>
      <c r="G71" t="s">
        <v>223</v>
      </c>
      <c r="H71" s="51">
        <v>19</v>
      </c>
      <c r="I71" s="51">
        <v>65</v>
      </c>
    </row>
    <row r="72" spans="5:9" x14ac:dyDescent="0.25">
      <c r="E72">
        <f t="shared" si="6"/>
        <v>15</v>
      </c>
      <c r="G72" t="s">
        <v>224</v>
      </c>
      <c r="H72" s="51">
        <v>27</v>
      </c>
      <c r="I72" s="51">
        <v>65</v>
      </c>
    </row>
    <row r="73" spans="5:9" x14ac:dyDescent="0.25">
      <c r="E73">
        <f t="shared" si="6"/>
        <v>15</v>
      </c>
      <c r="G73" t="s">
        <v>225</v>
      </c>
      <c r="H73" s="51">
        <v>12</v>
      </c>
      <c r="I73" s="51">
        <v>65</v>
      </c>
    </row>
    <row r="74" spans="5:9" x14ac:dyDescent="0.25">
      <c r="E74">
        <f t="shared" si="6"/>
        <v>15</v>
      </c>
      <c r="G74" t="s">
        <v>226</v>
      </c>
      <c r="H74" s="51">
        <v>14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218</v>
      </c>
      <c r="H75" s="51">
        <v>57</v>
      </c>
      <c r="I75" s="51">
        <v>198</v>
      </c>
    </row>
    <row r="76" spans="5:9" x14ac:dyDescent="0.25">
      <c r="E76">
        <f t="shared" ref="E76:E83" si="7">+$F$75</f>
        <v>16</v>
      </c>
      <c r="G76" t="s">
        <v>219</v>
      </c>
      <c r="H76">
        <v>40</v>
      </c>
      <c r="I76" s="51">
        <v>198</v>
      </c>
    </row>
    <row r="77" spans="5:9" x14ac:dyDescent="0.25">
      <c r="E77">
        <f t="shared" si="7"/>
        <v>16</v>
      </c>
      <c r="G77" t="s">
        <v>220</v>
      </c>
      <c r="H77" s="51">
        <v>90</v>
      </c>
      <c r="I77" s="51">
        <v>198</v>
      </c>
    </row>
    <row r="78" spans="5:9" x14ac:dyDescent="0.25">
      <c r="E78">
        <f t="shared" si="7"/>
        <v>16</v>
      </c>
      <c r="G78" t="s">
        <v>221</v>
      </c>
      <c r="H78" s="51">
        <v>43</v>
      </c>
      <c r="I78" s="51">
        <v>198</v>
      </c>
    </row>
    <row r="79" spans="5:9" x14ac:dyDescent="0.25">
      <c r="E79">
        <f t="shared" si="7"/>
        <v>16</v>
      </c>
      <c r="G79" t="s">
        <v>222</v>
      </c>
      <c r="H79" s="51">
        <v>103</v>
      </c>
      <c r="I79" s="51">
        <v>198</v>
      </c>
    </row>
    <row r="80" spans="5:9" x14ac:dyDescent="0.25">
      <c r="E80">
        <f t="shared" si="7"/>
        <v>16</v>
      </c>
      <c r="G80" t="s">
        <v>223</v>
      </c>
      <c r="H80" s="51">
        <v>65</v>
      </c>
      <c r="I80" s="51">
        <v>198</v>
      </c>
    </row>
    <row r="81" spans="5:9" x14ac:dyDescent="0.25">
      <c r="E81">
        <f t="shared" si="7"/>
        <v>16</v>
      </c>
      <c r="G81" t="s">
        <v>224</v>
      </c>
      <c r="H81" s="51">
        <v>12</v>
      </c>
      <c r="I81" s="51">
        <v>198</v>
      </c>
    </row>
    <row r="82" spans="5:9" x14ac:dyDescent="0.25">
      <c r="E82">
        <f t="shared" si="7"/>
        <v>16</v>
      </c>
      <c r="G82" t="s">
        <v>225</v>
      </c>
      <c r="H82" s="51">
        <v>42</v>
      </c>
      <c r="I82" s="51">
        <v>198</v>
      </c>
    </row>
    <row r="83" spans="5:9" x14ac:dyDescent="0.25">
      <c r="E83">
        <f t="shared" si="7"/>
        <v>16</v>
      </c>
      <c r="G83" t="s">
        <v>226</v>
      </c>
      <c r="H83" s="51">
        <v>42</v>
      </c>
      <c r="I83" s="51">
        <v>198</v>
      </c>
    </row>
    <row r="84" spans="5:9" x14ac:dyDescent="0.25">
      <c r="E84">
        <f>+$F$84</f>
        <v>18</v>
      </c>
      <c r="F84">
        <v>18</v>
      </c>
      <c r="G84" t="s">
        <v>218</v>
      </c>
      <c r="H84" s="51">
        <v>58</v>
      </c>
      <c r="I84" s="51">
        <v>176</v>
      </c>
    </row>
    <row r="85" spans="5:9" x14ac:dyDescent="0.25">
      <c r="E85">
        <f t="shared" ref="E85:E92" si="8">+$F$84</f>
        <v>18</v>
      </c>
      <c r="G85" t="s">
        <v>219</v>
      </c>
      <c r="H85" s="51">
        <v>56</v>
      </c>
      <c r="I85" s="51">
        <v>176</v>
      </c>
    </row>
    <row r="86" spans="5:9" x14ac:dyDescent="0.25">
      <c r="E86">
        <f t="shared" si="8"/>
        <v>18</v>
      </c>
      <c r="G86" t="s">
        <v>220</v>
      </c>
      <c r="H86" s="51">
        <v>52</v>
      </c>
      <c r="I86" s="51">
        <v>176</v>
      </c>
    </row>
    <row r="87" spans="5:9" x14ac:dyDescent="0.25">
      <c r="E87">
        <f t="shared" si="8"/>
        <v>18</v>
      </c>
      <c r="G87" t="s">
        <v>221</v>
      </c>
      <c r="H87" s="51">
        <v>66</v>
      </c>
      <c r="I87" s="51">
        <v>176</v>
      </c>
    </row>
    <row r="88" spans="5:9" x14ac:dyDescent="0.25">
      <c r="E88">
        <f t="shared" si="8"/>
        <v>18</v>
      </c>
      <c r="G88" t="s">
        <v>222</v>
      </c>
      <c r="H88" s="51">
        <v>124</v>
      </c>
      <c r="I88" s="51">
        <v>176</v>
      </c>
    </row>
    <row r="89" spans="5:9" x14ac:dyDescent="0.25">
      <c r="E89">
        <f t="shared" si="8"/>
        <v>18</v>
      </c>
      <c r="G89" t="s">
        <v>223</v>
      </c>
      <c r="H89" s="51">
        <v>91</v>
      </c>
      <c r="I89" s="51">
        <v>176</v>
      </c>
    </row>
    <row r="90" spans="5:9" x14ac:dyDescent="0.25">
      <c r="E90">
        <f t="shared" si="8"/>
        <v>18</v>
      </c>
      <c r="G90" t="s">
        <v>224</v>
      </c>
      <c r="H90" s="51">
        <v>24</v>
      </c>
      <c r="I90" s="51">
        <v>176</v>
      </c>
    </row>
    <row r="91" spans="5:9" x14ac:dyDescent="0.25">
      <c r="E91">
        <f t="shared" si="8"/>
        <v>18</v>
      </c>
      <c r="G91" t="s">
        <v>225</v>
      </c>
      <c r="H91" s="51">
        <v>51</v>
      </c>
      <c r="I91" s="51">
        <v>176</v>
      </c>
    </row>
    <row r="92" spans="5:9" x14ac:dyDescent="0.25">
      <c r="E92">
        <f t="shared" si="8"/>
        <v>18</v>
      </c>
      <c r="G92" t="s">
        <v>226</v>
      </c>
      <c r="H92" s="51">
        <v>47</v>
      </c>
      <c r="I92" s="51">
        <v>176</v>
      </c>
    </row>
    <row r="93" spans="5:9" x14ac:dyDescent="0.25">
      <c r="E93">
        <f>+$F$93</f>
        <v>19</v>
      </c>
      <c r="F93">
        <v>19</v>
      </c>
      <c r="G93" t="s">
        <v>218</v>
      </c>
      <c r="H93" s="51">
        <v>68</v>
      </c>
      <c r="I93" s="51">
        <v>207</v>
      </c>
    </row>
    <row r="94" spans="5:9" x14ac:dyDescent="0.25">
      <c r="E94">
        <f t="shared" ref="E94:E101" si="9">+$F$93</f>
        <v>19</v>
      </c>
      <c r="G94" t="s">
        <v>219</v>
      </c>
      <c r="H94" s="51">
        <v>51</v>
      </c>
      <c r="I94" s="51">
        <v>207</v>
      </c>
    </row>
    <row r="95" spans="5:9" x14ac:dyDescent="0.25">
      <c r="E95">
        <f t="shared" si="9"/>
        <v>19</v>
      </c>
      <c r="G95" t="s">
        <v>220</v>
      </c>
      <c r="H95" s="51">
        <v>97</v>
      </c>
      <c r="I95" s="51">
        <v>207</v>
      </c>
    </row>
    <row r="96" spans="5:9" x14ac:dyDescent="0.25">
      <c r="E96">
        <f t="shared" si="9"/>
        <v>19</v>
      </c>
      <c r="G96" t="s">
        <v>221</v>
      </c>
      <c r="H96" s="51">
        <v>61</v>
      </c>
      <c r="I96" s="51">
        <v>207</v>
      </c>
    </row>
    <row r="97" spans="5:9" x14ac:dyDescent="0.25">
      <c r="E97">
        <f t="shared" si="9"/>
        <v>19</v>
      </c>
      <c r="G97" t="s">
        <v>222</v>
      </c>
      <c r="H97" s="51">
        <v>129</v>
      </c>
      <c r="I97" s="51">
        <v>207</v>
      </c>
    </row>
    <row r="98" spans="5:9" x14ac:dyDescent="0.25">
      <c r="E98">
        <f t="shared" si="9"/>
        <v>19</v>
      </c>
      <c r="G98" t="s">
        <v>223</v>
      </c>
      <c r="H98" s="51">
        <v>89</v>
      </c>
      <c r="I98" s="51">
        <v>207</v>
      </c>
    </row>
    <row r="99" spans="5:9" x14ac:dyDescent="0.25">
      <c r="E99">
        <f t="shared" si="9"/>
        <v>19</v>
      </c>
      <c r="G99" t="s">
        <v>224</v>
      </c>
      <c r="H99" s="51">
        <v>18</v>
      </c>
      <c r="I99" s="51">
        <v>207</v>
      </c>
    </row>
    <row r="100" spans="5:9" x14ac:dyDescent="0.25">
      <c r="E100">
        <f t="shared" si="9"/>
        <v>19</v>
      </c>
      <c r="G100" t="s">
        <v>225</v>
      </c>
      <c r="H100" s="51">
        <v>59</v>
      </c>
      <c r="I100" s="51">
        <v>207</v>
      </c>
    </row>
    <row r="101" spans="5:9" x14ac:dyDescent="0.25">
      <c r="E101">
        <f t="shared" si="9"/>
        <v>19</v>
      </c>
      <c r="G101" t="s">
        <v>226</v>
      </c>
      <c r="H101" s="51">
        <v>48</v>
      </c>
      <c r="I101" s="51">
        <v>207</v>
      </c>
    </row>
    <row r="102" spans="5:9" x14ac:dyDescent="0.25">
      <c r="E102">
        <f>+$F$102</f>
        <v>2</v>
      </c>
      <c r="F102">
        <v>2</v>
      </c>
      <c r="G102" t="s">
        <v>218</v>
      </c>
      <c r="H102" s="51">
        <v>36</v>
      </c>
      <c r="I102" s="51">
        <v>138</v>
      </c>
    </row>
    <row r="103" spans="5:9" x14ac:dyDescent="0.25">
      <c r="E103">
        <f t="shared" ref="E103:E110" si="10">+$F$102</f>
        <v>2</v>
      </c>
      <c r="G103" t="s">
        <v>219</v>
      </c>
      <c r="H103" s="51">
        <v>43</v>
      </c>
      <c r="I103" s="51">
        <v>138</v>
      </c>
    </row>
    <row r="104" spans="5:9" x14ac:dyDescent="0.25">
      <c r="E104">
        <f t="shared" si="10"/>
        <v>2</v>
      </c>
      <c r="G104" t="s">
        <v>220</v>
      </c>
      <c r="H104" s="51">
        <v>51</v>
      </c>
      <c r="I104" s="51">
        <v>138</v>
      </c>
    </row>
    <row r="105" spans="5:9" x14ac:dyDescent="0.25">
      <c r="E105">
        <f t="shared" si="10"/>
        <v>2</v>
      </c>
      <c r="G105" t="s">
        <v>221</v>
      </c>
      <c r="H105" s="51">
        <v>57</v>
      </c>
      <c r="I105" s="51">
        <v>138</v>
      </c>
    </row>
    <row r="106" spans="5:9" x14ac:dyDescent="0.25">
      <c r="E106">
        <f t="shared" si="10"/>
        <v>2</v>
      </c>
      <c r="G106" t="s">
        <v>222</v>
      </c>
      <c r="H106" s="51">
        <v>77</v>
      </c>
      <c r="I106" s="51">
        <v>138</v>
      </c>
    </row>
    <row r="107" spans="5:9" x14ac:dyDescent="0.25">
      <c r="E107">
        <f t="shared" si="10"/>
        <v>2</v>
      </c>
      <c r="G107" t="s">
        <v>223</v>
      </c>
      <c r="H107" s="51">
        <v>53</v>
      </c>
      <c r="I107" s="51">
        <v>138</v>
      </c>
    </row>
    <row r="108" spans="5:9" x14ac:dyDescent="0.25">
      <c r="E108">
        <f t="shared" si="10"/>
        <v>2</v>
      </c>
      <c r="G108" t="s">
        <v>224</v>
      </c>
      <c r="H108" s="51">
        <v>16</v>
      </c>
      <c r="I108" s="51">
        <v>138</v>
      </c>
    </row>
    <row r="109" spans="5:9" x14ac:dyDescent="0.25">
      <c r="E109">
        <f t="shared" si="10"/>
        <v>2</v>
      </c>
      <c r="G109" t="s">
        <v>225</v>
      </c>
      <c r="H109" s="51">
        <v>36</v>
      </c>
      <c r="I109" s="51">
        <v>138</v>
      </c>
    </row>
    <row r="110" spans="5:9" x14ac:dyDescent="0.25">
      <c r="E110">
        <f t="shared" si="10"/>
        <v>2</v>
      </c>
      <c r="G110" t="s">
        <v>226</v>
      </c>
      <c r="H110" s="51">
        <v>47</v>
      </c>
      <c r="I110" s="51">
        <v>138</v>
      </c>
    </row>
    <row r="111" spans="5:9" x14ac:dyDescent="0.25">
      <c r="E111">
        <f>+$F$111</f>
        <v>20</v>
      </c>
      <c r="F111">
        <v>20</v>
      </c>
      <c r="G111" t="s">
        <v>218</v>
      </c>
      <c r="H111" s="51">
        <v>89</v>
      </c>
      <c r="I111" s="51">
        <v>226</v>
      </c>
    </row>
    <row r="112" spans="5:9" x14ac:dyDescent="0.25">
      <c r="E112">
        <f t="shared" ref="E112:E119" si="11">+$F$111</f>
        <v>20</v>
      </c>
      <c r="G112" t="s">
        <v>219</v>
      </c>
      <c r="H112" s="51">
        <v>76</v>
      </c>
      <c r="I112" s="51">
        <v>226</v>
      </c>
    </row>
    <row r="113" spans="5:9" x14ac:dyDescent="0.25">
      <c r="E113">
        <f t="shared" si="11"/>
        <v>20</v>
      </c>
      <c r="G113" t="s">
        <v>220</v>
      </c>
      <c r="H113" s="51">
        <v>112</v>
      </c>
      <c r="I113" s="51">
        <v>226</v>
      </c>
    </row>
    <row r="114" spans="5:9" x14ac:dyDescent="0.25">
      <c r="E114">
        <f t="shared" si="11"/>
        <v>20</v>
      </c>
      <c r="G114" t="s">
        <v>221</v>
      </c>
      <c r="H114" s="51">
        <v>72</v>
      </c>
      <c r="I114" s="51">
        <v>226</v>
      </c>
    </row>
    <row r="115" spans="5:9" x14ac:dyDescent="0.25">
      <c r="E115">
        <f t="shared" si="11"/>
        <v>20</v>
      </c>
      <c r="G115" t="s">
        <v>222</v>
      </c>
      <c r="H115" s="51">
        <v>153</v>
      </c>
      <c r="I115" s="51">
        <v>226</v>
      </c>
    </row>
    <row r="116" spans="5:9" x14ac:dyDescent="0.25">
      <c r="E116">
        <f t="shared" si="11"/>
        <v>20</v>
      </c>
      <c r="G116" t="s">
        <v>223</v>
      </c>
      <c r="H116">
        <v>105</v>
      </c>
      <c r="I116" s="51">
        <v>226</v>
      </c>
    </row>
    <row r="117" spans="5:9" x14ac:dyDescent="0.25">
      <c r="E117">
        <f t="shared" si="11"/>
        <v>20</v>
      </c>
      <c r="G117" t="s">
        <v>224</v>
      </c>
      <c r="H117" s="51">
        <v>16</v>
      </c>
      <c r="I117" s="51">
        <v>226</v>
      </c>
    </row>
    <row r="118" spans="5:9" x14ac:dyDescent="0.25">
      <c r="E118">
        <f t="shared" si="11"/>
        <v>20</v>
      </c>
      <c r="G118" t="s">
        <v>225</v>
      </c>
      <c r="H118" s="51">
        <v>49</v>
      </c>
      <c r="I118" s="51">
        <v>226</v>
      </c>
    </row>
    <row r="119" spans="5:9" x14ac:dyDescent="0.25">
      <c r="E119">
        <f t="shared" si="11"/>
        <v>20</v>
      </c>
      <c r="G119" t="s">
        <v>226</v>
      </c>
      <c r="H119" s="51">
        <v>54</v>
      </c>
      <c r="I119" s="51">
        <v>226</v>
      </c>
    </row>
    <row r="120" spans="5:9" x14ac:dyDescent="0.25">
      <c r="E120">
        <f>+$F$120</f>
        <v>21</v>
      </c>
      <c r="F120">
        <v>21</v>
      </c>
      <c r="G120" t="s">
        <v>218</v>
      </c>
      <c r="H120" s="51">
        <v>72</v>
      </c>
      <c r="I120" s="51">
        <v>169</v>
      </c>
    </row>
    <row r="121" spans="5:9" x14ac:dyDescent="0.25">
      <c r="E121">
        <f t="shared" ref="E121:E128" si="12">+$F$120</f>
        <v>21</v>
      </c>
      <c r="G121" t="s">
        <v>219</v>
      </c>
      <c r="H121" s="51">
        <v>60</v>
      </c>
      <c r="I121" s="51">
        <v>169</v>
      </c>
    </row>
    <row r="122" spans="5:9" x14ac:dyDescent="0.25">
      <c r="E122">
        <f t="shared" si="12"/>
        <v>21</v>
      </c>
      <c r="G122" t="s">
        <v>220</v>
      </c>
      <c r="H122" s="51">
        <v>113</v>
      </c>
      <c r="I122" s="51">
        <v>169</v>
      </c>
    </row>
    <row r="123" spans="5:9" x14ac:dyDescent="0.25">
      <c r="E123">
        <f t="shared" si="12"/>
        <v>21</v>
      </c>
      <c r="G123" t="s">
        <v>221</v>
      </c>
      <c r="H123" s="51">
        <v>70</v>
      </c>
      <c r="I123" s="51">
        <v>169</v>
      </c>
    </row>
    <row r="124" spans="5:9" x14ac:dyDescent="0.25">
      <c r="E124">
        <f t="shared" si="12"/>
        <v>21</v>
      </c>
      <c r="G124" t="s">
        <v>222</v>
      </c>
      <c r="H124">
        <v>132</v>
      </c>
      <c r="I124" s="51">
        <v>169</v>
      </c>
    </row>
    <row r="125" spans="5:9" x14ac:dyDescent="0.25">
      <c r="E125">
        <f t="shared" si="12"/>
        <v>21</v>
      </c>
      <c r="G125" t="s">
        <v>223</v>
      </c>
      <c r="H125" s="51">
        <v>103</v>
      </c>
      <c r="I125" s="51">
        <v>169</v>
      </c>
    </row>
    <row r="126" spans="5:9" x14ac:dyDescent="0.25">
      <c r="E126">
        <f t="shared" si="12"/>
        <v>21</v>
      </c>
      <c r="G126" t="s">
        <v>224</v>
      </c>
      <c r="H126" s="51">
        <v>26</v>
      </c>
      <c r="I126" s="51">
        <v>169</v>
      </c>
    </row>
    <row r="127" spans="5:9" x14ac:dyDescent="0.25">
      <c r="E127">
        <f t="shared" si="12"/>
        <v>21</v>
      </c>
      <c r="G127" t="s">
        <v>225</v>
      </c>
      <c r="H127" s="51">
        <v>38</v>
      </c>
      <c r="I127" s="51">
        <v>169</v>
      </c>
    </row>
    <row r="128" spans="5:9" x14ac:dyDescent="0.25">
      <c r="E128">
        <f t="shared" si="12"/>
        <v>21</v>
      </c>
      <c r="G128" t="s">
        <v>226</v>
      </c>
      <c r="H128" s="51">
        <v>31</v>
      </c>
      <c r="I128" s="51">
        <v>169</v>
      </c>
    </row>
    <row r="129" spans="5:9" x14ac:dyDescent="0.25">
      <c r="E129">
        <f>+$F$129</f>
        <v>22</v>
      </c>
      <c r="F129">
        <v>22</v>
      </c>
      <c r="G129" t="s">
        <v>218</v>
      </c>
      <c r="H129" s="51">
        <v>47</v>
      </c>
      <c r="I129" s="51">
        <v>72</v>
      </c>
    </row>
    <row r="130" spans="5:9" x14ac:dyDescent="0.25">
      <c r="E130">
        <f t="shared" ref="E130:E137" si="13">+$F$129</f>
        <v>22</v>
      </c>
      <c r="G130" t="s">
        <v>219</v>
      </c>
      <c r="H130" s="51">
        <v>37</v>
      </c>
      <c r="I130" s="51">
        <v>72</v>
      </c>
    </row>
    <row r="131" spans="5:9" x14ac:dyDescent="0.25">
      <c r="E131">
        <f t="shared" si="13"/>
        <v>22</v>
      </c>
      <c r="G131" t="s">
        <v>220</v>
      </c>
      <c r="H131" s="51">
        <v>39</v>
      </c>
      <c r="I131" s="51">
        <v>72</v>
      </c>
    </row>
    <row r="132" spans="5:9" x14ac:dyDescent="0.25">
      <c r="E132">
        <f t="shared" si="13"/>
        <v>22</v>
      </c>
      <c r="G132" t="s">
        <v>221</v>
      </c>
      <c r="H132" s="51">
        <v>40</v>
      </c>
      <c r="I132" s="51">
        <v>72</v>
      </c>
    </row>
    <row r="133" spans="5:9" x14ac:dyDescent="0.25">
      <c r="E133">
        <f t="shared" si="13"/>
        <v>22</v>
      </c>
      <c r="G133" t="s">
        <v>222</v>
      </c>
      <c r="H133" s="51">
        <v>47</v>
      </c>
      <c r="I133" s="51">
        <v>72</v>
      </c>
    </row>
    <row r="134" spans="5:9" x14ac:dyDescent="0.25">
      <c r="E134">
        <f t="shared" si="13"/>
        <v>22</v>
      </c>
      <c r="G134" t="s">
        <v>223</v>
      </c>
      <c r="H134" s="51">
        <v>37</v>
      </c>
      <c r="I134" s="51">
        <v>72</v>
      </c>
    </row>
    <row r="135" spans="5:9" x14ac:dyDescent="0.25">
      <c r="E135">
        <f t="shared" si="13"/>
        <v>22</v>
      </c>
      <c r="G135" t="s">
        <v>224</v>
      </c>
      <c r="H135" s="51">
        <v>44</v>
      </c>
      <c r="I135" s="51">
        <v>72</v>
      </c>
    </row>
    <row r="136" spans="5:9" x14ac:dyDescent="0.25">
      <c r="E136">
        <f t="shared" si="13"/>
        <v>22</v>
      </c>
      <c r="G136" t="s">
        <v>225</v>
      </c>
      <c r="H136" s="51">
        <v>33</v>
      </c>
      <c r="I136" s="51">
        <v>72</v>
      </c>
    </row>
    <row r="137" spans="5:9" x14ac:dyDescent="0.25">
      <c r="E137">
        <f t="shared" si="13"/>
        <v>22</v>
      </c>
      <c r="G137" t="s">
        <v>226</v>
      </c>
      <c r="H137" s="51">
        <v>39</v>
      </c>
      <c r="I137" s="51">
        <v>72</v>
      </c>
    </row>
    <row r="138" spans="5:9" x14ac:dyDescent="0.25">
      <c r="E138">
        <f>+$F$138</f>
        <v>23</v>
      </c>
      <c r="F138">
        <v>23</v>
      </c>
      <c r="G138" t="s">
        <v>218</v>
      </c>
      <c r="H138" s="51">
        <v>63</v>
      </c>
      <c r="I138" s="51">
        <v>160</v>
      </c>
    </row>
    <row r="139" spans="5:9" x14ac:dyDescent="0.25">
      <c r="E139">
        <f t="shared" ref="E139:E146" si="14">+$F$138</f>
        <v>23</v>
      </c>
      <c r="G139" t="s">
        <v>219</v>
      </c>
      <c r="H139" s="51">
        <v>65</v>
      </c>
      <c r="I139" s="51">
        <v>160</v>
      </c>
    </row>
    <row r="140" spans="5:9" x14ac:dyDescent="0.25">
      <c r="E140">
        <f t="shared" si="14"/>
        <v>23</v>
      </c>
      <c r="G140" t="s">
        <v>220</v>
      </c>
      <c r="H140">
        <v>96</v>
      </c>
      <c r="I140" s="51">
        <v>160</v>
      </c>
    </row>
    <row r="141" spans="5:9" x14ac:dyDescent="0.25">
      <c r="E141">
        <f t="shared" si="14"/>
        <v>23</v>
      </c>
      <c r="G141" t="s">
        <v>221</v>
      </c>
      <c r="H141" s="51">
        <v>67</v>
      </c>
      <c r="I141" s="51">
        <v>160</v>
      </c>
    </row>
    <row r="142" spans="5:9" x14ac:dyDescent="0.25">
      <c r="E142">
        <f t="shared" si="14"/>
        <v>23</v>
      </c>
      <c r="G142" t="s">
        <v>222</v>
      </c>
      <c r="H142" s="51">
        <v>118</v>
      </c>
      <c r="I142" s="51">
        <v>160</v>
      </c>
    </row>
    <row r="143" spans="5:9" x14ac:dyDescent="0.25">
      <c r="E143">
        <f t="shared" si="14"/>
        <v>23</v>
      </c>
      <c r="G143" t="s">
        <v>223</v>
      </c>
      <c r="H143" s="51">
        <v>77</v>
      </c>
      <c r="I143" s="51">
        <v>160</v>
      </c>
    </row>
    <row r="144" spans="5:9" x14ac:dyDescent="0.25">
      <c r="E144">
        <f t="shared" si="14"/>
        <v>23</v>
      </c>
      <c r="G144" t="s">
        <v>224</v>
      </c>
      <c r="H144" s="51">
        <v>22</v>
      </c>
      <c r="I144" s="51">
        <v>160</v>
      </c>
    </row>
    <row r="145" spans="5:9" x14ac:dyDescent="0.25">
      <c r="E145">
        <f t="shared" si="14"/>
        <v>23</v>
      </c>
      <c r="G145" t="s">
        <v>225</v>
      </c>
      <c r="H145" s="51">
        <v>55</v>
      </c>
      <c r="I145" s="51">
        <v>160</v>
      </c>
    </row>
    <row r="146" spans="5:9" x14ac:dyDescent="0.25">
      <c r="E146">
        <f t="shared" si="14"/>
        <v>23</v>
      </c>
      <c r="G146" t="s">
        <v>226</v>
      </c>
      <c r="H146" s="51">
        <v>37</v>
      </c>
      <c r="I146" s="51">
        <v>160</v>
      </c>
    </row>
    <row r="147" spans="5:9" x14ac:dyDescent="0.25">
      <c r="E147">
        <f>+$F$147</f>
        <v>24</v>
      </c>
      <c r="F147">
        <v>24</v>
      </c>
      <c r="G147" t="s">
        <v>218</v>
      </c>
      <c r="H147" s="51">
        <v>44</v>
      </c>
      <c r="I147" s="51">
        <v>178</v>
      </c>
    </row>
    <row r="148" spans="5:9" x14ac:dyDescent="0.25">
      <c r="E148">
        <f t="shared" ref="E148:E155" si="15">+$F$147</f>
        <v>24</v>
      </c>
      <c r="G148" t="s">
        <v>219</v>
      </c>
      <c r="H148">
        <v>30</v>
      </c>
      <c r="I148" s="51">
        <v>178</v>
      </c>
    </row>
    <row r="149" spans="5:9" x14ac:dyDescent="0.25">
      <c r="E149">
        <f t="shared" si="15"/>
        <v>24</v>
      </c>
      <c r="G149" t="s">
        <v>220</v>
      </c>
      <c r="H149" s="51">
        <v>80</v>
      </c>
      <c r="I149" s="51">
        <v>178</v>
      </c>
    </row>
    <row r="150" spans="5:9" x14ac:dyDescent="0.25">
      <c r="E150">
        <f t="shared" si="15"/>
        <v>24</v>
      </c>
      <c r="G150" t="s">
        <v>221</v>
      </c>
      <c r="H150" s="51">
        <v>43</v>
      </c>
      <c r="I150" s="51">
        <v>178</v>
      </c>
    </row>
    <row r="151" spans="5:9" x14ac:dyDescent="0.25">
      <c r="E151">
        <f t="shared" si="15"/>
        <v>24</v>
      </c>
      <c r="G151" t="s">
        <v>222</v>
      </c>
      <c r="H151" s="51">
        <v>97</v>
      </c>
      <c r="I151" s="51">
        <v>178</v>
      </c>
    </row>
    <row r="152" spans="5:9" x14ac:dyDescent="0.25">
      <c r="E152">
        <f t="shared" si="15"/>
        <v>24</v>
      </c>
      <c r="G152" t="s">
        <v>223</v>
      </c>
      <c r="H152" s="51">
        <v>57</v>
      </c>
      <c r="I152" s="51">
        <v>178</v>
      </c>
    </row>
    <row r="153" spans="5:9" x14ac:dyDescent="0.25">
      <c r="E153">
        <f t="shared" si="15"/>
        <v>24</v>
      </c>
      <c r="G153" t="s">
        <v>224</v>
      </c>
      <c r="H153" s="51">
        <v>13</v>
      </c>
      <c r="I153" s="51">
        <v>178</v>
      </c>
    </row>
    <row r="154" spans="5:9" x14ac:dyDescent="0.25">
      <c r="E154">
        <f t="shared" si="15"/>
        <v>24</v>
      </c>
      <c r="G154" t="s">
        <v>225</v>
      </c>
      <c r="H154" s="51">
        <v>33</v>
      </c>
      <c r="I154" s="51">
        <v>178</v>
      </c>
    </row>
    <row r="155" spans="5:9" x14ac:dyDescent="0.25">
      <c r="E155">
        <f t="shared" si="15"/>
        <v>24</v>
      </c>
      <c r="G155" t="s">
        <v>226</v>
      </c>
      <c r="H155" s="51">
        <v>34</v>
      </c>
      <c r="I155" s="51">
        <v>178</v>
      </c>
    </row>
    <row r="156" spans="5:9" x14ac:dyDescent="0.25">
      <c r="E156">
        <f>+$F$156</f>
        <v>25</v>
      </c>
      <c r="F156">
        <v>25</v>
      </c>
      <c r="G156" t="s">
        <v>218</v>
      </c>
      <c r="H156" s="51">
        <v>44</v>
      </c>
      <c r="I156" s="51">
        <v>172</v>
      </c>
    </row>
    <row r="157" spans="5:9" x14ac:dyDescent="0.25">
      <c r="E157">
        <f t="shared" ref="E157:E164" si="16">+$F$156</f>
        <v>25</v>
      </c>
      <c r="G157" t="s">
        <v>219</v>
      </c>
      <c r="H157" s="51">
        <v>25</v>
      </c>
      <c r="I157" s="51">
        <v>172</v>
      </c>
    </row>
    <row r="158" spans="5:9" x14ac:dyDescent="0.25">
      <c r="E158">
        <f t="shared" si="16"/>
        <v>25</v>
      </c>
      <c r="G158" t="s">
        <v>220</v>
      </c>
      <c r="H158" s="51">
        <v>45</v>
      </c>
      <c r="I158" s="51">
        <v>172</v>
      </c>
    </row>
    <row r="159" spans="5:9" x14ac:dyDescent="0.25">
      <c r="E159">
        <f t="shared" si="16"/>
        <v>25</v>
      </c>
      <c r="G159" t="s">
        <v>221</v>
      </c>
      <c r="H159" s="51">
        <v>51</v>
      </c>
      <c r="I159" s="51">
        <v>172</v>
      </c>
    </row>
    <row r="160" spans="5:9" x14ac:dyDescent="0.25">
      <c r="E160">
        <f t="shared" si="16"/>
        <v>25</v>
      </c>
      <c r="G160" t="s">
        <v>222</v>
      </c>
      <c r="H160" s="51">
        <v>62</v>
      </c>
      <c r="I160" s="51">
        <v>172</v>
      </c>
    </row>
    <row r="161" spans="5:9" x14ac:dyDescent="0.25">
      <c r="E161">
        <f t="shared" si="16"/>
        <v>25</v>
      </c>
      <c r="G161" t="s">
        <v>223</v>
      </c>
      <c r="H161" s="51">
        <v>49</v>
      </c>
      <c r="I161" s="51">
        <v>172</v>
      </c>
    </row>
    <row r="162" spans="5:9" x14ac:dyDescent="0.25">
      <c r="E162">
        <f t="shared" si="16"/>
        <v>25</v>
      </c>
      <c r="G162" t="s">
        <v>224</v>
      </c>
      <c r="H162" s="51">
        <v>52</v>
      </c>
      <c r="I162" s="51">
        <v>172</v>
      </c>
    </row>
    <row r="163" spans="5:9" x14ac:dyDescent="0.25">
      <c r="E163">
        <f t="shared" si="16"/>
        <v>25</v>
      </c>
      <c r="G163" t="s">
        <v>225</v>
      </c>
      <c r="H163" s="51">
        <v>34</v>
      </c>
      <c r="I163" s="51">
        <v>172</v>
      </c>
    </row>
    <row r="164" spans="5:9" x14ac:dyDescent="0.25">
      <c r="E164">
        <f t="shared" si="16"/>
        <v>25</v>
      </c>
      <c r="G164" t="s">
        <v>226</v>
      </c>
      <c r="H164">
        <v>28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218</v>
      </c>
      <c r="H165" s="51">
        <v>26</v>
      </c>
      <c r="I165" s="51">
        <v>162</v>
      </c>
    </row>
    <row r="166" spans="5:9" x14ac:dyDescent="0.25">
      <c r="E166">
        <f t="shared" ref="E166:E173" si="17">+$F$165</f>
        <v>26</v>
      </c>
      <c r="G166" t="s">
        <v>219</v>
      </c>
      <c r="H166" s="51">
        <v>11</v>
      </c>
      <c r="I166" s="51">
        <v>162</v>
      </c>
    </row>
    <row r="167" spans="5:9" x14ac:dyDescent="0.25">
      <c r="E167">
        <f t="shared" si="17"/>
        <v>26</v>
      </c>
      <c r="G167" t="s">
        <v>220</v>
      </c>
      <c r="H167" s="51">
        <v>15</v>
      </c>
      <c r="I167" s="51">
        <v>162</v>
      </c>
    </row>
    <row r="168" spans="5:9" x14ac:dyDescent="0.25">
      <c r="E168">
        <f t="shared" si="17"/>
        <v>26</v>
      </c>
      <c r="G168" t="s">
        <v>221</v>
      </c>
      <c r="H168" s="51">
        <v>25</v>
      </c>
      <c r="I168" s="51">
        <v>162</v>
      </c>
    </row>
    <row r="169" spans="5:9" x14ac:dyDescent="0.25">
      <c r="E169">
        <f t="shared" si="17"/>
        <v>26</v>
      </c>
      <c r="G169" t="s">
        <v>222</v>
      </c>
      <c r="H169" s="51">
        <v>32</v>
      </c>
      <c r="I169" s="51">
        <v>162</v>
      </c>
    </row>
    <row r="170" spans="5:9" x14ac:dyDescent="0.25">
      <c r="E170">
        <f t="shared" si="17"/>
        <v>26</v>
      </c>
      <c r="G170" t="s">
        <v>223</v>
      </c>
      <c r="H170" s="51">
        <v>17</v>
      </c>
      <c r="I170" s="51">
        <v>162</v>
      </c>
    </row>
    <row r="171" spans="5:9" x14ac:dyDescent="0.25">
      <c r="E171">
        <f t="shared" si="17"/>
        <v>26</v>
      </c>
      <c r="G171" t="s">
        <v>224</v>
      </c>
      <c r="H171" s="51">
        <v>38</v>
      </c>
      <c r="I171" s="51">
        <v>162</v>
      </c>
    </row>
    <row r="172" spans="5:9" x14ac:dyDescent="0.25">
      <c r="E172">
        <f t="shared" si="17"/>
        <v>26</v>
      </c>
      <c r="G172" t="s">
        <v>225</v>
      </c>
      <c r="H172" s="51">
        <v>22</v>
      </c>
      <c r="I172" s="51">
        <v>162</v>
      </c>
    </row>
    <row r="173" spans="5:9" x14ac:dyDescent="0.25">
      <c r="E173">
        <f t="shared" si="17"/>
        <v>26</v>
      </c>
      <c r="G173" t="s">
        <v>226</v>
      </c>
      <c r="H173" s="51">
        <v>24</v>
      </c>
      <c r="I173" s="51">
        <v>162</v>
      </c>
    </row>
    <row r="174" spans="5:9" x14ac:dyDescent="0.25">
      <c r="E174">
        <f>+$F$174</f>
        <v>27</v>
      </c>
      <c r="F174">
        <v>27</v>
      </c>
      <c r="G174" t="s">
        <v>218</v>
      </c>
      <c r="H174" s="51">
        <v>57</v>
      </c>
      <c r="I174" s="51">
        <v>140</v>
      </c>
    </row>
    <row r="175" spans="5:9" x14ac:dyDescent="0.25">
      <c r="E175">
        <f t="shared" ref="E175:E182" si="18">+$F$174</f>
        <v>27</v>
      </c>
      <c r="G175" t="s">
        <v>219</v>
      </c>
      <c r="H175" s="51">
        <v>30</v>
      </c>
      <c r="I175" s="51">
        <v>140</v>
      </c>
    </row>
    <row r="176" spans="5:9" x14ac:dyDescent="0.25">
      <c r="E176">
        <f t="shared" si="18"/>
        <v>27</v>
      </c>
      <c r="G176" t="s">
        <v>220</v>
      </c>
      <c r="H176" s="51">
        <v>58</v>
      </c>
      <c r="I176" s="51">
        <v>140</v>
      </c>
    </row>
    <row r="177" spans="5:9" x14ac:dyDescent="0.25">
      <c r="E177">
        <f t="shared" si="18"/>
        <v>27</v>
      </c>
      <c r="G177" t="s">
        <v>221</v>
      </c>
      <c r="H177" s="51">
        <v>62</v>
      </c>
      <c r="I177" s="51">
        <v>140</v>
      </c>
    </row>
    <row r="178" spans="5:9" x14ac:dyDescent="0.25">
      <c r="E178">
        <f t="shared" si="18"/>
        <v>27</v>
      </c>
      <c r="G178" t="s">
        <v>222</v>
      </c>
      <c r="H178" s="51">
        <v>106</v>
      </c>
      <c r="I178" s="51">
        <v>140</v>
      </c>
    </row>
    <row r="179" spans="5:9" x14ac:dyDescent="0.25">
      <c r="E179">
        <f t="shared" si="18"/>
        <v>27</v>
      </c>
      <c r="G179" t="s">
        <v>223</v>
      </c>
      <c r="H179" s="51">
        <v>75</v>
      </c>
      <c r="I179" s="51">
        <v>140</v>
      </c>
    </row>
    <row r="180" spans="5:9" x14ac:dyDescent="0.25">
      <c r="E180">
        <f t="shared" si="18"/>
        <v>27</v>
      </c>
      <c r="G180" t="s">
        <v>224</v>
      </c>
      <c r="H180">
        <v>29</v>
      </c>
      <c r="I180" s="51">
        <v>140</v>
      </c>
    </row>
    <row r="181" spans="5:9" x14ac:dyDescent="0.25">
      <c r="E181">
        <f t="shared" si="18"/>
        <v>27</v>
      </c>
      <c r="G181" t="s">
        <v>225</v>
      </c>
      <c r="H181" s="51">
        <v>41</v>
      </c>
      <c r="I181" s="51">
        <v>140</v>
      </c>
    </row>
    <row r="182" spans="5:9" x14ac:dyDescent="0.25">
      <c r="E182">
        <f t="shared" si="18"/>
        <v>27</v>
      </c>
      <c r="G182" t="s">
        <v>226</v>
      </c>
      <c r="H182" s="51">
        <v>29</v>
      </c>
      <c r="I182" s="51">
        <v>140</v>
      </c>
    </row>
    <row r="183" spans="5:9" x14ac:dyDescent="0.25">
      <c r="E183">
        <f>+$F$183</f>
        <v>28</v>
      </c>
      <c r="F183">
        <v>28</v>
      </c>
      <c r="G183" t="s">
        <v>218</v>
      </c>
      <c r="H183" s="51">
        <v>41</v>
      </c>
      <c r="I183" s="51">
        <v>168</v>
      </c>
    </row>
    <row r="184" spans="5:9" x14ac:dyDescent="0.25">
      <c r="E184">
        <f t="shared" ref="E184:E191" si="19">+$F$183</f>
        <v>28</v>
      </c>
      <c r="G184" t="s">
        <v>219</v>
      </c>
      <c r="H184" s="51">
        <v>32</v>
      </c>
      <c r="I184" s="51">
        <v>168</v>
      </c>
    </row>
    <row r="185" spans="5:9" x14ac:dyDescent="0.25">
      <c r="E185">
        <f t="shared" si="19"/>
        <v>28</v>
      </c>
      <c r="G185" t="s">
        <v>220</v>
      </c>
      <c r="H185" s="51">
        <v>46</v>
      </c>
      <c r="I185" s="51">
        <v>168</v>
      </c>
    </row>
    <row r="186" spans="5:9" x14ac:dyDescent="0.25">
      <c r="E186">
        <f t="shared" si="19"/>
        <v>28</v>
      </c>
      <c r="G186" t="s">
        <v>221</v>
      </c>
      <c r="H186">
        <v>45</v>
      </c>
      <c r="I186" s="51">
        <v>168</v>
      </c>
    </row>
    <row r="187" spans="5:9" x14ac:dyDescent="0.25">
      <c r="E187">
        <f t="shared" si="19"/>
        <v>28</v>
      </c>
      <c r="G187" t="s">
        <v>222</v>
      </c>
      <c r="H187" s="51">
        <v>107</v>
      </c>
      <c r="I187" s="51">
        <v>168</v>
      </c>
    </row>
    <row r="188" spans="5:9" x14ac:dyDescent="0.25">
      <c r="E188">
        <f t="shared" si="19"/>
        <v>28</v>
      </c>
      <c r="G188" t="s">
        <v>223</v>
      </c>
      <c r="H188" s="51">
        <v>84</v>
      </c>
      <c r="I188" s="51">
        <v>168</v>
      </c>
    </row>
    <row r="189" spans="5:9" x14ac:dyDescent="0.25">
      <c r="E189">
        <f t="shared" si="19"/>
        <v>28</v>
      </c>
      <c r="G189" t="s">
        <v>224</v>
      </c>
      <c r="H189" s="51">
        <v>18</v>
      </c>
      <c r="I189" s="51">
        <v>168</v>
      </c>
    </row>
    <row r="190" spans="5:9" x14ac:dyDescent="0.25">
      <c r="E190">
        <f t="shared" si="19"/>
        <v>28</v>
      </c>
      <c r="G190" t="s">
        <v>225</v>
      </c>
      <c r="H190" s="51">
        <v>25</v>
      </c>
      <c r="I190" s="51">
        <v>168</v>
      </c>
    </row>
    <row r="191" spans="5:9" x14ac:dyDescent="0.25">
      <c r="E191">
        <f t="shared" si="19"/>
        <v>28</v>
      </c>
      <c r="G191" t="s">
        <v>226</v>
      </c>
      <c r="H191" s="51">
        <v>40</v>
      </c>
      <c r="I191" s="51">
        <v>168</v>
      </c>
    </row>
    <row r="192" spans="5:9" x14ac:dyDescent="0.25">
      <c r="E192">
        <f>+$F$192</f>
        <v>3</v>
      </c>
      <c r="F192">
        <v>3</v>
      </c>
      <c r="G192" t="s">
        <v>218</v>
      </c>
      <c r="H192" s="51">
        <v>59</v>
      </c>
      <c r="I192" s="51">
        <v>170</v>
      </c>
    </row>
    <row r="193" spans="5:9" x14ac:dyDescent="0.25">
      <c r="E193">
        <f t="shared" ref="E193:E200" si="20">+$F$192</f>
        <v>3</v>
      </c>
      <c r="G193" t="s">
        <v>219</v>
      </c>
      <c r="H193" s="51">
        <v>45</v>
      </c>
      <c r="I193" s="51">
        <v>170</v>
      </c>
    </row>
    <row r="194" spans="5:9" x14ac:dyDescent="0.25">
      <c r="E194">
        <f t="shared" si="20"/>
        <v>3</v>
      </c>
      <c r="G194" t="s">
        <v>220</v>
      </c>
      <c r="H194" s="51">
        <v>90</v>
      </c>
      <c r="I194" s="51">
        <v>170</v>
      </c>
    </row>
    <row r="195" spans="5:9" x14ac:dyDescent="0.25">
      <c r="E195">
        <f t="shared" si="20"/>
        <v>3</v>
      </c>
      <c r="G195" t="s">
        <v>221</v>
      </c>
      <c r="H195" s="51">
        <v>51</v>
      </c>
      <c r="I195" s="51">
        <v>170</v>
      </c>
    </row>
    <row r="196" spans="5:9" x14ac:dyDescent="0.25">
      <c r="E196">
        <f t="shared" si="20"/>
        <v>3</v>
      </c>
      <c r="G196" t="s">
        <v>222</v>
      </c>
      <c r="H196">
        <v>104</v>
      </c>
      <c r="I196" s="51">
        <v>170</v>
      </c>
    </row>
    <row r="197" spans="5:9" x14ac:dyDescent="0.25">
      <c r="E197">
        <f t="shared" si="20"/>
        <v>3</v>
      </c>
      <c r="G197" t="s">
        <v>223</v>
      </c>
      <c r="H197" s="51">
        <v>86</v>
      </c>
      <c r="I197" s="51">
        <v>170</v>
      </c>
    </row>
    <row r="198" spans="5:9" x14ac:dyDescent="0.25">
      <c r="E198">
        <f t="shared" si="20"/>
        <v>3</v>
      </c>
      <c r="G198" t="s">
        <v>224</v>
      </c>
      <c r="H198" s="51">
        <v>21</v>
      </c>
      <c r="I198" s="51">
        <v>170</v>
      </c>
    </row>
    <row r="199" spans="5:9" x14ac:dyDescent="0.25">
      <c r="E199">
        <f t="shared" si="20"/>
        <v>3</v>
      </c>
      <c r="G199" t="s">
        <v>225</v>
      </c>
      <c r="H199" s="51">
        <v>35</v>
      </c>
      <c r="I199" s="51">
        <v>170</v>
      </c>
    </row>
    <row r="200" spans="5:9" x14ac:dyDescent="0.25">
      <c r="E200">
        <f t="shared" si="20"/>
        <v>3</v>
      </c>
      <c r="G200" t="s">
        <v>226</v>
      </c>
      <c r="H200" s="51">
        <v>83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218</v>
      </c>
      <c r="H201" s="51">
        <v>7</v>
      </c>
      <c r="I201" s="51">
        <v>138</v>
      </c>
    </row>
    <row r="202" spans="5:9" x14ac:dyDescent="0.25">
      <c r="E202">
        <f t="shared" ref="E202:E209" si="21">+$F$201</f>
        <v>30</v>
      </c>
      <c r="G202" t="s">
        <v>219</v>
      </c>
      <c r="H202" s="51">
        <v>1</v>
      </c>
      <c r="I202" s="51">
        <v>138</v>
      </c>
    </row>
    <row r="203" spans="5:9" x14ac:dyDescent="0.25">
      <c r="E203">
        <f t="shared" si="21"/>
        <v>30</v>
      </c>
      <c r="G203" t="s">
        <v>220</v>
      </c>
      <c r="H203" s="51">
        <v>18</v>
      </c>
      <c r="I203" s="51">
        <v>138</v>
      </c>
    </row>
    <row r="204" spans="5:9" x14ac:dyDescent="0.25">
      <c r="E204">
        <f t="shared" si="21"/>
        <v>30</v>
      </c>
      <c r="G204" t="s">
        <v>221</v>
      </c>
      <c r="H204" s="51">
        <v>6</v>
      </c>
      <c r="I204" s="51">
        <v>138</v>
      </c>
    </row>
    <row r="205" spans="5:9" x14ac:dyDescent="0.25">
      <c r="E205">
        <f t="shared" si="21"/>
        <v>30</v>
      </c>
      <c r="G205" t="s">
        <v>222</v>
      </c>
      <c r="H205" s="51">
        <v>9</v>
      </c>
      <c r="I205" s="51">
        <v>138</v>
      </c>
    </row>
    <row r="206" spans="5:9" x14ac:dyDescent="0.25">
      <c r="E206">
        <f t="shared" si="21"/>
        <v>30</v>
      </c>
      <c r="G206" t="s">
        <v>223</v>
      </c>
      <c r="H206" s="51">
        <v>2</v>
      </c>
      <c r="I206" s="51">
        <v>138</v>
      </c>
    </row>
    <row r="207" spans="5:9" x14ac:dyDescent="0.25">
      <c r="E207">
        <f t="shared" si="21"/>
        <v>30</v>
      </c>
      <c r="G207" t="s">
        <v>224</v>
      </c>
      <c r="H207" s="51">
        <v>14</v>
      </c>
      <c r="I207" s="51">
        <v>138</v>
      </c>
    </row>
    <row r="208" spans="5:9" x14ac:dyDescent="0.25">
      <c r="E208">
        <f t="shared" si="21"/>
        <v>30</v>
      </c>
      <c r="G208" t="s">
        <v>225</v>
      </c>
      <c r="H208" s="51">
        <v>1</v>
      </c>
      <c r="I208" s="51">
        <v>138</v>
      </c>
    </row>
    <row r="209" spans="5:9" x14ac:dyDescent="0.25">
      <c r="E209">
        <f t="shared" si="21"/>
        <v>30</v>
      </c>
      <c r="G209" t="s">
        <v>226</v>
      </c>
      <c r="H209" s="51">
        <v>2</v>
      </c>
      <c r="I209" s="51">
        <v>138</v>
      </c>
    </row>
    <row r="210" spans="5:9" x14ac:dyDescent="0.25">
      <c r="E210">
        <f>+$F$210</f>
        <v>31</v>
      </c>
      <c r="F210">
        <v>31</v>
      </c>
      <c r="G210" t="s">
        <v>218</v>
      </c>
      <c r="H210" s="51">
        <v>71</v>
      </c>
      <c r="I210" s="51">
        <v>161</v>
      </c>
    </row>
    <row r="211" spans="5:9" x14ac:dyDescent="0.25">
      <c r="E211">
        <f t="shared" ref="E211:E218" si="22">+$F$210</f>
        <v>31</v>
      </c>
      <c r="G211" t="s">
        <v>219</v>
      </c>
      <c r="H211" s="51">
        <v>47</v>
      </c>
      <c r="I211" s="51">
        <v>161</v>
      </c>
    </row>
    <row r="212" spans="5:9" x14ac:dyDescent="0.25">
      <c r="E212">
        <f t="shared" si="22"/>
        <v>31</v>
      </c>
      <c r="G212" t="s">
        <v>220</v>
      </c>
      <c r="H212">
        <v>96</v>
      </c>
      <c r="I212" s="51">
        <v>161</v>
      </c>
    </row>
    <row r="213" spans="5:9" x14ac:dyDescent="0.25">
      <c r="E213">
        <f t="shared" si="22"/>
        <v>31</v>
      </c>
      <c r="G213" t="s">
        <v>221</v>
      </c>
      <c r="H213" s="51">
        <v>53</v>
      </c>
      <c r="I213" s="51">
        <v>161</v>
      </c>
    </row>
    <row r="214" spans="5:9" x14ac:dyDescent="0.25">
      <c r="E214">
        <f t="shared" si="22"/>
        <v>31</v>
      </c>
      <c r="G214" t="s">
        <v>222</v>
      </c>
      <c r="H214" s="51">
        <v>106</v>
      </c>
      <c r="I214" s="51">
        <v>161</v>
      </c>
    </row>
    <row r="215" spans="5:9" x14ac:dyDescent="0.25">
      <c r="E215">
        <f t="shared" si="22"/>
        <v>31</v>
      </c>
      <c r="G215" t="s">
        <v>223</v>
      </c>
      <c r="H215" s="51">
        <v>84</v>
      </c>
      <c r="I215" s="51">
        <v>161</v>
      </c>
    </row>
    <row r="216" spans="5:9" x14ac:dyDescent="0.25">
      <c r="E216">
        <f t="shared" si="22"/>
        <v>31</v>
      </c>
      <c r="G216" t="s">
        <v>224</v>
      </c>
      <c r="H216" s="51">
        <v>30</v>
      </c>
      <c r="I216" s="51">
        <v>161</v>
      </c>
    </row>
    <row r="217" spans="5:9" x14ac:dyDescent="0.25">
      <c r="E217">
        <f t="shared" si="22"/>
        <v>31</v>
      </c>
      <c r="G217" t="s">
        <v>225</v>
      </c>
      <c r="H217" s="51">
        <v>47</v>
      </c>
      <c r="I217" s="51">
        <v>161</v>
      </c>
    </row>
    <row r="218" spans="5:9" x14ac:dyDescent="0.25">
      <c r="E218">
        <f t="shared" si="22"/>
        <v>31</v>
      </c>
      <c r="G218" t="s">
        <v>226</v>
      </c>
      <c r="H218" s="51">
        <v>23</v>
      </c>
      <c r="I218" s="51">
        <v>161</v>
      </c>
    </row>
    <row r="219" spans="5:9" x14ac:dyDescent="0.25">
      <c r="E219">
        <f>+$F$219</f>
        <v>32</v>
      </c>
      <c r="F219">
        <v>32</v>
      </c>
      <c r="G219" t="s">
        <v>218</v>
      </c>
      <c r="H219" s="51">
        <v>35</v>
      </c>
      <c r="I219" s="51">
        <v>56</v>
      </c>
    </row>
    <row r="220" spans="5:9" x14ac:dyDescent="0.25">
      <c r="E220">
        <f t="shared" ref="E220:E227" si="23">+$F$219</f>
        <v>32</v>
      </c>
      <c r="G220" t="s">
        <v>219</v>
      </c>
      <c r="H220" s="51">
        <v>11</v>
      </c>
      <c r="I220" s="51">
        <v>56</v>
      </c>
    </row>
    <row r="221" spans="5:9" x14ac:dyDescent="0.25">
      <c r="E221">
        <f t="shared" si="23"/>
        <v>32</v>
      </c>
      <c r="G221" t="s">
        <v>220</v>
      </c>
      <c r="H221" s="51">
        <v>27</v>
      </c>
      <c r="I221" s="51">
        <v>56</v>
      </c>
    </row>
    <row r="222" spans="5:9" x14ac:dyDescent="0.25">
      <c r="E222">
        <f t="shared" si="23"/>
        <v>32</v>
      </c>
      <c r="G222" t="s">
        <v>221</v>
      </c>
      <c r="H222" s="51">
        <v>33</v>
      </c>
      <c r="I222" s="51">
        <v>56</v>
      </c>
    </row>
    <row r="223" spans="5:9" x14ac:dyDescent="0.25">
      <c r="E223">
        <f t="shared" si="23"/>
        <v>32</v>
      </c>
      <c r="G223" t="s">
        <v>222</v>
      </c>
      <c r="H223" s="51">
        <v>44</v>
      </c>
      <c r="I223" s="51">
        <v>56</v>
      </c>
    </row>
    <row r="224" spans="5:9" x14ac:dyDescent="0.25">
      <c r="E224">
        <f t="shared" si="23"/>
        <v>32</v>
      </c>
      <c r="G224" t="s">
        <v>223</v>
      </c>
      <c r="H224" s="51">
        <v>33</v>
      </c>
      <c r="I224" s="51">
        <v>56</v>
      </c>
    </row>
    <row r="225" spans="5:9" x14ac:dyDescent="0.25">
      <c r="E225">
        <f t="shared" si="23"/>
        <v>32</v>
      </c>
      <c r="G225" t="s">
        <v>224</v>
      </c>
      <c r="H225" s="51">
        <v>30</v>
      </c>
      <c r="I225" s="51">
        <v>56</v>
      </c>
    </row>
    <row r="226" spans="5:9" x14ac:dyDescent="0.25">
      <c r="E226">
        <f t="shared" si="23"/>
        <v>32</v>
      </c>
      <c r="G226" t="s">
        <v>225</v>
      </c>
      <c r="H226" s="51">
        <v>23</v>
      </c>
      <c r="I226" s="51">
        <v>56</v>
      </c>
    </row>
    <row r="227" spans="5:9" x14ac:dyDescent="0.25">
      <c r="E227">
        <f t="shared" si="23"/>
        <v>32</v>
      </c>
      <c r="G227" t="s">
        <v>226</v>
      </c>
      <c r="H227" s="51">
        <v>24</v>
      </c>
      <c r="I227" s="51">
        <v>56</v>
      </c>
    </row>
    <row r="228" spans="5:9" x14ac:dyDescent="0.25">
      <c r="E228">
        <f>+$F$228</f>
        <v>33</v>
      </c>
      <c r="F228">
        <v>33</v>
      </c>
      <c r="G228" t="s">
        <v>218</v>
      </c>
      <c r="H228" s="51">
        <v>40</v>
      </c>
      <c r="I228" s="51">
        <v>172</v>
      </c>
    </row>
    <row r="229" spans="5:9" x14ac:dyDescent="0.25">
      <c r="E229">
        <f t="shared" ref="E229:E236" si="24">+$F$228</f>
        <v>33</v>
      </c>
      <c r="G229" t="s">
        <v>219</v>
      </c>
      <c r="H229" s="51">
        <v>23</v>
      </c>
      <c r="I229" s="51">
        <v>172</v>
      </c>
    </row>
    <row r="230" spans="5:9" x14ac:dyDescent="0.25">
      <c r="E230">
        <f t="shared" si="24"/>
        <v>33</v>
      </c>
      <c r="G230" t="s">
        <v>220</v>
      </c>
      <c r="H230" s="51">
        <v>57</v>
      </c>
      <c r="I230" s="51">
        <v>172</v>
      </c>
    </row>
    <row r="231" spans="5:9" x14ac:dyDescent="0.25">
      <c r="E231">
        <f t="shared" si="24"/>
        <v>33</v>
      </c>
      <c r="G231" t="s">
        <v>221</v>
      </c>
      <c r="H231" s="51">
        <v>56</v>
      </c>
      <c r="I231" s="51">
        <v>172</v>
      </c>
    </row>
    <row r="232" spans="5:9" x14ac:dyDescent="0.25">
      <c r="E232">
        <f t="shared" si="24"/>
        <v>33</v>
      </c>
      <c r="G232" t="s">
        <v>222</v>
      </c>
      <c r="H232" s="51">
        <v>96</v>
      </c>
      <c r="I232" s="51">
        <v>172</v>
      </c>
    </row>
    <row r="233" spans="5:9" x14ac:dyDescent="0.25">
      <c r="E233">
        <f t="shared" si="24"/>
        <v>33</v>
      </c>
      <c r="G233" t="s">
        <v>223</v>
      </c>
      <c r="H233" s="51">
        <v>66</v>
      </c>
      <c r="I233" s="51">
        <v>172</v>
      </c>
    </row>
    <row r="234" spans="5:9" x14ac:dyDescent="0.25">
      <c r="E234">
        <f t="shared" si="24"/>
        <v>33</v>
      </c>
      <c r="G234" t="s">
        <v>224</v>
      </c>
      <c r="H234" s="51">
        <v>12</v>
      </c>
      <c r="I234" s="51">
        <v>172</v>
      </c>
    </row>
    <row r="235" spans="5:9" x14ac:dyDescent="0.25">
      <c r="E235">
        <f t="shared" si="24"/>
        <v>33</v>
      </c>
      <c r="G235" t="s">
        <v>225</v>
      </c>
      <c r="H235" s="51">
        <v>25</v>
      </c>
      <c r="I235" s="51">
        <v>172</v>
      </c>
    </row>
    <row r="236" spans="5:9" x14ac:dyDescent="0.25">
      <c r="E236">
        <f t="shared" si="24"/>
        <v>33</v>
      </c>
      <c r="G236" t="s">
        <v>226</v>
      </c>
      <c r="H236">
        <v>24</v>
      </c>
      <c r="I236" s="51">
        <v>172</v>
      </c>
    </row>
    <row r="237" spans="5:9" x14ac:dyDescent="0.25">
      <c r="E237">
        <f>+$F$237</f>
        <v>36</v>
      </c>
      <c r="F237">
        <v>36</v>
      </c>
      <c r="G237" t="s">
        <v>218</v>
      </c>
      <c r="H237" s="51">
        <v>13</v>
      </c>
      <c r="I237" s="51">
        <v>156</v>
      </c>
    </row>
    <row r="238" spans="5:9" x14ac:dyDescent="0.25">
      <c r="E238">
        <f t="shared" ref="E238:E245" si="25">+$F$237</f>
        <v>36</v>
      </c>
      <c r="G238" t="s">
        <v>219</v>
      </c>
      <c r="H238" s="51">
        <v>8</v>
      </c>
      <c r="I238" s="51">
        <v>156</v>
      </c>
    </row>
    <row r="239" spans="5:9" x14ac:dyDescent="0.25">
      <c r="E239">
        <f t="shared" si="25"/>
        <v>36</v>
      </c>
      <c r="G239" t="s">
        <v>220</v>
      </c>
      <c r="H239" s="51">
        <v>25</v>
      </c>
      <c r="I239" s="51">
        <v>156</v>
      </c>
    </row>
    <row r="240" spans="5:9" x14ac:dyDescent="0.25">
      <c r="E240">
        <f t="shared" si="25"/>
        <v>36</v>
      </c>
      <c r="G240" t="s">
        <v>221</v>
      </c>
      <c r="H240" s="51">
        <v>32</v>
      </c>
      <c r="I240" s="51">
        <v>156</v>
      </c>
    </row>
    <row r="241" spans="5:9" x14ac:dyDescent="0.25">
      <c r="E241">
        <f t="shared" si="25"/>
        <v>36</v>
      </c>
      <c r="G241" t="s">
        <v>222</v>
      </c>
      <c r="H241" s="51">
        <v>68</v>
      </c>
      <c r="I241" s="51">
        <v>156</v>
      </c>
    </row>
    <row r="242" spans="5:9" x14ac:dyDescent="0.25">
      <c r="E242">
        <f t="shared" si="25"/>
        <v>36</v>
      </c>
      <c r="G242" t="s">
        <v>223</v>
      </c>
      <c r="H242" s="51">
        <v>23</v>
      </c>
      <c r="I242" s="51">
        <v>156</v>
      </c>
    </row>
    <row r="243" spans="5:9" x14ac:dyDescent="0.25">
      <c r="E243">
        <f t="shared" si="25"/>
        <v>36</v>
      </c>
      <c r="G243" t="s">
        <v>224</v>
      </c>
      <c r="H243" s="51">
        <v>19</v>
      </c>
      <c r="I243" s="51">
        <v>156</v>
      </c>
    </row>
    <row r="244" spans="5:9" x14ac:dyDescent="0.25">
      <c r="E244">
        <f t="shared" si="25"/>
        <v>36</v>
      </c>
      <c r="G244" t="s">
        <v>225</v>
      </c>
      <c r="H244">
        <v>14</v>
      </c>
      <c r="I244" s="51">
        <v>156</v>
      </c>
    </row>
    <row r="245" spans="5:9" x14ac:dyDescent="0.25">
      <c r="E245">
        <f t="shared" si="25"/>
        <v>36</v>
      </c>
      <c r="G245" t="s">
        <v>226</v>
      </c>
      <c r="H245" s="51">
        <v>11</v>
      </c>
      <c r="I245" s="51">
        <v>156</v>
      </c>
    </row>
    <row r="246" spans="5:9" x14ac:dyDescent="0.25">
      <c r="E246">
        <f>+$F$246</f>
        <v>37</v>
      </c>
      <c r="F246">
        <v>37</v>
      </c>
      <c r="G246" t="s">
        <v>218</v>
      </c>
      <c r="H246" s="51">
        <v>25</v>
      </c>
      <c r="I246" s="51">
        <v>141</v>
      </c>
    </row>
    <row r="247" spans="5:9" x14ac:dyDescent="0.25">
      <c r="E247">
        <f t="shared" ref="E247:E254" si="26">+$F$246</f>
        <v>37</v>
      </c>
      <c r="G247" t="s">
        <v>219</v>
      </c>
      <c r="H247" s="51">
        <v>32</v>
      </c>
      <c r="I247" s="51">
        <v>141</v>
      </c>
    </row>
    <row r="248" spans="5:9" x14ac:dyDescent="0.25">
      <c r="E248">
        <f t="shared" si="26"/>
        <v>37</v>
      </c>
      <c r="G248" t="s">
        <v>220</v>
      </c>
      <c r="H248" s="51">
        <v>47</v>
      </c>
      <c r="I248" s="51">
        <v>141</v>
      </c>
    </row>
    <row r="249" spans="5:9" x14ac:dyDescent="0.25">
      <c r="E249">
        <f t="shared" si="26"/>
        <v>37</v>
      </c>
      <c r="G249" t="s">
        <v>221</v>
      </c>
      <c r="H249" s="51">
        <v>38</v>
      </c>
      <c r="I249" s="51">
        <v>141</v>
      </c>
    </row>
    <row r="250" spans="5:9" x14ac:dyDescent="0.25">
      <c r="E250">
        <f t="shared" si="26"/>
        <v>37</v>
      </c>
      <c r="G250" t="s">
        <v>222</v>
      </c>
      <c r="H250" s="51">
        <v>64</v>
      </c>
      <c r="I250" s="51">
        <v>141</v>
      </c>
    </row>
    <row r="251" spans="5:9" x14ac:dyDescent="0.25">
      <c r="E251">
        <f t="shared" si="26"/>
        <v>37</v>
      </c>
      <c r="G251" t="s">
        <v>223</v>
      </c>
      <c r="H251" s="51">
        <v>44</v>
      </c>
      <c r="I251" s="51">
        <v>141</v>
      </c>
    </row>
    <row r="252" spans="5:9" x14ac:dyDescent="0.25">
      <c r="E252">
        <f t="shared" si="26"/>
        <v>37</v>
      </c>
      <c r="G252" t="s">
        <v>224</v>
      </c>
      <c r="H252">
        <v>15</v>
      </c>
      <c r="I252" s="51">
        <v>141</v>
      </c>
    </row>
    <row r="253" spans="5:9" x14ac:dyDescent="0.25">
      <c r="E253">
        <f t="shared" si="26"/>
        <v>37</v>
      </c>
      <c r="G253" t="s">
        <v>225</v>
      </c>
      <c r="H253" s="51">
        <v>24</v>
      </c>
      <c r="I253" s="51">
        <v>141</v>
      </c>
    </row>
    <row r="254" spans="5:9" x14ac:dyDescent="0.25">
      <c r="E254">
        <f t="shared" si="26"/>
        <v>37</v>
      </c>
      <c r="G254" t="s">
        <v>226</v>
      </c>
      <c r="H254" s="51">
        <v>30</v>
      </c>
      <c r="I254" s="51">
        <v>141</v>
      </c>
    </row>
    <row r="255" spans="5:9" x14ac:dyDescent="0.25">
      <c r="E255">
        <f>+$F$255</f>
        <v>4</v>
      </c>
      <c r="F255">
        <v>4</v>
      </c>
      <c r="G255" t="s">
        <v>218</v>
      </c>
      <c r="H255" s="51">
        <v>49</v>
      </c>
      <c r="I255" s="51">
        <v>182</v>
      </c>
    </row>
    <row r="256" spans="5:9" x14ac:dyDescent="0.25">
      <c r="E256">
        <f t="shared" ref="E256:E263" si="27">+$F$255</f>
        <v>4</v>
      </c>
      <c r="G256" t="s">
        <v>219</v>
      </c>
      <c r="H256" s="51">
        <v>44</v>
      </c>
      <c r="I256" s="51">
        <v>182</v>
      </c>
    </row>
    <row r="257" spans="5:9" x14ac:dyDescent="0.25">
      <c r="E257">
        <f t="shared" si="27"/>
        <v>4</v>
      </c>
      <c r="G257" t="s">
        <v>220</v>
      </c>
      <c r="H257" s="51">
        <v>72</v>
      </c>
      <c r="I257" s="51">
        <v>182</v>
      </c>
    </row>
    <row r="258" spans="5:9" x14ac:dyDescent="0.25">
      <c r="E258">
        <f t="shared" si="27"/>
        <v>4</v>
      </c>
      <c r="G258" t="s">
        <v>221</v>
      </c>
      <c r="H258">
        <v>65</v>
      </c>
      <c r="I258" s="51">
        <v>182</v>
      </c>
    </row>
    <row r="259" spans="5:9" x14ac:dyDescent="0.25">
      <c r="E259">
        <f t="shared" si="27"/>
        <v>4</v>
      </c>
      <c r="G259" t="s">
        <v>222</v>
      </c>
      <c r="H259" s="51">
        <v>95</v>
      </c>
      <c r="I259" s="51">
        <v>182</v>
      </c>
    </row>
    <row r="260" spans="5:9" x14ac:dyDescent="0.25">
      <c r="E260">
        <f t="shared" si="27"/>
        <v>4</v>
      </c>
      <c r="G260" t="s">
        <v>223</v>
      </c>
      <c r="H260">
        <v>58</v>
      </c>
      <c r="I260" s="51">
        <v>182</v>
      </c>
    </row>
    <row r="261" spans="5:9" x14ac:dyDescent="0.25">
      <c r="E261">
        <f t="shared" si="27"/>
        <v>4</v>
      </c>
      <c r="G261" t="s">
        <v>224</v>
      </c>
      <c r="H261" s="51">
        <v>24</v>
      </c>
      <c r="I261" s="51">
        <v>182</v>
      </c>
    </row>
    <row r="262" spans="5:9" x14ac:dyDescent="0.25">
      <c r="E262">
        <f t="shared" si="27"/>
        <v>4</v>
      </c>
      <c r="G262" t="s">
        <v>225</v>
      </c>
      <c r="H262" s="51">
        <v>23</v>
      </c>
      <c r="I262" s="51">
        <v>182</v>
      </c>
    </row>
    <row r="263" spans="5:9" x14ac:dyDescent="0.25">
      <c r="E263">
        <f t="shared" si="27"/>
        <v>4</v>
      </c>
      <c r="G263" t="s">
        <v>226</v>
      </c>
      <c r="H263" s="51">
        <v>51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218</v>
      </c>
      <c r="H264" s="51">
        <v>48</v>
      </c>
      <c r="I264" s="51">
        <v>249</v>
      </c>
    </row>
    <row r="265" spans="5:9" x14ac:dyDescent="0.25">
      <c r="E265">
        <f t="shared" ref="E265:E272" si="28">+$F$264</f>
        <v>40</v>
      </c>
      <c r="G265" t="s">
        <v>219</v>
      </c>
      <c r="H265">
        <v>15</v>
      </c>
      <c r="I265" s="51">
        <v>249</v>
      </c>
    </row>
    <row r="266" spans="5:9" x14ac:dyDescent="0.25">
      <c r="E266">
        <f t="shared" si="28"/>
        <v>40</v>
      </c>
      <c r="G266" t="s">
        <v>220</v>
      </c>
      <c r="H266" s="51">
        <v>51</v>
      </c>
      <c r="I266" s="51">
        <v>249</v>
      </c>
    </row>
    <row r="267" spans="5:9" x14ac:dyDescent="0.25">
      <c r="E267">
        <f t="shared" si="28"/>
        <v>40</v>
      </c>
      <c r="G267" t="s">
        <v>221</v>
      </c>
      <c r="H267" s="51">
        <v>44</v>
      </c>
      <c r="I267" s="51">
        <v>249</v>
      </c>
    </row>
    <row r="268" spans="5:9" x14ac:dyDescent="0.25">
      <c r="E268">
        <f t="shared" si="28"/>
        <v>40</v>
      </c>
      <c r="G268" t="s">
        <v>222</v>
      </c>
      <c r="H268">
        <v>75</v>
      </c>
      <c r="I268" s="51">
        <v>249</v>
      </c>
    </row>
    <row r="269" spans="5:9" x14ac:dyDescent="0.25">
      <c r="E269">
        <f t="shared" si="28"/>
        <v>40</v>
      </c>
      <c r="G269" t="s">
        <v>223</v>
      </c>
      <c r="H269" s="51">
        <v>60</v>
      </c>
      <c r="I269" s="51">
        <v>249</v>
      </c>
    </row>
    <row r="270" spans="5:9" x14ac:dyDescent="0.25">
      <c r="E270">
        <f t="shared" si="28"/>
        <v>40</v>
      </c>
      <c r="G270" t="s">
        <v>224</v>
      </c>
      <c r="H270" s="51">
        <v>39</v>
      </c>
      <c r="I270" s="51">
        <v>249</v>
      </c>
    </row>
    <row r="271" spans="5:9" x14ac:dyDescent="0.25">
      <c r="E271">
        <f t="shared" si="28"/>
        <v>40</v>
      </c>
      <c r="G271" t="s">
        <v>225</v>
      </c>
      <c r="H271" s="51">
        <v>22</v>
      </c>
      <c r="I271" s="51">
        <v>249</v>
      </c>
    </row>
    <row r="272" spans="5:9" x14ac:dyDescent="0.25">
      <c r="E272">
        <f t="shared" si="28"/>
        <v>40</v>
      </c>
      <c r="G272" t="s">
        <v>226</v>
      </c>
      <c r="H272" s="51">
        <v>23</v>
      </c>
      <c r="I272" s="51">
        <v>249</v>
      </c>
    </row>
    <row r="273" spans="5:9" x14ac:dyDescent="0.25">
      <c r="E273">
        <f>+$F$273</f>
        <v>42</v>
      </c>
      <c r="F273">
        <v>42</v>
      </c>
      <c r="G273" t="s">
        <v>218</v>
      </c>
      <c r="H273" s="51">
        <v>3</v>
      </c>
      <c r="I273" s="51">
        <v>52</v>
      </c>
    </row>
    <row r="274" spans="5:9" x14ac:dyDescent="0.25">
      <c r="E274">
        <f t="shared" ref="E274:E281" si="29">+$F$273</f>
        <v>42</v>
      </c>
      <c r="G274" t="s">
        <v>219</v>
      </c>
      <c r="H274" s="51">
        <v>2</v>
      </c>
      <c r="I274" s="51">
        <v>52</v>
      </c>
    </row>
    <row r="275" spans="5:9" x14ac:dyDescent="0.25">
      <c r="E275">
        <f t="shared" si="29"/>
        <v>42</v>
      </c>
      <c r="G275" t="s">
        <v>220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221</v>
      </c>
      <c r="H276">
        <v>3</v>
      </c>
      <c r="I276" s="51">
        <v>52</v>
      </c>
    </row>
    <row r="277" spans="5:9" x14ac:dyDescent="0.25">
      <c r="E277">
        <f t="shared" si="29"/>
        <v>42</v>
      </c>
      <c r="G277" t="s">
        <v>222</v>
      </c>
      <c r="H277" s="51">
        <v>4</v>
      </c>
      <c r="I277" s="51">
        <v>52</v>
      </c>
    </row>
    <row r="278" spans="5:9" x14ac:dyDescent="0.25">
      <c r="E278">
        <f t="shared" si="29"/>
        <v>42</v>
      </c>
      <c r="G278" t="s">
        <v>223</v>
      </c>
      <c r="H278" s="51">
        <v>3</v>
      </c>
      <c r="I278" s="51">
        <v>52</v>
      </c>
    </row>
    <row r="279" spans="5:9" x14ac:dyDescent="0.25">
      <c r="E279">
        <f t="shared" si="29"/>
        <v>42</v>
      </c>
      <c r="G279" t="s">
        <v>224</v>
      </c>
      <c r="H279" s="51">
        <v>9</v>
      </c>
      <c r="I279" s="51">
        <v>52</v>
      </c>
    </row>
    <row r="280" spans="5:9" x14ac:dyDescent="0.25">
      <c r="E280">
        <f t="shared" si="29"/>
        <v>42</v>
      </c>
      <c r="G280" t="s">
        <v>225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226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218</v>
      </c>
      <c r="H282" s="51">
        <v>6</v>
      </c>
      <c r="I282" s="51">
        <v>93</v>
      </c>
    </row>
    <row r="283" spans="5:9" x14ac:dyDescent="0.25">
      <c r="E283">
        <f t="shared" ref="E283:E290" si="30">+$F$282</f>
        <v>43</v>
      </c>
      <c r="G283" t="s">
        <v>219</v>
      </c>
      <c r="H283" s="51"/>
      <c r="I283" s="51">
        <v>93</v>
      </c>
    </row>
    <row r="284" spans="5:9" x14ac:dyDescent="0.25">
      <c r="E284">
        <f t="shared" si="30"/>
        <v>43</v>
      </c>
      <c r="G284" t="s">
        <v>220</v>
      </c>
      <c r="H284">
        <v>3</v>
      </c>
      <c r="I284" s="51">
        <v>93</v>
      </c>
    </row>
    <row r="285" spans="5:9" x14ac:dyDescent="0.25">
      <c r="E285">
        <f t="shared" si="30"/>
        <v>43</v>
      </c>
      <c r="G285" t="s">
        <v>221</v>
      </c>
      <c r="H285">
        <v>3</v>
      </c>
      <c r="I285" s="51">
        <v>93</v>
      </c>
    </row>
    <row r="286" spans="5:9" x14ac:dyDescent="0.25">
      <c r="E286">
        <f t="shared" si="30"/>
        <v>43</v>
      </c>
      <c r="G286" t="s">
        <v>222</v>
      </c>
      <c r="H286">
        <v>2</v>
      </c>
      <c r="I286" s="51">
        <v>93</v>
      </c>
    </row>
    <row r="287" spans="5:9" x14ac:dyDescent="0.25">
      <c r="E287">
        <f t="shared" si="30"/>
        <v>43</v>
      </c>
      <c r="G287" t="s">
        <v>223</v>
      </c>
      <c r="I287" s="51">
        <v>93</v>
      </c>
    </row>
    <row r="288" spans="5:9" x14ac:dyDescent="0.25">
      <c r="E288">
        <f t="shared" si="30"/>
        <v>43</v>
      </c>
      <c r="G288" t="s">
        <v>224</v>
      </c>
      <c r="H288">
        <v>9</v>
      </c>
      <c r="I288" s="51">
        <v>93</v>
      </c>
    </row>
    <row r="289" spans="5:9" x14ac:dyDescent="0.25">
      <c r="E289">
        <f t="shared" si="30"/>
        <v>43</v>
      </c>
      <c r="G289" t="s">
        <v>225</v>
      </c>
      <c r="H289" s="51">
        <v>5</v>
      </c>
      <c r="I289" s="51">
        <v>93</v>
      </c>
    </row>
    <row r="290" spans="5:9" x14ac:dyDescent="0.25">
      <c r="E290">
        <f t="shared" si="30"/>
        <v>43</v>
      </c>
      <c r="G290" t="s">
        <v>226</v>
      </c>
      <c r="H290">
        <v>4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218</v>
      </c>
      <c r="H291">
        <v>46</v>
      </c>
      <c r="I291" s="51">
        <v>169</v>
      </c>
    </row>
    <row r="292" spans="5:9" x14ac:dyDescent="0.25">
      <c r="E292">
        <f t="shared" ref="E292:E299" si="31">+$F$291</f>
        <v>44</v>
      </c>
      <c r="G292" t="s">
        <v>219</v>
      </c>
      <c r="H292">
        <v>68</v>
      </c>
      <c r="I292" s="51">
        <v>169</v>
      </c>
    </row>
    <row r="293" spans="5:9" x14ac:dyDescent="0.25">
      <c r="E293">
        <f t="shared" si="31"/>
        <v>44</v>
      </c>
      <c r="G293" t="s">
        <v>220</v>
      </c>
      <c r="H293">
        <v>87</v>
      </c>
      <c r="I293" s="51">
        <v>169</v>
      </c>
    </row>
    <row r="294" spans="5:9" x14ac:dyDescent="0.25">
      <c r="E294">
        <f t="shared" si="31"/>
        <v>44</v>
      </c>
      <c r="G294" t="s">
        <v>221</v>
      </c>
      <c r="H294">
        <v>57</v>
      </c>
      <c r="I294" s="51">
        <v>169</v>
      </c>
    </row>
    <row r="295" spans="5:9" x14ac:dyDescent="0.25">
      <c r="E295">
        <f t="shared" si="31"/>
        <v>44</v>
      </c>
      <c r="G295" t="s">
        <v>222</v>
      </c>
      <c r="H295">
        <v>115</v>
      </c>
      <c r="I295" s="51">
        <v>169</v>
      </c>
    </row>
    <row r="296" spans="5:9" x14ac:dyDescent="0.25">
      <c r="E296">
        <f t="shared" si="31"/>
        <v>44</v>
      </c>
      <c r="G296" t="s">
        <v>223</v>
      </c>
      <c r="H296">
        <v>88</v>
      </c>
      <c r="I296" s="51">
        <v>169</v>
      </c>
    </row>
    <row r="297" spans="5:9" x14ac:dyDescent="0.25">
      <c r="E297">
        <f t="shared" si="31"/>
        <v>44</v>
      </c>
      <c r="G297" t="s">
        <v>224</v>
      </c>
      <c r="H297" s="51">
        <v>17</v>
      </c>
      <c r="I297" s="51">
        <v>169</v>
      </c>
    </row>
    <row r="298" spans="5:9" x14ac:dyDescent="0.25">
      <c r="E298">
        <f t="shared" si="31"/>
        <v>44</v>
      </c>
      <c r="G298" t="s">
        <v>225</v>
      </c>
      <c r="H298">
        <v>42</v>
      </c>
      <c r="I298" s="51">
        <v>169</v>
      </c>
    </row>
    <row r="299" spans="5:9" x14ac:dyDescent="0.25">
      <c r="E299">
        <f t="shared" si="31"/>
        <v>44</v>
      </c>
      <c r="G299" t="s">
        <v>226</v>
      </c>
      <c r="H299" s="51">
        <v>43</v>
      </c>
      <c r="I299" s="51">
        <v>169</v>
      </c>
    </row>
    <row r="300" spans="5:9" x14ac:dyDescent="0.25">
      <c r="E300">
        <f>+$F$300</f>
        <v>49</v>
      </c>
      <c r="F300">
        <v>49</v>
      </c>
      <c r="G300" t="s">
        <v>218</v>
      </c>
      <c r="H300" s="51">
        <v>31</v>
      </c>
      <c r="I300" s="51">
        <v>239</v>
      </c>
    </row>
    <row r="301" spans="5:9" x14ac:dyDescent="0.25">
      <c r="E301">
        <f t="shared" ref="E301:E308" si="32">+$F$300</f>
        <v>49</v>
      </c>
      <c r="G301" t="s">
        <v>219</v>
      </c>
      <c r="H301" s="51">
        <v>22</v>
      </c>
      <c r="I301" s="51">
        <v>239</v>
      </c>
    </row>
    <row r="302" spans="5:9" x14ac:dyDescent="0.25">
      <c r="E302">
        <f t="shared" si="32"/>
        <v>49</v>
      </c>
      <c r="G302" t="s">
        <v>220</v>
      </c>
      <c r="H302" s="51">
        <v>49</v>
      </c>
      <c r="I302" s="51">
        <v>239</v>
      </c>
    </row>
    <row r="303" spans="5:9" x14ac:dyDescent="0.25">
      <c r="E303">
        <f t="shared" si="32"/>
        <v>49</v>
      </c>
      <c r="G303" t="s">
        <v>221</v>
      </c>
      <c r="H303" s="51">
        <v>10</v>
      </c>
      <c r="I303" s="51">
        <v>239</v>
      </c>
    </row>
    <row r="304" spans="5:9" x14ac:dyDescent="0.25">
      <c r="E304">
        <f t="shared" si="32"/>
        <v>49</v>
      </c>
      <c r="G304" t="s">
        <v>222</v>
      </c>
      <c r="H304" s="51">
        <v>53</v>
      </c>
      <c r="I304" s="51">
        <v>239</v>
      </c>
    </row>
    <row r="305" spans="5:9" x14ac:dyDescent="0.25">
      <c r="E305">
        <f t="shared" si="32"/>
        <v>49</v>
      </c>
      <c r="G305" t="s">
        <v>223</v>
      </c>
      <c r="H305" s="51">
        <v>29</v>
      </c>
      <c r="I305" s="51">
        <v>239</v>
      </c>
    </row>
    <row r="306" spans="5:9" x14ac:dyDescent="0.25">
      <c r="E306">
        <f t="shared" si="32"/>
        <v>49</v>
      </c>
      <c r="G306" t="s">
        <v>224</v>
      </c>
      <c r="H306" s="51">
        <v>37</v>
      </c>
      <c r="I306" s="51">
        <v>239</v>
      </c>
    </row>
    <row r="307" spans="5:9" x14ac:dyDescent="0.25">
      <c r="E307">
        <f t="shared" si="32"/>
        <v>49</v>
      </c>
      <c r="G307" t="s">
        <v>225</v>
      </c>
      <c r="H307">
        <v>21</v>
      </c>
      <c r="I307" s="51">
        <v>239</v>
      </c>
    </row>
    <row r="308" spans="5:9" x14ac:dyDescent="0.25">
      <c r="E308">
        <f t="shared" si="32"/>
        <v>49</v>
      </c>
      <c r="G308" t="s">
        <v>226</v>
      </c>
      <c r="H308">
        <v>36</v>
      </c>
      <c r="I308" s="51">
        <v>239</v>
      </c>
    </row>
    <row r="309" spans="5:9" x14ac:dyDescent="0.25">
      <c r="E309">
        <f>+$F$309</f>
        <v>5</v>
      </c>
      <c r="F309">
        <v>5</v>
      </c>
      <c r="G309" t="s">
        <v>218</v>
      </c>
      <c r="H309">
        <v>96</v>
      </c>
      <c r="I309" s="51">
        <v>260</v>
      </c>
    </row>
    <row r="310" spans="5:9" x14ac:dyDescent="0.25">
      <c r="E310">
        <f t="shared" ref="E310:E317" si="33">+$F$309</f>
        <v>5</v>
      </c>
      <c r="G310" t="s">
        <v>219</v>
      </c>
      <c r="H310">
        <v>78</v>
      </c>
      <c r="I310" s="51">
        <v>260</v>
      </c>
    </row>
    <row r="311" spans="5:9" x14ac:dyDescent="0.25">
      <c r="E311">
        <f t="shared" si="33"/>
        <v>5</v>
      </c>
      <c r="G311" t="s">
        <v>220</v>
      </c>
      <c r="H311">
        <v>129</v>
      </c>
      <c r="I311" s="51">
        <v>260</v>
      </c>
    </row>
    <row r="312" spans="5:9" x14ac:dyDescent="0.25">
      <c r="E312">
        <f t="shared" si="33"/>
        <v>5</v>
      </c>
      <c r="G312" t="s">
        <v>221</v>
      </c>
      <c r="H312">
        <v>71</v>
      </c>
      <c r="I312" s="51">
        <v>260</v>
      </c>
    </row>
    <row r="313" spans="5:9" x14ac:dyDescent="0.25">
      <c r="E313">
        <f t="shared" si="33"/>
        <v>5</v>
      </c>
      <c r="G313" t="s">
        <v>222</v>
      </c>
      <c r="H313">
        <v>161</v>
      </c>
      <c r="I313" s="51">
        <v>260</v>
      </c>
    </row>
    <row r="314" spans="5:9" x14ac:dyDescent="0.25">
      <c r="E314">
        <f t="shared" si="33"/>
        <v>5</v>
      </c>
      <c r="G314" t="s">
        <v>223</v>
      </c>
      <c r="H314">
        <v>109</v>
      </c>
      <c r="I314" s="51">
        <v>260</v>
      </c>
    </row>
    <row r="315" spans="5:9" x14ac:dyDescent="0.25">
      <c r="E315">
        <f t="shared" si="33"/>
        <v>5</v>
      </c>
      <c r="G315" t="s">
        <v>224</v>
      </c>
      <c r="H315" s="51">
        <v>54</v>
      </c>
      <c r="I315" s="51">
        <v>260</v>
      </c>
    </row>
    <row r="316" spans="5:9" x14ac:dyDescent="0.25">
      <c r="E316">
        <f t="shared" si="33"/>
        <v>5</v>
      </c>
      <c r="G316" t="s">
        <v>225</v>
      </c>
      <c r="H316">
        <v>55</v>
      </c>
      <c r="I316" s="51">
        <v>260</v>
      </c>
    </row>
    <row r="317" spans="5:9" x14ac:dyDescent="0.25">
      <c r="E317">
        <f t="shared" si="33"/>
        <v>5</v>
      </c>
      <c r="G317" t="s">
        <v>226</v>
      </c>
      <c r="H317" s="51">
        <v>67</v>
      </c>
      <c r="I317" s="51">
        <v>260</v>
      </c>
    </row>
    <row r="318" spans="5:9" x14ac:dyDescent="0.25">
      <c r="E318">
        <f>+$F$318</f>
        <v>52</v>
      </c>
      <c r="F318">
        <v>52</v>
      </c>
      <c r="G318" t="s">
        <v>218</v>
      </c>
      <c r="H318" s="51"/>
      <c r="I318" s="51">
        <v>101</v>
      </c>
    </row>
    <row r="319" spans="5:9" x14ac:dyDescent="0.25">
      <c r="E319">
        <f t="shared" ref="E319:E326" si="34">+$F$318</f>
        <v>52</v>
      </c>
      <c r="G319" t="s">
        <v>219</v>
      </c>
      <c r="H319" s="51">
        <v>5</v>
      </c>
      <c r="I319" s="51">
        <v>101</v>
      </c>
    </row>
    <row r="320" spans="5:9" x14ac:dyDescent="0.25">
      <c r="E320">
        <f t="shared" si="34"/>
        <v>52</v>
      </c>
      <c r="G320" t="s">
        <v>220</v>
      </c>
      <c r="H320" s="51"/>
      <c r="I320" s="51">
        <v>101</v>
      </c>
    </row>
    <row r="321" spans="5:9" x14ac:dyDescent="0.25">
      <c r="E321">
        <f t="shared" si="34"/>
        <v>52</v>
      </c>
      <c r="G321" t="s">
        <v>221</v>
      </c>
      <c r="H321" s="51"/>
      <c r="I321" s="51">
        <v>101</v>
      </c>
    </row>
    <row r="322" spans="5:9" x14ac:dyDescent="0.25">
      <c r="E322">
        <f t="shared" si="34"/>
        <v>52</v>
      </c>
      <c r="G322" t="s">
        <v>222</v>
      </c>
      <c r="H322" s="51"/>
      <c r="I322" s="51">
        <v>101</v>
      </c>
    </row>
    <row r="323" spans="5:9" x14ac:dyDescent="0.25">
      <c r="E323">
        <f t="shared" si="34"/>
        <v>52</v>
      </c>
      <c r="G323" t="s">
        <v>223</v>
      </c>
      <c r="I323" s="51">
        <v>101</v>
      </c>
    </row>
    <row r="324" spans="5:9" x14ac:dyDescent="0.25">
      <c r="E324">
        <f t="shared" si="34"/>
        <v>52</v>
      </c>
      <c r="G324" t="s">
        <v>224</v>
      </c>
      <c r="H324" s="51">
        <v>58</v>
      </c>
      <c r="I324" s="51">
        <v>101</v>
      </c>
    </row>
    <row r="325" spans="5:9" x14ac:dyDescent="0.25">
      <c r="E325">
        <f t="shared" si="34"/>
        <v>52</v>
      </c>
      <c r="G325" t="s">
        <v>225</v>
      </c>
      <c r="H325" s="51"/>
      <c r="I325" s="51">
        <v>101</v>
      </c>
    </row>
    <row r="326" spans="5:9" x14ac:dyDescent="0.25">
      <c r="E326">
        <f t="shared" si="34"/>
        <v>52</v>
      </c>
      <c r="G326" t="s">
        <v>226</v>
      </c>
      <c r="H326" s="51"/>
      <c r="I326" s="51">
        <v>101</v>
      </c>
    </row>
    <row r="327" spans="5:9" x14ac:dyDescent="0.25">
      <c r="E327">
        <f>+$F$327</f>
        <v>53</v>
      </c>
      <c r="F327">
        <v>53</v>
      </c>
      <c r="G327" t="s">
        <v>218</v>
      </c>
      <c r="I327" s="51">
        <v>105</v>
      </c>
    </row>
    <row r="328" spans="5:9" x14ac:dyDescent="0.25">
      <c r="E328">
        <f t="shared" ref="E328:E335" si="35">+$F$327</f>
        <v>53</v>
      </c>
      <c r="G328" t="s">
        <v>219</v>
      </c>
      <c r="H328">
        <v>15</v>
      </c>
      <c r="I328" s="51">
        <v>105</v>
      </c>
    </row>
    <row r="329" spans="5:9" x14ac:dyDescent="0.25">
      <c r="E329">
        <f t="shared" si="35"/>
        <v>53</v>
      </c>
      <c r="G329" t="s">
        <v>220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221</v>
      </c>
      <c r="H330">
        <v>1</v>
      </c>
      <c r="I330" s="51">
        <v>105</v>
      </c>
    </row>
    <row r="331" spans="5:9" x14ac:dyDescent="0.25">
      <c r="E331">
        <f t="shared" si="35"/>
        <v>53</v>
      </c>
      <c r="G331" t="s">
        <v>222</v>
      </c>
      <c r="H331" s="51">
        <v>1</v>
      </c>
      <c r="I331" s="51">
        <v>105</v>
      </c>
    </row>
    <row r="332" spans="5:9" x14ac:dyDescent="0.25">
      <c r="E332">
        <f t="shared" si="35"/>
        <v>53</v>
      </c>
      <c r="G332" t="s">
        <v>223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224</v>
      </c>
      <c r="H333" s="51">
        <v>68</v>
      </c>
      <c r="I333" s="51">
        <v>105</v>
      </c>
    </row>
    <row r="334" spans="5:9" x14ac:dyDescent="0.25">
      <c r="E334">
        <f t="shared" si="35"/>
        <v>53</v>
      </c>
      <c r="G334" t="s">
        <v>225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226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218</v>
      </c>
      <c r="H336" s="51">
        <v>63</v>
      </c>
      <c r="I336" s="51">
        <v>202</v>
      </c>
    </row>
    <row r="337" spans="5:9" x14ac:dyDescent="0.25">
      <c r="E337">
        <f t="shared" ref="E337:E344" si="36">+$F$336</f>
        <v>54</v>
      </c>
      <c r="G337" t="s">
        <v>219</v>
      </c>
      <c r="H337" s="51">
        <v>42</v>
      </c>
      <c r="I337" s="51">
        <v>202</v>
      </c>
    </row>
    <row r="338" spans="5:9" x14ac:dyDescent="0.25">
      <c r="E338">
        <f t="shared" si="36"/>
        <v>54</v>
      </c>
      <c r="G338" t="s">
        <v>220</v>
      </c>
      <c r="H338" s="51">
        <v>82</v>
      </c>
      <c r="I338" s="51">
        <v>202</v>
      </c>
    </row>
    <row r="339" spans="5:9" x14ac:dyDescent="0.25">
      <c r="E339">
        <f t="shared" si="36"/>
        <v>54</v>
      </c>
      <c r="G339" t="s">
        <v>221</v>
      </c>
      <c r="H339" s="51">
        <v>77</v>
      </c>
      <c r="I339" s="51">
        <v>202</v>
      </c>
    </row>
    <row r="340" spans="5:9" x14ac:dyDescent="0.25">
      <c r="E340">
        <f t="shared" si="36"/>
        <v>54</v>
      </c>
      <c r="G340" t="s">
        <v>222</v>
      </c>
      <c r="H340">
        <v>110</v>
      </c>
      <c r="I340" s="51">
        <v>202</v>
      </c>
    </row>
    <row r="341" spans="5:9" x14ac:dyDescent="0.25">
      <c r="E341">
        <f t="shared" si="36"/>
        <v>54</v>
      </c>
      <c r="G341" t="s">
        <v>223</v>
      </c>
      <c r="H341" s="51">
        <v>84</v>
      </c>
      <c r="I341" s="51">
        <v>202</v>
      </c>
    </row>
    <row r="342" spans="5:9" x14ac:dyDescent="0.25">
      <c r="E342">
        <f t="shared" si="36"/>
        <v>54</v>
      </c>
      <c r="G342" t="s">
        <v>224</v>
      </c>
      <c r="H342" s="51">
        <v>24</v>
      </c>
      <c r="I342" s="51">
        <v>202</v>
      </c>
    </row>
    <row r="343" spans="5:9" x14ac:dyDescent="0.25">
      <c r="E343">
        <f t="shared" si="36"/>
        <v>54</v>
      </c>
      <c r="G343" t="s">
        <v>225</v>
      </c>
      <c r="H343" s="51">
        <v>29</v>
      </c>
      <c r="I343" s="51">
        <v>202</v>
      </c>
    </row>
    <row r="344" spans="5:9" x14ac:dyDescent="0.25">
      <c r="E344">
        <f t="shared" si="36"/>
        <v>54</v>
      </c>
      <c r="G344" t="s">
        <v>226</v>
      </c>
      <c r="H344" s="51">
        <v>45</v>
      </c>
      <c r="I344" s="51">
        <v>202</v>
      </c>
    </row>
    <row r="345" spans="5:9" x14ac:dyDescent="0.25">
      <c r="E345">
        <f>+$F$345</f>
        <v>56</v>
      </c>
      <c r="F345">
        <v>56</v>
      </c>
      <c r="G345" t="s">
        <v>218</v>
      </c>
      <c r="H345">
        <v>24</v>
      </c>
      <c r="I345" s="51">
        <v>198</v>
      </c>
    </row>
    <row r="346" spans="5:9" x14ac:dyDescent="0.25">
      <c r="E346">
        <f t="shared" ref="E346:E353" si="37">+$F$345</f>
        <v>56</v>
      </c>
      <c r="G346" t="s">
        <v>219</v>
      </c>
      <c r="H346" s="51">
        <v>15</v>
      </c>
      <c r="I346" s="51">
        <v>198</v>
      </c>
    </row>
    <row r="347" spans="5:9" x14ac:dyDescent="0.25">
      <c r="E347">
        <f t="shared" si="37"/>
        <v>56</v>
      </c>
      <c r="G347" t="s">
        <v>220</v>
      </c>
      <c r="H347" s="51">
        <v>63</v>
      </c>
      <c r="I347" s="51">
        <v>198</v>
      </c>
    </row>
    <row r="348" spans="5:9" x14ac:dyDescent="0.25">
      <c r="E348">
        <f t="shared" si="37"/>
        <v>56</v>
      </c>
      <c r="G348" t="s">
        <v>221</v>
      </c>
      <c r="H348">
        <v>25</v>
      </c>
      <c r="I348" s="51">
        <v>198</v>
      </c>
    </row>
    <row r="349" spans="5:9" x14ac:dyDescent="0.25">
      <c r="E349">
        <f t="shared" si="37"/>
        <v>56</v>
      </c>
      <c r="G349" t="s">
        <v>222</v>
      </c>
      <c r="H349" s="51">
        <v>48</v>
      </c>
      <c r="I349" s="51">
        <v>198</v>
      </c>
    </row>
    <row r="350" spans="5:9" x14ac:dyDescent="0.25">
      <c r="E350">
        <f t="shared" si="37"/>
        <v>56</v>
      </c>
      <c r="G350" t="s">
        <v>223</v>
      </c>
      <c r="H350" s="51">
        <v>25</v>
      </c>
      <c r="I350" s="51">
        <v>198</v>
      </c>
    </row>
    <row r="351" spans="5:9" x14ac:dyDescent="0.25">
      <c r="E351">
        <f t="shared" si="37"/>
        <v>56</v>
      </c>
      <c r="G351" t="s">
        <v>224</v>
      </c>
      <c r="H351" s="51">
        <v>39</v>
      </c>
      <c r="I351" s="51">
        <v>198</v>
      </c>
    </row>
    <row r="352" spans="5:9" x14ac:dyDescent="0.25">
      <c r="E352">
        <f t="shared" si="37"/>
        <v>56</v>
      </c>
      <c r="G352" t="s">
        <v>225</v>
      </c>
      <c r="H352">
        <v>14</v>
      </c>
      <c r="I352" s="51">
        <v>198</v>
      </c>
    </row>
    <row r="353" spans="5:9" x14ac:dyDescent="0.25">
      <c r="E353">
        <f t="shared" si="37"/>
        <v>56</v>
      </c>
      <c r="G353" t="s">
        <v>226</v>
      </c>
      <c r="H353" s="51">
        <v>19</v>
      </c>
      <c r="I353" s="51">
        <v>198</v>
      </c>
    </row>
    <row r="354" spans="5:9" x14ac:dyDescent="0.25">
      <c r="E354">
        <f>+$F$354</f>
        <v>57</v>
      </c>
      <c r="F354">
        <v>57</v>
      </c>
      <c r="G354" t="s">
        <v>218</v>
      </c>
      <c r="H354" s="51"/>
      <c r="I354" s="51">
        <v>103</v>
      </c>
    </row>
    <row r="355" spans="5:9" x14ac:dyDescent="0.25">
      <c r="E355">
        <f t="shared" ref="E355:E362" si="38">+$F$354</f>
        <v>57</v>
      </c>
      <c r="G355" t="s">
        <v>219</v>
      </c>
      <c r="H355" s="51">
        <v>3</v>
      </c>
      <c r="I355" s="51">
        <v>103</v>
      </c>
    </row>
    <row r="356" spans="5:9" x14ac:dyDescent="0.25">
      <c r="E356">
        <f t="shared" si="38"/>
        <v>57</v>
      </c>
      <c r="G356" t="s">
        <v>220</v>
      </c>
      <c r="H356" s="51"/>
      <c r="I356" s="51">
        <v>103</v>
      </c>
    </row>
    <row r="357" spans="5:9" x14ac:dyDescent="0.25">
      <c r="E357">
        <f t="shared" si="38"/>
        <v>57</v>
      </c>
      <c r="G357" t="s">
        <v>221</v>
      </c>
      <c r="H357" s="51"/>
      <c r="I357" s="51">
        <v>103</v>
      </c>
    </row>
    <row r="358" spans="5:9" x14ac:dyDescent="0.25">
      <c r="E358">
        <f t="shared" si="38"/>
        <v>57</v>
      </c>
      <c r="G358" t="s">
        <v>222</v>
      </c>
      <c r="H358" s="51"/>
      <c r="I358" s="51">
        <v>103</v>
      </c>
    </row>
    <row r="359" spans="5:9" x14ac:dyDescent="0.25">
      <c r="E359">
        <f t="shared" si="38"/>
        <v>57</v>
      </c>
      <c r="G359" t="s">
        <v>223</v>
      </c>
      <c r="H359" s="51"/>
      <c r="I359" s="51">
        <v>103</v>
      </c>
    </row>
    <row r="360" spans="5:9" x14ac:dyDescent="0.25">
      <c r="E360">
        <f t="shared" si="38"/>
        <v>57</v>
      </c>
      <c r="G360" t="s">
        <v>224</v>
      </c>
      <c r="H360" s="51">
        <v>23</v>
      </c>
      <c r="I360" s="51">
        <v>103</v>
      </c>
    </row>
    <row r="361" spans="5:9" x14ac:dyDescent="0.25">
      <c r="E361">
        <f t="shared" si="38"/>
        <v>57</v>
      </c>
      <c r="G361" t="s">
        <v>225</v>
      </c>
      <c r="H361" s="51"/>
      <c r="I361" s="51">
        <v>103</v>
      </c>
    </row>
    <row r="362" spans="5:9" x14ac:dyDescent="0.25">
      <c r="E362">
        <f t="shared" si="38"/>
        <v>57</v>
      </c>
      <c r="G362" t="s">
        <v>226</v>
      </c>
      <c r="H362" s="51"/>
      <c r="I362" s="51">
        <v>103</v>
      </c>
    </row>
    <row r="363" spans="5:9" x14ac:dyDescent="0.25">
      <c r="E363">
        <f>+$F$363</f>
        <v>58</v>
      </c>
      <c r="F363">
        <v>58</v>
      </c>
      <c r="G363" t="s">
        <v>218</v>
      </c>
      <c r="H363" s="51">
        <v>7</v>
      </c>
      <c r="I363" s="51">
        <v>119</v>
      </c>
    </row>
    <row r="364" spans="5:9" x14ac:dyDescent="0.25">
      <c r="E364">
        <f t="shared" ref="E364:E371" si="39">+$F$363</f>
        <v>58</v>
      </c>
      <c r="G364" t="s">
        <v>219</v>
      </c>
      <c r="H364" s="51">
        <v>21</v>
      </c>
      <c r="I364" s="51">
        <v>119</v>
      </c>
    </row>
    <row r="365" spans="5:9" x14ac:dyDescent="0.25">
      <c r="E365">
        <f t="shared" si="39"/>
        <v>58</v>
      </c>
      <c r="G365" t="s">
        <v>220</v>
      </c>
      <c r="H365" s="51">
        <v>12</v>
      </c>
      <c r="I365" s="51">
        <v>119</v>
      </c>
    </row>
    <row r="366" spans="5:9" x14ac:dyDescent="0.25">
      <c r="E366">
        <f t="shared" si="39"/>
        <v>58</v>
      </c>
      <c r="G366" t="s">
        <v>221</v>
      </c>
      <c r="H366" s="51">
        <v>27</v>
      </c>
      <c r="I366" s="51">
        <v>119</v>
      </c>
    </row>
    <row r="367" spans="5:9" x14ac:dyDescent="0.25">
      <c r="E367">
        <f t="shared" si="39"/>
        <v>58</v>
      </c>
      <c r="G367" t="s">
        <v>222</v>
      </c>
      <c r="H367" s="51">
        <v>24</v>
      </c>
      <c r="I367" s="51">
        <v>119</v>
      </c>
    </row>
    <row r="368" spans="5:9" x14ac:dyDescent="0.25">
      <c r="E368">
        <f t="shared" si="39"/>
        <v>58</v>
      </c>
      <c r="G368" t="s">
        <v>223</v>
      </c>
      <c r="H368" s="51">
        <v>25</v>
      </c>
      <c r="I368" s="51">
        <v>119</v>
      </c>
    </row>
    <row r="369" spans="5:9" x14ac:dyDescent="0.25">
      <c r="E369">
        <f t="shared" si="39"/>
        <v>58</v>
      </c>
      <c r="G369" t="s">
        <v>224</v>
      </c>
      <c r="H369" s="51">
        <v>8</v>
      </c>
      <c r="I369" s="51">
        <v>119</v>
      </c>
    </row>
    <row r="370" spans="5:9" x14ac:dyDescent="0.25">
      <c r="E370">
        <f t="shared" si="39"/>
        <v>58</v>
      </c>
      <c r="G370" t="s">
        <v>225</v>
      </c>
      <c r="H370" s="51">
        <v>7</v>
      </c>
      <c r="I370" s="51">
        <v>119</v>
      </c>
    </row>
    <row r="371" spans="5:9" x14ac:dyDescent="0.25">
      <c r="E371">
        <f t="shared" si="39"/>
        <v>58</v>
      </c>
      <c r="G371" t="s">
        <v>226</v>
      </c>
      <c r="H371" s="35">
        <v>8</v>
      </c>
      <c r="I371" s="35">
        <v>119</v>
      </c>
    </row>
    <row r="372" spans="5:9" x14ac:dyDescent="0.25">
      <c r="E372">
        <f>+$F$372</f>
        <v>59</v>
      </c>
      <c r="F372">
        <v>59</v>
      </c>
      <c r="G372" t="s">
        <v>218</v>
      </c>
      <c r="H372">
        <v>39</v>
      </c>
      <c r="I372">
        <v>119</v>
      </c>
    </row>
    <row r="373" spans="5:9" x14ac:dyDescent="0.25">
      <c r="E373">
        <f t="shared" ref="E373:E380" si="40">+$F$372</f>
        <v>59</v>
      </c>
      <c r="G373" t="s">
        <v>219</v>
      </c>
      <c r="H373">
        <v>9</v>
      </c>
      <c r="I373">
        <v>119</v>
      </c>
    </row>
    <row r="374" spans="5:9" x14ac:dyDescent="0.25">
      <c r="E374">
        <f t="shared" si="40"/>
        <v>59</v>
      </c>
      <c r="G374" t="s">
        <v>220</v>
      </c>
      <c r="H374">
        <v>20</v>
      </c>
      <c r="I374">
        <v>119</v>
      </c>
    </row>
    <row r="375" spans="5:9" x14ac:dyDescent="0.25">
      <c r="E375">
        <f t="shared" si="40"/>
        <v>59</v>
      </c>
      <c r="G375" t="s">
        <v>221</v>
      </c>
      <c r="H375">
        <v>36</v>
      </c>
      <c r="I375">
        <v>119</v>
      </c>
    </row>
    <row r="376" spans="5:9" x14ac:dyDescent="0.25">
      <c r="E376">
        <f t="shared" si="40"/>
        <v>59</v>
      </c>
      <c r="G376" t="s">
        <v>222</v>
      </c>
      <c r="H376">
        <v>45</v>
      </c>
      <c r="I376">
        <v>119</v>
      </c>
    </row>
    <row r="377" spans="5:9" x14ac:dyDescent="0.25">
      <c r="E377">
        <f t="shared" si="40"/>
        <v>59</v>
      </c>
      <c r="G377" t="s">
        <v>223</v>
      </c>
      <c r="H377">
        <v>39</v>
      </c>
      <c r="I377">
        <v>119</v>
      </c>
    </row>
    <row r="378" spans="5:9" x14ac:dyDescent="0.25">
      <c r="E378">
        <f t="shared" si="40"/>
        <v>59</v>
      </c>
      <c r="G378" t="s">
        <v>224</v>
      </c>
      <c r="H378">
        <v>12</v>
      </c>
      <c r="I378">
        <v>119</v>
      </c>
    </row>
    <row r="379" spans="5:9" x14ac:dyDescent="0.25">
      <c r="E379">
        <f t="shared" si="40"/>
        <v>59</v>
      </c>
      <c r="G379" t="s">
        <v>225</v>
      </c>
      <c r="H379">
        <v>6</v>
      </c>
      <c r="I379">
        <v>119</v>
      </c>
    </row>
    <row r="380" spans="5:9" x14ac:dyDescent="0.25">
      <c r="E380">
        <f t="shared" si="40"/>
        <v>59</v>
      </c>
      <c r="G380" t="s">
        <v>226</v>
      </c>
      <c r="H380">
        <v>5</v>
      </c>
      <c r="I380">
        <v>119</v>
      </c>
    </row>
    <row r="381" spans="5:9" x14ac:dyDescent="0.25">
      <c r="E381">
        <f>+$F$381</f>
        <v>7</v>
      </c>
      <c r="F381">
        <v>7</v>
      </c>
      <c r="G381" t="s">
        <v>218</v>
      </c>
      <c r="H381">
        <v>2</v>
      </c>
      <c r="I381">
        <v>113</v>
      </c>
    </row>
    <row r="382" spans="5:9" x14ac:dyDescent="0.25">
      <c r="E382">
        <f t="shared" ref="E382:E389" si="41">+$F$381</f>
        <v>7</v>
      </c>
      <c r="G382" t="s">
        <v>219</v>
      </c>
      <c r="I382">
        <v>113</v>
      </c>
    </row>
    <row r="383" spans="5:9" x14ac:dyDescent="0.25">
      <c r="E383">
        <f t="shared" si="41"/>
        <v>7</v>
      </c>
      <c r="G383" t="s">
        <v>220</v>
      </c>
      <c r="H383">
        <v>9</v>
      </c>
      <c r="I383">
        <v>113</v>
      </c>
    </row>
    <row r="384" spans="5:9" x14ac:dyDescent="0.25">
      <c r="E384">
        <f t="shared" si="41"/>
        <v>7</v>
      </c>
      <c r="G384" t="s">
        <v>221</v>
      </c>
      <c r="H384">
        <v>1</v>
      </c>
      <c r="I384">
        <v>113</v>
      </c>
    </row>
    <row r="385" spans="5:9" x14ac:dyDescent="0.25">
      <c r="E385">
        <f t="shared" si="41"/>
        <v>7</v>
      </c>
      <c r="G385" t="s">
        <v>222</v>
      </c>
      <c r="H385">
        <v>3</v>
      </c>
      <c r="I385">
        <v>113</v>
      </c>
    </row>
    <row r="386" spans="5:9" x14ac:dyDescent="0.25">
      <c r="E386">
        <f t="shared" si="41"/>
        <v>7</v>
      </c>
      <c r="G386" t="s">
        <v>223</v>
      </c>
      <c r="H386">
        <v>10</v>
      </c>
      <c r="I386">
        <v>113</v>
      </c>
    </row>
    <row r="387" spans="5:9" x14ac:dyDescent="0.25">
      <c r="E387">
        <f t="shared" si="41"/>
        <v>7</v>
      </c>
      <c r="G387" t="s">
        <v>224</v>
      </c>
      <c r="H387">
        <v>15</v>
      </c>
      <c r="I387">
        <v>113</v>
      </c>
    </row>
    <row r="388" spans="5:9" x14ac:dyDescent="0.25">
      <c r="E388">
        <f t="shared" si="41"/>
        <v>7</v>
      </c>
      <c r="G388" t="s">
        <v>225</v>
      </c>
      <c r="H388">
        <v>4</v>
      </c>
      <c r="I388">
        <v>113</v>
      </c>
    </row>
    <row r="389" spans="5:9" x14ac:dyDescent="0.25">
      <c r="E389">
        <f t="shared" si="41"/>
        <v>7</v>
      </c>
      <c r="G389" t="s">
        <v>226</v>
      </c>
      <c r="H389">
        <v>4</v>
      </c>
      <c r="I389">
        <v>113</v>
      </c>
    </row>
    <row r="390" spans="5:9" x14ac:dyDescent="0.25">
      <c r="E390">
        <f>+$F$390</f>
        <v>8</v>
      </c>
      <c r="F390">
        <v>8</v>
      </c>
      <c r="G390" t="s">
        <v>218</v>
      </c>
      <c r="H390">
        <v>60</v>
      </c>
      <c r="I390">
        <v>194</v>
      </c>
    </row>
    <row r="391" spans="5:9" x14ac:dyDescent="0.25">
      <c r="E391">
        <f t="shared" ref="E391:E398" si="42">+$F$390</f>
        <v>8</v>
      </c>
      <c r="G391" t="s">
        <v>219</v>
      </c>
      <c r="H391">
        <v>40</v>
      </c>
      <c r="I391">
        <v>194</v>
      </c>
    </row>
    <row r="392" spans="5:9" x14ac:dyDescent="0.25">
      <c r="E392">
        <f t="shared" si="42"/>
        <v>8</v>
      </c>
      <c r="G392" t="s">
        <v>220</v>
      </c>
      <c r="H392">
        <v>85</v>
      </c>
      <c r="I392">
        <v>194</v>
      </c>
    </row>
    <row r="393" spans="5:9" x14ac:dyDescent="0.25">
      <c r="E393">
        <f t="shared" si="42"/>
        <v>8</v>
      </c>
      <c r="G393" t="s">
        <v>221</v>
      </c>
      <c r="H393">
        <v>60</v>
      </c>
      <c r="I393">
        <v>194</v>
      </c>
    </row>
    <row r="394" spans="5:9" x14ac:dyDescent="0.25">
      <c r="E394">
        <f t="shared" si="42"/>
        <v>8</v>
      </c>
      <c r="G394" t="s">
        <v>222</v>
      </c>
      <c r="H394">
        <v>113</v>
      </c>
      <c r="I394">
        <v>194</v>
      </c>
    </row>
    <row r="395" spans="5:9" x14ac:dyDescent="0.25">
      <c r="E395">
        <f t="shared" si="42"/>
        <v>8</v>
      </c>
      <c r="G395" t="s">
        <v>223</v>
      </c>
      <c r="H395">
        <v>77</v>
      </c>
      <c r="I395">
        <v>194</v>
      </c>
    </row>
    <row r="396" spans="5:9" x14ac:dyDescent="0.25">
      <c r="E396">
        <f t="shared" si="42"/>
        <v>8</v>
      </c>
      <c r="G396" t="s">
        <v>224</v>
      </c>
      <c r="H396">
        <v>20</v>
      </c>
      <c r="I396">
        <v>194</v>
      </c>
    </row>
    <row r="397" spans="5:9" x14ac:dyDescent="0.25">
      <c r="E397">
        <f t="shared" si="42"/>
        <v>8</v>
      </c>
      <c r="G397" t="s">
        <v>225</v>
      </c>
      <c r="H397">
        <v>30</v>
      </c>
      <c r="I397">
        <v>194</v>
      </c>
    </row>
    <row r="398" spans="5:9" x14ac:dyDescent="0.25">
      <c r="E398">
        <f t="shared" si="42"/>
        <v>8</v>
      </c>
      <c r="G398" t="s">
        <v>226</v>
      </c>
      <c r="H398">
        <v>49</v>
      </c>
      <c r="I398">
        <v>194</v>
      </c>
    </row>
    <row r="399" spans="5:9" x14ac:dyDescent="0.25">
      <c r="E399">
        <f>+$F$399</f>
        <v>9</v>
      </c>
      <c r="F399">
        <v>9</v>
      </c>
      <c r="G399" t="s">
        <v>218</v>
      </c>
      <c r="H399">
        <v>39</v>
      </c>
      <c r="I399">
        <v>161</v>
      </c>
    </row>
    <row r="400" spans="5:9" x14ac:dyDescent="0.25">
      <c r="E400">
        <f t="shared" ref="E400:E407" si="43">+$F$399</f>
        <v>9</v>
      </c>
      <c r="G400" t="s">
        <v>219</v>
      </c>
      <c r="H400">
        <v>55</v>
      </c>
      <c r="I400">
        <v>161</v>
      </c>
    </row>
    <row r="401" spans="5:9" x14ac:dyDescent="0.25">
      <c r="E401">
        <f t="shared" si="43"/>
        <v>9</v>
      </c>
      <c r="G401" t="s">
        <v>220</v>
      </c>
      <c r="H401">
        <v>52</v>
      </c>
      <c r="I401">
        <v>161</v>
      </c>
    </row>
    <row r="402" spans="5:9" x14ac:dyDescent="0.25">
      <c r="E402">
        <f t="shared" si="43"/>
        <v>9</v>
      </c>
      <c r="G402" t="s">
        <v>221</v>
      </c>
      <c r="H402">
        <v>54</v>
      </c>
      <c r="I402">
        <v>161</v>
      </c>
    </row>
    <row r="403" spans="5:9" x14ac:dyDescent="0.25">
      <c r="E403">
        <f t="shared" si="43"/>
        <v>9</v>
      </c>
      <c r="G403" t="s">
        <v>222</v>
      </c>
      <c r="H403">
        <v>96</v>
      </c>
      <c r="I403">
        <v>161</v>
      </c>
    </row>
    <row r="404" spans="5:9" x14ac:dyDescent="0.25">
      <c r="E404">
        <f t="shared" si="43"/>
        <v>9</v>
      </c>
      <c r="G404" t="s">
        <v>223</v>
      </c>
      <c r="H404">
        <v>75</v>
      </c>
      <c r="I404">
        <v>161</v>
      </c>
    </row>
    <row r="405" spans="5:9" x14ac:dyDescent="0.25">
      <c r="E405">
        <f t="shared" si="43"/>
        <v>9</v>
      </c>
      <c r="G405" t="s">
        <v>224</v>
      </c>
      <c r="H405">
        <v>14</v>
      </c>
      <c r="I405">
        <v>161</v>
      </c>
    </row>
    <row r="406" spans="5:9" x14ac:dyDescent="0.25">
      <c r="E406">
        <f t="shared" si="43"/>
        <v>9</v>
      </c>
      <c r="G406" t="s">
        <v>225</v>
      </c>
      <c r="H406">
        <v>31</v>
      </c>
      <c r="I406">
        <v>161</v>
      </c>
    </row>
    <row r="407" spans="5:9" x14ac:dyDescent="0.25">
      <c r="E407">
        <f t="shared" si="43"/>
        <v>9</v>
      </c>
      <c r="G407" t="s">
        <v>226</v>
      </c>
      <c r="H407">
        <v>50</v>
      </c>
      <c r="I407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205</v>
      </c>
      <c r="B2">
        <v>1</v>
      </c>
      <c r="C2" s="52">
        <v>46082</v>
      </c>
      <c r="D2" t="s">
        <v>157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205</v>
      </c>
      <c r="B3">
        <v>1</v>
      </c>
      <c r="C3" s="52">
        <v>46082</v>
      </c>
      <c r="D3" t="s">
        <v>181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205</v>
      </c>
      <c r="B4">
        <v>1</v>
      </c>
      <c r="C4" s="52">
        <v>46082</v>
      </c>
      <c r="D4" t="s">
        <v>158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205</v>
      </c>
      <c r="B5">
        <v>1</v>
      </c>
      <c r="C5" s="52">
        <v>46082</v>
      </c>
      <c r="D5" t="s">
        <v>163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205</v>
      </c>
      <c r="B6">
        <v>1</v>
      </c>
      <c r="C6" s="52">
        <v>46082</v>
      </c>
      <c r="D6" t="s">
        <v>164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205</v>
      </c>
      <c r="B7">
        <v>1</v>
      </c>
      <c r="C7" s="52">
        <v>46082</v>
      </c>
      <c r="D7" t="s">
        <v>198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205</v>
      </c>
      <c r="B8">
        <v>1</v>
      </c>
      <c r="C8" s="52">
        <v>46082</v>
      </c>
      <c r="D8" t="s">
        <v>159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205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205</v>
      </c>
      <c r="B10">
        <v>1</v>
      </c>
      <c r="C10" s="52">
        <v>46082</v>
      </c>
      <c r="D10" t="s">
        <v>165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205</v>
      </c>
      <c r="B11">
        <v>1</v>
      </c>
      <c r="C11" s="52">
        <v>46082</v>
      </c>
      <c r="D11" t="s">
        <v>166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205</v>
      </c>
      <c r="B12">
        <v>1</v>
      </c>
      <c r="C12" s="52">
        <v>46082</v>
      </c>
      <c r="D12" t="s">
        <v>182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205</v>
      </c>
      <c r="B13">
        <v>1</v>
      </c>
      <c r="C13" s="52">
        <v>46082</v>
      </c>
      <c r="D13" t="s">
        <v>203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205</v>
      </c>
      <c r="B14">
        <v>1</v>
      </c>
      <c r="C14" s="52">
        <v>46082</v>
      </c>
      <c r="D14" t="s">
        <v>167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205</v>
      </c>
      <c r="B15">
        <v>1</v>
      </c>
      <c r="C15" s="52">
        <v>46082</v>
      </c>
      <c r="D15" t="s">
        <v>168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205</v>
      </c>
      <c r="B16">
        <v>1</v>
      </c>
      <c r="C16" s="52">
        <v>46082</v>
      </c>
      <c r="D16" t="s">
        <v>183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205</v>
      </c>
      <c r="B17">
        <v>1</v>
      </c>
      <c r="C17" s="52">
        <v>46082</v>
      </c>
      <c r="D17" t="s">
        <v>169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205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205</v>
      </c>
      <c r="B19">
        <v>1</v>
      </c>
      <c r="C19" s="52">
        <v>46082</v>
      </c>
      <c r="D19" t="s">
        <v>199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205</v>
      </c>
      <c r="B20">
        <v>1</v>
      </c>
      <c r="C20" s="52">
        <v>46082</v>
      </c>
      <c r="D20" t="s">
        <v>160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205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205</v>
      </c>
      <c r="B22">
        <v>1</v>
      </c>
      <c r="C22" s="52">
        <v>46082</v>
      </c>
      <c r="D22" t="s">
        <v>170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205</v>
      </c>
      <c r="B23">
        <v>1</v>
      </c>
      <c r="C23" s="52">
        <v>46082</v>
      </c>
      <c r="D23" t="s">
        <v>171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205</v>
      </c>
      <c r="B24">
        <v>1</v>
      </c>
      <c r="C24" s="52">
        <v>46082</v>
      </c>
      <c r="D24" t="s">
        <v>172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205</v>
      </c>
      <c r="B25">
        <v>1</v>
      </c>
      <c r="C25" s="52">
        <v>46082</v>
      </c>
      <c r="D25" t="s">
        <v>173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205</v>
      </c>
      <c r="B26">
        <v>1</v>
      </c>
      <c r="C26" s="52">
        <v>46082</v>
      </c>
      <c r="D26" t="s">
        <v>189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205</v>
      </c>
      <c r="B27">
        <v>1</v>
      </c>
      <c r="C27" s="52">
        <v>46082</v>
      </c>
      <c r="D27" t="s">
        <v>174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205</v>
      </c>
      <c r="B28">
        <v>1</v>
      </c>
      <c r="C28" s="52">
        <v>46082</v>
      </c>
      <c r="D28" t="s">
        <v>190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205</v>
      </c>
      <c r="B29">
        <v>1</v>
      </c>
      <c r="C29" s="52">
        <v>46082</v>
      </c>
      <c r="D29" t="s">
        <v>175</v>
      </c>
      <c r="E29">
        <v>33</v>
      </c>
      <c r="F29" t="s">
        <v>176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205</v>
      </c>
      <c r="B30">
        <v>1</v>
      </c>
      <c r="C30" s="52">
        <v>46082</v>
      </c>
      <c r="D30" t="s">
        <v>184</v>
      </c>
      <c r="E30">
        <v>36</v>
      </c>
      <c r="F30" t="s">
        <v>185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205</v>
      </c>
      <c r="B31">
        <v>1</v>
      </c>
      <c r="C31" s="52">
        <v>46082</v>
      </c>
      <c r="D31" t="s">
        <v>177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205</v>
      </c>
      <c r="B32">
        <v>1</v>
      </c>
      <c r="C32" s="52">
        <v>46082</v>
      </c>
      <c r="D32" t="s">
        <v>161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205</v>
      </c>
      <c r="B33">
        <v>1</v>
      </c>
      <c r="C33" s="52">
        <v>46082</v>
      </c>
      <c r="D33" t="s">
        <v>201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205</v>
      </c>
      <c r="B34">
        <v>1</v>
      </c>
      <c r="C34" s="52">
        <v>46082</v>
      </c>
      <c r="D34" t="s">
        <v>204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205</v>
      </c>
      <c r="B35">
        <v>1</v>
      </c>
      <c r="C35" s="52">
        <v>46082</v>
      </c>
      <c r="D35" t="s">
        <v>178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205</v>
      </c>
      <c r="B36">
        <v>1</v>
      </c>
      <c r="C36" s="52">
        <v>46082</v>
      </c>
      <c r="D36" t="s">
        <v>200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205</v>
      </c>
      <c r="B37">
        <v>1</v>
      </c>
      <c r="C37" s="52">
        <v>46082</v>
      </c>
      <c r="D37" t="s">
        <v>191</v>
      </c>
      <c r="E37">
        <v>52</v>
      </c>
      <c r="F37" t="s">
        <v>192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205</v>
      </c>
      <c r="B38">
        <v>1</v>
      </c>
      <c r="C38" s="52">
        <v>46082</v>
      </c>
      <c r="D38" t="s">
        <v>193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205</v>
      </c>
      <c r="B39">
        <v>1</v>
      </c>
      <c r="C39" s="52">
        <v>46082</v>
      </c>
      <c r="D39" t="s">
        <v>179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205</v>
      </c>
      <c r="B40">
        <v>1</v>
      </c>
      <c r="C40" s="52">
        <v>46082</v>
      </c>
      <c r="D40" t="s">
        <v>186</v>
      </c>
      <c r="E40">
        <v>56</v>
      </c>
      <c r="F40" t="s">
        <v>187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205</v>
      </c>
      <c r="B41">
        <v>1</v>
      </c>
      <c r="C41" s="52">
        <v>46082</v>
      </c>
      <c r="D41" t="s">
        <v>202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205</v>
      </c>
      <c r="B42">
        <v>1</v>
      </c>
      <c r="C42" s="52">
        <v>46082</v>
      </c>
      <c r="D42" t="s">
        <v>194</v>
      </c>
      <c r="E42">
        <v>58</v>
      </c>
      <c r="F42" t="s">
        <v>195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205</v>
      </c>
      <c r="B43">
        <v>1</v>
      </c>
      <c r="C43" s="52">
        <v>46082</v>
      </c>
      <c r="D43" t="s">
        <v>196</v>
      </c>
      <c r="E43">
        <v>59</v>
      </c>
      <c r="F43" t="s">
        <v>197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205</v>
      </c>
      <c r="B44">
        <v>1</v>
      </c>
      <c r="C44" s="52">
        <v>46082</v>
      </c>
      <c r="D44" t="s">
        <v>180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205</v>
      </c>
      <c r="B45">
        <v>1</v>
      </c>
      <c r="C45" s="52">
        <v>46082</v>
      </c>
      <c r="D45" t="s">
        <v>188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COMISIONES</vt:lpstr>
      <vt:lpstr>AVANCE</vt:lpstr>
      <vt:lpstr>COBERTURA</vt:lpstr>
      <vt:lpstr>Venta C</vt:lpstr>
      <vt:lpstr>Base Cobertura</vt:lpstr>
      <vt:lpstr>Base venta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2026-06-02T11:53:14Z</dcterms:modified>
</cp:coreProperties>
</file>