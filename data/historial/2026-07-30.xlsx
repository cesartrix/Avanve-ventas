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OneDrive\Desktop\Reportes Ventas Rap\"/>
    </mc:Choice>
  </mc:AlternateContent>
  <xr:revisionPtr revIDLastSave="0" documentId="13_ncr:1_{3B0F1817-1CFB-48A8-83A2-63241557BAB7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COMISIONES" sheetId="7" r:id="rId1"/>
    <sheet name="AVANCE" sheetId="3" r:id="rId2"/>
    <sheet name="COBERTURA" sheetId="6" r:id="rId3"/>
    <sheet name="Venta C" sheetId="10" r:id="rId4"/>
    <sheet name="Base Cobertura" sheetId="9" r:id="rId5"/>
    <sheet name="Base venta C" sheetId="12" r:id="rId6"/>
    <sheet name="Promedio Horas" sheetId="18" r:id="rId7"/>
    <sheet name="Historico Enero" sheetId="17" r:id="rId8"/>
    <sheet name="Historico Febrero" sheetId="13" r:id="rId9"/>
    <sheet name="Historico Marzo" sheetId="14" r:id="rId10"/>
    <sheet name="Historico Abril" sheetId="15" r:id="rId11"/>
    <sheet name="Historico Mayo" sheetId="16" r:id="rId12"/>
    <sheet name="Historico Junio" sheetId="19" r:id="rId13"/>
  </sheets>
  <definedNames>
    <definedName name="_xlnm._FilterDatabase" localSheetId="1" hidden="1">AVANCE!$B$1:$N$48</definedName>
    <definedName name="_xlnm._FilterDatabase" localSheetId="2" hidden="1">COBERTURA!$C$1:$N$47</definedName>
    <definedName name="_xlnm._FilterDatabase" localSheetId="0" hidden="1">COMISIONES!$A$1:$H$38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16" i="9" l="1"/>
  <c r="E415" i="9"/>
  <c r="E414" i="9"/>
  <c r="E413" i="9"/>
  <c r="E412" i="9"/>
  <c r="E411" i="9"/>
  <c r="E410" i="9"/>
  <c r="E409" i="9"/>
  <c r="E408" i="9"/>
  <c r="E407" i="9"/>
  <c r="G44" i="6"/>
  <c r="H44" i="6"/>
  <c r="F44" i="6" s="1"/>
  <c r="C39" i="6"/>
  <c r="C40" i="6"/>
  <c r="C41" i="6"/>
  <c r="C42" i="6"/>
  <c r="C43" i="6"/>
  <c r="C44" i="6"/>
  <c r="C45" i="6"/>
  <c r="C38" i="6"/>
  <c r="D45" i="3"/>
  <c r="K45" i="3" s="1"/>
  <c r="B36" i="18"/>
  <c r="B35" i="18"/>
  <c r="B34" i="18"/>
  <c r="B33" i="18"/>
  <c r="B32" i="18"/>
  <c r="B31" i="18"/>
  <c r="B30" i="18"/>
  <c r="B29" i="18"/>
  <c r="B28" i="18"/>
  <c r="B27" i="18"/>
  <c r="B26" i="18"/>
  <c r="B25" i="18"/>
  <c r="B24" i="18"/>
  <c r="B23" i="18"/>
  <c r="B22" i="18"/>
  <c r="B21" i="18"/>
  <c r="B19" i="18"/>
  <c r="B14" i="18"/>
  <c r="B20" i="18"/>
  <c r="B18" i="18"/>
  <c r="B17" i="18"/>
  <c r="B16" i="18"/>
  <c r="B15" i="18"/>
  <c r="B13" i="18"/>
  <c r="B12" i="18"/>
  <c r="B11" i="18"/>
  <c r="B10" i="18"/>
  <c r="B9" i="18"/>
  <c r="B8" i="18"/>
  <c r="B7" i="18"/>
  <c r="B6" i="18"/>
  <c r="B5" i="18"/>
  <c r="B4" i="18"/>
  <c r="B3" i="18"/>
  <c r="B2" i="18"/>
  <c r="C11" i="6"/>
  <c r="C10" i="6"/>
  <c r="C13" i="6"/>
  <c r="C12" i="6"/>
  <c r="C7" i="6"/>
  <c r="C8" i="6"/>
  <c r="C9" i="6"/>
  <c r="C6" i="6"/>
  <c r="C5" i="6"/>
  <c r="C4" i="6"/>
  <c r="C3" i="6"/>
  <c r="H13" i="6"/>
  <c r="F13" i="6" s="1"/>
  <c r="G13" i="6"/>
  <c r="H12" i="6"/>
  <c r="F12" i="6" s="1"/>
  <c r="G12" i="6"/>
  <c r="H11" i="6"/>
  <c r="F11" i="6" s="1"/>
  <c r="G11" i="6"/>
  <c r="H10" i="6"/>
  <c r="F10" i="6" s="1"/>
  <c r="G10" i="6"/>
  <c r="H9" i="6"/>
  <c r="G9" i="6"/>
  <c r="H8" i="6"/>
  <c r="F8" i="6" s="1"/>
  <c r="G8" i="6"/>
  <c r="H7" i="6"/>
  <c r="G7" i="6"/>
  <c r="H6" i="6"/>
  <c r="F6" i="6" s="1"/>
  <c r="G6" i="6"/>
  <c r="H5" i="6"/>
  <c r="F5" i="6" s="1"/>
  <c r="G5" i="6"/>
  <c r="H4" i="6"/>
  <c r="F4" i="6" s="1"/>
  <c r="G4" i="6"/>
  <c r="H3" i="6"/>
  <c r="F3" i="6" s="1"/>
  <c r="G3" i="6"/>
  <c r="C15" i="6"/>
  <c r="G15" i="6"/>
  <c r="H15" i="6"/>
  <c r="C16" i="6"/>
  <c r="G16" i="6"/>
  <c r="H16" i="6"/>
  <c r="C17" i="6"/>
  <c r="G17" i="6"/>
  <c r="H17" i="6"/>
  <c r="C18" i="6"/>
  <c r="G18" i="6"/>
  <c r="H18" i="6"/>
  <c r="C19" i="6"/>
  <c r="G19" i="6"/>
  <c r="H19" i="6"/>
  <c r="C20" i="6"/>
  <c r="G20" i="6"/>
  <c r="H20" i="6"/>
  <c r="F20" i="6" s="1"/>
  <c r="C21" i="6"/>
  <c r="G21" i="6"/>
  <c r="H21" i="6"/>
  <c r="C22" i="6"/>
  <c r="G22" i="6"/>
  <c r="H22" i="6"/>
  <c r="C24" i="6"/>
  <c r="G24" i="6"/>
  <c r="H24" i="6"/>
  <c r="F24" i="6" s="1"/>
  <c r="C25" i="6"/>
  <c r="G25" i="6"/>
  <c r="H25" i="6"/>
  <c r="C26" i="6"/>
  <c r="G26" i="6"/>
  <c r="H26" i="6"/>
  <c r="F26" i="6" s="1"/>
  <c r="C27" i="6"/>
  <c r="G27" i="6"/>
  <c r="H27" i="6"/>
  <c r="F27" i="6" s="1"/>
  <c r="C28" i="6"/>
  <c r="G28" i="6"/>
  <c r="H28" i="6"/>
  <c r="F28" i="6" s="1"/>
  <c r="C29" i="6"/>
  <c r="G29" i="6"/>
  <c r="H29" i="6"/>
  <c r="C30" i="6"/>
  <c r="G30" i="6"/>
  <c r="H30" i="6"/>
  <c r="F30" i="6" s="1"/>
  <c r="C31" i="6"/>
  <c r="G31" i="6"/>
  <c r="H31" i="6"/>
  <c r="F31" i="6" s="1"/>
  <c r="C32" i="6"/>
  <c r="G32" i="6"/>
  <c r="H32" i="6"/>
  <c r="F32" i="6" s="1"/>
  <c r="C33" i="6"/>
  <c r="G33" i="6"/>
  <c r="H33" i="6"/>
  <c r="C34" i="6"/>
  <c r="G34" i="6"/>
  <c r="H34" i="6"/>
  <c r="F34" i="6" s="1"/>
  <c r="C35" i="6"/>
  <c r="G35" i="6"/>
  <c r="H35" i="6"/>
  <c r="F35" i="6" s="1"/>
  <c r="C36" i="6"/>
  <c r="G36" i="6"/>
  <c r="H36" i="6"/>
  <c r="F36" i="6" s="1"/>
  <c r="G38" i="6"/>
  <c r="H38" i="6"/>
  <c r="F38" i="6" s="1"/>
  <c r="G39" i="6"/>
  <c r="H39" i="6"/>
  <c r="G40" i="6"/>
  <c r="H40" i="6"/>
  <c r="F40" i="6" s="1"/>
  <c r="G41" i="6"/>
  <c r="H41" i="6"/>
  <c r="G42" i="6"/>
  <c r="H42" i="6"/>
  <c r="G43" i="6"/>
  <c r="H43" i="6"/>
  <c r="F43" i="6" s="1"/>
  <c r="G45" i="6"/>
  <c r="H45" i="6"/>
  <c r="F45" i="6" s="1"/>
  <c r="I3" i="6" l="1"/>
  <c r="F45" i="3"/>
  <c r="G45" i="3"/>
  <c r="I44" i="6"/>
  <c r="D44" i="6"/>
  <c r="I4" i="6"/>
  <c r="I17" i="6"/>
  <c r="I12" i="6"/>
  <c r="I25" i="6"/>
  <c r="I45" i="6"/>
  <c r="D17" i="6"/>
  <c r="I31" i="6"/>
  <c r="I42" i="6"/>
  <c r="I7" i="6"/>
  <c r="I8" i="6"/>
  <c r="I20" i="6"/>
  <c r="I19" i="6"/>
  <c r="D25" i="6"/>
  <c r="I5" i="6"/>
  <c r="I11" i="6"/>
  <c r="I27" i="6"/>
  <c r="D19" i="6"/>
  <c r="D42" i="6"/>
  <c r="D5" i="6"/>
  <c r="D15" i="6"/>
  <c r="I39" i="6"/>
  <c r="D7" i="6"/>
  <c r="I33" i="6"/>
  <c r="D3" i="6"/>
  <c r="I43" i="6"/>
  <c r="D9" i="6"/>
  <c r="F7" i="6"/>
  <c r="F9" i="6"/>
  <c r="I35" i="6"/>
  <c r="D16" i="6"/>
  <c r="D39" i="6"/>
  <c r="I6" i="6"/>
  <c r="I10" i="6"/>
  <c r="I21" i="6"/>
  <c r="D11" i="6"/>
  <c r="D18" i="6"/>
  <c r="I22" i="6"/>
  <c r="I29" i="6"/>
  <c r="I16" i="6"/>
  <c r="D13" i="6"/>
  <c r="I13" i="6"/>
  <c r="I15" i="6"/>
  <c r="I40" i="6"/>
  <c r="F39" i="6"/>
  <c r="D20" i="6"/>
  <c r="I9" i="6"/>
  <c r="I18" i="6"/>
  <c r="D43" i="6"/>
  <c r="D22" i="6"/>
  <c r="F16" i="6"/>
  <c r="D41" i="6"/>
  <c r="D29" i="6"/>
  <c r="D21" i="6"/>
  <c r="D28" i="6"/>
  <c r="D36" i="6"/>
  <c r="D30" i="6"/>
  <c r="D24" i="6"/>
  <c r="F21" i="6"/>
  <c r="D45" i="6"/>
  <c r="I38" i="6"/>
  <c r="I41" i="6"/>
  <c r="D32" i="6"/>
  <c r="D26" i="6"/>
  <c r="G23" i="6"/>
  <c r="F18" i="6"/>
  <c r="D34" i="6"/>
  <c r="G37" i="6"/>
  <c r="G46" i="6" s="1"/>
  <c r="H23" i="6"/>
  <c r="D4" i="6"/>
  <c r="D8" i="6"/>
  <c r="D12" i="6"/>
  <c r="D6" i="6"/>
  <c r="D10" i="6"/>
  <c r="H37" i="6"/>
  <c r="H46" i="6" s="1"/>
  <c r="F33" i="6"/>
  <c r="F29" i="6"/>
  <c r="F25" i="6"/>
  <c r="D40" i="6"/>
  <c r="D35" i="6"/>
  <c r="D33" i="6"/>
  <c r="D31" i="6"/>
  <c r="D27" i="6"/>
  <c r="F42" i="6"/>
  <c r="I36" i="6"/>
  <c r="I34" i="6"/>
  <c r="I32" i="6"/>
  <c r="I30" i="6"/>
  <c r="I28" i="6"/>
  <c r="I26" i="6"/>
  <c r="I24" i="6"/>
  <c r="F22" i="6"/>
  <c r="F19" i="6"/>
  <c r="F17" i="6"/>
  <c r="F15" i="6"/>
  <c r="D38" i="6"/>
  <c r="F41" i="6"/>
  <c r="D46" i="3"/>
  <c r="F46" i="3" s="1"/>
  <c r="D44" i="3"/>
  <c r="F44" i="3" s="1"/>
  <c r="D43" i="3"/>
  <c r="F43" i="3" s="1"/>
  <c r="D42" i="3"/>
  <c r="F42" i="3" s="1"/>
  <c r="D41" i="3"/>
  <c r="F41" i="3" s="1"/>
  <c r="D40" i="3"/>
  <c r="F40" i="3" s="1"/>
  <c r="D39" i="3"/>
  <c r="F39" i="3" s="1"/>
  <c r="E406" i="9"/>
  <c r="E405" i="9"/>
  <c r="E404" i="9"/>
  <c r="E403" i="9"/>
  <c r="E402" i="9"/>
  <c r="E401" i="9"/>
  <c r="E400" i="9"/>
  <c r="E399" i="9"/>
  <c r="E398" i="9"/>
  <c r="E397" i="9"/>
  <c r="E396" i="9"/>
  <c r="E395" i="9"/>
  <c r="E394" i="9"/>
  <c r="E393" i="9"/>
  <c r="E392" i="9"/>
  <c r="E391" i="9"/>
  <c r="E390" i="9"/>
  <c r="E389" i="9"/>
  <c r="E388" i="9"/>
  <c r="E387" i="9"/>
  <c r="E386" i="9"/>
  <c r="E385" i="9"/>
  <c r="E384" i="9"/>
  <c r="E383" i="9"/>
  <c r="E382" i="9"/>
  <c r="E381" i="9"/>
  <c r="E380" i="9"/>
  <c r="E379" i="9"/>
  <c r="E378" i="9"/>
  <c r="E377" i="9"/>
  <c r="E376" i="9"/>
  <c r="E375" i="9"/>
  <c r="E374" i="9"/>
  <c r="E373" i="9"/>
  <c r="E372" i="9"/>
  <c r="E371" i="9"/>
  <c r="E370" i="9"/>
  <c r="E369" i="9"/>
  <c r="E368" i="9"/>
  <c r="E367" i="9"/>
  <c r="E366" i="9"/>
  <c r="E365" i="9"/>
  <c r="E364" i="9"/>
  <c r="E363" i="9"/>
  <c r="E362" i="9"/>
  <c r="E361" i="9"/>
  <c r="E360" i="9"/>
  <c r="E359" i="9"/>
  <c r="E358" i="9"/>
  <c r="E357" i="9"/>
  <c r="E356" i="9"/>
  <c r="E355" i="9"/>
  <c r="E354" i="9"/>
  <c r="E353" i="9"/>
  <c r="E352" i="9"/>
  <c r="E351" i="9"/>
  <c r="E350" i="9"/>
  <c r="E349" i="9"/>
  <c r="E348" i="9"/>
  <c r="E347" i="9"/>
  <c r="E346" i="9"/>
  <c r="E345" i="9"/>
  <c r="E344" i="9"/>
  <c r="E343" i="9"/>
  <c r="E342" i="9"/>
  <c r="E341" i="9"/>
  <c r="E340" i="9"/>
  <c r="E339" i="9"/>
  <c r="E338" i="9"/>
  <c r="E337" i="9"/>
  <c r="E336" i="9"/>
  <c r="E335" i="9"/>
  <c r="E334" i="9"/>
  <c r="E333" i="9"/>
  <c r="E332" i="9"/>
  <c r="E331" i="9"/>
  <c r="E330" i="9"/>
  <c r="E329" i="9"/>
  <c r="E328" i="9"/>
  <c r="E327" i="9"/>
  <c r="E326" i="9"/>
  <c r="E325" i="9"/>
  <c r="E324" i="9"/>
  <c r="E323" i="9"/>
  <c r="E322" i="9"/>
  <c r="E321" i="9"/>
  <c r="E320" i="9"/>
  <c r="E319" i="9"/>
  <c r="E318" i="9"/>
  <c r="E310" i="9"/>
  <c r="E311" i="9"/>
  <c r="E312" i="9"/>
  <c r="E313" i="9"/>
  <c r="E314" i="9"/>
  <c r="E315" i="9"/>
  <c r="E316" i="9"/>
  <c r="E317" i="9"/>
  <c r="E309" i="9"/>
  <c r="E308" i="9"/>
  <c r="E307" i="9"/>
  <c r="E306" i="9"/>
  <c r="E305" i="9"/>
  <c r="E304" i="9"/>
  <c r="E303" i="9"/>
  <c r="E302" i="9"/>
  <c r="E301" i="9"/>
  <c r="E300" i="9"/>
  <c r="E292" i="9"/>
  <c r="E293" i="9"/>
  <c r="E294" i="9"/>
  <c r="E295" i="9"/>
  <c r="E296" i="9"/>
  <c r="E297" i="9"/>
  <c r="E298" i="9"/>
  <c r="E299" i="9"/>
  <c r="E291" i="9"/>
  <c r="E283" i="9"/>
  <c r="E284" i="9"/>
  <c r="E285" i="9"/>
  <c r="E286" i="9"/>
  <c r="E287" i="9"/>
  <c r="E288" i="9"/>
  <c r="E289" i="9"/>
  <c r="E290" i="9"/>
  <c r="E282" i="9"/>
  <c r="E281" i="9"/>
  <c r="E280" i="9"/>
  <c r="E279" i="9"/>
  <c r="E278" i="9"/>
  <c r="E277" i="9"/>
  <c r="E276" i="9"/>
  <c r="E275" i="9"/>
  <c r="E274" i="9"/>
  <c r="E273" i="9"/>
  <c r="E265" i="9"/>
  <c r="E266" i="9"/>
  <c r="E267" i="9"/>
  <c r="E268" i="9"/>
  <c r="E269" i="9"/>
  <c r="E270" i="9"/>
  <c r="E271" i="9"/>
  <c r="E272" i="9"/>
  <c r="E264" i="9"/>
  <c r="E263" i="9"/>
  <c r="E262" i="9"/>
  <c r="E261" i="9"/>
  <c r="E260" i="9"/>
  <c r="E259" i="9"/>
  <c r="E258" i="9"/>
  <c r="E257" i="9"/>
  <c r="E256" i="9"/>
  <c r="E255" i="9"/>
  <c r="E247" i="9"/>
  <c r="E248" i="9"/>
  <c r="E249" i="9"/>
  <c r="E250" i="9"/>
  <c r="E251" i="9"/>
  <c r="E252" i="9"/>
  <c r="E253" i="9"/>
  <c r="E254" i="9"/>
  <c r="E246" i="9"/>
  <c r="E238" i="9"/>
  <c r="E239" i="9"/>
  <c r="E240" i="9"/>
  <c r="E241" i="9"/>
  <c r="E242" i="9"/>
  <c r="E243" i="9"/>
  <c r="E244" i="9"/>
  <c r="E245" i="9"/>
  <c r="E237" i="9"/>
  <c r="E229" i="9"/>
  <c r="E230" i="9"/>
  <c r="E231" i="9"/>
  <c r="E232" i="9"/>
  <c r="E233" i="9"/>
  <c r="E234" i="9"/>
  <c r="E235" i="9"/>
  <c r="E236" i="9"/>
  <c r="E228" i="9"/>
  <c r="E227" i="9"/>
  <c r="E226" i="9"/>
  <c r="E225" i="9"/>
  <c r="E224" i="9"/>
  <c r="E223" i="9"/>
  <c r="E222" i="9"/>
  <c r="E221" i="9"/>
  <c r="E220" i="9"/>
  <c r="E219" i="9"/>
  <c r="E218" i="9"/>
  <c r="E217" i="9"/>
  <c r="E216" i="9"/>
  <c r="E215" i="9"/>
  <c r="E214" i="9"/>
  <c r="E213" i="9"/>
  <c r="E212" i="9"/>
  <c r="E211" i="9"/>
  <c r="E210" i="9"/>
  <c r="E209" i="9"/>
  <c r="E208" i="9"/>
  <c r="E207" i="9"/>
  <c r="E206" i="9"/>
  <c r="E205" i="9"/>
  <c r="E204" i="9"/>
  <c r="E203" i="9"/>
  <c r="E202" i="9"/>
  <c r="E201" i="9"/>
  <c r="E200" i="9"/>
  <c r="E199" i="9"/>
  <c r="E198" i="9"/>
  <c r="E197" i="9"/>
  <c r="E196" i="9"/>
  <c r="E195" i="9"/>
  <c r="E194" i="9"/>
  <c r="E193" i="9"/>
  <c r="E192" i="9"/>
  <c r="E191" i="9"/>
  <c r="E190" i="9"/>
  <c r="E189" i="9"/>
  <c r="E188" i="9"/>
  <c r="E187" i="9"/>
  <c r="E186" i="9"/>
  <c r="E185" i="9"/>
  <c r="E184" i="9"/>
  <c r="E183" i="9"/>
  <c r="E182" i="9"/>
  <c r="E181" i="9"/>
  <c r="E180" i="9"/>
  <c r="E179" i="9"/>
  <c r="E178" i="9"/>
  <c r="E177" i="9"/>
  <c r="E176" i="9"/>
  <c r="E175" i="9"/>
  <c r="E174" i="9"/>
  <c r="E173" i="9"/>
  <c r="E172" i="9"/>
  <c r="E171" i="9"/>
  <c r="E170" i="9"/>
  <c r="E169" i="9"/>
  <c r="E168" i="9"/>
  <c r="E167" i="9"/>
  <c r="E166" i="9"/>
  <c r="E165" i="9"/>
  <c r="E164" i="9"/>
  <c r="E163" i="9"/>
  <c r="E162" i="9"/>
  <c r="E161" i="9"/>
  <c r="E160" i="9"/>
  <c r="E159" i="9"/>
  <c r="E158" i="9"/>
  <c r="E157" i="9"/>
  <c r="E156" i="9"/>
  <c r="E155" i="9"/>
  <c r="E154" i="9"/>
  <c r="E153" i="9"/>
  <c r="E152" i="9"/>
  <c r="E151" i="9"/>
  <c r="E150" i="9"/>
  <c r="E149" i="9"/>
  <c r="E148" i="9"/>
  <c r="E147" i="9"/>
  <c r="E146" i="9"/>
  <c r="E145" i="9"/>
  <c r="E144" i="9"/>
  <c r="E143" i="9"/>
  <c r="E142" i="9"/>
  <c r="E141" i="9"/>
  <c r="E140" i="9"/>
  <c r="E139" i="9"/>
  <c r="E138" i="9"/>
  <c r="E130" i="9"/>
  <c r="E131" i="9"/>
  <c r="E132" i="9"/>
  <c r="E133" i="9"/>
  <c r="E134" i="9"/>
  <c r="E135" i="9"/>
  <c r="E136" i="9"/>
  <c r="E137" i="9"/>
  <c r="E129" i="9"/>
  <c r="E128" i="9"/>
  <c r="E127" i="9"/>
  <c r="E126" i="9"/>
  <c r="E125" i="9"/>
  <c r="E124" i="9"/>
  <c r="E123" i="9"/>
  <c r="E122" i="9"/>
  <c r="E121" i="9"/>
  <c r="E120" i="9"/>
  <c r="E119" i="9"/>
  <c r="E118" i="9"/>
  <c r="E117" i="9"/>
  <c r="E116" i="9"/>
  <c r="E115" i="9"/>
  <c r="E114" i="9"/>
  <c r="E113" i="9"/>
  <c r="E112" i="9"/>
  <c r="E111" i="9"/>
  <c r="E110" i="9"/>
  <c r="E109" i="9"/>
  <c r="E108" i="9"/>
  <c r="E107" i="9"/>
  <c r="E106" i="9"/>
  <c r="E105" i="9"/>
  <c r="E104" i="9"/>
  <c r="E103" i="9"/>
  <c r="E102" i="9"/>
  <c r="E101" i="9"/>
  <c r="E100" i="9"/>
  <c r="E99" i="9"/>
  <c r="E98" i="9"/>
  <c r="E97" i="9"/>
  <c r="E96" i="9"/>
  <c r="E95" i="9"/>
  <c r="E94" i="9"/>
  <c r="E93" i="9"/>
  <c r="E92" i="9"/>
  <c r="E91" i="9"/>
  <c r="E90" i="9"/>
  <c r="E89" i="9"/>
  <c r="E88" i="9"/>
  <c r="E87" i="9"/>
  <c r="E86" i="9"/>
  <c r="E85" i="9"/>
  <c r="E84" i="9"/>
  <c r="E76" i="9"/>
  <c r="E77" i="9"/>
  <c r="E78" i="9"/>
  <c r="E79" i="9"/>
  <c r="E80" i="9"/>
  <c r="E81" i="9"/>
  <c r="E82" i="9"/>
  <c r="E83" i="9"/>
  <c r="E75" i="9"/>
  <c r="E67" i="9"/>
  <c r="E68" i="9"/>
  <c r="E69" i="9"/>
  <c r="E70" i="9"/>
  <c r="E71" i="9"/>
  <c r="E72" i="9"/>
  <c r="E73" i="9"/>
  <c r="E74" i="9"/>
  <c r="E66" i="9"/>
  <c r="E65" i="9"/>
  <c r="E64" i="9"/>
  <c r="E63" i="9"/>
  <c r="E62" i="9"/>
  <c r="E61" i="9"/>
  <c r="E60" i="9"/>
  <c r="E59" i="9"/>
  <c r="E58" i="9"/>
  <c r="E57" i="9"/>
  <c r="E56" i="9"/>
  <c r="E55" i="9"/>
  <c r="E54" i="9"/>
  <c r="E53" i="9"/>
  <c r="E52" i="9"/>
  <c r="E51" i="9"/>
  <c r="E50" i="9"/>
  <c r="E49" i="9"/>
  <c r="E48" i="9"/>
  <c r="E47" i="9"/>
  <c r="E46" i="9"/>
  <c r="E45" i="9"/>
  <c r="E44" i="9"/>
  <c r="E43" i="9"/>
  <c r="E42" i="9"/>
  <c r="E41" i="9"/>
  <c r="E40" i="9"/>
  <c r="E39" i="9"/>
  <c r="E38" i="9"/>
  <c r="E37" i="9"/>
  <c r="E36" i="9"/>
  <c r="E35" i="9"/>
  <c r="E34" i="9"/>
  <c r="E33" i="9"/>
  <c r="E32" i="9"/>
  <c r="E31" i="9"/>
  <c r="E30" i="9"/>
  <c r="E29" i="9"/>
  <c r="E28" i="9"/>
  <c r="E27" i="9"/>
  <c r="E26" i="9"/>
  <c r="E25" i="9"/>
  <c r="E24" i="9"/>
  <c r="E23" i="9"/>
  <c r="E22" i="9"/>
  <c r="E21" i="9"/>
  <c r="E12" i="9"/>
  <c r="E20" i="9" s="1"/>
  <c r="F37" i="6" l="1"/>
  <c r="F23" i="6"/>
  <c r="F47" i="3"/>
  <c r="G40" i="3"/>
  <c r="K44" i="3"/>
  <c r="K46" i="3"/>
  <c r="K41" i="3"/>
  <c r="D47" i="3"/>
  <c r="K40" i="3"/>
  <c r="K42" i="3"/>
  <c r="K39" i="3"/>
  <c r="K43" i="3"/>
  <c r="G42" i="3"/>
  <c r="G39" i="3"/>
  <c r="G41" i="3"/>
  <c r="E14" i="9"/>
  <c r="E15" i="9"/>
  <c r="E16" i="9"/>
  <c r="E17" i="9"/>
  <c r="E18" i="9"/>
  <c r="E13" i="9"/>
  <c r="E19" i="9"/>
  <c r="C39" i="10"/>
  <c r="C38" i="10"/>
  <c r="C37" i="10"/>
  <c r="C36" i="10"/>
  <c r="C35" i="10"/>
  <c r="C34" i="10"/>
  <c r="C33" i="10"/>
  <c r="C32" i="10"/>
  <c r="C31" i="10"/>
  <c r="C30" i="10"/>
  <c r="C29" i="10"/>
  <c r="C28" i="10"/>
  <c r="C27" i="10"/>
  <c r="C25" i="10"/>
  <c r="C24" i="10"/>
  <c r="C23" i="10"/>
  <c r="C22" i="10"/>
  <c r="C21" i="10"/>
  <c r="C20" i="10"/>
  <c r="C19" i="10"/>
  <c r="C18" i="10"/>
  <c r="C17" i="10"/>
  <c r="C15" i="10"/>
  <c r="C14" i="10"/>
  <c r="C13" i="10"/>
  <c r="C12" i="10"/>
  <c r="C11" i="10"/>
  <c r="C9" i="10"/>
  <c r="C8" i="10"/>
  <c r="C7" i="10"/>
  <c r="C6" i="10"/>
  <c r="C5" i="10"/>
  <c r="C4" i="10"/>
  <c r="C3" i="10"/>
  <c r="C2" i="10"/>
  <c r="C2" i="6"/>
  <c r="K47" i="3" l="1"/>
  <c r="G47" i="3"/>
  <c r="G43" i="3"/>
  <c r="R2" i="6"/>
  <c r="Q2" i="6"/>
  <c r="G46" i="3" l="1"/>
  <c r="G44" i="3"/>
  <c r="P3" i="6" l="1" a="1"/>
  <c r="D2" i="3"/>
  <c r="F2" i="3" s="1"/>
  <c r="D3" i="3"/>
  <c r="F3" i="3" s="1"/>
  <c r="D4" i="3"/>
  <c r="F4" i="3" s="1"/>
  <c r="D5" i="3"/>
  <c r="F5" i="3" s="1"/>
  <c r="D6" i="3"/>
  <c r="F6" i="3" s="1"/>
  <c r="D7" i="3"/>
  <c r="F7" i="3" s="1"/>
  <c r="D8" i="3"/>
  <c r="F8" i="3" s="1"/>
  <c r="D9" i="3"/>
  <c r="F9" i="3" s="1"/>
  <c r="D11" i="3"/>
  <c r="F11" i="3" s="1"/>
  <c r="D12" i="3"/>
  <c r="F12" i="3" s="1"/>
  <c r="D13" i="3"/>
  <c r="F13" i="3" s="1"/>
  <c r="D14" i="3"/>
  <c r="F14" i="3" s="1"/>
  <c r="D16" i="3"/>
  <c r="F16" i="3" s="1"/>
  <c r="D17" i="3"/>
  <c r="F17" i="3" s="1"/>
  <c r="D18" i="3"/>
  <c r="F18" i="3" s="1"/>
  <c r="D19" i="3"/>
  <c r="F19" i="3" s="1"/>
  <c r="D20" i="3"/>
  <c r="F20" i="3" s="1"/>
  <c r="D21" i="3"/>
  <c r="F21" i="3" s="1"/>
  <c r="D22" i="3"/>
  <c r="F22" i="3" s="1"/>
  <c r="D23" i="3"/>
  <c r="F23" i="3" s="1"/>
  <c r="D25" i="3"/>
  <c r="F25" i="3" s="1"/>
  <c r="D26" i="3"/>
  <c r="F26" i="3" s="1"/>
  <c r="D27" i="3"/>
  <c r="F27" i="3" s="1"/>
  <c r="D28" i="3"/>
  <c r="F28" i="3" s="1"/>
  <c r="D29" i="3"/>
  <c r="F29" i="3" s="1"/>
  <c r="D30" i="3"/>
  <c r="F30" i="3" s="1"/>
  <c r="D31" i="3"/>
  <c r="F31" i="3" s="1"/>
  <c r="D32" i="3"/>
  <c r="F32" i="3" s="1"/>
  <c r="D33" i="3"/>
  <c r="F33" i="3" s="1"/>
  <c r="D34" i="3"/>
  <c r="F34" i="3" s="1"/>
  <c r="D35" i="3"/>
  <c r="F35" i="3" s="1"/>
  <c r="D36" i="3"/>
  <c r="F36" i="3" s="1"/>
  <c r="D37" i="3"/>
  <c r="F37" i="3" s="1"/>
  <c r="N3" i="3"/>
  <c r="H2" i="6"/>
  <c r="H14" i="6" s="1"/>
  <c r="H47" i="6" s="1"/>
  <c r="G2" i="6"/>
  <c r="G14" i="6" s="1"/>
  <c r="G47" i="6" s="1"/>
  <c r="J45" i="3" l="1"/>
  <c r="H45" i="3"/>
  <c r="I45" i="3" s="1"/>
  <c r="L45" i="3" s="1" a="1"/>
  <c r="L45" i="3" s="1"/>
  <c r="J46" i="3"/>
  <c r="H46" i="3"/>
  <c r="I46" i="3" s="1"/>
  <c r="L46" i="3" s="1" a="1"/>
  <c r="L46" i="3" s="1"/>
  <c r="H41" i="3"/>
  <c r="I41" i="3" s="1"/>
  <c r="L41" i="3" s="1" a="1"/>
  <c r="L41" i="3" s="1"/>
  <c r="J40" i="3"/>
  <c r="H44" i="3"/>
  <c r="I44" i="3" s="1"/>
  <c r="L44" i="3" s="1" a="1"/>
  <c r="L44" i="3" s="1"/>
  <c r="H40" i="3"/>
  <c r="I40" i="3" s="1"/>
  <c r="L40" i="3" s="1" a="1"/>
  <c r="L40" i="3" s="1"/>
  <c r="J44" i="3"/>
  <c r="H43" i="3"/>
  <c r="I43" i="3" s="1"/>
  <c r="L43" i="3" s="1" a="1"/>
  <c r="L43" i="3" s="1"/>
  <c r="J43" i="3"/>
  <c r="J42" i="3"/>
  <c r="H42" i="3"/>
  <c r="I42" i="3" s="1"/>
  <c r="L42" i="3" s="1" a="1"/>
  <c r="L42" i="3" s="1"/>
  <c r="J41" i="3"/>
  <c r="J39" i="3"/>
  <c r="H39" i="3"/>
  <c r="I39" i="3" s="1"/>
  <c r="L39" i="3" s="1" a="1"/>
  <c r="L39" i="3" s="1"/>
  <c r="J47" i="3"/>
  <c r="H47" i="3"/>
  <c r="I47" i="3" s="1"/>
  <c r="G37" i="3"/>
  <c r="P3" i="6"/>
  <c r="U11" i="6"/>
  <c r="D15" i="3"/>
  <c r="F15" i="3" s="1"/>
  <c r="D24" i="3"/>
  <c r="F24" i="3" s="1"/>
  <c r="D38" i="3"/>
  <c r="D10" i="3"/>
  <c r="F10" i="3" s="1"/>
  <c r="F38" i="3" l="1"/>
  <c r="D48" i="3"/>
  <c r="F48" i="3" s="1"/>
  <c r="G38" i="3"/>
  <c r="G34" i="3" l="1"/>
  <c r="G6" i="3"/>
  <c r="K3" i="3"/>
  <c r="G2" i="3"/>
  <c r="G22" i="3" l="1"/>
  <c r="H17" i="3"/>
  <c r="J17" i="3"/>
  <c r="H21" i="3"/>
  <c r="I21" i="3" s="1"/>
  <c r="L21" i="3" s="1" a="1"/>
  <c r="L21" i="3" s="1"/>
  <c r="H22" i="3"/>
  <c r="I22" i="3" s="1"/>
  <c r="L22" i="3" s="1" a="1"/>
  <c r="L22" i="3" s="1"/>
  <c r="J21" i="3"/>
  <c r="H23" i="3"/>
  <c r="J23" i="3"/>
  <c r="J18" i="3"/>
  <c r="H20" i="3"/>
  <c r="J19" i="3"/>
  <c r="H19" i="3"/>
  <c r="J16" i="3"/>
  <c r="H16" i="3"/>
  <c r="I16" i="3" s="1"/>
  <c r="L16" i="3" s="1" a="1"/>
  <c r="L16" i="3" s="1"/>
  <c r="H18" i="3"/>
  <c r="J20" i="3"/>
  <c r="J22" i="3"/>
  <c r="H11" i="3" l="1"/>
  <c r="I11" i="3" s="1"/>
  <c r="L11" i="3" s="1" a="1"/>
  <c r="L11" i="3" s="1"/>
  <c r="J11" i="3"/>
  <c r="H30" i="3"/>
  <c r="J30" i="3"/>
  <c r="H9" i="3"/>
  <c r="J9" i="3"/>
  <c r="H14" i="3"/>
  <c r="J14" i="3"/>
  <c r="J13" i="3"/>
  <c r="H13" i="3"/>
  <c r="H26" i="3"/>
  <c r="J26" i="3"/>
  <c r="J36" i="3"/>
  <c r="H36" i="3"/>
  <c r="J35" i="3"/>
  <c r="H35" i="3"/>
  <c r="I35" i="3" s="1"/>
  <c r="L35" i="3" s="1" a="1"/>
  <c r="L35" i="3" s="1"/>
  <c r="H4" i="3"/>
  <c r="J4" i="3"/>
  <c r="J3" i="3"/>
  <c r="H3" i="3"/>
  <c r="I3" i="3" s="1"/>
  <c r="L3" i="3" s="1" a="1"/>
  <c r="L3" i="3" s="1"/>
  <c r="J33" i="3"/>
  <c r="H33" i="3"/>
  <c r="J12" i="3"/>
  <c r="H12" i="3"/>
  <c r="H32" i="3"/>
  <c r="J32" i="3"/>
  <c r="J24" i="3"/>
  <c r="H24" i="3"/>
  <c r="H29" i="3"/>
  <c r="J29" i="3"/>
  <c r="H8" i="3"/>
  <c r="J8" i="3"/>
  <c r="H28" i="3"/>
  <c r="J28" i="3"/>
  <c r="J27" i="3"/>
  <c r="H27" i="3"/>
  <c r="H25" i="3"/>
  <c r="J25" i="3"/>
  <c r="H7" i="3"/>
  <c r="J7" i="3"/>
  <c r="H37" i="3"/>
  <c r="J37" i="3"/>
  <c r="H6" i="3"/>
  <c r="J6" i="3"/>
  <c r="H5" i="3"/>
  <c r="J5" i="3"/>
  <c r="J34" i="3"/>
  <c r="H34" i="3"/>
  <c r="I34" i="3" s="1"/>
  <c r="L34" i="3" s="1" a="1"/>
  <c r="L34" i="3" s="1"/>
  <c r="H2" i="3"/>
  <c r="I2" i="3" s="1"/>
  <c r="L2" i="3" s="1" a="1"/>
  <c r="L2" i="3" s="1"/>
  <c r="J2" i="3"/>
  <c r="H31" i="3"/>
  <c r="J31" i="3"/>
  <c r="F2" i="6"/>
  <c r="F14" i="6" s="1"/>
  <c r="D2" i="6"/>
  <c r="K22" i="3"/>
  <c r="G14" i="3"/>
  <c r="I2" i="6"/>
  <c r="K27" i="3"/>
  <c r="K16" i="3"/>
  <c r="K5" i="3"/>
  <c r="K30" i="3"/>
  <c r="I23" i="3"/>
  <c r="L23" i="3" s="1" a="1"/>
  <c r="L23" i="3" s="1"/>
  <c r="K36" i="3"/>
  <c r="G36" i="3"/>
  <c r="G21" i="3"/>
  <c r="K21" i="3"/>
  <c r="K20" i="3"/>
  <c r="I20" i="3"/>
  <c r="L20" i="3" s="1" a="1"/>
  <c r="L20" i="3" s="1"/>
  <c r="G20" i="3"/>
  <c r="K8" i="3"/>
  <c r="G8" i="3"/>
  <c r="K7" i="3"/>
  <c r="K13" i="3"/>
  <c r="G13" i="3"/>
  <c r="K14" i="3"/>
  <c r="G7" i="3"/>
  <c r="I19" i="3"/>
  <c r="L19" i="3" s="1" a="1"/>
  <c r="L19" i="3" s="1"/>
  <c r="K25" i="3"/>
  <c r="G30" i="3"/>
  <c r="G16" i="3"/>
  <c r="I18" i="3"/>
  <c r="L18" i="3" s="1" a="1"/>
  <c r="L18" i="3" s="1"/>
  <c r="K37" i="3"/>
  <c r="K2" i="3"/>
  <c r="G29" i="3"/>
  <c r="G9" i="3"/>
  <c r="I17" i="3"/>
  <c r="L17" i="3" s="1" a="1"/>
  <c r="L17" i="3" s="1"/>
  <c r="K35" i="3"/>
  <c r="G28" i="3"/>
  <c r="K34" i="3"/>
  <c r="K23" i="3"/>
  <c r="G27" i="3"/>
  <c r="G5" i="3"/>
  <c r="K33" i="3"/>
  <c r="K19" i="3"/>
  <c r="G26" i="3"/>
  <c r="G4" i="3"/>
  <c r="K32" i="3"/>
  <c r="K18" i="3"/>
  <c r="K12" i="3"/>
  <c r="G25" i="3"/>
  <c r="G3" i="3"/>
  <c r="K31" i="3"/>
  <c r="K17" i="3"/>
  <c r="G12" i="3"/>
  <c r="G35" i="3"/>
  <c r="K29" i="3"/>
  <c r="K9" i="3"/>
  <c r="G23" i="3"/>
  <c r="K28" i="3"/>
  <c r="K6" i="3"/>
  <c r="G33" i="3"/>
  <c r="G19" i="3"/>
  <c r="G32" i="3"/>
  <c r="G18" i="3"/>
  <c r="K11" i="3"/>
  <c r="K26" i="3"/>
  <c r="K4" i="3"/>
  <c r="G31" i="3"/>
  <c r="G17" i="3"/>
  <c r="G11" i="3"/>
  <c r="L47" i="6" l="1"/>
  <c r="H38" i="3"/>
  <c r="J38" i="3"/>
  <c r="J10" i="3"/>
  <c r="H10" i="3"/>
  <c r="K15" i="3"/>
  <c r="G15" i="3"/>
  <c r="H15" i="3"/>
  <c r="I15" i="3" s="1"/>
  <c r="J15" i="3"/>
  <c r="I6" i="3"/>
  <c r="L6" i="3" s="1" a="1"/>
  <c r="L6" i="3" s="1"/>
  <c r="I27" i="3"/>
  <c r="L27" i="3" s="1" a="1"/>
  <c r="L27" i="3" s="1"/>
  <c r="I33" i="3"/>
  <c r="L33" i="3" s="1" a="1"/>
  <c r="L33" i="3" s="1"/>
  <c r="I5" i="3"/>
  <c r="L5" i="3" s="1" a="1"/>
  <c r="L5" i="3" s="1"/>
  <c r="I26" i="3"/>
  <c r="L26" i="3" s="1" a="1"/>
  <c r="L26" i="3" s="1"/>
  <c r="I9" i="3"/>
  <c r="L9" i="3" s="1" a="1"/>
  <c r="L9" i="3" s="1"/>
  <c r="I13" i="3"/>
  <c r="L13" i="3" s="1" a="1"/>
  <c r="L13" i="3" s="1"/>
  <c r="I37" i="3"/>
  <c r="L37" i="3" s="1" a="1"/>
  <c r="L37" i="3" s="1"/>
  <c r="I30" i="3"/>
  <c r="L30" i="3" s="1" a="1"/>
  <c r="L30" i="3" s="1"/>
  <c r="I12" i="3"/>
  <c r="L12" i="3" s="1" a="1"/>
  <c r="L12" i="3" s="1"/>
  <c r="I8" i="3"/>
  <c r="L8" i="3" s="1" a="1"/>
  <c r="L8" i="3" s="1"/>
  <c r="I4" i="3"/>
  <c r="L4" i="3" s="1" a="1"/>
  <c r="L4" i="3" s="1"/>
  <c r="I29" i="3"/>
  <c r="L29" i="3" s="1" a="1"/>
  <c r="L29" i="3" s="1"/>
  <c r="I25" i="3"/>
  <c r="L25" i="3" s="1" a="1"/>
  <c r="L25" i="3" s="1"/>
  <c r="I31" i="3"/>
  <c r="L31" i="3" s="1" a="1"/>
  <c r="L31" i="3" s="1"/>
  <c r="I32" i="3"/>
  <c r="L32" i="3" s="1" a="1"/>
  <c r="L32" i="3" s="1"/>
  <c r="I14" i="3"/>
  <c r="L14" i="3" s="1" a="1"/>
  <c r="L14" i="3" s="1"/>
  <c r="I28" i="3"/>
  <c r="L28" i="3" s="1" a="1"/>
  <c r="L28" i="3" s="1"/>
  <c r="I7" i="3"/>
  <c r="L7" i="3" s="1" a="1"/>
  <c r="L7" i="3" s="1"/>
  <c r="I36" i="3"/>
  <c r="L36" i="3" s="1" a="1"/>
  <c r="L36" i="3" s="1"/>
  <c r="G24" i="3"/>
  <c r="K24" i="3"/>
  <c r="K38" i="3"/>
  <c r="G10" i="3"/>
  <c r="K10" i="3"/>
  <c r="F47" i="6" l="1"/>
  <c r="H48" i="3"/>
  <c r="J48" i="3"/>
  <c r="I38" i="3"/>
  <c r="I24" i="3"/>
  <c r="I10" i="3"/>
  <c r="K48" i="3"/>
  <c r="G48" i="3"/>
  <c r="I48" i="3" l="1"/>
  <c r="U8" i="6" s="1"/>
  <c r="U7" i="6" s="1"/>
  <c r="U5" i="6" s="1"/>
  <c r="U3" i="6" l="1"/>
  <c r="U10" i="6"/>
  <c r="U6" i="6"/>
  <c r="U4" i="6"/>
  <c r="U9" i="6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<sst xmlns="http://schemas.openxmlformats.org/spreadsheetml/2006/main" count="1553" uniqueCount="286">
  <si>
    <t>GOMEZ MARTÍN</t>
  </si>
  <si>
    <t>GOMEZ PABLO</t>
  </si>
  <si>
    <t>TORRES ROLANDO</t>
  </si>
  <si>
    <t>BARTSCHAT EMILIANO NAHUEL</t>
  </si>
  <si>
    <t>VIDAL NAHUEL</t>
  </si>
  <si>
    <t>COLHER DIEGO</t>
  </si>
  <si>
    <t>RAVAROTTO EMANUEL</t>
  </si>
  <si>
    <t>OJEDA NORBERTO</t>
  </si>
  <si>
    <t>ESTIGARRIBIA DAVID</t>
  </si>
  <si>
    <t>SANDOVAL RODRIGO</t>
  </si>
  <si>
    <t>VALLEJOS EDUARDO</t>
  </si>
  <si>
    <t>HERRERA PABLO</t>
  </si>
  <si>
    <t>GUTIERREZ MARCOS DAVID</t>
  </si>
  <si>
    <t>GALARZA GERARDO</t>
  </si>
  <si>
    <t>VERA ERNESTO</t>
  </si>
  <si>
    <t>ESCOBAR RAÚL</t>
  </si>
  <si>
    <t>PUJOL ERNESTO</t>
  </si>
  <si>
    <t>CATAN MATIAS</t>
  </si>
  <si>
    <t>KALATAKI GUSTAVO</t>
  </si>
  <si>
    <t>TUR SPRINGER FERNANDO</t>
  </si>
  <si>
    <t>FLORES JAVIER</t>
  </si>
  <si>
    <t>GOMEZ MATÍAS</t>
  </si>
  <si>
    <t>DELGADO JOSÉ</t>
  </si>
  <si>
    <t>ALMIRON NICOLAS</t>
  </si>
  <si>
    <t>CAÑETE DIEGO</t>
  </si>
  <si>
    <t>PEREZ ESQUIVEL BRUNO NICOLAS</t>
  </si>
  <si>
    <t>GOMEZ ADRIÁN</t>
  </si>
  <si>
    <t>ZARATE NICOLAS</t>
  </si>
  <si>
    <t>BLANCO FERNANDO</t>
  </si>
  <si>
    <t>ROMERO ARIEL</t>
  </si>
  <si>
    <t>VENDEDOR/ SUPERVISOR</t>
  </si>
  <si>
    <t>OBJETIVO</t>
  </si>
  <si>
    <t>FACTURACION ACUMULADA</t>
  </si>
  <si>
    <t>FACTURACION DEL DIA</t>
  </si>
  <si>
    <t>MEDIA NECESARIA</t>
  </si>
  <si>
    <t>MEDIA REAL</t>
  </si>
  <si>
    <t>DIAS DE TRABAJO RESTANTES</t>
  </si>
  <si>
    <t>MARTIN (SUPERVISOR)</t>
  </si>
  <si>
    <t>CRISTIAN (SUPERVISOR)</t>
  </si>
  <si>
    <t>FACTURACION N-1</t>
  </si>
  <si>
    <t>DIAS TRABAJADOS</t>
  </si>
  <si>
    <t>AVANCE VS OBJETIVO</t>
  </si>
  <si>
    <t>LOPEZ ENZO</t>
  </si>
  <si>
    <t>COBERTURA TOTAL</t>
  </si>
  <si>
    <t>INCREMENTO DIARIO</t>
  </si>
  <si>
    <t xml:space="preserve">PROYECCION </t>
  </si>
  <si>
    <t>CUMPLIMIENTO PROYECTADO</t>
  </si>
  <si>
    <t>DIAS DE TRABAJO MES</t>
  </si>
  <si>
    <t>CARTERA TOTAL</t>
  </si>
  <si>
    <t>CCC</t>
  </si>
  <si>
    <t>DIA ANTERIOR</t>
  </si>
  <si>
    <t>MARTIN (SUPERVISOR) PREVENTA</t>
  </si>
  <si>
    <t xml:space="preserve">MARTIN (SUPERVISOR) </t>
  </si>
  <si>
    <t>COBRO</t>
  </si>
  <si>
    <t>CCC FALTANTE 85%</t>
  </si>
  <si>
    <t>bien</t>
  </si>
  <si>
    <t>mal</t>
  </si>
  <si>
    <t>re bien</t>
  </si>
  <si>
    <t>apretarlo</t>
  </si>
  <si>
    <t>verlo</t>
  </si>
  <si>
    <t>abrazo</t>
  </si>
  <si>
    <t xml:space="preserve">AUMENTO OBJ </t>
  </si>
  <si>
    <t>SEGOVIA JUAN CRUZ</t>
  </si>
  <si>
    <t>chaca</t>
  </si>
  <si>
    <t>muy bien</t>
  </si>
  <si>
    <t>apretarlo con ema</t>
  </si>
  <si>
    <t>apretar</t>
  </si>
  <si>
    <t>TOTAL CANALES</t>
  </si>
  <si>
    <t>GARCIA BOGARIN SANTIAGO</t>
  </si>
  <si>
    <t>MOSTRADOR</t>
  </si>
  <si>
    <t>SCHELOVER RAUL</t>
  </si>
  <si>
    <t>MONGES CESAR LUIS</t>
  </si>
  <si>
    <t>GONZALEZ MARCELO</t>
  </si>
  <si>
    <t>Agrupacion</t>
  </si>
  <si>
    <t>DELGADO HERNAN GABRIEL</t>
  </si>
  <si>
    <t>VENDEDOR</t>
  </si>
  <si>
    <t>Nro Vendedor</t>
  </si>
  <si>
    <t>CCC x Bultos</t>
  </si>
  <si>
    <t>Cartera Clientes</t>
  </si>
  <si>
    <t>ZACARIAS DAVID</t>
  </si>
  <si>
    <t>1 - VERA ERNESTO</t>
  </si>
  <si>
    <t>2 - OJEDA NORBERTO</t>
  </si>
  <si>
    <t>3 - VIDAL NAHUEL</t>
  </si>
  <si>
    <t>4 - TUR SPRINGER FERNANDO</t>
  </si>
  <si>
    <t>5 - SCHELOVER RAUL</t>
  </si>
  <si>
    <t>8 - RAVAROTTO EMANUEL</t>
  </si>
  <si>
    <t>9 - ESTIGARRIBIA DAVID</t>
  </si>
  <si>
    <t>10 - SEGOVIA JUAN CRUZ</t>
  </si>
  <si>
    <t>11 - ZACARIAS DAVID</t>
  </si>
  <si>
    <t>12 - GUTIERREZ MARCOS DAVID</t>
  </si>
  <si>
    <t>15 - GALARZA GERARDO</t>
  </si>
  <si>
    <t>16 - GOMEZ MATÍAS</t>
  </si>
  <si>
    <t>18 - HERRERA PABLO</t>
  </si>
  <si>
    <t>19 - GONZALEZ MARCELO</t>
  </si>
  <si>
    <t>20 - FLORES JAVIER</t>
  </si>
  <si>
    <t>21 - CATAN MATIAS</t>
  </si>
  <si>
    <t>22 - ALMIRON NICOLAS</t>
  </si>
  <si>
    <t>23 - DELGADO JOSÉ</t>
  </si>
  <si>
    <t>27 - GOMEZ ADRIÁN</t>
  </si>
  <si>
    <t>28 - GOMEZ PABLO</t>
  </si>
  <si>
    <t>31 - BARTSCHAT EMILIANO NAHUEL</t>
  </si>
  <si>
    <t>32 - BLANCO FERNANDO</t>
  </si>
  <si>
    <t>36 - STELLA MARIS CANO</t>
  </si>
  <si>
    <t>37 - PEREZ ESQUIVEL BRUNO NICOLAS</t>
  </si>
  <si>
    <t>40 - GARCIA BOGARIN SANTIAGO</t>
  </si>
  <si>
    <t>44 - MONGE CÉSAR LUIS</t>
  </si>
  <si>
    <t>49 - ESCOBAR RAÚL</t>
  </si>
  <si>
    <t>53 - SANDOVAL RODRIGO</t>
  </si>
  <si>
    <t>54 - CAÑETE DIEGO</t>
  </si>
  <si>
    <t>57 - ZARATE NICOLAS</t>
  </si>
  <si>
    <t>7 - VALLEJOS EDUARDO</t>
  </si>
  <si>
    <t>52 - MARSALL NICOLAS</t>
  </si>
  <si>
    <t>24 - DELGADO HERNAN GABRIEL</t>
  </si>
  <si>
    <t>Cobertura x Un de negocio</t>
  </si>
  <si>
    <t>Cod vdor</t>
  </si>
  <si>
    <t>% ALCANZADO</t>
  </si>
  <si>
    <t>Periodos</t>
  </si>
  <si>
    <t>Cod. Período</t>
  </si>
  <si>
    <t>Descripción Período</t>
  </si>
  <si>
    <t>Vendedor según comprobante</t>
  </si>
  <si>
    <t>Código</t>
  </si>
  <si>
    <t>Descripción</t>
  </si>
  <si>
    <t>Rotacion a-b-c</t>
  </si>
  <si>
    <t>P.P.P. Neto</t>
  </si>
  <si>
    <t>P.P.P. Final</t>
  </si>
  <si>
    <t>Cantidades CON Cargo</t>
  </si>
  <si>
    <t>Cantidades SIN Cargo</t>
  </si>
  <si>
    <t>Cantidades Totales</t>
  </si>
  <si>
    <t>Pesos Totales</t>
  </si>
  <si>
    <t>Importes Netos</t>
  </si>
  <si>
    <t>Importes Finales</t>
  </si>
  <si>
    <t>Cantidad de Facturas</t>
  </si>
  <si>
    <t>Bultos Promedio</t>
  </si>
  <si>
    <t>Cantidades en Combos</t>
  </si>
  <si>
    <t>Suc: 001 (000009) ESTIGARRIBIA DAVID</t>
  </si>
  <si>
    <t>Suc: 001 (000021) CATAN MATIAS</t>
  </si>
  <si>
    <t>Suc: 001 (000024) DELGADO HERNAN GABRIEL</t>
  </si>
  <si>
    <t>Venta NETA ARTICULOS C</t>
  </si>
  <si>
    <t>33 - NICOLAS AZULA</t>
  </si>
  <si>
    <t>56 - JUAN ANDRES SANCHEZ</t>
  </si>
  <si>
    <t>COBERTURAMESENCURSO</t>
  </si>
  <si>
    <t>COBERTURAUNIDADDENEGOCIO</t>
  </si>
  <si>
    <t>(1382) ROTACION C INCENTIVO</t>
  </si>
  <si>
    <t>ROTACION C INCENTIVO</t>
  </si>
  <si>
    <t>58 - BLADIMIR LEZCANO</t>
  </si>
  <si>
    <t>59 - LEIVA SILVIO</t>
  </si>
  <si>
    <t>SUCURSAL</t>
  </si>
  <si>
    <t>BULTOS</t>
  </si>
  <si>
    <t>UNIDAD DE MEDIDA</t>
  </si>
  <si>
    <t>IMPORTE</t>
  </si>
  <si>
    <t>COMISIÓN POR IMPORTE FIJO</t>
  </si>
  <si>
    <t>COMISIÓN POR PORCENTAJE</t>
  </si>
  <si>
    <t>COMISIÓN TOTAL</t>
  </si>
  <si>
    <t>0 - TODOS LOS VENDEDORES</t>
  </si>
  <si>
    <t>100 - MOSTRADOR</t>
  </si>
  <si>
    <t>Suc: 001 (000001) VERA ERNESTO</t>
  </si>
  <si>
    <t>Suc: 001 (000003) VIDAL NAHUEL</t>
  </si>
  <si>
    <t>Suc: 001 (000008) RAVAROTTO EMANUEL</t>
  </si>
  <si>
    <t>Suc: 001 (000023) DELGADO JOSÉ</t>
  </si>
  <si>
    <t>Suc: 001 (000040) GARCIA BOGARIN SANTIAGO</t>
  </si>
  <si>
    <t>44 - MONGES CESAR LUIS</t>
  </si>
  <si>
    <t>Suc: 001 (000004) TUR SPRINGER FERNANDO</t>
  </si>
  <si>
    <t>Suc: 001 (000005) SCHELOVER RAUL</t>
  </si>
  <si>
    <t>Suc: 001 (000010) SEGOVIA JUAN CRUZ</t>
  </si>
  <si>
    <t>Suc: 001 (000011) ZACARIAS DAVID</t>
  </si>
  <si>
    <t>Suc: 001 (000016) GOMEZ MATÍAS</t>
  </si>
  <si>
    <t>Suc: 001 (000018) HERRERA PABLO</t>
  </si>
  <si>
    <t>Suc: 001 (000020) FLORES JAVIER</t>
  </si>
  <si>
    <t>Suc: 001 (000025) KALATAKI GUSTAVO</t>
  </si>
  <si>
    <t>Suc: 001 (000026) PUJOL ERNESTO</t>
  </si>
  <si>
    <t>Suc: 001 (000027) GOMEZ ADRIÁN</t>
  </si>
  <si>
    <t>Suc: 001 (000028) GOMEZ PABLO</t>
  </si>
  <si>
    <t>Suc: 001 (000031) BARTSCHAT EMILIANO NAHUEL</t>
  </si>
  <si>
    <t>Suc: 001 (000033) NICOLAS AZULA</t>
  </si>
  <si>
    <t>NICOLAS AZULA</t>
  </si>
  <si>
    <t>Suc: 001 (000037) PEREZ ESQUIVEL BRUNO NICOLAS</t>
  </si>
  <si>
    <t>Suc: 001 (000044) MONGES CESAR LUIS</t>
  </si>
  <si>
    <t>Suc: 001 (000054) CAÑETE DIEGO</t>
  </si>
  <si>
    <t>Suc: 001 (000100) MOSTRADOR</t>
  </si>
  <si>
    <t>Suc: 001 (000002) OJEDA NORBERTO</t>
  </si>
  <si>
    <t>Suc: 001 (000012) GUTIERREZ MARCOS DAVID</t>
  </si>
  <si>
    <t>Suc: 001 (000019) GONZALEZ MARCELO</t>
  </si>
  <si>
    <t>Suc: 001 (000036) GONZALO CABRAL</t>
  </si>
  <si>
    <t>GONZALO CABRAL</t>
  </si>
  <si>
    <t>Suc: 001 (000056) JUAN ANDRES SANCHEZ</t>
  </si>
  <si>
    <t>JUAN ANDRES SANCHEZ</t>
  </si>
  <si>
    <t>Suc: 001 (000123) TORRES ROLANDO</t>
  </si>
  <si>
    <t>Suc: 001 (000030) GOMEZ MARTÍN</t>
  </si>
  <si>
    <t>Suc: 001 (000032) BLANCO FERNANDO</t>
  </si>
  <si>
    <t>Suc: 001 (000052) MARSALL NICOLAS</t>
  </si>
  <si>
    <t>MARSALL NICOLAS</t>
  </si>
  <si>
    <t>Suc: 001 (000053) SANDOVAL RODRIGO</t>
  </si>
  <si>
    <t>Suc: 001 (000058) BLADIMIR LEZCANO</t>
  </si>
  <si>
    <t>BLADIMIR LEZCANO</t>
  </si>
  <si>
    <t>Suc: 001 (000059) LEIVA SILVIO</t>
  </si>
  <si>
    <t>LEIVA SILVIO</t>
  </si>
  <si>
    <t>Suc: 001 (000007) VALLEJOS EDUARDO</t>
  </si>
  <si>
    <t>Suc: 001 (000022) ALMIRON NICOLAS</t>
  </si>
  <si>
    <t>Suc: 001 (000049) ESCOBAR RAÚL</t>
  </si>
  <si>
    <t>Suc: 001 (000042) ROMERO ARIEL</t>
  </si>
  <si>
    <t>Suc: 001 (000057) ZARATE NICOLAS</t>
  </si>
  <si>
    <t>Suc: 001 (000015) GALARZA GERARDO</t>
  </si>
  <si>
    <t>Suc: 001 (000043) COLHER DIEGO</t>
  </si>
  <si>
    <t>(001) MAR 2026</t>
  </si>
  <si>
    <t>24 - MARTINEZ JORGE NICOLAS</t>
  </si>
  <si>
    <t>SUPERVISOR</t>
  </si>
  <si>
    <t>MARTIN PREVENTA</t>
  </si>
  <si>
    <t>MARTIN</t>
  </si>
  <si>
    <t>CRISTIAN</t>
  </si>
  <si>
    <t>11 - SANCHEZ RICARDO</t>
  </si>
  <si>
    <t>10 - BRITEZ EMMANUEL</t>
  </si>
  <si>
    <t>32 - CABRAL GONZALO</t>
  </si>
  <si>
    <t>40 - IBARROLA JORGE</t>
  </si>
  <si>
    <t>36 - COSARINSKI DIEGO</t>
  </si>
  <si>
    <t>57 - ROUBINEAU SEBASTIAN</t>
  </si>
  <si>
    <t>GONZALO (SUPERVISOR)</t>
  </si>
  <si>
    <t>GONZALO</t>
  </si>
  <si>
    <t>30 - GOMEZ MARTÍN</t>
  </si>
  <si>
    <t>123 - TORRES ROLANDO</t>
  </si>
  <si>
    <t>31 - RENZO RAMOS</t>
  </si>
  <si>
    <t>54 - BARTSCHAT EMILIANO NAHUEL</t>
  </si>
  <si>
    <t>36 - GONZALO CABRAL</t>
  </si>
  <si>
    <t>NELSON (SUPERVISOR)</t>
  </si>
  <si>
    <t>36 - JORGE OSCAR USET</t>
  </si>
  <si>
    <t>10 - CABRAL GONZALO</t>
  </si>
  <si>
    <t>57 - SEGOVIA JUAN CRUZ</t>
  </si>
  <si>
    <t>NELSON</t>
  </si>
  <si>
    <t>Cod</t>
  </si>
  <si>
    <t>Vendedor</t>
  </si>
  <si>
    <t>Promedio Mensual</t>
  </si>
  <si>
    <t>V2</t>
  </si>
  <si>
    <t>V3</t>
  </si>
  <si>
    <t>V18</t>
  </si>
  <si>
    <t>V21</t>
  </si>
  <si>
    <t>V23</t>
  </si>
  <si>
    <t>V31</t>
  </si>
  <si>
    <t>V44</t>
  </si>
  <si>
    <t>V54</t>
  </si>
  <si>
    <t>V56</t>
  </si>
  <si>
    <t>V4</t>
  </si>
  <si>
    <t>V5</t>
  </si>
  <si>
    <t>V8</t>
  </si>
  <si>
    <t>V11</t>
  </si>
  <si>
    <t>V12</t>
  </si>
  <si>
    <t>V16</t>
  </si>
  <si>
    <t>V19</t>
  </si>
  <si>
    <t>V20</t>
  </si>
  <si>
    <t>V49</t>
  </si>
  <si>
    <t>V1</t>
  </si>
  <si>
    <t>V9</t>
  </si>
  <si>
    <t>V10</t>
  </si>
  <si>
    <t>V24</t>
  </si>
  <si>
    <t>V27</t>
  </si>
  <si>
    <t>V28</t>
  </si>
  <si>
    <t>V33</t>
  </si>
  <si>
    <t>V36</t>
  </si>
  <si>
    <t>V37</t>
  </si>
  <si>
    <t>V40</t>
  </si>
  <si>
    <t>V52</t>
  </si>
  <si>
    <t>V53</t>
  </si>
  <si>
    <t>V15</t>
  </si>
  <si>
    <t>V22</t>
  </si>
  <si>
    <t>V7</t>
  </si>
  <si>
    <t>V32</t>
  </si>
  <si>
    <t>V57</t>
  </si>
  <si>
    <t>MAXI</t>
  </si>
  <si>
    <t>26 - PUJOL ERNESTO</t>
  </si>
  <si>
    <t>25 - KALATAKI GUSTAVO</t>
  </si>
  <si>
    <t>43 - COLHER DIEGO</t>
  </si>
  <si>
    <t>MAXI (SUPERVISOR)</t>
  </si>
  <si>
    <t>42 - ROMERO ARIEL</t>
  </si>
  <si>
    <t>8 - PARRA MAXIMILIANO</t>
  </si>
  <si>
    <t>52 - RAVAROTTO EMANUEL</t>
  </si>
  <si>
    <t>GENERAL</t>
  </si>
  <si>
    <t>37 - SALAJ EMILIO</t>
  </si>
  <si>
    <t>60 - SILVA ADRIAN</t>
  </si>
  <si>
    <t>24 - SOLIS EMMANUEL</t>
  </si>
  <si>
    <t>142 - ALMACEN</t>
  </si>
  <si>
    <t>142 - Articulos Sin Asociar Agrupacion</t>
  </si>
  <si>
    <t>142 - BEBIDAS</t>
  </si>
  <si>
    <t>142 - CHOCOLATE</t>
  </si>
  <si>
    <t>142 - GALLETITAS</t>
  </si>
  <si>
    <t>142 - GOLOSINAS</t>
  </si>
  <si>
    <t>142 - MASCOTAS</t>
  </si>
  <si>
    <t>142 - NO PERECEDEROS</t>
  </si>
  <si>
    <t>142 - PILAS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</si>
</sst>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-&quot;$&quot;* #,##0.00_-;\-&quot;$&quot;* #,##0.00_-;_-&quot;$&quot;* &quot;-&quot;??_-;_-@_-"/>
    <numFmt numFmtId="43" formatCode="_-* #,##0.00_-;\-* #,##0.00_-;_-* &quot;-&quot;??_-;_-@_-"/>
    <numFmt numFmtId="164" formatCode="_-&quot;$&quot;\ * #,##0.00_-;\-&quot;$&quot;\ * #,##0.00_-;_-&quot;$&quot;\ * &quot;-&quot;??_-;_-@_-"/>
    <numFmt numFmtId="165" formatCode="_ [$$-2C0A]\ * #,##0.00_ ;_ [$$-2C0A]\ * \-#,##0.00_ ;_ [$$-2C0A]\ * &quot;-&quot;??_ ;_ @_ "/>
    <numFmt numFmtId="166" formatCode="0.0%"/>
    <numFmt numFmtId="167" formatCode="&quot;$&quot;\ #,##0.00"/>
    <numFmt numFmtId="168" formatCode="#,##0.000;\-#,##0.000"/>
    <numFmt numFmtId="169" formatCode="[$-F400]h:mm:ss\ AM/PM"/>
  </numFmts>
  <fonts count="2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2"/>
      <name val="Arial"/>
      <family val="2"/>
    </font>
    <font>
      <b/>
      <sz val="11"/>
      <name val="Arial"/>
      <family val="2"/>
    </font>
    <font>
      <sz val="10"/>
      <color theme="1"/>
      <name val="Tahoma"/>
      <family val="2"/>
    </font>
    <font>
      <sz val="11"/>
      <color rgb="FF000000"/>
      <name val="Calibri"/>
      <family val="2"/>
    </font>
    <font>
      <sz val="9"/>
      <color rgb="FF111111"/>
      <name val="Roboto"/>
    </font>
    <font>
      <sz val="11"/>
      <color rgb="FFFFFFFF"/>
      <name val="Calibri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4285F4"/>
      </patternFill>
    </fill>
    <fill>
      <patternFill patternType="solid">
        <fgColor rgb="FFFFC000"/>
        <bgColor indexed="64"/>
      </patternFill>
    </fill>
    <fill>
      <patternFill patternType="solid">
        <fgColor rgb="FFFFFFFF"/>
        <bgColor rgb="FFFFFFFF"/>
      </patternFill>
    </fill>
  </fills>
  <borders count="4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rgb="FFD9DCDE"/>
      </left>
      <right style="thin">
        <color rgb="FFD9DCDE"/>
      </right>
      <top style="thin">
        <color rgb="FFD9DCDE"/>
      </top>
      <bottom style="thin">
        <color rgb="FFD9DCDE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38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165" fontId="1" fillId="0" borderId="0"/>
    <xf numFmtId="165" fontId="1" fillId="0" borderId="0"/>
    <xf numFmtId="0" fontId="1" fillId="0" borderId="0"/>
    <xf numFmtId="165" fontId="1" fillId="0" borderId="0"/>
    <xf numFmtId="0" fontId="1" fillId="0" borderId="0"/>
    <xf numFmtId="0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0" fontId="1" fillId="0" borderId="0"/>
    <xf numFmtId="0" fontId="1" fillId="0" borderId="0"/>
    <xf numFmtId="0" fontId="1" fillId="0" borderId="0"/>
    <xf numFmtId="165" fontId="1" fillId="0" borderId="0"/>
    <xf numFmtId="165" fontId="1" fillId="0" borderId="0"/>
    <xf numFmtId="165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/>
    <xf numFmtId="0" fontId="1" fillId="0" borderId="0"/>
    <xf numFmtId="0" fontId="1" fillId="0" borderId="0"/>
    <xf numFmtId="0" fontId="1" fillId="0" borderId="0"/>
    <xf numFmtId="165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/>
    <xf numFmtId="0" fontId="1" fillId="0" borderId="0"/>
    <xf numFmtId="0" fontId="1" fillId="0" borderId="0"/>
    <xf numFmtId="0" fontId="1" fillId="0" borderId="0"/>
    <xf numFmtId="165" fontId="1" fillId="0" borderId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20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52">
    <xf numFmtId="0" fontId="0" fillId="0" borderId="0" xfId="0"/>
    <xf numFmtId="9" fontId="0" fillId="0" borderId="0" xfId="2" applyFont="1"/>
    <xf numFmtId="44" fontId="0" fillId="0" borderId="0" xfId="1" applyFont="1"/>
    <xf numFmtId="165" fontId="18" fillId="34" borderId="14" xfId="47" applyFont="1" applyFill="1" applyBorder="1" applyAlignment="1">
      <alignment horizontal="left"/>
    </xf>
    <xf numFmtId="44" fontId="0" fillId="0" borderId="12" xfId="1" applyFont="1" applyBorder="1"/>
    <xf numFmtId="9" fontId="0" fillId="0" borderId="12" xfId="2" applyFont="1" applyBorder="1"/>
    <xf numFmtId="9" fontId="0" fillId="36" borderId="12" xfId="2" applyFont="1" applyFill="1" applyBorder="1"/>
    <xf numFmtId="0" fontId="0" fillId="36" borderId="10" xfId="0" applyFill="1" applyBorder="1"/>
    <xf numFmtId="0" fontId="0" fillId="36" borderId="12" xfId="0" applyFill="1" applyBorder="1"/>
    <xf numFmtId="0" fontId="16" fillId="34" borderId="10" xfId="0" applyFont="1" applyFill="1" applyBorder="1"/>
    <xf numFmtId="0" fontId="0" fillId="0" borderId="16" xfId="0" applyBorder="1"/>
    <xf numFmtId="0" fontId="16" fillId="34" borderId="11" xfId="0" applyFont="1" applyFill="1" applyBorder="1"/>
    <xf numFmtId="0" fontId="0" fillId="0" borderId="11" xfId="0" applyBorder="1"/>
    <xf numFmtId="0" fontId="0" fillId="0" borderId="12" xfId="0" applyBorder="1"/>
    <xf numFmtId="9" fontId="0" fillId="36" borderId="15" xfId="2" applyFont="1" applyFill="1" applyBorder="1"/>
    <xf numFmtId="9" fontId="0" fillId="36" borderId="10" xfId="2" applyFont="1" applyFill="1" applyBorder="1"/>
    <xf numFmtId="0" fontId="0" fillId="36" borderId="11" xfId="0" applyFill="1" applyBorder="1"/>
    <xf numFmtId="1" fontId="0" fillId="0" borderId="12" xfId="0" applyNumberFormat="1" applyBorder="1"/>
    <xf numFmtId="165" fontId="18" fillId="34" borderId="17" xfId="47" applyFont="1" applyFill="1" applyBorder="1" applyAlignment="1">
      <alignment horizontal="left"/>
    </xf>
    <xf numFmtId="165" fontId="18" fillId="33" borderId="12" xfId="47" applyFont="1" applyFill="1" applyBorder="1" applyAlignment="1" applyProtection="1">
      <alignment horizontal="left"/>
      <protection locked="0"/>
    </xf>
    <xf numFmtId="165" fontId="18" fillId="34" borderId="12" xfId="47" applyFont="1" applyFill="1" applyBorder="1" applyAlignment="1">
      <alignment horizontal="left"/>
    </xf>
    <xf numFmtId="166" fontId="0" fillId="36" borderId="10" xfId="2" applyNumberFormat="1" applyFont="1" applyFill="1" applyBorder="1"/>
    <xf numFmtId="166" fontId="0" fillId="0" borderId="11" xfId="2" applyNumberFormat="1" applyFont="1" applyBorder="1"/>
    <xf numFmtId="166" fontId="0" fillId="36" borderId="15" xfId="2" applyNumberFormat="1" applyFont="1" applyFill="1" applyBorder="1"/>
    <xf numFmtId="166" fontId="0" fillId="36" borderId="12" xfId="2" applyNumberFormat="1" applyFont="1" applyFill="1" applyBorder="1"/>
    <xf numFmtId="166" fontId="0" fillId="0" borderId="0" xfId="2" applyNumberFormat="1" applyFont="1"/>
    <xf numFmtId="44" fontId="0" fillId="0" borderId="0" xfId="132" applyFont="1"/>
    <xf numFmtId="44" fontId="0" fillId="0" borderId="0" xfId="0" applyNumberFormat="1"/>
    <xf numFmtId="3" fontId="0" fillId="0" borderId="0" xfId="0" applyNumberFormat="1"/>
    <xf numFmtId="166" fontId="0" fillId="0" borderId="0" xfId="0" applyNumberFormat="1"/>
    <xf numFmtId="0" fontId="21" fillId="0" borderId="0" xfId="0" applyFont="1"/>
    <xf numFmtId="0" fontId="0" fillId="37" borderId="12" xfId="0" applyFill="1" applyBorder="1"/>
    <xf numFmtId="166" fontId="0" fillId="37" borderId="11" xfId="2" applyNumberFormat="1" applyFont="1" applyFill="1" applyBorder="1"/>
    <xf numFmtId="0" fontId="0" fillId="37" borderId="11" xfId="0" applyFill="1" applyBorder="1"/>
    <xf numFmtId="1" fontId="0" fillId="37" borderId="12" xfId="0" applyNumberFormat="1" applyFill="1" applyBorder="1"/>
    <xf numFmtId="4" fontId="0" fillId="0" borderId="0" xfId="0" applyNumberFormat="1"/>
    <xf numFmtId="165" fontId="18" fillId="33" borderId="12" xfId="47" applyFont="1" applyFill="1" applyBorder="1" applyAlignment="1" applyProtection="1">
      <alignment horizontal="left" wrapText="1"/>
      <protection locked="0"/>
    </xf>
    <xf numFmtId="165" fontId="18" fillId="33" borderId="11" xfId="47" applyFont="1" applyFill="1" applyBorder="1" applyAlignment="1" applyProtection="1">
      <alignment horizontal="left" wrapText="1"/>
      <protection locked="0"/>
    </xf>
    <xf numFmtId="0" fontId="0" fillId="39" borderId="10" xfId="0" applyFill="1" applyBorder="1"/>
    <xf numFmtId="0" fontId="0" fillId="0" borderId="19" xfId="0" applyBorder="1"/>
    <xf numFmtId="0" fontId="16" fillId="0" borderId="0" xfId="0" applyFont="1"/>
    <xf numFmtId="9" fontId="0" fillId="0" borderId="11" xfId="2" applyFont="1" applyBorder="1"/>
    <xf numFmtId="0" fontId="0" fillId="36" borderId="10" xfId="2" applyNumberFormat="1" applyFont="1" applyFill="1" applyBorder="1"/>
    <xf numFmtId="165" fontId="19" fillId="35" borderId="13" xfId="47" applyFont="1" applyFill="1" applyBorder="1" applyAlignment="1">
      <alignment horizontal="center" vertical="center"/>
    </xf>
    <xf numFmtId="167" fontId="0" fillId="0" borderId="11" xfId="0" applyNumberFormat="1" applyBorder="1"/>
    <xf numFmtId="167" fontId="0" fillId="0" borderId="0" xfId="0" applyNumberFormat="1"/>
    <xf numFmtId="167" fontId="0" fillId="0" borderId="21" xfId="0" applyNumberFormat="1" applyBorder="1"/>
    <xf numFmtId="167" fontId="0" fillId="0" borderId="12" xfId="0" applyNumberFormat="1" applyBorder="1"/>
    <xf numFmtId="165" fontId="18" fillId="36" borderId="0" xfId="47" applyFont="1" applyFill="1" applyAlignment="1" applyProtection="1">
      <alignment horizontal="center"/>
      <protection locked="0"/>
    </xf>
    <xf numFmtId="167" fontId="19" fillId="35" borderId="20" xfId="47" applyNumberFormat="1" applyFont="1" applyFill="1" applyBorder="1" applyAlignment="1">
      <alignment horizontal="center" vertical="center"/>
    </xf>
    <xf numFmtId="167" fontId="0" fillId="0" borderId="22" xfId="0" applyNumberFormat="1" applyBorder="1"/>
    <xf numFmtId="168" fontId="22" fillId="40" borderId="23" xfId="0" applyNumberFormat="1" applyFont="1" applyFill="1" applyBorder="1" applyAlignment="1">
      <alignment horizontal="right" vertical="center" wrapText="1"/>
    </xf>
    <xf numFmtId="17" fontId="0" fillId="0" borderId="0" xfId="0" applyNumberFormat="1"/>
    <xf numFmtId="0" fontId="0" fillId="0" borderId="24" xfId="0" applyBorder="1"/>
    <xf numFmtId="165" fontId="19" fillId="35" borderId="20" xfId="47" applyFont="1" applyFill="1" applyBorder="1" applyAlignment="1">
      <alignment horizontal="center" vertical="center" wrapText="1"/>
    </xf>
    <xf numFmtId="9" fontId="19" fillId="35" borderId="20" xfId="2" applyFont="1" applyFill="1" applyBorder="1" applyAlignment="1">
      <alignment horizontal="center" vertical="center" wrapText="1"/>
    </xf>
    <xf numFmtId="44" fontId="19" fillId="35" borderId="20" xfId="1" applyFont="1" applyFill="1" applyBorder="1" applyAlignment="1">
      <alignment horizontal="center" vertical="center" wrapText="1"/>
    </xf>
    <xf numFmtId="165" fontId="18" fillId="33" borderId="26" xfId="47" applyFont="1" applyFill="1" applyBorder="1" applyAlignment="1" applyProtection="1">
      <alignment horizontal="left" wrapText="1"/>
      <protection locked="0"/>
    </xf>
    <xf numFmtId="44" fontId="0" fillId="0" borderId="27" xfId="133" applyFont="1" applyBorder="1"/>
    <xf numFmtId="44" fontId="0" fillId="0" borderId="26" xfId="1" applyFont="1" applyBorder="1"/>
    <xf numFmtId="9" fontId="0" fillId="0" borderId="26" xfId="2" applyFont="1" applyBorder="1"/>
    <xf numFmtId="44" fontId="0" fillId="0" borderId="28" xfId="1" applyFont="1" applyBorder="1"/>
    <xf numFmtId="44" fontId="0" fillId="0" borderId="0" xfId="133" applyFont="1" applyBorder="1"/>
    <xf numFmtId="44" fontId="0" fillId="0" borderId="13" xfId="1" applyFont="1" applyBorder="1"/>
    <xf numFmtId="44" fontId="0" fillId="34" borderId="29" xfId="1" applyFont="1" applyFill="1" applyBorder="1"/>
    <xf numFmtId="9" fontId="0" fillId="34" borderId="30" xfId="2" applyFont="1" applyFill="1" applyBorder="1"/>
    <xf numFmtId="44" fontId="0" fillId="34" borderId="30" xfId="1" applyFont="1" applyFill="1" applyBorder="1"/>
    <xf numFmtId="44" fontId="0" fillId="34" borderId="31" xfId="1" applyFont="1" applyFill="1" applyBorder="1"/>
    <xf numFmtId="165" fontId="18" fillId="33" borderId="26" xfId="47" applyFont="1" applyFill="1" applyBorder="1" applyAlignment="1" applyProtection="1">
      <alignment horizontal="left"/>
      <protection locked="0"/>
    </xf>
    <xf numFmtId="164" fontId="0" fillId="0" borderId="27" xfId="0" applyNumberFormat="1" applyBorder="1"/>
    <xf numFmtId="164" fontId="0" fillId="0" borderId="0" xfId="0" applyNumberFormat="1"/>
    <xf numFmtId="165" fontId="18" fillId="34" borderId="30" xfId="47" applyFont="1" applyFill="1" applyBorder="1" applyAlignment="1">
      <alignment horizontal="left"/>
    </xf>
    <xf numFmtId="44" fontId="0" fillId="0" borderId="27" xfId="1" applyFont="1" applyBorder="1"/>
    <xf numFmtId="44" fontId="0" fillId="0" borderId="0" xfId="1" applyFont="1" applyBorder="1"/>
    <xf numFmtId="44" fontId="0" fillId="34" borderId="30" xfId="134" applyFont="1" applyFill="1" applyBorder="1"/>
    <xf numFmtId="165" fontId="18" fillId="36" borderId="37" xfId="47" applyFont="1" applyFill="1" applyBorder="1" applyAlignment="1" applyProtection="1">
      <alignment horizontal="center" wrapText="1"/>
      <protection locked="0"/>
    </xf>
    <xf numFmtId="165" fontId="18" fillId="36" borderId="38" xfId="47" applyFont="1" applyFill="1" applyBorder="1" applyAlignment="1" applyProtection="1">
      <alignment horizontal="center" wrapText="1"/>
      <protection locked="0"/>
    </xf>
    <xf numFmtId="44" fontId="0" fillId="36" borderId="39" xfId="1" applyFont="1" applyFill="1" applyBorder="1"/>
    <xf numFmtId="9" fontId="0" fillId="36" borderId="39" xfId="2" applyFont="1" applyFill="1" applyBorder="1"/>
    <xf numFmtId="44" fontId="0" fillId="36" borderId="40" xfId="1" applyFont="1" applyFill="1" applyBorder="1"/>
    <xf numFmtId="0" fontId="0" fillId="36" borderId="10" xfId="0" applyFill="1" applyBorder="1" applyAlignment="1">
      <alignment horizontal="center" vertical="center"/>
    </xf>
    <xf numFmtId="0" fontId="0" fillId="36" borderId="10" xfId="0" applyFill="1" applyBorder="1" applyAlignment="1">
      <alignment horizontal="center"/>
    </xf>
    <xf numFmtId="9" fontId="19" fillId="35" borderId="13" xfId="2" applyFont="1" applyFill="1" applyBorder="1" applyAlignment="1">
      <alignment horizontal="center" vertical="center"/>
    </xf>
    <xf numFmtId="44" fontId="19" fillId="35" borderId="13" xfId="1" applyFont="1" applyFill="1" applyBorder="1" applyAlignment="1">
      <alignment horizontal="center" vertical="center"/>
    </xf>
    <xf numFmtId="44" fontId="0" fillId="0" borderId="0" xfId="133" applyFont="1" applyAlignment="1"/>
    <xf numFmtId="44" fontId="0" fillId="0" borderId="12" xfId="1" applyFont="1" applyBorder="1" applyAlignment="1"/>
    <xf numFmtId="9" fontId="0" fillId="0" borderId="12" xfId="2" applyFont="1" applyBorder="1" applyAlignment="1"/>
    <xf numFmtId="44" fontId="0" fillId="34" borderId="11" xfId="1" applyFont="1" applyFill="1" applyBorder="1" applyAlignment="1"/>
    <xf numFmtId="9" fontId="0" fillId="34" borderId="12" xfId="2" applyFont="1" applyFill="1" applyBorder="1" applyAlignment="1"/>
    <xf numFmtId="44" fontId="0" fillId="34" borderId="12" xfId="1" applyFont="1" applyFill="1" applyBorder="1" applyAlignment="1"/>
    <xf numFmtId="165" fontId="18" fillId="33" borderId="11" xfId="47" applyFont="1" applyFill="1" applyBorder="1" applyAlignment="1" applyProtection="1">
      <alignment horizontal="left"/>
      <protection locked="0"/>
    </xf>
    <xf numFmtId="44" fontId="0" fillId="0" borderId="0" xfId="136" applyFont="1" applyAlignment="1"/>
    <xf numFmtId="44" fontId="0" fillId="34" borderId="12" xfId="134" applyFont="1" applyFill="1" applyBorder="1" applyAlignment="1"/>
    <xf numFmtId="165" fontId="18" fillId="36" borderId="41" xfId="47" applyFont="1" applyFill="1" applyBorder="1" applyAlignment="1" applyProtection="1">
      <alignment horizontal="center"/>
      <protection locked="0"/>
    </xf>
    <xf numFmtId="44" fontId="0" fillId="36" borderId="12" xfId="1" applyFont="1" applyFill="1" applyBorder="1" applyAlignment="1"/>
    <xf numFmtId="9" fontId="0" fillId="36" borderId="12" xfId="2" applyFont="1" applyFill="1" applyBorder="1" applyAlignment="1"/>
    <xf numFmtId="44" fontId="0" fillId="0" borderId="0" xfId="1" applyFont="1" applyAlignment="1"/>
    <xf numFmtId="165" fontId="19" fillId="35" borderId="20" xfId="47" applyFont="1" applyFill="1" applyBorder="1" applyAlignment="1">
      <alignment horizontal="center" vertical="center"/>
    </xf>
    <xf numFmtId="9" fontId="19" fillId="35" borderId="20" xfId="2" applyFont="1" applyFill="1" applyBorder="1" applyAlignment="1">
      <alignment horizontal="center" vertical="center"/>
    </xf>
    <xf numFmtId="44" fontId="19" fillId="35" borderId="20" xfId="1" applyFont="1" applyFill="1" applyBorder="1" applyAlignment="1">
      <alignment horizontal="center" vertical="center"/>
    </xf>
    <xf numFmtId="44" fontId="0" fillId="0" borderId="27" xfId="133" applyFont="1" applyBorder="1" applyAlignment="1"/>
    <xf numFmtId="44" fontId="0" fillId="0" borderId="26" xfId="1" applyFont="1" applyBorder="1" applyAlignment="1"/>
    <xf numFmtId="9" fontId="0" fillId="0" borderId="26" xfId="2" applyFont="1" applyBorder="1" applyAlignment="1"/>
    <xf numFmtId="44" fontId="0" fillId="0" borderId="28" xfId="1" applyFont="1" applyBorder="1" applyAlignment="1"/>
    <xf numFmtId="44" fontId="0" fillId="0" borderId="0" xfId="133" applyFont="1" applyBorder="1" applyAlignment="1"/>
    <xf numFmtId="44" fontId="0" fillId="0" borderId="13" xfId="1" applyFont="1" applyBorder="1" applyAlignment="1"/>
    <xf numFmtId="44" fontId="0" fillId="34" borderId="29" xfId="1" applyFont="1" applyFill="1" applyBorder="1" applyAlignment="1"/>
    <xf numFmtId="44" fontId="0" fillId="0" borderId="30" xfId="1" applyFont="1" applyBorder="1" applyAlignment="1"/>
    <xf numFmtId="9" fontId="0" fillId="34" borderId="30" xfId="2" applyFont="1" applyFill="1" applyBorder="1" applyAlignment="1"/>
    <xf numFmtId="44" fontId="0" fillId="34" borderId="30" xfId="1" applyFont="1" applyFill="1" applyBorder="1" applyAlignment="1"/>
    <xf numFmtId="44" fontId="0" fillId="34" borderId="31" xfId="1" applyFont="1" applyFill="1" applyBorder="1" applyAlignment="1"/>
    <xf numFmtId="44" fontId="0" fillId="0" borderId="27" xfId="1" applyFont="1" applyBorder="1" applyAlignment="1"/>
    <xf numFmtId="44" fontId="0" fillId="0" borderId="0" xfId="1" applyFont="1" applyBorder="1" applyAlignment="1"/>
    <xf numFmtId="44" fontId="0" fillId="34" borderId="30" xfId="134" applyFont="1" applyFill="1" applyBorder="1" applyAlignment="1"/>
    <xf numFmtId="165" fontId="18" fillId="36" borderId="37" xfId="47" applyFont="1" applyFill="1" applyBorder="1" applyAlignment="1" applyProtection="1">
      <alignment horizontal="center"/>
      <protection locked="0"/>
    </xf>
    <xf numFmtId="165" fontId="18" fillId="36" borderId="38" xfId="47" applyFont="1" applyFill="1" applyBorder="1" applyAlignment="1" applyProtection="1">
      <alignment horizontal="center"/>
      <protection locked="0"/>
    </xf>
    <xf numFmtId="44" fontId="0" fillId="36" borderId="39" xfId="1" applyFont="1" applyFill="1" applyBorder="1" applyAlignment="1"/>
    <xf numFmtId="44" fontId="0" fillId="0" borderId="39" xfId="1" applyFont="1" applyBorder="1" applyAlignment="1"/>
    <xf numFmtId="9" fontId="0" fillId="36" borderId="39" xfId="2" applyFont="1" applyFill="1" applyBorder="1" applyAlignment="1"/>
    <xf numFmtId="44" fontId="0" fillId="36" borderId="40" xfId="1" applyFont="1" applyFill="1" applyBorder="1" applyAlignment="1"/>
    <xf numFmtId="165" fontId="19" fillId="35" borderId="36" xfId="47" applyFont="1" applyFill="1" applyBorder="1" applyAlignment="1">
      <alignment horizontal="center" vertical="center"/>
    </xf>
    <xf numFmtId="9" fontId="19" fillId="35" borderId="36" xfId="2" applyFont="1" applyFill="1" applyBorder="1" applyAlignment="1">
      <alignment horizontal="center" vertical="center"/>
    </xf>
    <xf numFmtId="44" fontId="19" fillId="35" borderId="36" xfId="1" applyFont="1" applyFill="1" applyBorder="1" applyAlignment="1">
      <alignment horizontal="center" vertical="center"/>
    </xf>
    <xf numFmtId="165" fontId="18" fillId="34" borderId="25" xfId="47" applyFont="1" applyFill="1" applyBorder="1" applyAlignment="1">
      <alignment vertical="center"/>
    </xf>
    <xf numFmtId="165" fontId="18" fillId="34" borderId="17" xfId="47" applyFont="1" applyFill="1" applyBorder="1" applyAlignment="1">
      <alignment vertical="center"/>
    </xf>
    <xf numFmtId="165" fontId="18" fillId="34" borderId="14" xfId="47" applyFont="1" applyFill="1" applyBorder="1" applyAlignment="1">
      <alignment vertical="center"/>
    </xf>
    <xf numFmtId="165" fontId="18" fillId="34" borderId="32" xfId="47" applyFont="1" applyFill="1" applyBorder="1" applyAlignment="1">
      <alignment vertical="center"/>
    </xf>
    <xf numFmtId="165" fontId="18" fillId="34" borderId="33" xfId="47" applyFont="1" applyFill="1" applyBorder="1" applyAlignment="1">
      <alignment vertical="center"/>
    </xf>
    <xf numFmtId="165" fontId="18" fillId="34" borderId="34" xfId="47" applyFont="1" applyFill="1" applyBorder="1" applyAlignment="1">
      <alignment vertical="center"/>
    </xf>
    <xf numFmtId="44" fontId="0" fillId="0" borderId="0" xfId="132" applyFont="1" applyAlignment="1"/>
    <xf numFmtId="0" fontId="0" fillId="0" borderId="10" xfId="0" applyBorder="1"/>
    <xf numFmtId="169" fontId="0" fillId="0" borderId="0" xfId="0" applyNumberFormat="1"/>
    <xf numFmtId="169" fontId="0" fillId="0" borderId="42" xfId="0" applyNumberFormat="1" applyBorder="1"/>
    <xf numFmtId="0" fontId="1" fillId="0" borderId="12" xfId="0" applyFont="1" applyBorder="1"/>
    <xf numFmtId="0" fontId="16" fillId="34" borderId="0" xfId="0" applyFont="1" applyFill="1" applyAlignment="1">
      <alignment horizontal="center" vertical="center"/>
    </xf>
    <xf numFmtId="165" fontId="18" fillId="34" borderId="35" xfId="47" applyFont="1" applyFill="1" applyBorder="1" applyAlignment="1">
      <alignment horizontal="left"/>
    </xf>
    <xf numFmtId="165" fontId="18" fillId="33" borderId="43" xfId="47" applyFont="1" applyFill="1" applyBorder="1" applyAlignment="1" applyProtection="1">
      <alignment horizontal="left" wrapText="1"/>
      <protection locked="0"/>
    </xf>
    <xf numFmtId="165" fontId="18" fillId="33" borderId="43" xfId="47" applyFont="1" applyFill="1" applyBorder="1" applyAlignment="1" applyProtection="1">
      <alignment horizontal="left"/>
      <protection locked="0"/>
    </xf>
    <xf numFmtId="165" fontId="18" fillId="33" borderId="44" xfId="47" applyFont="1" applyFill="1" applyBorder="1" applyAlignment="1" applyProtection="1">
      <alignment horizontal="left" wrapText="1"/>
      <protection locked="0"/>
    </xf>
    <xf numFmtId="10" fontId="0" fillId="36" borderId="39" xfId="2" applyNumberFormat="1" applyFont="1" applyFill="1" applyBorder="1" applyAlignment="1"/>
    <xf numFmtId="166" fontId="0" fillId="36" borderId="39" xfId="2" applyNumberFormat="1" applyFont="1" applyFill="1" applyBorder="1"/>
    <xf numFmtId="0" fontId="16" fillId="34" borderId="0" xfId="0" applyFont="1" applyFill="1" applyAlignment="1">
      <alignment vertical="center"/>
    </xf>
    <xf numFmtId="0" fontId="23" fillId="38" borderId="18" xfId="0" applyFont="1" applyFill="1" applyBorder="1" applyAlignment="1">
      <alignment horizontal="left" vertical="center"/>
    </xf>
    <xf numFmtId="165" fontId="18" fillId="34" borderId="25" xfId="47" applyFont="1" applyFill="1" applyBorder="1" applyAlignment="1">
      <alignment horizontal="center" vertical="center"/>
    </xf>
    <xf numFmtId="165" fontId="18" fillId="34" borderId="17" xfId="47" applyFont="1" applyFill="1" applyBorder="1" applyAlignment="1">
      <alignment horizontal="center" vertical="center"/>
    </xf>
    <xf numFmtId="165" fontId="18" fillId="34" borderId="14" xfId="47" applyFont="1" applyFill="1" applyBorder="1" applyAlignment="1">
      <alignment horizontal="center" vertical="center"/>
    </xf>
    <xf numFmtId="165" fontId="18" fillId="34" borderId="32" xfId="47" applyFont="1" applyFill="1" applyBorder="1" applyAlignment="1">
      <alignment horizontal="center" vertical="center"/>
    </xf>
    <xf numFmtId="165" fontId="18" fillId="34" borderId="33" xfId="47" applyFont="1" applyFill="1" applyBorder="1" applyAlignment="1">
      <alignment horizontal="center" vertical="center"/>
    </xf>
    <xf numFmtId="165" fontId="18" fillId="34" borderId="34" xfId="47" applyFont="1" applyFill="1" applyBorder="1" applyAlignment="1">
      <alignment horizontal="center" vertical="center"/>
    </xf>
    <xf numFmtId="0" fontId="16" fillId="34" borderId="27" xfId="0" applyFont="1" applyFill="1" applyBorder="1" applyAlignment="1">
      <alignment horizontal="center" vertical="center"/>
    </xf>
    <xf numFmtId="0" fontId="16" fillId="34" borderId="0" xfId="0" applyFont="1" applyFill="1" applyAlignment="1">
      <alignment horizontal="center" vertical="center"/>
    </xf>
    <xf numFmtId="0" fontId="16" fillId="34" borderId="35" xfId="0" applyFont="1" applyFill="1" applyBorder="1" applyAlignment="1">
      <alignment horizontal="center" vertical="center"/>
    </xf>
  </cellXfs>
  <cellStyles count="138">
    <cellStyle name="20% - Énfasis1" xfId="21" builtinId="30" customBuiltin="1"/>
    <cellStyle name="20% - Énfasis2" xfId="25" builtinId="34" customBuiltin="1"/>
    <cellStyle name="20% - Énfasis3" xfId="29" builtinId="38" customBuiltin="1"/>
    <cellStyle name="20% - Énfasis4" xfId="33" builtinId="42" customBuiltin="1"/>
    <cellStyle name="20% - Énfasis5" xfId="37" builtinId="46" customBuiltin="1"/>
    <cellStyle name="20% - Énfasis6" xfId="41" builtinId="50" customBuiltin="1"/>
    <cellStyle name="40% - Énfasis1" xfId="22" builtinId="31" customBuiltin="1"/>
    <cellStyle name="40% - Énfasis2" xfId="26" builtinId="35" customBuiltin="1"/>
    <cellStyle name="40% - Énfasis3" xfId="30" builtinId="39" customBuiltin="1"/>
    <cellStyle name="40% - Énfasis4" xfId="34" builtinId="43" customBuiltin="1"/>
    <cellStyle name="40% - Énfasis5" xfId="38" builtinId="47" customBuiltin="1"/>
    <cellStyle name="40% - Énfasis6" xfId="42" builtinId="51" customBuiltin="1"/>
    <cellStyle name="60% - Énfasis1" xfId="23" builtinId="32" customBuiltin="1"/>
    <cellStyle name="60% - Énfasis2" xfId="27" builtinId="36" customBuiltin="1"/>
    <cellStyle name="60% - Énfasis3" xfId="31" builtinId="40" customBuiltin="1"/>
    <cellStyle name="60% - Énfasis4" xfId="35" builtinId="44" customBuiltin="1"/>
    <cellStyle name="60% - Énfasis5" xfId="39" builtinId="48" customBuiltin="1"/>
    <cellStyle name="60% - Énfasis6" xfId="43" builtinId="52" customBuiltin="1"/>
    <cellStyle name="Bueno" xfId="8" builtinId="26" customBuiltin="1"/>
    <cellStyle name="Cálculo" xfId="13" builtinId="22" customBuiltin="1"/>
    <cellStyle name="Celda de comprobación" xfId="15" builtinId="23" customBuiltin="1"/>
    <cellStyle name="Celda vinculada" xfId="14" builtinId="24" customBuiltin="1"/>
    <cellStyle name="Encabezado 1" xfId="4" builtinId="16" customBuiltin="1"/>
    <cellStyle name="Encabezado 4" xfId="7" builtinId="19" customBuiltin="1"/>
    <cellStyle name="Énfasis1" xfId="20" builtinId="29" customBuiltin="1"/>
    <cellStyle name="Énfasis2" xfId="24" builtinId="33" customBuiltin="1"/>
    <cellStyle name="Énfasis3" xfId="28" builtinId="37" customBuiltin="1"/>
    <cellStyle name="Énfasis4" xfId="32" builtinId="41" customBuiltin="1"/>
    <cellStyle name="Énfasis5" xfId="36" builtinId="45" customBuiltin="1"/>
    <cellStyle name="Énfasis6" xfId="40" builtinId="49" customBuiltin="1"/>
    <cellStyle name="Entrada" xfId="11" builtinId="20" customBuiltin="1"/>
    <cellStyle name="Incorrecto" xfId="9" builtinId="27" customBuiltin="1"/>
    <cellStyle name="Millares 2" xfId="129" xr:uid="{00000000-0005-0000-0000-000020000000}"/>
    <cellStyle name="Millares 2 2" xfId="135" xr:uid="{BAB1C5F7-A103-47CE-B9CD-8DC544220142}"/>
    <cellStyle name="Moneda" xfId="1" builtinId="4"/>
    <cellStyle name="Moneda 2" xfId="130" xr:uid="{00000000-0005-0000-0000-000022000000}"/>
    <cellStyle name="Moneda 3" xfId="132" xr:uid="{BE0869EE-F189-4E06-A592-D726C240CFEA}"/>
    <cellStyle name="Moneda 3 2" xfId="136" xr:uid="{FC6AA592-0FF9-456D-8CFE-BCCF46350E97}"/>
    <cellStyle name="Moneda 4" xfId="133" xr:uid="{D2C5022A-C521-4491-894B-F496A408B41E}"/>
    <cellStyle name="Moneda 4 2" xfId="137" xr:uid="{224C4A3F-8E21-4819-989E-F20DDC574FC1}"/>
    <cellStyle name="Moneda 5" xfId="134" xr:uid="{481A2629-4FEA-446C-875A-57012E452824}"/>
    <cellStyle name="Neutral" xfId="10" builtinId="28" customBuiltin="1"/>
    <cellStyle name="Normal" xfId="0" builtinId="0"/>
    <cellStyle name="Normal 1028" xfId="55" xr:uid="{00000000-0005-0000-0000-000025000000}"/>
    <cellStyle name="Normal 1029" xfId="56" xr:uid="{00000000-0005-0000-0000-000026000000}"/>
    <cellStyle name="Normal 1041" xfId="54" xr:uid="{00000000-0005-0000-0000-000027000000}"/>
    <cellStyle name="Normal 1048" xfId="49" xr:uid="{00000000-0005-0000-0000-000028000000}"/>
    <cellStyle name="Normal 1051" xfId="83" xr:uid="{00000000-0005-0000-0000-000029000000}"/>
    <cellStyle name="Normal 1069" xfId="79" xr:uid="{00000000-0005-0000-0000-00002A000000}"/>
    <cellStyle name="Normal 1070" xfId="75" xr:uid="{00000000-0005-0000-0000-00002B000000}"/>
    <cellStyle name="Normal 1073" xfId="71" xr:uid="{00000000-0005-0000-0000-00002C000000}"/>
    <cellStyle name="Normal 1076" xfId="67" xr:uid="{00000000-0005-0000-0000-00002D000000}"/>
    <cellStyle name="Normal 1083" xfId="63" xr:uid="{00000000-0005-0000-0000-00002E000000}"/>
    <cellStyle name="Normal 1085" xfId="82" xr:uid="{00000000-0005-0000-0000-00002F000000}"/>
    <cellStyle name="Normal 1094" xfId="78" xr:uid="{00000000-0005-0000-0000-000030000000}"/>
    <cellStyle name="Normal 1096" xfId="74" xr:uid="{00000000-0005-0000-0000-000031000000}"/>
    <cellStyle name="Normal 1097" xfId="70" xr:uid="{00000000-0005-0000-0000-000032000000}"/>
    <cellStyle name="Normal 1098" xfId="66" xr:uid="{00000000-0005-0000-0000-000033000000}"/>
    <cellStyle name="Normal 1105" xfId="62" xr:uid="{00000000-0005-0000-0000-000034000000}"/>
    <cellStyle name="Normal 1107" xfId="81" xr:uid="{00000000-0005-0000-0000-000035000000}"/>
    <cellStyle name="Normal 1111" xfId="77" xr:uid="{00000000-0005-0000-0000-000036000000}"/>
    <cellStyle name="Normal 1113" xfId="73" xr:uid="{00000000-0005-0000-0000-000037000000}"/>
    <cellStyle name="Normal 1116" xfId="69" xr:uid="{00000000-0005-0000-0000-000038000000}"/>
    <cellStyle name="Normal 1119" xfId="65" xr:uid="{00000000-0005-0000-0000-000039000000}"/>
    <cellStyle name="Normal 1127" xfId="61" xr:uid="{00000000-0005-0000-0000-00003A000000}"/>
    <cellStyle name="Normal 1132" xfId="84" xr:uid="{00000000-0005-0000-0000-00003B000000}"/>
    <cellStyle name="Normal 1138" xfId="85" xr:uid="{00000000-0005-0000-0000-00003C000000}"/>
    <cellStyle name="Normal 1139" xfId="86" xr:uid="{00000000-0005-0000-0000-00003D000000}"/>
    <cellStyle name="Normal 1141" xfId="87" xr:uid="{00000000-0005-0000-0000-00003E000000}"/>
    <cellStyle name="Normal 1145" xfId="88" xr:uid="{00000000-0005-0000-0000-00003F000000}"/>
    <cellStyle name="Normal 1155" xfId="89" xr:uid="{00000000-0005-0000-0000-000040000000}"/>
    <cellStyle name="Normal 1157" xfId="90" xr:uid="{00000000-0005-0000-0000-000041000000}"/>
    <cellStyle name="Normal 1159" xfId="91" xr:uid="{00000000-0005-0000-0000-000042000000}"/>
    <cellStyle name="Normal 1160" xfId="92" xr:uid="{00000000-0005-0000-0000-000043000000}"/>
    <cellStyle name="Normal 1163" xfId="93" xr:uid="{00000000-0005-0000-0000-000044000000}"/>
    <cellStyle name="Normal 1164" xfId="94" xr:uid="{00000000-0005-0000-0000-000045000000}"/>
    <cellStyle name="Normal 1166" xfId="95" xr:uid="{00000000-0005-0000-0000-000046000000}"/>
    <cellStyle name="Normal 1168" xfId="96" xr:uid="{00000000-0005-0000-0000-000047000000}"/>
    <cellStyle name="Normal 1172" xfId="97" xr:uid="{00000000-0005-0000-0000-000048000000}"/>
    <cellStyle name="Normal 1174" xfId="98" xr:uid="{00000000-0005-0000-0000-000049000000}"/>
    <cellStyle name="Normal 1182" xfId="99" xr:uid="{00000000-0005-0000-0000-00004A000000}"/>
    <cellStyle name="Normal 1183" xfId="100" xr:uid="{00000000-0005-0000-0000-00004B000000}"/>
    <cellStyle name="Normal 1184" xfId="101" xr:uid="{00000000-0005-0000-0000-00004C000000}"/>
    <cellStyle name="Normal 1185" xfId="102" xr:uid="{00000000-0005-0000-0000-00004D000000}"/>
    <cellStyle name="Normal 1189" xfId="104" xr:uid="{00000000-0005-0000-0000-00004E000000}"/>
    <cellStyle name="Normal 1190" xfId="103" xr:uid="{00000000-0005-0000-0000-00004F000000}"/>
    <cellStyle name="Normal 1193" xfId="105" xr:uid="{00000000-0005-0000-0000-000050000000}"/>
    <cellStyle name="Normal 1194" xfId="106" xr:uid="{00000000-0005-0000-0000-000051000000}"/>
    <cellStyle name="Normal 1195" xfId="107" xr:uid="{00000000-0005-0000-0000-000052000000}"/>
    <cellStyle name="Normal 1200" xfId="108" xr:uid="{00000000-0005-0000-0000-000053000000}"/>
    <cellStyle name="Normal 1201" xfId="109" xr:uid="{00000000-0005-0000-0000-000054000000}"/>
    <cellStyle name="Normal 1203" xfId="110" xr:uid="{00000000-0005-0000-0000-000055000000}"/>
    <cellStyle name="Normal 1205" xfId="111" xr:uid="{00000000-0005-0000-0000-000056000000}"/>
    <cellStyle name="Normal 1208" xfId="112" xr:uid="{00000000-0005-0000-0000-000057000000}"/>
    <cellStyle name="Normal 1210" xfId="113" xr:uid="{00000000-0005-0000-0000-000058000000}"/>
    <cellStyle name="Normal 1211" xfId="114" xr:uid="{00000000-0005-0000-0000-000059000000}"/>
    <cellStyle name="Normal 1212" xfId="115" xr:uid="{00000000-0005-0000-0000-00005A000000}"/>
    <cellStyle name="Normal 1214" xfId="116" xr:uid="{00000000-0005-0000-0000-00005B000000}"/>
    <cellStyle name="Normal 1216" xfId="117" xr:uid="{00000000-0005-0000-0000-00005C000000}"/>
    <cellStyle name="Normal 1227" xfId="118" xr:uid="{00000000-0005-0000-0000-00005D000000}"/>
    <cellStyle name="Normal 1228" xfId="119" xr:uid="{00000000-0005-0000-0000-00005E000000}"/>
    <cellStyle name="Normal 1229" xfId="120" xr:uid="{00000000-0005-0000-0000-00005F000000}"/>
    <cellStyle name="Normal 1230" xfId="121" xr:uid="{00000000-0005-0000-0000-000060000000}"/>
    <cellStyle name="Normal 1231" xfId="122" xr:uid="{00000000-0005-0000-0000-000061000000}"/>
    <cellStyle name="Normal 1233" xfId="123" xr:uid="{00000000-0005-0000-0000-000062000000}"/>
    <cellStyle name="Normal 198" xfId="45" xr:uid="{00000000-0005-0000-0000-000063000000}"/>
    <cellStyle name="Normal 2" xfId="131" xr:uid="{00000000-0005-0000-0000-000064000000}"/>
    <cellStyle name="Normal 316" xfId="52" xr:uid="{00000000-0005-0000-0000-000065000000}"/>
    <cellStyle name="Normal 347" xfId="47" xr:uid="{00000000-0005-0000-0000-000066000000}"/>
    <cellStyle name="Normal 357" xfId="124" xr:uid="{00000000-0005-0000-0000-000067000000}"/>
    <cellStyle name="Normal 423" xfId="128" xr:uid="{00000000-0005-0000-0000-000068000000}"/>
    <cellStyle name="Normal 477" xfId="59" xr:uid="{00000000-0005-0000-0000-000069000000}"/>
    <cellStyle name="Normal 501" xfId="57" xr:uid="{00000000-0005-0000-0000-00006A000000}"/>
    <cellStyle name="Normal 611" xfId="53" xr:uid="{00000000-0005-0000-0000-00006B000000}"/>
    <cellStyle name="Normal 718" xfId="58" xr:uid="{00000000-0005-0000-0000-00006C000000}"/>
    <cellStyle name="Normal 720" xfId="44" xr:uid="{00000000-0005-0000-0000-00006D000000}"/>
    <cellStyle name="Normal 722" xfId="51" xr:uid="{00000000-0005-0000-0000-00006E000000}"/>
    <cellStyle name="Normal 726" xfId="50" xr:uid="{00000000-0005-0000-0000-00006F000000}"/>
    <cellStyle name="Normal 771" xfId="80" xr:uid="{00000000-0005-0000-0000-000070000000}"/>
    <cellStyle name="Normal 776" xfId="76" xr:uid="{00000000-0005-0000-0000-000071000000}"/>
    <cellStyle name="Normal 779" xfId="72" xr:uid="{00000000-0005-0000-0000-000072000000}"/>
    <cellStyle name="Normal 787" xfId="68" xr:uid="{00000000-0005-0000-0000-000073000000}"/>
    <cellStyle name="Normal 794" xfId="64" xr:uid="{00000000-0005-0000-0000-000074000000}"/>
    <cellStyle name="Normal 805" xfId="60" xr:uid="{00000000-0005-0000-0000-000075000000}"/>
    <cellStyle name="Normal 819" xfId="48" xr:uid="{00000000-0005-0000-0000-000076000000}"/>
    <cellStyle name="Normal 874" xfId="127" xr:uid="{00000000-0005-0000-0000-000077000000}"/>
    <cellStyle name="Normal 876" xfId="125" xr:uid="{00000000-0005-0000-0000-000078000000}"/>
    <cellStyle name="Normal 888" xfId="46" xr:uid="{00000000-0005-0000-0000-000079000000}"/>
    <cellStyle name="Normal 924" xfId="126" xr:uid="{00000000-0005-0000-0000-00007A000000}"/>
    <cellStyle name="Notas" xfId="17" builtinId="10" customBuiltin="1"/>
    <cellStyle name="Porcentaje" xfId="2" builtinId="5"/>
    <cellStyle name="Salida" xfId="12" builtinId="21" customBuiltin="1"/>
    <cellStyle name="Texto de advertencia" xfId="16" builtinId="11" customBuiltin="1"/>
    <cellStyle name="Texto explicativo" xfId="18" builtinId="53" customBuiltin="1"/>
    <cellStyle name="Título" xfId="3" builtinId="15" customBuiltin="1"/>
    <cellStyle name="Título 2" xfId="5" builtinId="17" customBuiltin="1"/>
    <cellStyle name="Título 3" xfId="6" builtinId="18" customBuiltin="1"/>
    <cellStyle name="Total" xfId="19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7"/>
  <sheetViews>
    <sheetView workbookViewId="0">
      <selection sqref="A1:H47"/>
    </sheetView>
  </sheetViews>
  <sheetFormatPr baseColWidth="10" defaultRowHeight="15" x14ac:dyDescent="0.25"/>
  <cols>
    <col min="1" max="1" width="34" bestFit="1" customWidth="1"/>
    <col min="2" max="2" width="18.42578125" bestFit="1" customWidth="1"/>
    <col min="3" max="3" width="12" bestFit="1" customWidth="1"/>
    <col min="4" max="4" width="18.5703125" bestFit="1" customWidth="1"/>
    <col min="5" max="5" width="12" bestFit="1" customWidth="1"/>
    <col min="6" max="6" width="27.42578125" bestFit="1" customWidth="1"/>
    <col min="7" max="7" width="26.5703125" bestFit="1" customWidth="1"/>
    <col min="8" max="8" width="16.42578125" bestFit="1" customWidth="1"/>
  </cols>
  <sheetData>
    <row r="1" spans="1:8" x14ac:dyDescent="0.25">
      <c r="A1" s="142" t="s">
        <v>75</v>
      </c>
      <c r="B1" s="142" t="s">
        <v>146</v>
      </c>
      <c r="C1" s="142" t="s">
        <v>147</v>
      </c>
      <c r="D1" s="142" t="s">
        <v>148</v>
      </c>
      <c r="E1" s="142" t="s">
        <v>149</v>
      </c>
      <c r="F1" s="142" t="s">
        <v>150</v>
      </c>
      <c r="G1" s="142" t="s">
        <v>151</v>
      </c>
      <c r="H1" s="142" t="s">
        <v>152</v>
      </c>
    </row>
    <row r="2" spans="1:8" x14ac:dyDescent="0.25">
      <c r="A2" t="s">
        <v>153</v>
      </c>
      <c r="B2">
        <v>0</v>
      </c>
      <c r="C2">
        <v>99799.563180412995</v>
      </c>
      <c r="D2">
        <v>448440.5447665801</v>
      </c>
      <c r="E2">
        <v>1746019153.3678823</v>
      </c>
      <c r="F2">
        <v>0</v>
      </c>
      <c r="G2">
        <v>791257.00049983</v>
      </c>
      <c r="H2">
        <v>791256.8</v>
      </c>
    </row>
    <row r="3" spans="1:8" x14ac:dyDescent="0.25">
      <c r="A3" t="s">
        <v>80</v>
      </c>
      <c r="B3">
        <v>1</v>
      </c>
      <c r="C3">
        <v>1150.0830228724999</v>
      </c>
      <c r="D3">
        <v>1901.9132976203</v>
      </c>
      <c r="E3">
        <v>26389534.349994246</v>
      </c>
      <c r="F3">
        <v>0</v>
      </c>
      <c r="G3">
        <v>791257.00049983</v>
      </c>
      <c r="H3">
        <v>791256.8</v>
      </c>
    </row>
    <row r="4" spans="1:8" x14ac:dyDescent="0.25">
      <c r="A4" t="s">
        <v>81</v>
      </c>
      <c r="B4">
        <v>1</v>
      </c>
      <c r="C4">
        <v>664.50681216630005</v>
      </c>
      <c r="D4">
        <v>1801.7497023773001</v>
      </c>
      <c r="E4">
        <v>16500079.026056459</v>
      </c>
      <c r="F4">
        <v>0</v>
      </c>
      <c r="G4">
        <v>0</v>
      </c>
      <c r="H4">
        <v>0</v>
      </c>
    </row>
    <row r="5" spans="1:8" x14ac:dyDescent="0.25">
      <c r="A5" t="s">
        <v>82</v>
      </c>
      <c r="B5">
        <v>1</v>
      </c>
      <c r="C5">
        <v>1269.0352182505001</v>
      </c>
      <c r="D5">
        <v>5104.0973690647998</v>
      </c>
      <c r="E5">
        <v>28062022.667462606</v>
      </c>
      <c r="F5">
        <v>0</v>
      </c>
      <c r="G5">
        <v>0</v>
      </c>
      <c r="H5">
        <v>0</v>
      </c>
    </row>
    <row r="6" spans="1:8" x14ac:dyDescent="0.25">
      <c r="A6" t="s">
        <v>83</v>
      </c>
      <c r="B6">
        <v>1</v>
      </c>
      <c r="C6">
        <v>1960.2209325384999</v>
      </c>
      <c r="D6">
        <v>4789.7335714516003</v>
      </c>
      <c r="E6">
        <v>43105817.797800437</v>
      </c>
      <c r="F6">
        <v>0</v>
      </c>
      <c r="G6">
        <v>0</v>
      </c>
      <c r="H6">
        <v>0</v>
      </c>
    </row>
    <row r="7" spans="1:8" x14ac:dyDescent="0.25">
      <c r="A7" t="s">
        <v>84</v>
      </c>
      <c r="B7">
        <v>1</v>
      </c>
      <c r="C7">
        <v>2142.8652160452002</v>
      </c>
      <c r="D7">
        <v>7761.7924171244003</v>
      </c>
      <c r="E7">
        <v>40968098.45140481</v>
      </c>
      <c r="F7">
        <v>0</v>
      </c>
      <c r="G7">
        <v>0</v>
      </c>
      <c r="H7">
        <v>0</v>
      </c>
    </row>
    <row r="8" spans="1:8" x14ac:dyDescent="0.25">
      <c r="A8" t="s">
        <v>110</v>
      </c>
      <c r="B8">
        <v>1</v>
      </c>
      <c r="C8">
        <v>6543.2249999999003</v>
      </c>
      <c r="D8">
        <v>13168.03</v>
      </c>
      <c r="E8">
        <v>95594164.651924506</v>
      </c>
      <c r="F8">
        <v>0</v>
      </c>
      <c r="G8">
        <v>0</v>
      </c>
      <c r="H8">
        <v>0</v>
      </c>
    </row>
    <row r="9" spans="1:8" x14ac:dyDescent="0.25">
      <c r="A9" t="s">
        <v>271</v>
      </c>
      <c r="B9">
        <v>1</v>
      </c>
      <c r="C9">
        <v>1088.8040277770999</v>
      </c>
      <c r="D9">
        <v>4029.9315000175998</v>
      </c>
      <c r="E9">
        <v>21361654.623240348</v>
      </c>
      <c r="F9">
        <v>0</v>
      </c>
      <c r="G9">
        <v>0</v>
      </c>
      <c r="H9">
        <v>0</v>
      </c>
    </row>
    <row r="10" spans="1:8" x14ac:dyDescent="0.25">
      <c r="A10" t="s">
        <v>86</v>
      </c>
      <c r="B10">
        <v>1</v>
      </c>
      <c r="C10">
        <v>568.74634523760005</v>
      </c>
      <c r="D10">
        <v>2185.2452024147001</v>
      </c>
      <c r="E10">
        <v>17262633.614023104</v>
      </c>
      <c r="F10">
        <v>0</v>
      </c>
      <c r="G10">
        <v>0</v>
      </c>
      <c r="H10">
        <v>0</v>
      </c>
    </row>
    <row r="11" spans="1:8" x14ac:dyDescent="0.25">
      <c r="A11" t="s">
        <v>210</v>
      </c>
      <c r="B11">
        <v>1</v>
      </c>
      <c r="C11">
        <v>951.08968253900002</v>
      </c>
      <c r="D11">
        <v>2820.7391071530001</v>
      </c>
      <c r="E11">
        <v>17770782.419608682</v>
      </c>
      <c r="F11">
        <v>0</v>
      </c>
      <c r="G11">
        <v>0</v>
      </c>
      <c r="H11">
        <v>0</v>
      </c>
    </row>
    <row r="12" spans="1:8" x14ac:dyDescent="0.25">
      <c r="A12" t="s">
        <v>209</v>
      </c>
      <c r="B12">
        <v>1</v>
      </c>
      <c r="C12">
        <v>1574.1858134895001</v>
      </c>
      <c r="D12">
        <v>5485.5075833617002</v>
      </c>
      <c r="E12">
        <v>27932712.401447035</v>
      </c>
      <c r="F12">
        <v>0</v>
      </c>
      <c r="G12">
        <v>0</v>
      </c>
      <c r="H12">
        <v>0</v>
      </c>
    </row>
    <row r="13" spans="1:8" x14ac:dyDescent="0.25">
      <c r="A13" t="s">
        <v>89</v>
      </c>
      <c r="B13">
        <v>1</v>
      </c>
      <c r="C13">
        <v>1824.7082063462999</v>
      </c>
      <c r="D13">
        <v>4145.0345000177003</v>
      </c>
      <c r="E13">
        <v>36453782.541685887</v>
      </c>
      <c r="F13">
        <v>0</v>
      </c>
      <c r="G13">
        <v>0</v>
      </c>
      <c r="H13">
        <v>0</v>
      </c>
    </row>
    <row r="14" spans="1:8" x14ac:dyDescent="0.25">
      <c r="A14" t="s">
        <v>90</v>
      </c>
      <c r="B14">
        <v>1</v>
      </c>
      <c r="C14">
        <v>8496.2852083322996</v>
      </c>
      <c r="D14">
        <v>34294.639575888803</v>
      </c>
      <c r="E14">
        <v>128019920.63498563</v>
      </c>
      <c r="F14">
        <v>0</v>
      </c>
      <c r="G14">
        <v>0</v>
      </c>
      <c r="H14">
        <v>0</v>
      </c>
    </row>
    <row r="15" spans="1:8" x14ac:dyDescent="0.25">
      <c r="A15" t="s">
        <v>91</v>
      </c>
      <c r="B15">
        <v>1</v>
      </c>
      <c r="C15">
        <v>1504.3171626966</v>
      </c>
      <c r="D15">
        <v>4998.2056756029997</v>
      </c>
      <c r="E15">
        <v>32436772.657611098</v>
      </c>
      <c r="F15">
        <v>0</v>
      </c>
      <c r="G15">
        <v>0</v>
      </c>
      <c r="H15">
        <v>0</v>
      </c>
    </row>
    <row r="16" spans="1:8" x14ac:dyDescent="0.25">
      <c r="A16" t="s">
        <v>92</v>
      </c>
      <c r="B16">
        <v>1</v>
      </c>
      <c r="C16">
        <v>959.52908730080003</v>
      </c>
      <c r="D16">
        <v>3666.0901309848</v>
      </c>
      <c r="E16">
        <v>24837785.161016472</v>
      </c>
      <c r="F16">
        <v>0</v>
      </c>
      <c r="G16">
        <v>0</v>
      </c>
      <c r="H16">
        <v>0</v>
      </c>
    </row>
    <row r="17" spans="1:8" x14ac:dyDescent="0.25">
      <c r="A17" t="s">
        <v>93</v>
      </c>
      <c r="B17">
        <v>1</v>
      </c>
      <c r="C17">
        <v>2044.8570833312001</v>
      </c>
      <c r="D17">
        <v>6425.2846369077997</v>
      </c>
      <c r="E17">
        <v>44411092.294184931</v>
      </c>
      <c r="F17">
        <v>0</v>
      </c>
      <c r="G17">
        <v>0</v>
      </c>
      <c r="H17">
        <v>0</v>
      </c>
    </row>
    <row r="18" spans="1:8" x14ac:dyDescent="0.25">
      <c r="A18" t="s">
        <v>94</v>
      </c>
      <c r="B18">
        <v>1</v>
      </c>
      <c r="C18">
        <v>2164.0285515846999</v>
      </c>
      <c r="D18">
        <v>9314.6274285940999</v>
      </c>
      <c r="E18">
        <v>46836440.414370194</v>
      </c>
      <c r="F18">
        <v>0</v>
      </c>
      <c r="G18">
        <v>0</v>
      </c>
      <c r="H18">
        <v>0</v>
      </c>
    </row>
    <row r="19" spans="1:8" x14ac:dyDescent="0.25">
      <c r="A19" t="s">
        <v>95</v>
      </c>
      <c r="B19">
        <v>1</v>
      </c>
      <c r="C19">
        <v>1917.1893452346001</v>
      </c>
      <c r="D19">
        <v>7258.4603333493997</v>
      </c>
      <c r="E19">
        <v>41152966.399721123</v>
      </c>
      <c r="F19">
        <v>0</v>
      </c>
      <c r="G19">
        <v>0</v>
      </c>
      <c r="H19">
        <v>0</v>
      </c>
    </row>
    <row r="20" spans="1:8" x14ac:dyDescent="0.25">
      <c r="A20" t="s">
        <v>96</v>
      </c>
      <c r="B20">
        <v>1</v>
      </c>
      <c r="C20">
        <v>6342.0544146820002</v>
      </c>
      <c r="D20">
        <v>34291.496968744003</v>
      </c>
      <c r="E20">
        <v>116705294.416097</v>
      </c>
      <c r="F20">
        <v>0</v>
      </c>
      <c r="G20">
        <v>0</v>
      </c>
      <c r="H20">
        <v>0</v>
      </c>
    </row>
    <row r="21" spans="1:8" x14ac:dyDescent="0.25">
      <c r="A21" t="s">
        <v>97</v>
      </c>
      <c r="B21">
        <v>1</v>
      </c>
      <c r="C21">
        <v>833.83730158349999</v>
      </c>
      <c r="D21">
        <v>2984.6328690637001</v>
      </c>
      <c r="E21">
        <v>19670045.833614059</v>
      </c>
      <c r="F21">
        <v>0</v>
      </c>
      <c r="G21">
        <v>0</v>
      </c>
      <c r="H21">
        <v>0</v>
      </c>
    </row>
    <row r="22" spans="1:8" x14ac:dyDescent="0.25">
      <c r="A22" t="s">
        <v>276</v>
      </c>
      <c r="B22">
        <v>1</v>
      </c>
      <c r="C22">
        <v>592.8550859787</v>
      </c>
      <c r="D22">
        <v>2387.2682708613002</v>
      </c>
      <c r="E22">
        <v>12744614.064008825</v>
      </c>
      <c r="F22">
        <v>0</v>
      </c>
      <c r="G22">
        <v>0</v>
      </c>
      <c r="H22">
        <v>0</v>
      </c>
    </row>
    <row r="23" spans="1:8" x14ac:dyDescent="0.25">
      <c r="A23" t="s">
        <v>267</v>
      </c>
      <c r="B23">
        <v>1</v>
      </c>
      <c r="C23">
        <v>5770.0111309507001</v>
      </c>
      <c r="D23">
        <v>30657.517119047301</v>
      </c>
      <c r="E23">
        <v>101815489.4705084</v>
      </c>
      <c r="F23">
        <v>0</v>
      </c>
      <c r="G23">
        <v>0</v>
      </c>
      <c r="H23">
        <v>0</v>
      </c>
    </row>
    <row r="24" spans="1:8" x14ac:dyDescent="0.25">
      <c r="A24" t="s">
        <v>266</v>
      </c>
      <c r="B24">
        <v>1</v>
      </c>
      <c r="C24">
        <v>4004.0416666658002</v>
      </c>
      <c r="D24">
        <v>34467.809988094101</v>
      </c>
      <c r="E24">
        <v>70633225.909723982</v>
      </c>
      <c r="F24">
        <v>0</v>
      </c>
      <c r="G24">
        <v>0</v>
      </c>
      <c r="H24">
        <v>0</v>
      </c>
    </row>
    <row r="25" spans="1:8" x14ac:dyDescent="0.25">
      <c r="A25" t="s">
        <v>98</v>
      </c>
      <c r="B25">
        <v>1</v>
      </c>
      <c r="C25">
        <v>1136.9815396807001</v>
      </c>
      <c r="D25">
        <v>4857.4981785841001</v>
      </c>
      <c r="E25">
        <v>28617303.951834902</v>
      </c>
      <c r="F25">
        <v>0</v>
      </c>
      <c r="G25">
        <v>0</v>
      </c>
      <c r="H25">
        <v>0</v>
      </c>
    </row>
    <row r="26" spans="1:8" x14ac:dyDescent="0.25">
      <c r="A26" t="s">
        <v>99</v>
      </c>
      <c r="B26">
        <v>1</v>
      </c>
      <c r="C26">
        <v>1841.1749999947001</v>
      </c>
      <c r="D26">
        <v>4482.5727976012004</v>
      </c>
      <c r="E26">
        <v>28032289.867845565</v>
      </c>
      <c r="F26">
        <v>0</v>
      </c>
      <c r="G26">
        <v>0</v>
      </c>
      <c r="H26">
        <v>0</v>
      </c>
    </row>
    <row r="27" spans="1:8" x14ac:dyDescent="0.25">
      <c r="A27" t="s">
        <v>217</v>
      </c>
      <c r="B27">
        <v>1</v>
      </c>
      <c r="C27">
        <v>9672.7722222224002</v>
      </c>
      <c r="D27">
        <v>28864.55</v>
      </c>
      <c r="E27">
        <v>116040253.96680294</v>
      </c>
      <c r="F27">
        <v>0</v>
      </c>
      <c r="G27">
        <v>0</v>
      </c>
      <c r="H27">
        <v>0</v>
      </c>
    </row>
    <row r="28" spans="1:8" x14ac:dyDescent="0.25">
      <c r="A28" t="s">
        <v>219</v>
      </c>
      <c r="B28">
        <v>1</v>
      </c>
      <c r="C28">
        <v>1468.6149999945001</v>
      </c>
      <c r="D28">
        <v>5578.8411785735998</v>
      </c>
      <c r="E28">
        <v>29978995.485085707</v>
      </c>
      <c r="F28">
        <v>0</v>
      </c>
      <c r="G28">
        <v>0</v>
      </c>
      <c r="H28">
        <v>0</v>
      </c>
    </row>
    <row r="29" spans="1:8" x14ac:dyDescent="0.25">
      <c r="A29" t="s">
        <v>211</v>
      </c>
      <c r="B29">
        <v>1</v>
      </c>
      <c r="C29">
        <v>5061.0049603161997</v>
      </c>
      <c r="D29">
        <v>20136.8080833358</v>
      </c>
      <c r="E29">
        <v>76952384.208156615</v>
      </c>
      <c r="F29">
        <v>0</v>
      </c>
      <c r="G29">
        <v>0</v>
      </c>
      <c r="H29">
        <v>0</v>
      </c>
    </row>
    <row r="30" spans="1:8" x14ac:dyDescent="0.25">
      <c r="A30" t="s">
        <v>138</v>
      </c>
      <c r="B30">
        <v>1</v>
      </c>
      <c r="C30">
        <v>576.19251983829997</v>
      </c>
      <c r="D30">
        <v>1848.0888452310001</v>
      </c>
      <c r="E30">
        <v>12312611.37117344</v>
      </c>
      <c r="F30">
        <v>0</v>
      </c>
      <c r="G30">
        <v>0</v>
      </c>
      <c r="H30">
        <v>0</v>
      </c>
    </row>
    <row r="31" spans="1:8" x14ac:dyDescent="0.25">
      <c r="A31" t="s">
        <v>213</v>
      </c>
      <c r="B31">
        <v>1</v>
      </c>
      <c r="C31">
        <v>958.82688491880003</v>
      </c>
      <c r="D31">
        <v>2554.4795833466001</v>
      </c>
      <c r="E31">
        <v>14602289.639557641</v>
      </c>
      <c r="F31">
        <v>0</v>
      </c>
      <c r="G31">
        <v>0</v>
      </c>
      <c r="H31">
        <v>0</v>
      </c>
    </row>
    <row r="32" spans="1:8" x14ac:dyDescent="0.25">
      <c r="A32" t="s">
        <v>274</v>
      </c>
      <c r="B32">
        <v>1</v>
      </c>
      <c r="C32">
        <v>249.48811507740001</v>
      </c>
      <c r="D32">
        <v>1138.0604166631001</v>
      </c>
      <c r="E32">
        <v>8626881.987285044</v>
      </c>
      <c r="F32">
        <v>0</v>
      </c>
      <c r="G32">
        <v>0</v>
      </c>
      <c r="H32">
        <v>0</v>
      </c>
    </row>
    <row r="33" spans="1:8" x14ac:dyDescent="0.25">
      <c r="A33" t="s">
        <v>212</v>
      </c>
      <c r="B33">
        <v>1</v>
      </c>
      <c r="C33">
        <v>1589.805271163</v>
      </c>
      <c r="D33">
        <v>5730.1928333467004</v>
      </c>
      <c r="E33">
        <v>24211066.525152564</v>
      </c>
      <c r="F33">
        <v>0</v>
      </c>
      <c r="G33">
        <v>0</v>
      </c>
      <c r="H33">
        <v>0</v>
      </c>
    </row>
    <row r="34" spans="1:8" x14ac:dyDescent="0.25">
      <c r="A34" t="s">
        <v>270</v>
      </c>
      <c r="B34">
        <v>1</v>
      </c>
      <c r="C34">
        <v>201.37328081250001</v>
      </c>
      <c r="D34">
        <v>2476.9984999971998</v>
      </c>
      <c r="E34">
        <v>6486998.1697260365</v>
      </c>
      <c r="F34">
        <v>0</v>
      </c>
      <c r="G34">
        <v>0</v>
      </c>
      <c r="H34">
        <v>0</v>
      </c>
    </row>
    <row r="35" spans="1:8" x14ac:dyDescent="0.25">
      <c r="A35" t="s">
        <v>268</v>
      </c>
      <c r="B35">
        <v>1</v>
      </c>
      <c r="C35">
        <v>2428.3847222221998</v>
      </c>
      <c r="D35">
        <v>18461.5399999982</v>
      </c>
      <c r="E35">
        <v>35002321.995747954</v>
      </c>
      <c r="F35">
        <v>0</v>
      </c>
      <c r="G35">
        <v>0</v>
      </c>
      <c r="H35">
        <v>0</v>
      </c>
    </row>
    <row r="36" spans="1:8" x14ac:dyDescent="0.25">
      <c r="A36" t="s">
        <v>160</v>
      </c>
      <c r="B36">
        <v>1</v>
      </c>
      <c r="C36">
        <v>1146.1002976172001</v>
      </c>
      <c r="D36">
        <v>4930.0667440845</v>
      </c>
      <c r="E36">
        <v>26222331.740455862</v>
      </c>
      <c r="F36">
        <v>0</v>
      </c>
      <c r="G36">
        <v>0</v>
      </c>
      <c r="H36">
        <v>0</v>
      </c>
    </row>
    <row r="37" spans="1:8" x14ac:dyDescent="0.25">
      <c r="A37" t="s">
        <v>106</v>
      </c>
      <c r="B37">
        <v>1</v>
      </c>
      <c r="C37">
        <v>1117.9481547620001</v>
      </c>
      <c r="D37">
        <v>7008.2291666776</v>
      </c>
      <c r="E37">
        <v>23502345.16595237</v>
      </c>
      <c r="F37">
        <v>0</v>
      </c>
      <c r="G37">
        <v>0</v>
      </c>
      <c r="H37">
        <v>0</v>
      </c>
    </row>
    <row r="38" spans="1:8" x14ac:dyDescent="0.25">
      <c r="A38" t="s">
        <v>272</v>
      </c>
      <c r="B38">
        <v>1</v>
      </c>
      <c r="C38">
        <v>1552.5</v>
      </c>
      <c r="D38">
        <v>16249.779999996999</v>
      </c>
      <c r="E38">
        <v>36536665.120000735</v>
      </c>
      <c r="F38">
        <v>0</v>
      </c>
      <c r="G38">
        <v>0</v>
      </c>
      <c r="H38">
        <v>0</v>
      </c>
    </row>
    <row r="39" spans="1:8" x14ac:dyDescent="0.25">
      <c r="A39" t="s">
        <v>107</v>
      </c>
      <c r="B39">
        <v>1</v>
      </c>
      <c r="C39">
        <v>1850.6132215005</v>
      </c>
      <c r="D39">
        <v>21590.109999999899</v>
      </c>
      <c r="E39">
        <v>42911826.192505755</v>
      </c>
      <c r="F39">
        <v>0</v>
      </c>
      <c r="G39">
        <v>0</v>
      </c>
      <c r="H39">
        <v>0</v>
      </c>
    </row>
    <row r="40" spans="1:8" x14ac:dyDescent="0.25">
      <c r="A40" t="s">
        <v>220</v>
      </c>
      <c r="B40">
        <v>1</v>
      </c>
      <c r="C40">
        <v>3028.5086941694999</v>
      </c>
      <c r="D40">
        <v>15658.5302312847</v>
      </c>
      <c r="E40">
        <v>49130247.024129808</v>
      </c>
      <c r="F40">
        <v>0</v>
      </c>
      <c r="G40">
        <v>0</v>
      </c>
      <c r="H40">
        <v>0</v>
      </c>
    </row>
    <row r="41" spans="1:8" x14ac:dyDescent="0.25">
      <c r="A41" t="s">
        <v>139</v>
      </c>
      <c r="B41">
        <v>1</v>
      </c>
      <c r="C41">
        <v>5897.2164682545999</v>
      </c>
      <c r="D41">
        <v>35960.484416665699</v>
      </c>
      <c r="E41">
        <v>67507435.480054155</v>
      </c>
      <c r="F41">
        <v>0</v>
      </c>
      <c r="G41">
        <v>0</v>
      </c>
      <c r="H41">
        <v>0</v>
      </c>
    </row>
    <row r="42" spans="1:8" x14ac:dyDescent="0.25">
      <c r="A42" t="s">
        <v>214</v>
      </c>
      <c r="B42">
        <v>1</v>
      </c>
      <c r="C42">
        <v>855.19444444440001</v>
      </c>
      <c r="D42">
        <v>7854.5799999993997</v>
      </c>
      <c r="E42">
        <v>17150855.408873394</v>
      </c>
      <c r="F42">
        <v>0</v>
      </c>
      <c r="G42">
        <v>0</v>
      </c>
      <c r="H42">
        <v>0</v>
      </c>
    </row>
    <row r="43" spans="1:8" x14ac:dyDescent="0.25">
      <c r="A43" t="s">
        <v>144</v>
      </c>
      <c r="B43">
        <v>1</v>
      </c>
      <c r="C43">
        <v>602.84578372960004</v>
      </c>
      <c r="D43">
        <v>2400.2402889882001</v>
      </c>
      <c r="E43">
        <v>24669197.621924087</v>
      </c>
      <c r="F43">
        <v>0</v>
      </c>
      <c r="G43">
        <v>0</v>
      </c>
      <c r="H43">
        <v>0</v>
      </c>
    </row>
    <row r="44" spans="1:8" x14ac:dyDescent="0.25">
      <c r="A44" t="s">
        <v>145</v>
      </c>
      <c r="B44">
        <v>1</v>
      </c>
      <c r="C44">
        <v>750.83313492119999</v>
      </c>
      <c r="D44">
        <v>4273.2640119149</v>
      </c>
      <c r="E44">
        <v>14430657.397060707</v>
      </c>
      <c r="F44">
        <v>0</v>
      </c>
      <c r="G44">
        <v>0</v>
      </c>
      <c r="H44">
        <v>0</v>
      </c>
    </row>
    <row r="45" spans="1:8" x14ac:dyDescent="0.25">
      <c r="A45" t="s">
        <v>275</v>
      </c>
      <c r="B45">
        <v>1</v>
      </c>
      <c r="C45">
        <v>732.77976190560003</v>
      </c>
      <c r="D45">
        <v>1141.7320833316001</v>
      </c>
      <c r="E45">
        <v>13415069.928110547</v>
      </c>
      <c r="F45">
        <v>0</v>
      </c>
      <c r="G45">
        <v>0</v>
      </c>
      <c r="H45">
        <v>0</v>
      </c>
    </row>
    <row r="46" spans="1:8" x14ac:dyDescent="0.25">
      <c r="A46" t="s">
        <v>154</v>
      </c>
      <c r="B46">
        <v>1</v>
      </c>
      <c r="C46">
        <v>1286.1374666301001</v>
      </c>
      <c r="D46">
        <v>3625.4359568374998</v>
      </c>
      <c r="E46">
        <v>16352038.655001422</v>
      </c>
      <c r="F46">
        <v>0</v>
      </c>
      <c r="G46">
        <v>0</v>
      </c>
      <c r="H46">
        <v>0</v>
      </c>
    </row>
    <row r="47" spans="1:8" x14ac:dyDescent="0.25">
      <c r="A47" t="s">
        <v>218</v>
      </c>
      <c r="B47">
        <v>1</v>
      </c>
      <c r="C47">
        <v>1427.7899206343</v>
      </c>
      <c r="D47">
        <v>7678.6542023802003</v>
      </c>
      <c r="E47">
        <v>22662156.664955258</v>
      </c>
      <c r="F47">
        <v>0</v>
      </c>
      <c r="G47">
        <v>0</v>
      </c>
      <c r="H47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</sheetPr>
  <dimension ref="A1:N48"/>
  <sheetViews>
    <sheetView tabSelected="1" zoomScale="80" zoomScaleNormal="80" workbookViewId="0">
      <selection activeCell="B21" sqref="B21"/>
    </sheetView>
  </sheetViews>
  <sheetFormatPr baseColWidth="10" defaultRowHeight="15" x14ac:dyDescent="0.25"/>
  <cols>
    <col min="1" max="1" width="25" bestFit="1" customWidth="1"/>
    <col min="2" max="2" width="48" bestFit="1" customWidth="1"/>
    <col min="3" max="3" width="18.85546875" style="2" bestFit="1" customWidth="1"/>
    <col min="4" max="4" width="18.85546875" style="2" customWidth="1"/>
    <col min="5" max="5" width="18.85546875" style="2" hidden="1" customWidth="1"/>
    <col min="6" max="6" width="17.140625" style="2" bestFit="1" customWidth="1"/>
    <col min="7" max="7" width="13" style="1" bestFit="1" customWidth="1"/>
    <col min="8" max="8" width="20" style="2" bestFit="1" customWidth="1"/>
    <col min="9" max="9" width="18" style="1" bestFit="1" customWidth="1"/>
    <col min="10" max="10" width="18.85546875" style="2" bestFit="1" customWidth="1"/>
    <col min="11" max="11" width="17.140625" style="2" bestFit="1" customWidth="1"/>
    <col min="12" max="12" width="16" style="2" bestFit="1" customWidth="1"/>
    <col min="13" max="13" width="27.7109375" bestFit="1" customWidth="1"/>
  </cols>
  <sheetData>
    <row r="1" spans="1:14" ht="30.75" thickBot="1" x14ac:dyDescent="0.3">
      <c r="A1" s="54" t="s">
        <v>205</v>
      </c>
      <c r="B1" s="54" t="s">
        <v>75</v>
      </c>
      <c r="C1" s="54" t="s">
        <v>31</v>
      </c>
      <c r="D1" s="54" t="s">
        <v>32</v>
      </c>
      <c r="E1" s="54" t="s">
        <v>39</v>
      </c>
      <c r="F1" s="54" t="s">
        <v>33</v>
      </c>
      <c r="G1" s="55" t="s">
        <v>41</v>
      </c>
      <c r="H1" s="56" t="s">
        <v>45</v>
      </c>
      <c r="I1" s="55" t="s">
        <v>46</v>
      </c>
      <c r="J1" s="54" t="s">
        <v>35</v>
      </c>
      <c r="K1" s="54" t="s">
        <v>34</v>
      </c>
      <c r="L1" s="54" t="s">
        <v>53</v>
      </c>
    </row>
    <row r="2" spans="1:14" ht="16.5" thickBot="1" x14ac:dyDescent="0.3">
      <c r="A2" s="143" t="s">
        <v>206</v>
      </c>
      <c r="B2" s="57" t="s">
        <v>94</v>
      </c>
      <c r="C2" s="58">
        <v>32279076.638250753</v>
      </c>
      <c r="D2" s="59">
        <f>IFERROR(+VLOOKUP(B2,COMISIONES!A:E,5,FALSE),"0")*1</f>
        <v>46836440.414370194</v>
      </c>
      <c r="E2" s="59">
        <v>44510426.165875703</v>
      </c>
      <c r="F2" s="59">
        <f t="shared" ref="F2:F9" si="0">+D2-E2</f>
        <v>2326014.248494491</v>
      </c>
      <c r="G2" s="60">
        <f t="shared" ref="G2:G47" si="1">+D2/C2</f>
        <v>1.450984516665788</v>
      </c>
      <c r="H2" s="59">
        <f>+D2/$N$3*$N$4</f>
        <v>48709898.030945003</v>
      </c>
      <c r="I2" s="60">
        <f t="shared" ref="I2:I48" si="2">+H2/C2</f>
        <v>1.5090238973324195</v>
      </c>
      <c r="J2" s="59">
        <f>+D2/$N$3</f>
        <v>1873457.6165748078</v>
      </c>
      <c r="K2" s="59">
        <f t="shared" ref="K2:K38" si="3">+(C2-D2)/$N$2</f>
        <v>-14557363.776119441</v>
      </c>
      <c r="L2" s="61" cm="1">
        <f t="array" ref="L2">+_xlfn.IFS(I2&gt;114%,H2*0.02,I2&gt;109%,H2*0.015,I2&gt;104%,H2*0.0125,I2&gt;99%,H2*0.01,I2&lt;99%,H2*0)</f>
        <v>974197.96061890014</v>
      </c>
      <c r="M2" s="53" t="s">
        <v>36</v>
      </c>
      <c r="N2">
        <v>1</v>
      </c>
    </row>
    <row r="3" spans="1:14" ht="16.5" thickBot="1" x14ac:dyDescent="0.3">
      <c r="A3" s="144"/>
      <c r="B3" s="36" t="s">
        <v>93</v>
      </c>
      <c r="C3" s="62">
        <v>30982728.178883255</v>
      </c>
      <c r="D3" s="4">
        <f>IFERROR(+VLOOKUP(B3,COMISIONES!A:E,5,FALSE),"0")*1</f>
        <v>44411092.294184931</v>
      </c>
      <c r="E3" s="4">
        <v>42624933.221534021</v>
      </c>
      <c r="F3" s="59">
        <f t="shared" si="0"/>
        <v>1786159.0726509094</v>
      </c>
      <c r="G3" s="5">
        <f t="shared" si="1"/>
        <v>1.433414515267057</v>
      </c>
      <c r="H3" s="4">
        <f t="shared" ref="H3:H38" si="4">+D3/$N$3*$N$4</f>
        <v>46187535.985952333</v>
      </c>
      <c r="I3" s="5">
        <f t="shared" si="2"/>
        <v>1.4907510958777395</v>
      </c>
      <c r="J3" s="4">
        <f t="shared" ref="J3:J38" si="5">+D3/$N$3</f>
        <v>1776443.6917673973</v>
      </c>
      <c r="K3" s="4">
        <f t="shared" si="3"/>
        <v>-13428364.115301676</v>
      </c>
      <c r="L3" s="63" cm="1">
        <f t="array" ref="L3">+_xlfn.IFS(I3&gt;114%,H3*0.02,I3&gt;109%,H3*0.015,I3&gt;104%,H3*0.0125,I3&gt;99%,H3*0.01,I3&lt;99%,H3*0)</f>
        <v>923750.71971904673</v>
      </c>
      <c r="M3" s="53" t="s">
        <v>40</v>
      </c>
      <c r="N3">
        <f>N4-N2</f>
        <v>25</v>
      </c>
    </row>
    <row r="4" spans="1:14" ht="16.5" thickBot="1" x14ac:dyDescent="0.3">
      <c r="A4" s="144"/>
      <c r="B4" s="36" t="s">
        <v>91</v>
      </c>
      <c r="C4" s="62">
        <v>28390031.260148253</v>
      </c>
      <c r="D4" s="4">
        <f>IFERROR(+VLOOKUP(B4,COMISIONES!A:E,5,FALSE),"0")*1</f>
        <v>32436772.657611098</v>
      </c>
      <c r="E4" s="4">
        <v>31287279.990703296</v>
      </c>
      <c r="F4" s="59">
        <f t="shared" si="0"/>
        <v>1149492.6669078022</v>
      </c>
      <c r="G4" s="5">
        <f t="shared" si="1"/>
        <v>1.1425409278482672</v>
      </c>
      <c r="H4" s="4">
        <f t="shared" si="4"/>
        <v>33734243.563915543</v>
      </c>
      <c r="I4" s="5">
        <f t="shared" si="2"/>
        <v>1.1882425649621979</v>
      </c>
      <c r="J4" s="4">
        <f t="shared" si="5"/>
        <v>1297470.906304444</v>
      </c>
      <c r="K4" s="4">
        <f t="shared" si="3"/>
        <v>-4046741.3974628448</v>
      </c>
      <c r="L4" s="63" cm="1">
        <f t="array" ref="L4">+_xlfn.IFS(I4&gt;114%,H4*0.02,I4&gt;109%,H4*0.015,I4&gt;104%,H4*0.0125,I4&gt;99%,H4*0.01,I4&lt;99%,H4*0)</f>
        <v>674684.87127831089</v>
      </c>
      <c r="M4" s="53" t="s">
        <v>47</v>
      </c>
      <c r="N4">
        <v>26</v>
      </c>
    </row>
    <row r="5" spans="1:14" ht="16.5" thickBot="1" x14ac:dyDescent="0.3">
      <c r="A5" s="144"/>
      <c r="B5" s="36" t="s">
        <v>89</v>
      </c>
      <c r="C5" s="62">
        <v>28390031.260148253</v>
      </c>
      <c r="D5" s="4">
        <f>IFERROR(+VLOOKUP(B5,COMISIONES!A:E,5,FALSE),"0")*1</f>
        <v>36453782.541685887</v>
      </c>
      <c r="E5" s="4">
        <v>35408543.072071083</v>
      </c>
      <c r="F5" s="59">
        <f t="shared" si="0"/>
        <v>1045239.4696148038</v>
      </c>
      <c r="G5" s="5">
        <f t="shared" si="1"/>
        <v>1.284034603824368</v>
      </c>
      <c r="H5" s="4">
        <f t="shared" si="4"/>
        <v>37911933.843353324</v>
      </c>
      <c r="I5" s="5">
        <f t="shared" si="2"/>
        <v>1.3353959879773427</v>
      </c>
      <c r="J5" s="4">
        <f t="shared" si="5"/>
        <v>1458151.3016674356</v>
      </c>
      <c r="K5" s="4">
        <f t="shared" si="3"/>
        <v>-8063751.2815376334</v>
      </c>
      <c r="L5" s="63" cm="1">
        <f t="array" ref="L5">+_xlfn.IFS(I5&gt;114%,H5*0.02,I5&gt;109%,H5*0.015,I5&gt;104%,H5*0.0125,I5&gt;99%,H5*0.01,I5&lt;99%,H5*0)</f>
        <v>758238.67686706653</v>
      </c>
    </row>
    <row r="6" spans="1:14" ht="16.5" thickBot="1" x14ac:dyDescent="0.3">
      <c r="A6" s="144"/>
      <c r="B6" s="36" t="s">
        <v>209</v>
      </c>
      <c r="C6" s="62">
        <v>23528724.537520126</v>
      </c>
      <c r="D6" s="4">
        <f>IFERROR(+VLOOKUP(B6,COMISIONES!A:E,5,FALSE),"0")*1</f>
        <v>27932712.401447035</v>
      </c>
      <c r="E6" s="4">
        <v>26703377.580692057</v>
      </c>
      <c r="F6" s="59">
        <f t="shared" si="0"/>
        <v>1229334.8207549788</v>
      </c>
      <c r="G6" s="5">
        <f t="shared" si="1"/>
        <v>1.1871749510647753</v>
      </c>
      <c r="H6" s="4">
        <f t="shared" si="4"/>
        <v>29050020.897504918</v>
      </c>
      <c r="I6" s="5">
        <f t="shared" si="2"/>
        <v>1.2346619491073665</v>
      </c>
      <c r="J6" s="4">
        <f t="shared" si="5"/>
        <v>1117308.4960578815</v>
      </c>
      <c r="K6" s="4">
        <f t="shared" si="3"/>
        <v>-4403987.8639269099</v>
      </c>
      <c r="L6" s="63" cm="1">
        <f t="array" ref="L6">+_xlfn.IFS(I6&gt;114%,H6*0.02,I6&gt;109%,H6*0.015,I6&gt;104%,H6*0.0125,I6&gt;99%,H6*0.01,I6&lt;99%,H6*0)</f>
        <v>581000.4179500984</v>
      </c>
    </row>
    <row r="7" spans="1:14" ht="16.5" thickBot="1" x14ac:dyDescent="0.3">
      <c r="A7" s="144"/>
      <c r="B7" s="36" t="s">
        <v>271</v>
      </c>
      <c r="C7" s="62">
        <v>27741857.030464504</v>
      </c>
      <c r="D7" s="4">
        <f>IFERROR(+VLOOKUP(B7,COMISIONES!A:E,5,FALSE),"0")*1</f>
        <v>21361654.623240348</v>
      </c>
      <c r="E7" s="4">
        <v>20652698.878225148</v>
      </c>
      <c r="F7" s="59">
        <f t="shared" si="0"/>
        <v>708955.74501520023</v>
      </c>
      <c r="G7" s="5">
        <f t="shared" si="1"/>
        <v>0.77001530934941431</v>
      </c>
      <c r="H7" s="4">
        <f t="shared" si="4"/>
        <v>22216120.808169961</v>
      </c>
      <c r="I7" s="5">
        <f t="shared" si="2"/>
        <v>0.80081592172339078</v>
      </c>
      <c r="J7" s="4">
        <f t="shared" si="5"/>
        <v>854466.18492961396</v>
      </c>
      <c r="K7" s="4">
        <f t="shared" si="3"/>
        <v>6380202.407224156</v>
      </c>
      <c r="L7" s="63" cm="1">
        <f t="array" ref="L7">+_xlfn.IFS(I7&gt;114%,H7*0.02,I7&gt;109%,H7*0.015,I7&gt;104%,H7*0.0125,I7&gt;99%,H7*0.01,I7&lt;99%,H7*0)</f>
        <v>0</v>
      </c>
    </row>
    <row r="8" spans="1:14" ht="16.5" thickBot="1" x14ac:dyDescent="0.3">
      <c r="A8" s="144"/>
      <c r="B8" s="36" t="s">
        <v>84</v>
      </c>
      <c r="C8" s="62">
        <v>35831071.416917704</v>
      </c>
      <c r="D8" s="4">
        <f>IFERROR(+VLOOKUP(B8,COMISIONES!A:E,5,FALSE),"0")*1</f>
        <v>40968098.45140481</v>
      </c>
      <c r="E8" s="4">
        <v>39865074.365399629</v>
      </c>
      <c r="F8" s="59">
        <f t="shared" si="0"/>
        <v>1103024.0860051811</v>
      </c>
      <c r="G8" s="5">
        <f t="shared" si="1"/>
        <v>1.1433679438360767</v>
      </c>
      <c r="H8" s="4">
        <f t="shared" si="4"/>
        <v>42606822.389461003</v>
      </c>
      <c r="I8" s="5">
        <f t="shared" si="2"/>
        <v>1.1891026615895197</v>
      </c>
      <c r="J8" s="4">
        <f t="shared" si="5"/>
        <v>1638723.9380561924</v>
      </c>
      <c r="K8" s="4">
        <f t="shared" si="3"/>
        <v>-5137027.0344871059</v>
      </c>
      <c r="L8" s="63" cm="1">
        <f t="array" ref="L8">+_xlfn.IFS(I8&gt;114%,H8*0.02,I8&gt;109%,H8*0.015,I8&gt;104%,H8*0.0125,I8&gt;99%,H8*0.01,I8&lt;99%,H8*0)</f>
        <v>852136.44778922014</v>
      </c>
    </row>
    <row r="9" spans="1:14" ht="15.75" x14ac:dyDescent="0.25">
      <c r="A9" s="144"/>
      <c r="B9" s="36" t="s">
        <v>83</v>
      </c>
      <c r="C9" s="62">
        <v>35831071.416917704</v>
      </c>
      <c r="D9" s="4">
        <f>IFERROR(+VLOOKUP(B9,COMISIONES!A:E,5,FALSE),"0")*1</f>
        <v>43105817.797800437</v>
      </c>
      <c r="E9" s="4">
        <v>38784686.962473266</v>
      </c>
      <c r="F9" s="59">
        <f t="shared" si="0"/>
        <v>4321130.8353271708</v>
      </c>
      <c r="G9" s="5">
        <f t="shared" si="1"/>
        <v>1.2030289939208445</v>
      </c>
      <c r="H9" s="4">
        <f t="shared" si="4"/>
        <v>44830050.509712458</v>
      </c>
      <c r="I9" s="5">
        <f t="shared" si="2"/>
        <v>1.2511501536776786</v>
      </c>
      <c r="J9" s="4">
        <f t="shared" si="5"/>
        <v>1724232.7119120175</v>
      </c>
      <c r="K9" s="4">
        <f t="shared" si="3"/>
        <v>-7274746.3808827326</v>
      </c>
      <c r="L9" s="63" cm="1">
        <f t="array" ref="L9">+_xlfn.IFS(I9&gt;114%,H9*0.02,I9&gt;109%,H9*0.015,I9&gt;104%,H9*0.0125,I9&gt;99%,H9*0.01,I9&lt;99%,H9*0)</f>
        <v>896601.01019424922</v>
      </c>
    </row>
    <row r="10" spans="1:14" ht="16.5" thickBot="1" x14ac:dyDescent="0.3">
      <c r="A10" s="145"/>
      <c r="B10" s="3"/>
      <c r="C10" s="64">
        <v>242974591.73925051</v>
      </c>
      <c r="D10" s="64">
        <f>+SUM(D2:D9)</f>
        <v>293506371.18174475</v>
      </c>
      <c r="E10" s="64">
        <v>279837020.23697418</v>
      </c>
      <c r="F10" s="66">
        <f>+D10-E10</f>
        <v>13669350.944770575</v>
      </c>
      <c r="G10" s="65">
        <f t="shared" si="1"/>
        <v>1.2079714552899534</v>
      </c>
      <c r="H10" s="64">
        <f t="shared" si="4"/>
        <v>305246626.02901453</v>
      </c>
      <c r="I10" s="65">
        <f t="shared" si="2"/>
        <v>1.2562903135015515</v>
      </c>
      <c r="J10" s="64">
        <f t="shared" si="5"/>
        <v>11740254.84726979</v>
      </c>
      <c r="K10" s="66">
        <f t="shared" si="3"/>
        <v>-50531779.442494243</v>
      </c>
      <c r="L10" s="67"/>
    </row>
    <row r="11" spans="1:14" ht="16.5" thickBot="1" x14ac:dyDescent="0.3">
      <c r="A11" s="143" t="s">
        <v>207</v>
      </c>
      <c r="B11" s="57" t="s">
        <v>96</v>
      </c>
      <c r="C11" s="58">
        <v>96971948.480137512</v>
      </c>
      <c r="D11" s="59">
        <f>IFERROR(+VLOOKUP(B11,COMISIONES!A:E,5,FALSE),"0")*1</f>
        <v>116705294.416097</v>
      </c>
      <c r="E11" s="59">
        <v>115315739.44197541</v>
      </c>
      <c r="F11" s="59">
        <f t="shared" ref="F11:F14" si="6">+D11-E11</f>
        <v>1389554.9741215855</v>
      </c>
      <c r="G11" s="60">
        <f t="shared" si="1"/>
        <v>1.203495405065532</v>
      </c>
      <c r="H11" s="59">
        <f t="shared" si="4"/>
        <v>121373506.19274087</v>
      </c>
      <c r="I11" s="60">
        <f t="shared" si="2"/>
        <v>1.2516352212681532</v>
      </c>
      <c r="J11" s="59">
        <f t="shared" si="5"/>
        <v>4668211.7766438797</v>
      </c>
      <c r="K11" s="59">
        <f t="shared" si="3"/>
        <v>-19733345.935959488</v>
      </c>
      <c r="L11" s="61" cm="1">
        <f t="array" ref="L11">+_xlfn.IFS(I11&gt;114%,H11*0.0125,I11&gt;109%,H11*0.01,I11&gt;104%,H11*0.0075,I11&gt;99%,H11*0.005,I11&lt;99%,H11*0)</f>
        <v>1517168.8274092609</v>
      </c>
    </row>
    <row r="12" spans="1:14" ht="16.5" thickBot="1" x14ac:dyDescent="0.3">
      <c r="A12" s="144"/>
      <c r="B12" s="36" t="s">
        <v>90</v>
      </c>
      <c r="C12" s="62">
        <v>128363916.07462499</v>
      </c>
      <c r="D12" s="4">
        <f>IFERROR(+VLOOKUP(B12,COMISIONES!A:E,5,FALSE),"0")*1</f>
        <v>128019920.63498563</v>
      </c>
      <c r="E12" s="4">
        <v>120618127.78071587</v>
      </c>
      <c r="F12" s="59">
        <f t="shared" si="6"/>
        <v>7401792.8542697579</v>
      </c>
      <c r="G12" s="5">
        <f t="shared" si="1"/>
        <v>0.99732015468085766</v>
      </c>
      <c r="H12" s="4">
        <f t="shared" si="4"/>
        <v>133140717.46038505</v>
      </c>
      <c r="I12" s="5">
        <f t="shared" si="2"/>
        <v>1.037212960868092</v>
      </c>
      <c r="J12" s="4">
        <f t="shared" si="5"/>
        <v>5120796.8253994249</v>
      </c>
      <c r="K12" s="4">
        <f t="shared" si="3"/>
        <v>343995.43963935971</v>
      </c>
      <c r="L12" s="63" cm="1">
        <f t="array" ref="L12">+_xlfn.IFS(I12&gt;114%,H12*0.0125,I12&gt;109%,H12*0.01,I12&gt;104%,H12*0.0075,I12&gt;99%,H12*0.005,I12&lt;99%,H12*0)</f>
        <v>665703.58730192529</v>
      </c>
      <c r="M12" s="53" t="s">
        <v>61</v>
      </c>
      <c r="N12" s="25">
        <v>0.02</v>
      </c>
    </row>
    <row r="13" spans="1:14" ht="16.5" thickBot="1" x14ac:dyDescent="0.3">
      <c r="A13" s="144"/>
      <c r="B13" s="36" t="s">
        <v>272</v>
      </c>
      <c r="C13" s="62">
        <v>42449057.394974999</v>
      </c>
      <c r="D13" s="4">
        <f>IFERROR(+VLOOKUP(B13,COMISIONES!A:E,5,FALSE),"0")*1</f>
        <v>36536665.120000735</v>
      </c>
      <c r="E13" s="4">
        <v>35305831.526700735</v>
      </c>
      <c r="F13" s="59">
        <f t="shared" si="6"/>
        <v>1230833.5932999998</v>
      </c>
      <c r="G13" s="5">
        <f t="shared" si="1"/>
        <v>0.86071793726863399</v>
      </c>
      <c r="H13" s="4">
        <f t="shared" si="4"/>
        <v>37998131.724800766</v>
      </c>
      <c r="I13" s="5">
        <f t="shared" si="2"/>
        <v>0.89514665475937938</v>
      </c>
      <c r="J13" s="4">
        <f t="shared" si="5"/>
        <v>1461466.6048000294</v>
      </c>
      <c r="K13" s="4">
        <f t="shared" si="3"/>
        <v>5912392.2749742642</v>
      </c>
      <c r="L13" s="63" cm="1">
        <f t="array" ref="L13">+_xlfn.IFS(I13&gt;109%,H13*0.015,I13&gt;104%,H13*0.0125,I13&gt;99%,H13*0.01,I13&lt;99%,H13*0)</f>
        <v>0</v>
      </c>
      <c r="N13" s="28"/>
    </row>
    <row r="14" spans="1:14" ht="15.75" x14ac:dyDescent="0.25">
      <c r="A14" s="144"/>
      <c r="B14" s="36" t="s">
        <v>107</v>
      </c>
      <c r="C14" s="62">
        <v>42449057.394974999</v>
      </c>
      <c r="D14" s="4">
        <f>IFERROR(+VLOOKUP(B14,COMISIONES!A:E,5,FALSE),"0")*1</f>
        <v>42911826.192505755</v>
      </c>
      <c r="E14" s="4">
        <v>40155858.087811038</v>
      </c>
      <c r="F14" s="59">
        <f t="shared" si="6"/>
        <v>2755968.1046947166</v>
      </c>
      <c r="G14" s="5">
        <f t="shared" si="1"/>
        <v>1.0109017449604321</v>
      </c>
      <c r="H14" s="4">
        <f t="shared" si="4"/>
        <v>44628299.240205988</v>
      </c>
      <c r="I14" s="5">
        <f t="shared" si="2"/>
        <v>1.0513378147588492</v>
      </c>
      <c r="J14" s="4">
        <f t="shared" si="5"/>
        <v>1716473.0477002303</v>
      </c>
      <c r="K14" s="4">
        <f t="shared" si="3"/>
        <v>-462768.7975307554</v>
      </c>
      <c r="L14" s="63" cm="1">
        <f t="array" ref="L14">+_xlfn.IFS(I14&gt;109%,H14*0.015,I14&gt;104%,H14*0.0125,I14&gt;99%,H14*0.01,I14&lt;99%,H14*0)</f>
        <v>557853.74050257483</v>
      </c>
    </row>
    <row r="15" spans="1:14" ht="16.5" thickBot="1" x14ac:dyDescent="0.3">
      <c r="A15" s="145"/>
      <c r="B15" s="3"/>
      <c r="C15" s="64">
        <v>341864881.75327951</v>
      </c>
      <c r="D15" s="64">
        <f>+SUM(D11:D14)</f>
        <v>324173706.36358911</v>
      </c>
      <c r="E15" s="64">
        <v>311395556.83720309</v>
      </c>
      <c r="F15" s="66">
        <f>+D15-E15</f>
        <v>12778149.526386023</v>
      </c>
      <c r="G15" s="65">
        <f t="shared" si="1"/>
        <v>0.94825097184899521</v>
      </c>
      <c r="H15" s="64">
        <f t="shared" si="4"/>
        <v>337140654.61813271</v>
      </c>
      <c r="I15" s="65">
        <f t="shared" si="2"/>
        <v>0.98618101072295505</v>
      </c>
      <c r="J15" s="64">
        <f t="shared" si="5"/>
        <v>12966948.254543565</v>
      </c>
      <c r="K15" s="66">
        <f t="shared" si="3"/>
        <v>17691175.389690399</v>
      </c>
      <c r="L15" s="67"/>
    </row>
    <row r="16" spans="1:14" ht="16.5" thickBot="1" x14ac:dyDescent="0.3">
      <c r="A16" s="146" t="s">
        <v>208</v>
      </c>
      <c r="B16" s="68" t="s">
        <v>81</v>
      </c>
      <c r="C16" s="69">
        <v>28430000</v>
      </c>
      <c r="D16" s="59">
        <f>IFERROR(+VLOOKUP(B16,COMISIONES!A:E,5,FALSE),"0")*1</f>
        <v>16500079.026056459</v>
      </c>
      <c r="E16" s="59">
        <v>16315221.463765487</v>
      </c>
      <c r="F16" s="59">
        <f t="shared" ref="F16:F46" si="7">+D16-E16</f>
        <v>184857.5622909721</v>
      </c>
      <c r="G16" s="60">
        <f t="shared" si="1"/>
        <v>0.58037562525699826</v>
      </c>
      <c r="H16" s="59">
        <f t="shared" si="4"/>
        <v>17160082.187098719</v>
      </c>
      <c r="I16" s="60">
        <f t="shared" si="2"/>
        <v>0.60359065026727821</v>
      </c>
      <c r="J16" s="59">
        <f t="shared" si="5"/>
        <v>660003.16104225838</v>
      </c>
      <c r="K16" s="59">
        <f t="shared" si="3"/>
        <v>11929920.973943541</v>
      </c>
      <c r="L16" s="61" cm="1">
        <f t="array" ref="L16">+_xlfn.IFS(I16&gt;114%,H16*0.02,I16&gt;109%,H16*0.015,I16&gt;104%,H16*0.0125,I16&gt;99%,H16*0.01,I16&lt;99%,H16*0)</f>
        <v>0</v>
      </c>
    </row>
    <row r="17" spans="1:13" ht="16.5" thickBot="1" x14ac:dyDescent="0.3">
      <c r="A17" s="147"/>
      <c r="B17" s="19" t="s">
        <v>82</v>
      </c>
      <c r="C17" s="70">
        <v>25000000</v>
      </c>
      <c r="D17" s="4">
        <f>IFERROR(+VLOOKUP(B17,COMISIONES!A:E,5,FALSE),"0")*1</f>
        <v>28062022.667462606</v>
      </c>
      <c r="E17" s="4">
        <v>27673956.484713249</v>
      </c>
      <c r="F17" s="59">
        <f t="shared" si="7"/>
        <v>388066.18274935707</v>
      </c>
      <c r="G17" s="5">
        <f t="shared" si="1"/>
        <v>1.1224809066985042</v>
      </c>
      <c r="H17" s="4">
        <f t="shared" si="4"/>
        <v>29184503.574161109</v>
      </c>
      <c r="I17" s="5">
        <f t="shared" si="2"/>
        <v>1.1673801429664443</v>
      </c>
      <c r="J17" s="4">
        <f t="shared" si="5"/>
        <v>1122480.9066985042</v>
      </c>
      <c r="K17" s="4">
        <f t="shared" si="3"/>
        <v>-3062022.667462606</v>
      </c>
      <c r="L17" s="63" cm="1">
        <f t="array" ref="L17">+_xlfn.IFS(I17&gt;114%,H17*0.02,I17&gt;109%,H17*0.015,I17&gt;104%,H17*0.0125,I17&gt;99%,H17*0.01,I17&lt;99%,H17*0)</f>
        <v>583690.07148322219</v>
      </c>
    </row>
    <row r="18" spans="1:13" ht="16.5" thickBot="1" x14ac:dyDescent="0.3">
      <c r="A18" s="147"/>
      <c r="B18" s="19" t="s">
        <v>92</v>
      </c>
      <c r="C18" s="70">
        <v>25500000</v>
      </c>
      <c r="D18" s="4">
        <f>IFERROR(+VLOOKUP(B18,COMISIONES!A:E,5,FALSE),"0")*1</f>
        <v>24837785.161016472</v>
      </c>
      <c r="E18" s="4">
        <v>24022213.672002986</v>
      </c>
      <c r="F18" s="59">
        <f t="shared" si="7"/>
        <v>815571.48901348561</v>
      </c>
      <c r="G18" s="5">
        <f t="shared" si="1"/>
        <v>0.97403079062809694</v>
      </c>
      <c r="H18" s="4">
        <f t="shared" si="4"/>
        <v>25831296.567457128</v>
      </c>
      <c r="I18" s="5">
        <f t="shared" si="2"/>
        <v>1.0129920222532207</v>
      </c>
      <c r="J18" s="4">
        <f t="shared" si="5"/>
        <v>993511.40644065884</v>
      </c>
      <c r="K18" s="4">
        <f t="shared" si="3"/>
        <v>662214.83898352832</v>
      </c>
      <c r="L18" s="63" cm="1">
        <f t="array" ref="L18">+_xlfn.IFS(I18&gt;114%,H18*0.02,I18&gt;109%,H18*0.015,I18&gt;104%,H18*0.0125,I18&gt;99%,H18*0.01,I18&lt;99%,H18*0)</f>
        <v>258312.96567457129</v>
      </c>
    </row>
    <row r="19" spans="1:13" ht="16.5" thickBot="1" x14ac:dyDescent="0.3">
      <c r="A19" s="147"/>
      <c r="B19" s="19" t="s">
        <v>95</v>
      </c>
      <c r="C19" s="70">
        <v>35200000</v>
      </c>
      <c r="D19" s="4">
        <f>IFERROR(+VLOOKUP(B19,COMISIONES!A:E,5,FALSE),"0")*1</f>
        <v>41152966.399721123</v>
      </c>
      <c r="E19" s="4">
        <v>39840830.609024577</v>
      </c>
      <c r="F19" s="59">
        <f t="shared" si="7"/>
        <v>1312135.7906965464</v>
      </c>
      <c r="G19" s="5">
        <f t="shared" si="1"/>
        <v>1.169118363628441</v>
      </c>
      <c r="H19" s="4">
        <f t="shared" si="4"/>
        <v>42799085.055709973</v>
      </c>
      <c r="I19" s="5">
        <f t="shared" si="2"/>
        <v>1.2158830981735789</v>
      </c>
      <c r="J19" s="4">
        <f t="shared" si="5"/>
        <v>1646118.655988845</v>
      </c>
      <c r="K19" s="4">
        <f t="shared" si="3"/>
        <v>-5952966.3997211233</v>
      </c>
      <c r="L19" s="63" cm="1">
        <f t="array" ref="L19">+_xlfn.IFS(I19&gt;114%,H19*0.02,I19&gt;109%,H19*0.015,I19&gt;104%,H19*0.0125,I19&gt;99%,H19*0.01,I19&lt;99%,H19*0)</f>
        <v>855981.70111419947</v>
      </c>
    </row>
    <row r="20" spans="1:13" ht="16.5" thickBot="1" x14ac:dyDescent="0.3">
      <c r="A20" s="147"/>
      <c r="B20" s="19" t="s">
        <v>97</v>
      </c>
      <c r="C20" s="70">
        <v>26100000</v>
      </c>
      <c r="D20" s="4">
        <f>IFERROR(+VLOOKUP(B20,COMISIONES!A:E,5,FALSE),"0")*1</f>
        <v>19670045.833614059</v>
      </c>
      <c r="E20" s="4">
        <v>18947943.449901029</v>
      </c>
      <c r="F20" s="59">
        <f t="shared" si="7"/>
        <v>722102.38371302933</v>
      </c>
      <c r="G20" s="5">
        <f t="shared" si="1"/>
        <v>0.753641602820462</v>
      </c>
      <c r="H20" s="4">
        <f t="shared" si="4"/>
        <v>20456847.666958619</v>
      </c>
      <c r="I20" s="5">
        <f t="shared" si="2"/>
        <v>0.78378726693328038</v>
      </c>
      <c r="J20" s="4">
        <f t="shared" si="5"/>
        <v>786801.83334456233</v>
      </c>
      <c r="K20" s="4">
        <f t="shared" si="3"/>
        <v>6429954.1663859412</v>
      </c>
      <c r="L20" s="63" cm="1">
        <f t="array" ref="L20">+_xlfn.IFS(I20&gt;114%,H20*0.02,I20&gt;109%,H20*0.015,I20&gt;104%,H20*0.0125,I20&gt;99%,H20*0.01,I20&lt;99%,H20*0)</f>
        <v>0</v>
      </c>
    </row>
    <row r="21" spans="1:13" ht="16.5" thickBot="1" x14ac:dyDescent="0.3">
      <c r="A21" s="147"/>
      <c r="B21" s="19" t="s">
        <v>219</v>
      </c>
      <c r="C21" s="70">
        <v>32600000</v>
      </c>
      <c r="D21" s="4">
        <f>IFERROR(+VLOOKUP(B21,COMISIONES!A:E,5,FALSE),"0")*1</f>
        <v>29978995.485085707</v>
      </c>
      <c r="E21" s="4">
        <v>28596677.595217172</v>
      </c>
      <c r="F21" s="59">
        <f t="shared" si="7"/>
        <v>1382317.8898685351</v>
      </c>
      <c r="G21" s="5">
        <f t="shared" si="1"/>
        <v>0.91960108849956157</v>
      </c>
      <c r="H21" s="4">
        <f t="shared" si="4"/>
        <v>31178155.304489136</v>
      </c>
      <c r="I21" s="5">
        <f t="shared" si="2"/>
        <v>0.95638513203954401</v>
      </c>
      <c r="J21" s="4">
        <f t="shared" si="5"/>
        <v>1199159.8194034284</v>
      </c>
      <c r="K21" s="4">
        <f t="shared" si="3"/>
        <v>2621004.5149142928</v>
      </c>
      <c r="L21" s="63" cm="1">
        <f t="array" ref="L21">+_xlfn.IFS(I21&gt;114%,H21*0.02,I21&gt;109%,H21*0.015,I21&gt;104%,H21*0.0125,I21&gt;99%,H21*0.01,I21&lt;99%,H21*0)</f>
        <v>0</v>
      </c>
    </row>
    <row r="22" spans="1:13" ht="16.5" thickBot="1" x14ac:dyDescent="0.3">
      <c r="A22" s="147"/>
      <c r="B22" s="19" t="s">
        <v>160</v>
      </c>
      <c r="C22" s="70">
        <v>28200000</v>
      </c>
      <c r="D22" s="4">
        <f>IFERROR(+VLOOKUP(B22,COMISIONES!A:E,5,FALSE),"0")*1</f>
        <v>26222331.740455862</v>
      </c>
      <c r="E22" s="4">
        <v>25014414.473665562</v>
      </c>
      <c r="F22" s="59">
        <f t="shared" si="7"/>
        <v>1207917.2667903006</v>
      </c>
      <c r="G22" s="5">
        <f t="shared" si="1"/>
        <v>0.92986991987432133</v>
      </c>
      <c r="H22" s="4">
        <f t="shared" si="4"/>
        <v>27271225.010074101</v>
      </c>
      <c r="I22" s="5">
        <f t="shared" si="2"/>
        <v>0.96706471666929439</v>
      </c>
      <c r="J22" s="4">
        <f t="shared" si="5"/>
        <v>1048893.2696182346</v>
      </c>
      <c r="K22" s="4">
        <f t="shared" si="3"/>
        <v>1977668.2595441379</v>
      </c>
      <c r="L22" s="63" cm="1">
        <f t="array" ref="L22">+_xlfn.IFS(I22&gt;114%,H22*0.02,I22&gt;109%,H22*0.015,I22&gt;104%,H22*0.0125,I22&gt;99%,H22*0.01,I22&lt;99%,H22*0)</f>
        <v>0</v>
      </c>
    </row>
    <row r="23" spans="1:13" ht="15.75" x14ac:dyDescent="0.25">
      <c r="A23" s="147"/>
      <c r="B23" s="19" t="s">
        <v>220</v>
      </c>
      <c r="C23" s="70">
        <v>36600000</v>
      </c>
      <c r="D23" s="4">
        <f>IFERROR(+VLOOKUP(B23,COMISIONES!A:E,5,FALSE),"0")*1</f>
        <v>49130247.024129808</v>
      </c>
      <c r="E23" s="4">
        <v>46540763.092150949</v>
      </c>
      <c r="F23" s="59">
        <f t="shared" si="7"/>
        <v>2589483.931978859</v>
      </c>
      <c r="G23" s="5">
        <f t="shared" si="1"/>
        <v>1.3423564760691205</v>
      </c>
      <c r="H23" s="4">
        <f t="shared" si="4"/>
        <v>51095456.905095004</v>
      </c>
      <c r="I23" s="5">
        <f t="shared" si="2"/>
        <v>1.3960507351118854</v>
      </c>
      <c r="J23" s="4">
        <f t="shared" si="5"/>
        <v>1965209.8809651923</v>
      </c>
      <c r="K23" s="4">
        <f t="shared" si="3"/>
        <v>-12530247.024129808</v>
      </c>
      <c r="L23" s="63" cm="1">
        <f t="array" ref="L23">+_xlfn.IFS(I23&gt;114%,H23*0.02,I23&gt;109%,H23*0.015,I23&gt;104%,H23*0.0125,I23&gt;99%,H23*0.01,I23&lt;99%,H23*0)</f>
        <v>1021909.1381019001</v>
      </c>
    </row>
    <row r="24" spans="1:13" ht="16.5" thickBot="1" x14ac:dyDescent="0.3">
      <c r="A24" s="148"/>
      <c r="B24" s="71"/>
      <c r="C24" s="66">
        <v>237630000</v>
      </c>
      <c r="D24" s="66">
        <f>+SUM(D16:D23)</f>
        <v>235554473.33754209</v>
      </c>
      <c r="E24" s="66">
        <v>226952020.84044105</v>
      </c>
      <c r="F24" s="66">
        <f>+D24-E24</f>
        <v>8602452.4971010387</v>
      </c>
      <c r="G24" s="65">
        <f t="shared" si="1"/>
        <v>0.99126572123697376</v>
      </c>
      <c r="H24" s="64">
        <f t="shared" si="4"/>
        <v>244976652.27104378</v>
      </c>
      <c r="I24" s="65">
        <f t="shared" si="2"/>
        <v>1.0309163500864529</v>
      </c>
      <c r="J24" s="64">
        <f t="shared" si="5"/>
        <v>9422178.9335016832</v>
      </c>
      <c r="K24" s="66">
        <f t="shared" si="3"/>
        <v>2075526.6624579132</v>
      </c>
      <c r="L24" s="67"/>
    </row>
    <row r="25" spans="1:13" ht="16.5" thickBot="1" x14ac:dyDescent="0.3">
      <c r="A25" s="143" t="s">
        <v>216</v>
      </c>
      <c r="B25" s="57" t="s">
        <v>211</v>
      </c>
      <c r="C25" s="72">
        <v>84027142.5</v>
      </c>
      <c r="D25" s="59">
        <f>IFERROR(+VLOOKUP(B25,COMISIONES!A:E,5,FALSE),"0")*1</f>
        <v>76952384.208156615</v>
      </c>
      <c r="E25" s="59">
        <v>73176475.517774776</v>
      </c>
      <c r="F25" s="59">
        <f t="shared" si="7"/>
        <v>3775908.6903818399</v>
      </c>
      <c r="G25" s="60">
        <f t="shared" si="1"/>
        <v>0.91580389286898123</v>
      </c>
      <c r="H25" s="59">
        <f t="shared" si="4"/>
        <v>80030479.576482877</v>
      </c>
      <c r="I25" s="60">
        <f t="shared" si="2"/>
        <v>0.95243604858374042</v>
      </c>
      <c r="J25" s="59">
        <f t="shared" si="5"/>
        <v>3078095.3683262644</v>
      </c>
      <c r="K25" s="59">
        <f t="shared" si="3"/>
        <v>7074758.2918433845</v>
      </c>
      <c r="L25" s="61" cm="1">
        <f t="array" ref="L25">+_xlfn.IFS(I25&gt;114%,H25*0.0125,I25&gt;109%,H25*0.01,I25&gt;104%,H25*0.0075,I25&gt;99%,H25*0.005,I25&lt;99%,H25*0)</f>
        <v>0</v>
      </c>
    </row>
    <row r="26" spans="1:13" ht="16.5" thickBot="1" x14ac:dyDescent="0.3">
      <c r="A26" s="144"/>
      <c r="B26" s="36" t="s">
        <v>213</v>
      </c>
      <c r="C26" s="73">
        <v>21524999.999999996</v>
      </c>
      <c r="D26" s="4">
        <f>IFERROR(+VLOOKUP(B26,COMISIONES!A:E,5,FALSE),"0")*1</f>
        <v>14602289.639557641</v>
      </c>
      <c r="E26" s="4">
        <v>14200228.355528397</v>
      </c>
      <c r="F26" s="59">
        <f t="shared" si="7"/>
        <v>402061.28402924351</v>
      </c>
      <c r="G26" s="5">
        <f t="shared" si="1"/>
        <v>0.67838743970070359</v>
      </c>
      <c r="H26" s="4">
        <f t="shared" si="4"/>
        <v>15186381.225139948</v>
      </c>
      <c r="I26" s="5">
        <f t="shared" si="2"/>
        <v>0.70552293728873172</v>
      </c>
      <c r="J26" s="4">
        <f t="shared" si="5"/>
        <v>584091.58558230568</v>
      </c>
      <c r="K26" s="4">
        <f t="shared" si="3"/>
        <v>6922710.3604423553</v>
      </c>
      <c r="L26" s="63" cm="1">
        <f t="array" ref="L26">+_xlfn.IFS(I26&gt;114%,H26*0.02,I26&gt;109%,H26*0.015,I26&gt;104%,H26*0.0125,I26&gt;99%,H26*0.01,I26&lt;99%,H26*0)</f>
        <v>0</v>
      </c>
    </row>
    <row r="27" spans="1:13" ht="16.5" thickBot="1" x14ac:dyDescent="0.3">
      <c r="A27" s="144"/>
      <c r="B27" s="36" t="s">
        <v>86</v>
      </c>
      <c r="C27" s="73">
        <v>26383192.499999996</v>
      </c>
      <c r="D27" s="4">
        <f>IFERROR(+VLOOKUP(B27,COMISIONES!A:E,5,FALSE),"0")*1</f>
        <v>17262633.614023104</v>
      </c>
      <c r="E27" s="4">
        <v>16516183.077457871</v>
      </c>
      <c r="F27" s="59">
        <f t="shared" si="7"/>
        <v>746450.53656523302</v>
      </c>
      <c r="G27" s="5">
        <f t="shared" si="1"/>
        <v>0.6543041981755281</v>
      </c>
      <c r="H27" s="4">
        <f t="shared" si="4"/>
        <v>17953138.958584029</v>
      </c>
      <c r="I27" s="5">
        <f t="shared" si="2"/>
        <v>0.68047636610254925</v>
      </c>
      <c r="J27" s="4">
        <f t="shared" si="5"/>
        <v>690505.34456092422</v>
      </c>
      <c r="K27" s="4">
        <f t="shared" si="3"/>
        <v>9120558.885976892</v>
      </c>
      <c r="L27" s="63" cm="1">
        <f t="array" ref="L27">+_xlfn.IFS(I27&gt;114%,H27*0.02,I27&gt;109%,H27*0.015,I27&gt;104%,H27*0.0125,I27&gt;99%,H27*0.01,I27&lt;99%,H27*0)</f>
        <v>0</v>
      </c>
      <c r="M27" s="27"/>
    </row>
    <row r="28" spans="1:13" ht="16.5" thickBot="1" x14ac:dyDescent="0.3">
      <c r="A28" s="144"/>
      <c r="B28" s="36" t="s">
        <v>212</v>
      </c>
      <c r="C28" s="73">
        <v>39189035.239928812</v>
      </c>
      <c r="D28" s="4">
        <f>IFERROR(+VLOOKUP(B28,COMISIONES!A:E,5,FALSE),"0")*1</f>
        <v>24211066.525152564</v>
      </c>
      <c r="E28" s="4">
        <v>22820796.577985674</v>
      </c>
      <c r="F28" s="59">
        <f t="shared" si="7"/>
        <v>1390269.9471668899</v>
      </c>
      <c r="G28" s="5">
        <f t="shared" si="1"/>
        <v>0.61780205552201151</v>
      </c>
      <c r="H28" s="4">
        <f t="shared" si="4"/>
        <v>25179509.186158668</v>
      </c>
      <c r="I28" s="5">
        <f t="shared" si="2"/>
        <v>0.64251413774289201</v>
      </c>
      <c r="J28" s="4">
        <f t="shared" si="5"/>
        <v>968442.66100610257</v>
      </c>
      <c r="K28" s="4">
        <f t="shared" si="3"/>
        <v>14977968.714776248</v>
      </c>
      <c r="L28" s="63" cm="1">
        <f t="array" ref="L28">+_xlfn.IFS(I28&gt;114%,H28*0.02,I28&gt;109%,H28*0.015,I28&gt;104%,H28*0.0125,I28&gt;99%,H28*0.01,I28&lt;99%,H28*0)</f>
        <v>0</v>
      </c>
      <c r="M28" s="26"/>
    </row>
    <row r="29" spans="1:13" ht="16.5" thickBot="1" x14ac:dyDescent="0.3">
      <c r="A29" s="144"/>
      <c r="B29" s="36" t="s">
        <v>98</v>
      </c>
      <c r="C29" s="73">
        <v>26050631.249999996</v>
      </c>
      <c r="D29" s="4">
        <f>IFERROR(+VLOOKUP(B29,COMISIONES!A:E,5,FALSE),"0")*1</f>
        <v>28617303.951834902</v>
      </c>
      <c r="E29" s="4">
        <v>28142750.371437047</v>
      </c>
      <c r="F29" s="59">
        <f t="shared" si="7"/>
        <v>474553.58039785549</v>
      </c>
      <c r="G29" s="5">
        <f t="shared" si="1"/>
        <v>1.098526315051767</v>
      </c>
      <c r="H29" s="4">
        <f t="shared" si="4"/>
        <v>29761996.109908301</v>
      </c>
      <c r="I29" s="5">
        <f t="shared" si="2"/>
        <v>1.1424673676538377</v>
      </c>
      <c r="J29" s="4">
        <f t="shared" si="5"/>
        <v>1144692.1580733962</v>
      </c>
      <c r="K29" s="4">
        <f t="shared" si="3"/>
        <v>-2566672.7018349059</v>
      </c>
      <c r="L29" s="63" cm="1">
        <f t="array" ref="L29">+_xlfn.IFS(I29&gt;114%,H29*0.02,I29&gt;109%,H29*0.015,I29&gt;104%,H29*0.0125,I29&gt;99%,H29*0.01,I29&lt;99%,H29*0)</f>
        <v>595239.92219816602</v>
      </c>
      <c r="M29" s="27"/>
    </row>
    <row r="30" spans="1:13" ht="16.5" thickBot="1" x14ac:dyDescent="0.3">
      <c r="A30" s="144"/>
      <c r="B30" s="36" t="s">
        <v>210</v>
      </c>
      <c r="C30" s="73">
        <v>25829999.999999996</v>
      </c>
      <c r="D30" s="4">
        <f>IFERROR(+VLOOKUP(B30,COMISIONES!A:E,5,FALSE),"0")*1</f>
        <v>17770782.419608682</v>
      </c>
      <c r="E30" s="4">
        <v>17349301.256086439</v>
      </c>
      <c r="F30" s="59">
        <f t="shared" si="7"/>
        <v>421481.1635222435</v>
      </c>
      <c r="G30" s="5">
        <f t="shared" si="1"/>
        <v>0.68799002785941488</v>
      </c>
      <c r="H30" s="4">
        <f t="shared" si="4"/>
        <v>18481613.716393027</v>
      </c>
      <c r="I30" s="5">
        <f t="shared" si="2"/>
        <v>0.71550962897379133</v>
      </c>
      <c r="J30" s="4">
        <f t="shared" si="5"/>
        <v>710831.29678434727</v>
      </c>
      <c r="K30" s="4">
        <f t="shared" si="3"/>
        <v>8059217.5803913139</v>
      </c>
      <c r="L30" s="63" cm="1">
        <f t="array" ref="L30">+_xlfn.IFS(I30&gt;114%,H30*0.02,I30&gt;109%,H30*0.015,I30&gt;104%,H30*0.0125,I30&gt;99%,H30*0.01,I30&lt;99%,H30*0)</f>
        <v>0</v>
      </c>
      <c r="M30" s="26"/>
    </row>
    <row r="31" spans="1:13" ht="16.5" thickBot="1" x14ac:dyDescent="0.3">
      <c r="A31" s="144"/>
      <c r="B31" s="36" t="s">
        <v>99</v>
      </c>
      <c r="C31" s="73">
        <v>27159168.749999996</v>
      </c>
      <c r="D31" s="4">
        <f>IFERROR(+VLOOKUP(B31,COMISIONES!A:E,5,FALSE),"0")*1</f>
        <v>28032289.867845565</v>
      </c>
      <c r="E31" s="4">
        <v>25882076.905883458</v>
      </c>
      <c r="F31" s="59">
        <f t="shared" si="7"/>
        <v>2150212.9619621076</v>
      </c>
      <c r="G31" s="5">
        <f t="shared" si="1"/>
        <v>1.032148300483076</v>
      </c>
      <c r="H31" s="4">
        <f t="shared" si="4"/>
        <v>29153581.462559391</v>
      </c>
      <c r="I31" s="5">
        <f t="shared" si="2"/>
        <v>1.0734342325023991</v>
      </c>
      <c r="J31" s="4">
        <f t="shared" si="5"/>
        <v>1121291.5947138227</v>
      </c>
      <c r="K31" s="4">
        <f t="shared" si="3"/>
        <v>-873121.11784556881</v>
      </c>
      <c r="L31" s="63" cm="1">
        <f t="array" ref="L31">+_xlfn.IFS(I31&gt;114%,H31*0.02,I31&gt;109%,H31*0.015,I31&gt;104%,H31*0.0125,I31&gt;99%,H31*0.01,I31&lt;99%,H31*0)</f>
        <v>364419.76828199241</v>
      </c>
    </row>
    <row r="32" spans="1:13" ht="16.5" thickBot="1" x14ac:dyDescent="0.3">
      <c r="A32" s="144"/>
      <c r="B32" s="36" t="s">
        <v>138</v>
      </c>
      <c r="C32" s="73">
        <v>21524999.999999996</v>
      </c>
      <c r="D32" s="4">
        <f>IFERROR(+VLOOKUP(B32,COMISIONES!A:E,5,FALSE),"0")*1</f>
        <v>12312611.37117344</v>
      </c>
      <c r="E32" s="4">
        <v>11962678.117089989</v>
      </c>
      <c r="F32" s="59">
        <f t="shared" si="7"/>
        <v>349933.25408345088</v>
      </c>
      <c r="G32" s="5">
        <f t="shared" si="1"/>
        <v>0.57201446555974178</v>
      </c>
      <c r="H32" s="4">
        <f t="shared" si="4"/>
        <v>12805115.826020377</v>
      </c>
      <c r="I32" s="5">
        <f t="shared" si="2"/>
        <v>0.59489504418213146</v>
      </c>
      <c r="J32" s="4">
        <f t="shared" si="5"/>
        <v>492504.45484693756</v>
      </c>
      <c r="K32" s="4">
        <f t="shared" si="3"/>
        <v>9212388.6288265567</v>
      </c>
      <c r="L32" s="63" cm="1">
        <f t="array" ref="L32">+_xlfn.IFS(I32&gt;114%,H32*0.02,I32&gt;109%,H32*0.015,I32&gt;104%,H32*0.0125,I32&gt;99%,H32*0.01,I32&lt;99%,H32*0)</f>
        <v>0</v>
      </c>
    </row>
    <row r="33" spans="1:12" ht="16.5" thickBot="1" x14ac:dyDescent="0.3">
      <c r="A33" s="144"/>
      <c r="B33" s="19" t="s">
        <v>274</v>
      </c>
      <c r="C33" s="73">
        <v>25274654.999999996</v>
      </c>
      <c r="D33" s="4">
        <f>IFERROR(+VLOOKUP(B33,COMISIONES!A:E,5,FALSE),"0")*1</f>
        <v>8626881.987285044</v>
      </c>
      <c r="E33" s="4">
        <v>7160337.9849836361</v>
      </c>
      <c r="F33" s="59">
        <f t="shared" si="7"/>
        <v>1466544.002301408</v>
      </c>
      <c r="G33" s="5">
        <f t="shared" si="1"/>
        <v>0.3413254102691034</v>
      </c>
      <c r="H33" s="4">
        <f t="shared" si="4"/>
        <v>8971957.2667764463</v>
      </c>
      <c r="I33" s="5">
        <f t="shared" si="2"/>
        <v>0.35497842667986756</v>
      </c>
      <c r="J33" s="4">
        <f t="shared" si="5"/>
        <v>345075.27949140174</v>
      </c>
      <c r="K33" s="4">
        <f t="shared" si="3"/>
        <v>16647773.012714952</v>
      </c>
      <c r="L33" s="63" cm="1">
        <f t="array" ref="L33">+_xlfn.IFS(I33&gt;114%,H33*0.02,I33&gt;109%,H33*0.015,I33&gt;104%,H33*0.0125,I33&gt;99%,H33*0.01,I33&lt;99%,H33*0)</f>
        <v>0</v>
      </c>
    </row>
    <row r="34" spans="1:12" ht="16.5" thickBot="1" x14ac:dyDescent="0.3">
      <c r="A34" s="144"/>
      <c r="B34" s="36" t="s">
        <v>276</v>
      </c>
      <c r="C34" s="73">
        <v>25865874.999999996</v>
      </c>
      <c r="D34" s="4">
        <f>IFERROR(+VLOOKUP(B34,COMISIONES!A:E,5,FALSE),"0")*1</f>
        <v>12744614.064008825</v>
      </c>
      <c r="E34" s="4">
        <v>11779727.792601671</v>
      </c>
      <c r="F34" s="59">
        <f t="shared" si="7"/>
        <v>964886.27140715346</v>
      </c>
      <c r="G34" s="5">
        <f t="shared" si="1"/>
        <v>0.49271923196137096</v>
      </c>
      <c r="H34" s="4">
        <f t="shared" si="4"/>
        <v>13254398.626569178</v>
      </c>
      <c r="I34" s="5">
        <f t="shared" si="2"/>
        <v>0.51242800123982579</v>
      </c>
      <c r="J34" s="4">
        <f t="shared" si="5"/>
        <v>509784.56256035296</v>
      </c>
      <c r="K34" s="4">
        <f t="shared" si="3"/>
        <v>13121260.935991172</v>
      </c>
      <c r="L34" s="63" cm="1">
        <f t="array" ref="L34">+_xlfn.IFS(I34&gt;114%,H34*0.02,I34&gt;109%,H34*0.015,I34&gt;104%,H34*0.0125,I34&gt;99%,H34*0.01,I34&lt;99%,H34*0)</f>
        <v>0</v>
      </c>
    </row>
    <row r="35" spans="1:12" ht="16.5" thickBot="1" x14ac:dyDescent="0.3">
      <c r="A35" s="144"/>
      <c r="B35" s="36" t="s">
        <v>110</v>
      </c>
      <c r="C35" s="73">
        <v>125062043.74999999</v>
      </c>
      <c r="D35" s="4">
        <f>IFERROR(+VLOOKUP(B35,COMISIONES!A:E,5,FALSE),"0")*1</f>
        <v>95594164.651924506</v>
      </c>
      <c r="E35" s="4">
        <v>89718195.312424496</v>
      </c>
      <c r="F35" s="59">
        <f t="shared" si="7"/>
        <v>5875969.33950001</v>
      </c>
      <c r="G35" s="5">
        <f t="shared" si="1"/>
        <v>0.76437392022009487</v>
      </c>
      <c r="H35" s="4">
        <f t="shared" si="4"/>
        <v>99417931.238001496</v>
      </c>
      <c r="I35" s="5">
        <f t="shared" si="2"/>
        <v>0.79494887702889871</v>
      </c>
      <c r="J35" s="4">
        <f t="shared" si="5"/>
        <v>3823766.5860769805</v>
      </c>
      <c r="K35" s="4">
        <f t="shared" si="3"/>
        <v>29467879.098075479</v>
      </c>
      <c r="L35" s="63" cm="1">
        <f t="array" ref="L35">+_xlfn.IFS(I35&gt;114%,H35*0.0125,I35&gt;109%,H35*0.01,I35&gt;104%,H35*0.0075,I35&gt;99%,H35*0.005,I35&lt;99%,H35*0)</f>
        <v>0</v>
      </c>
    </row>
    <row r="36" spans="1:12" ht="16.5" thickBot="1" x14ac:dyDescent="0.3">
      <c r="A36" s="144"/>
      <c r="B36" s="36" t="s">
        <v>214</v>
      </c>
      <c r="C36" s="73">
        <v>36592500</v>
      </c>
      <c r="D36" s="4">
        <f>IFERROR(+VLOOKUP(B36,COMISIONES!A:E,5,FALSE),"0")*1</f>
        <v>17150855.408873394</v>
      </c>
      <c r="E36" s="4">
        <v>16545905.932173396</v>
      </c>
      <c r="F36" s="59">
        <f t="shared" si="7"/>
        <v>604949.4766999986</v>
      </c>
      <c r="G36" s="5">
        <f t="shared" si="1"/>
        <v>0.46869865160547636</v>
      </c>
      <c r="H36" s="4">
        <f t="shared" si="4"/>
        <v>17836889.62522833</v>
      </c>
      <c r="I36" s="5">
        <f t="shared" si="2"/>
        <v>0.48744659766969545</v>
      </c>
      <c r="J36" s="4">
        <f t="shared" si="5"/>
        <v>686034.21635493578</v>
      </c>
      <c r="K36" s="4">
        <f t="shared" si="3"/>
        <v>19441644.591126606</v>
      </c>
      <c r="L36" s="63" cm="1">
        <f t="array" ref="L36">+_xlfn.IFS(I36&gt;109%,H36*0.015,I36&gt;104%,H36*0.0125,I36&gt;99%,H36*0.01,I36&lt;99%,H36*0)</f>
        <v>0</v>
      </c>
    </row>
    <row r="37" spans="1:12" ht="15.75" x14ac:dyDescent="0.25">
      <c r="A37" s="144"/>
      <c r="B37" s="36" t="s">
        <v>80</v>
      </c>
      <c r="C37" s="73">
        <v>37270463.432474993</v>
      </c>
      <c r="D37" s="4">
        <f>IFERROR(+VLOOKUP(B37,COMISIONES!A:E,5,FALSE),"0")*1</f>
        <v>26389534.349994246</v>
      </c>
      <c r="E37" s="4">
        <v>24991763.229726925</v>
      </c>
      <c r="F37" s="59">
        <f t="shared" si="7"/>
        <v>1397771.1202673204</v>
      </c>
      <c r="G37" s="5">
        <f t="shared" si="1"/>
        <v>0.70805490245125768</v>
      </c>
      <c r="H37" s="4">
        <f t="shared" si="4"/>
        <v>27445115.723994017</v>
      </c>
      <c r="I37" s="5">
        <f t="shared" si="2"/>
        <v>0.736377098549308</v>
      </c>
      <c r="J37" s="4">
        <f t="shared" si="5"/>
        <v>1055581.3739997698</v>
      </c>
      <c r="K37" s="4">
        <f t="shared" si="3"/>
        <v>10880929.082480747</v>
      </c>
      <c r="L37" s="63" cm="1">
        <f t="array" ref="L37">+_xlfn.IFS(I37&gt;114%,H37*0.02,I37&gt;109%,H37*0.015,I37&gt;104%,H37*0.0125,I37&gt;99%,H37*0.01,I37&lt;99%,H37*0)</f>
        <v>0</v>
      </c>
    </row>
    <row r="38" spans="1:12" ht="16.5" thickBot="1" x14ac:dyDescent="0.3">
      <c r="A38" s="145"/>
      <c r="B38" s="3"/>
      <c r="C38" s="74">
        <v>521754707.42240375</v>
      </c>
      <c r="D38" s="66">
        <f>+SUM(D25:D37)</f>
        <v>380267412.05943853</v>
      </c>
      <c r="E38" s="66">
        <v>360246420.43115371</v>
      </c>
      <c r="F38" s="66">
        <f>+D38-E38</f>
        <v>20020991.628284812</v>
      </c>
      <c r="G38" s="65">
        <f t="shared" si="1"/>
        <v>0.72882411341922115</v>
      </c>
      <c r="H38" s="64">
        <f t="shared" si="4"/>
        <v>395478108.54181606</v>
      </c>
      <c r="I38" s="65">
        <f t="shared" si="2"/>
        <v>0.7579770779559899</v>
      </c>
      <c r="J38" s="64">
        <f t="shared" si="5"/>
        <v>15210696.48237754</v>
      </c>
      <c r="K38" s="66">
        <f t="shared" si="3"/>
        <v>141487295.36296523</v>
      </c>
      <c r="L38" s="67"/>
    </row>
    <row r="39" spans="1:12" ht="16.5" thickBot="1" x14ac:dyDescent="0.3">
      <c r="A39" s="143" t="s">
        <v>265</v>
      </c>
      <c r="B39" s="136" t="s">
        <v>144</v>
      </c>
      <c r="C39" s="4">
        <v>35000000</v>
      </c>
      <c r="D39" s="4">
        <f>IFERROR(+VLOOKUP(B39,COMISIONES!A:E,5,FALSE),"0")*1</f>
        <v>24669197.621924087</v>
      </c>
      <c r="E39" s="4">
        <v>24669197.621924087</v>
      </c>
      <c r="F39" s="59">
        <f t="shared" si="7"/>
        <v>0</v>
      </c>
      <c r="G39" s="5">
        <f t="shared" si="1"/>
        <v>0.70483421776925959</v>
      </c>
      <c r="H39" s="4">
        <f t="shared" ref="H39:H47" si="8">+D39/$N$3*$N$4</f>
        <v>25655965.52680105</v>
      </c>
      <c r="I39" s="5">
        <f t="shared" ref="I39:I47" si="9">+H39/C39</f>
        <v>0.73302758648002997</v>
      </c>
      <c r="J39" s="4">
        <f t="shared" ref="J39:J47" si="10">+D39/$N$3</f>
        <v>986767.90487696347</v>
      </c>
      <c r="K39" s="4">
        <f t="shared" ref="K39:K47" si="11">+(C39-D39)/$N$2</f>
        <v>10330802.378075913</v>
      </c>
      <c r="L39" s="63" cm="1">
        <f t="array" ref="L39">+_xlfn.IFS(I39&gt;114%,H39*0.02,I39&gt;109%,H39*0.015,I39&gt;104%,H39*0.0125,I39&gt;99%,H39*0.01,I39&lt;99%,H39*0)</f>
        <v>0</v>
      </c>
    </row>
    <row r="40" spans="1:12" ht="16.5" thickBot="1" x14ac:dyDescent="0.3">
      <c r="A40" s="144"/>
      <c r="B40" s="136" t="s">
        <v>145</v>
      </c>
      <c r="C40" s="4">
        <v>30000000</v>
      </c>
      <c r="D40" s="4">
        <f>IFERROR(+VLOOKUP(B40,COMISIONES!A:E,5,FALSE),"0")*1</f>
        <v>14430657.397060707</v>
      </c>
      <c r="E40" s="4">
        <v>14430657.397060707</v>
      </c>
      <c r="F40" s="59">
        <f t="shared" si="7"/>
        <v>0</v>
      </c>
      <c r="G40" s="5">
        <f t="shared" si="1"/>
        <v>0.48102191323535692</v>
      </c>
      <c r="H40" s="4">
        <f t="shared" si="8"/>
        <v>15007883.692943135</v>
      </c>
      <c r="I40" s="5">
        <f t="shared" si="9"/>
        <v>0.50026278976477112</v>
      </c>
      <c r="J40" s="4">
        <f t="shared" si="10"/>
        <v>577226.2958824283</v>
      </c>
      <c r="K40" s="4">
        <f t="shared" si="11"/>
        <v>15569342.602939293</v>
      </c>
      <c r="L40" s="63" cm="1">
        <f t="array" ref="L40">+_xlfn.IFS(I40&gt;114%,H40*0.02,I40&gt;109%,H40*0.015,I40&gt;104%,H40*0.0125,I40&gt;99%,H40*0.01,I40&lt;99%,H40*0)</f>
        <v>0</v>
      </c>
    </row>
    <row r="41" spans="1:12" ht="16.5" thickBot="1" x14ac:dyDescent="0.3">
      <c r="A41" s="144"/>
      <c r="B41" s="136" t="s">
        <v>106</v>
      </c>
      <c r="C41" s="4">
        <v>32421674.968781177</v>
      </c>
      <c r="D41" s="4">
        <f>IFERROR(+VLOOKUP(B41,COMISIONES!A:E,5,FALSE),"0")*1</f>
        <v>23502345.16595237</v>
      </c>
      <c r="E41" s="4">
        <v>23502345.16595237</v>
      </c>
      <c r="F41" s="59">
        <f t="shared" si="7"/>
        <v>0</v>
      </c>
      <c r="G41" s="5">
        <f t="shared" si="1"/>
        <v>0.72489608228392799</v>
      </c>
      <c r="H41" s="4">
        <f t="shared" si="8"/>
        <v>24442438.972590465</v>
      </c>
      <c r="I41" s="5">
        <f t="shared" si="9"/>
        <v>0.75389192557528517</v>
      </c>
      <c r="J41" s="4">
        <f t="shared" si="10"/>
        <v>940093.80663809483</v>
      </c>
      <c r="K41" s="4">
        <f t="shared" si="11"/>
        <v>8919329.8028288074</v>
      </c>
      <c r="L41" s="63" cm="1">
        <f t="array" ref="L41">+_xlfn.IFS(I41&gt;114%,H41*0.02,I41&gt;109%,H41*0.015,I41&gt;104%,H41*0.0125,I41&gt;99%,H41*0.01,I41&lt;99%,H41*0)</f>
        <v>0</v>
      </c>
    </row>
    <row r="42" spans="1:12" ht="16.5" thickBot="1" x14ac:dyDescent="0.3">
      <c r="A42" s="144"/>
      <c r="B42" s="137" t="s">
        <v>139</v>
      </c>
      <c r="C42" s="4">
        <v>55416576.686625004</v>
      </c>
      <c r="D42" s="4">
        <f>IFERROR(+VLOOKUP(B42,COMISIONES!A:E,5,FALSE),"0")*1</f>
        <v>67507435.480054155</v>
      </c>
      <c r="E42" s="4">
        <v>69289822.724054158</v>
      </c>
      <c r="F42" s="59">
        <f t="shared" si="7"/>
        <v>-1782387.2440000027</v>
      </c>
      <c r="G42" s="5">
        <f t="shared" si="1"/>
        <v>1.2181812648190398</v>
      </c>
      <c r="H42" s="4">
        <f t="shared" si="8"/>
        <v>70207732.899256319</v>
      </c>
      <c r="I42" s="5">
        <f t="shared" si="9"/>
        <v>1.2669085154118012</v>
      </c>
      <c r="J42" s="4">
        <f t="shared" si="10"/>
        <v>2700297.4192021661</v>
      </c>
      <c r="K42" s="4">
        <f t="shared" si="11"/>
        <v>-12090858.793429151</v>
      </c>
      <c r="L42" s="63" cm="1">
        <f t="array" ref="L42">+_xlfn.IFS(I42&gt;114%,H42*0.02,I42&gt;109%,H42*0.015,I42&gt;104%,H42*0.0125,I42&gt;99%,H42*0.01,I42&lt;99%,H42*0)</f>
        <v>1404154.6579851264</v>
      </c>
    </row>
    <row r="43" spans="1:12" ht="16.5" thickBot="1" x14ac:dyDescent="0.3">
      <c r="A43" s="144"/>
      <c r="B43" s="138" t="s">
        <v>266</v>
      </c>
      <c r="C43" s="4">
        <v>100000000</v>
      </c>
      <c r="D43" s="4">
        <f>IFERROR(+VLOOKUP(B43,COMISIONES!A:E,5,FALSE),"0")*1</f>
        <v>70633225.909723982</v>
      </c>
      <c r="E43" s="4">
        <v>70831870.249973983</v>
      </c>
      <c r="F43" s="59">
        <f t="shared" si="7"/>
        <v>-198644.34025000036</v>
      </c>
      <c r="G43" s="5">
        <f t="shared" si="1"/>
        <v>0.70633225909723985</v>
      </c>
      <c r="H43" s="4">
        <f t="shared" si="8"/>
        <v>73458554.946112946</v>
      </c>
      <c r="I43" s="5">
        <f t="shared" si="9"/>
        <v>0.73458554946112942</v>
      </c>
      <c r="J43" s="4">
        <f t="shared" si="10"/>
        <v>2825329.0363889593</v>
      </c>
      <c r="K43" s="4">
        <f t="shared" si="11"/>
        <v>29366774.090276018</v>
      </c>
      <c r="L43" s="63" cm="1">
        <f t="array" ref="L43">+_xlfn.IFS(I43&gt;114%,H43*0.02,I43&gt;109%,H43*0.015,I43&gt;104%,H43*0.0125,I43&gt;99%,H43*0.01,I43&lt;99%,H43*0)</f>
        <v>0</v>
      </c>
    </row>
    <row r="44" spans="1:12" ht="16.5" thickBot="1" x14ac:dyDescent="0.3">
      <c r="A44" s="144"/>
      <c r="B44" s="138" t="s">
        <v>267</v>
      </c>
      <c r="C44" s="4">
        <v>100000000</v>
      </c>
      <c r="D44" s="4">
        <f>IFERROR(+VLOOKUP(B44,COMISIONES!A:E,5,FALSE),"0")*1</f>
        <v>101815489.4705084</v>
      </c>
      <c r="E44" s="4">
        <v>83205303.399211466</v>
      </c>
      <c r="F44" s="59">
        <f t="shared" si="7"/>
        <v>18610186.07129693</v>
      </c>
      <c r="G44" s="5">
        <f t="shared" si="1"/>
        <v>1.018154894705084</v>
      </c>
      <c r="H44" s="4">
        <f t="shared" si="8"/>
        <v>105888109.04932873</v>
      </c>
      <c r="I44" s="5">
        <f t="shared" si="9"/>
        <v>1.0588810904932873</v>
      </c>
      <c r="J44" s="4">
        <f t="shared" si="10"/>
        <v>4072619.5788203357</v>
      </c>
      <c r="K44" s="4">
        <f t="shared" si="11"/>
        <v>-1815489.4705083966</v>
      </c>
      <c r="L44" s="63" cm="1">
        <f t="array" ref="L44">+_xlfn.IFS(I44&gt;114%,H44*0.02,I44&gt;109%,H44*0.015,I44&gt;104%,H44*0.0125,I44&gt;99%,H44*0.01,I44&lt;99%,H44*0)</f>
        <v>1323601.3631166092</v>
      </c>
    </row>
    <row r="45" spans="1:12" ht="16.5" thickBot="1" x14ac:dyDescent="0.3">
      <c r="A45" s="144"/>
      <c r="B45" s="138" t="s">
        <v>275</v>
      </c>
      <c r="C45" s="4">
        <v>25000000</v>
      </c>
      <c r="D45" s="4">
        <f>IFERROR(+VLOOKUP(B45,COMISIONES!A:E,5,FALSE),"0")*1</f>
        <v>13415069.928110547</v>
      </c>
      <c r="E45" s="4">
        <v>13576470.389650788</v>
      </c>
      <c r="F45" s="59">
        <f t="shared" si="7"/>
        <v>-161400.46154024079</v>
      </c>
      <c r="G45" s="5">
        <f t="shared" si="1"/>
        <v>0.53660279712442194</v>
      </c>
      <c r="H45" s="4">
        <f t="shared" si="8"/>
        <v>13951672.72523497</v>
      </c>
      <c r="I45" s="5">
        <f t="shared" si="9"/>
        <v>0.55806690900939881</v>
      </c>
      <c r="J45" s="4">
        <f t="shared" si="10"/>
        <v>536602.79712442192</v>
      </c>
      <c r="K45" s="4">
        <f t="shared" si="11"/>
        <v>11584930.071889453</v>
      </c>
      <c r="L45" s="63" cm="1">
        <f t="array" ref="L45">+_xlfn.IFS(I45&gt;114%,H45*0.02,I45&gt;109%,H45*0.015,I45&gt;104%,H45*0.0125,I45&gt;99%,H45*0.01,I45&lt;99%,H45*0)</f>
        <v>0</v>
      </c>
    </row>
    <row r="46" spans="1:12" ht="15.75" x14ac:dyDescent="0.25">
      <c r="A46" s="144"/>
      <c r="B46" s="138" t="s">
        <v>268</v>
      </c>
      <c r="C46" s="4">
        <v>100000000</v>
      </c>
      <c r="D46" s="4">
        <f>IFERROR(+VLOOKUP(B46,COMISIONES!A:E,5,FALSE),"0")*1</f>
        <v>35002321.995747954</v>
      </c>
      <c r="E46" s="4">
        <v>35002321.995747954</v>
      </c>
      <c r="F46" s="59">
        <f t="shared" si="7"/>
        <v>0</v>
      </c>
      <c r="G46" s="5">
        <f t="shared" si="1"/>
        <v>0.35002321995747954</v>
      </c>
      <c r="H46" s="4">
        <f t="shared" si="8"/>
        <v>36402414.875577867</v>
      </c>
      <c r="I46" s="5">
        <f t="shared" si="9"/>
        <v>0.36402414875577865</v>
      </c>
      <c r="J46" s="4">
        <f t="shared" si="10"/>
        <v>1400092.879829918</v>
      </c>
      <c r="K46" s="4">
        <f t="shared" si="11"/>
        <v>64997678.004252046</v>
      </c>
      <c r="L46" s="63" cm="1">
        <f t="array" ref="L46">+_xlfn.IFS(I46&gt;114%,H46*0.02,I46&gt;109%,H46*0.015,I46&gt;104%,H46*0.0125,I46&gt;99%,H46*0.01,I46&lt;99%,H46*0)</f>
        <v>0</v>
      </c>
    </row>
    <row r="47" spans="1:12" ht="16.5" thickBot="1" x14ac:dyDescent="0.3">
      <c r="A47" s="145"/>
      <c r="B47" s="135"/>
      <c r="C47" s="66">
        <v>455695855.27356702</v>
      </c>
      <c r="D47" s="66">
        <f>SUM(D39:D46)</f>
        <v>350975742.96908224</v>
      </c>
      <c r="E47" s="66">
        <v>334507988.9435755</v>
      </c>
      <c r="F47" s="66">
        <f>+SUM(F39:F46)</f>
        <v>16467754.025506686</v>
      </c>
      <c r="G47" s="65">
        <f t="shared" si="1"/>
        <v>0.77019735621334906</v>
      </c>
      <c r="H47" s="64">
        <f t="shared" si="8"/>
        <v>365014772.68784553</v>
      </c>
      <c r="I47" s="65">
        <f t="shared" si="9"/>
        <v>0.80100525046188298</v>
      </c>
      <c r="J47" s="64">
        <f t="shared" si="10"/>
        <v>14039029.71876329</v>
      </c>
      <c r="K47" s="66">
        <f t="shared" si="11"/>
        <v>104720112.30448478</v>
      </c>
      <c r="L47" s="67"/>
    </row>
    <row r="48" spans="1:12" ht="16.5" thickBot="1" x14ac:dyDescent="0.3">
      <c r="A48" s="75" t="s">
        <v>273</v>
      </c>
      <c r="B48" s="76"/>
      <c r="C48" s="77">
        <v>1379767147.0931361</v>
      </c>
      <c r="D48" s="77">
        <f>+D38+D24+D10+D15+D47</f>
        <v>1584477705.9113965</v>
      </c>
      <c r="E48" s="77">
        <v>1512939007.2893476</v>
      </c>
      <c r="F48" s="77">
        <f>+D48-E48</f>
        <v>71538698.622048855</v>
      </c>
      <c r="G48" s="78">
        <f>+D48/C48</f>
        <v>1.148366019041358</v>
      </c>
      <c r="H48" s="77">
        <f>+D48/$N$3*$N$4</f>
        <v>1647856814.1478524</v>
      </c>
      <c r="I48" s="140">
        <f t="shared" si="2"/>
        <v>1.1943006598030124</v>
      </c>
      <c r="J48" s="77">
        <f>+D48/$N$3</f>
        <v>63379108.236455858</v>
      </c>
      <c r="K48" s="77">
        <f>+(C48-D48)/$N$2</f>
        <v>-204710558.81826043</v>
      </c>
      <c r="L48" s="79"/>
    </row>
  </sheetData>
  <mergeCells count="5">
    <mergeCell ref="A2:A10"/>
    <mergeCell ref="A11:A15"/>
    <mergeCell ref="A16:A24"/>
    <mergeCell ref="A25:A38"/>
    <mergeCell ref="A39:A47"/>
  </mergeCells>
  <conditionalFormatting sqref="G2:G9 G11:G14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16:G23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25:G37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39:G4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ignoredErrors>
    <ignoredError sqref="L12 L35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</sheetPr>
  <dimension ref="A1:U47"/>
  <sheetViews>
    <sheetView topLeftCell="A15" workbookViewId="0">
      <selection activeCell="D43" sqref="D43:I44"/>
    </sheetView>
  </sheetViews>
  <sheetFormatPr baseColWidth="10" defaultRowHeight="15" x14ac:dyDescent="0.25"/>
  <cols>
    <col min="1" max="1" width="23.5703125" bestFit="1" customWidth="1"/>
    <col min="2" max="2" width="3" bestFit="1" customWidth="1"/>
    <col min="3" max="3" width="34" bestFit="1" customWidth="1"/>
    <col min="4" max="4" width="19.7109375" style="25" bestFit="1" customWidth="1"/>
    <col min="5" max="5" width="16.7109375" style="1" hidden="1" customWidth="1"/>
    <col min="6" max="6" width="18.28515625" hidden="1" customWidth="1"/>
    <col min="7" max="7" width="16.85546875" bestFit="1" customWidth="1"/>
    <col min="8" max="8" width="6.7109375" bestFit="1" customWidth="1"/>
    <col min="9" max="9" width="19.85546875" bestFit="1" customWidth="1"/>
    <col min="10" max="10" width="0" hidden="1" customWidth="1"/>
    <col min="11" max="11" width="17.28515625" hidden="1" customWidth="1"/>
    <col min="12" max="12" width="16.28515625" customWidth="1"/>
    <col min="16" max="16" width="8.7109375" bestFit="1" customWidth="1"/>
    <col min="17" max="17" width="19.42578125" hidden="1" customWidth="1"/>
    <col min="18" max="18" width="34.85546875" bestFit="1" customWidth="1"/>
    <col min="19" max="19" width="4.42578125" bestFit="1" customWidth="1"/>
    <col min="20" max="20" width="14.5703125" bestFit="1" customWidth="1"/>
    <col min="21" max="21" width="13.5703125" bestFit="1" customWidth="1"/>
  </cols>
  <sheetData>
    <row r="1" spans="1:21" ht="15.75" thickBot="1" x14ac:dyDescent="0.3">
      <c r="A1" s="80" t="s">
        <v>205</v>
      </c>
      <c r="C1" s="81" t="s">
        <v>75</v>
      </c>
      <c r="D1" s="21" t="s">
        <v>43</v>
      </c>
      <c r="E1" s="15" t="s">
        <v>50</v>
      </c>
      <c r="F1" s="7" t="s">
        <v>44</v>
      </c>
      <c r="G1" s="7" t="s">
        <v>48</v>
      </c>
      <c r="H1" s="7" t="s">
        <v>49</v>
      </c>
      <c r="I1" s="7" t="s">
        <v>54</v>
      </c>
      <c r="P1" t="s">
        <v>114</v>
      </c>
      <c r="R1" s="40" t="s">
        <v>113</v>
      </c>
    </row>
    <row r="2" spans="1:21" ht="15.75" thickBot="1" x14ac:dyDescent="0.3">
      <c r="A2" s="141" t="s">
        <v>37</v>
      </c>
      <c r="B2">
        <v>22</v>
      </c>
      <c r="C2" s="12" t="str">
        <f>+AVANCE!B11</f>
        <v>22 - ALMIRON NICOLAS</v>
      </c>
      <c r="D2" s="22">
        <f>H2/G2</f>
        <v>0.88607594936708856</v>
      </c>
      <c r="E2" s="13">
        <v>33</v>
      </c>
      <c r="F2" s="12">
        <f>+H2-E2</f>
        <v>37</v>
      </c>
      <c r="G2" s="13">
        <f>VLOOKUP(B2,'Base Cobertura'!$A:$C,3,FALSE)</f>
        <v>79</v>
      </c>
      <c r="H2" s="13">
        <f>VLOOKUP(B2,'Base Cobertura'!$A:$C,2,FALSE)</f>
        <v>70</v>
      </c>
      <c r="I2" s="17">
        <f>(+G2*$M$2)-H2</f>
        <v>-2.8500000000000085</v>
      </c>
      <c r="J2" t="s">
        <v>55</v>
      </c>
      <c r="K2" t="s">
        <v>55</v>
      </c>
      <c r="L2" t="s">
        <v>31</v>
      </c>
      <c r="M2" s="1">
        <v>0.85</v>
      </c>
      <c r="P2" s="38">
        <v>25</v>
      </c>
      <c r="Q2" s="39" t="str">
        <f>VLOOKUP(P2,$B:$C,2,FALSE)</f>
        <v>25 - KALATAKI GUSTAVO</v>
      </c>
      <c r="R2" s="42" t="str">
        <f>VLOOKUP(P2,$B:$C,2,FALSE)</f>
        <v>25 - KALATAKI GUSTAVO</v>
      </c>
      <c r="S2" s="7" t="s">
        <v>49</v>
      </c>
      <c r="T2" s="7" t="s">
        <v>48</v>
      </c>
      <c r="U2" s="7" t="s">
        <v>115</v>
      </c>
    </row>
    <row r="3" spans="1:21" x14ac:dyDescent="0.25">
      <c r="A3" s="141"/>
      <c r="B3">
        <v>20</v>
      </c>
      <c r="C3" s="13" t="str">
        <f>+AVANCE!B2</f>
        <v>20 - FLORES JAVIER</v>
      </c>
      <c r="D3" s="22">
        <f t="shared" ref="D3:D7" si="0">H3/G3</f>
        <v>0.90789473684210531</v>
      </c>
      <c r="E3" s="13">
        <v>126</v>
      </c>
      <c r="F3" s="12">
        <f t="shared" ref="F3:F13" si="1">+H3-E3</f>
        <v>81</v>
      </c>
      <c r="G3" s="13">
        <f>VLOOKUP(B3,'Base Cobertura'!$A:$C,3,FALSE)</f>
        <v>228</v>
      </c>
      <c r="H3" s="13">
        <f>VLOOKUP(B3,'Base Cobertura'!$A:$C,2,FALSE)</f>
        <v>207</v>
      </c>
      <c r="I3" s="17">
        <f t="shared" ref="I3:I13" si="2">(+G3*$M$2)-H3</f>
        <v>-13.200000000000017</v>
      </c>
      <c r="J3" t="s">
        <v>56</v>
      </c>
      <c r="K3" t="s">
        <v>63</v>
      </c>
      <c r="P3" s="12" cm="1">
        <f t="array" ref="P3:T11">+_xlfn._xlws.FILTER('Base Cobertura'!E:I,'Base Cobertura'!E:E=COBERTURA!P2)</f>
        <v>25</v>
      </c>
      <c r="Q3" s="12">
        <v>25</v>
      </c>
      <c r="R3" s="12" t="str">
        <v>142 - ALMACEN</v>
      </c>
      <c r="S3" s="12">
        <v>49</v>
      </c>
      <c r="T3" s="12">
        <v>174</v>
      </c>
      <c r="U3" s="41">
        <f>+S3/T3</f>
        <v>0.28160919540229884</v>
      </c>
    </row>
    <row r="4" spans="1:21" x14ac:dyDescent="0.25">
      <c r="A4" s="141"/>
      <c r="B4">
        <v>15</v>
      </c>
      <c r="C4" s="13" t="str">
        <f>+AVANCE!B12</f>
        <v>15 - GALARZA GERARDO</v>
      </c>
      <c r="D4" s="22">
        <f t="shared" si="0"/>
        <v>0.8</v>
      </c>
      <c r="E4" s="13">
        <v>21</v>
      </c>
      <c r="F4" s="12">
        <f t="shared" si="1"/>
        <v>31</v>
      </c>
      <c r="G4" s="13">
        <f>VLOOKUP(B4,'Base Cobertura'!$A:$C,3,FALSE)</f>
        <v>65</v>
      </c>
      <c r="H4" s="13">
        <f>VLOOKUP(B4,'Base Cobertura'!$A:$C,2,FALSE)</f>
        <v>52</v>
      </c>
      <c r="I4" s="17">
        <f t="shared" si="2"/>
        <v>3.25</v>
      </c>
      <c r="J4" t="s">
        <v>57</v>
      </c>
      <c r="K4" t="s">
        <v>64</v>
      </c>
      <c r="P4" s="13">
        <v>25</v>
      </c>
      <c r="Q4" s="13">
        <v>0</v>
      </c>
      <c r="R4" s="13" t="str">
        <v>142 - Articulos Sin Asociar Agrupacion</v>
      </c>
      <c r="S4" s="13">
        <v>42</v>
      </c>
      <c r="T4" s="13">
        <v>174</v>
      </c>
      <c r="U4" s="5">
        <f t="shared" ref="U4:U11" si="3">+S4/T4</f>
        <v>0.2413793103448276</v>
      </c>
    </row>
    <row r="5" spans="1:21" x14ac:dyDescent="0.25">
      <c r="A5" s="141"/>
      <c r="B5">
        <v>19</v>
      </c>
      <c r="C5" s="13" t="str">
        <f>+AVANCE!B3</f>
        <v>19 - GONZALEZ MARCELO</v>
      </c>
      <c r="D5" s="22">
        <f t="shared" si="0"/>
        <v>0.87559808612440193</v>
      </c>
      <c r="E5" s="13">
        <v>100</v>
      </c>
      <c r="F5" s="12">
        <f t="shared" si="1"/>
        <v>83</v>
      </c>
      <c r="G5" s="13">
        <f>VLOOKUP(B5,'Base Cobertura'!$A:$C,3,FALSE)</f>
        <v>209</v>
      </c>
      <c r="H5" s="13">
        <f>VLOOKUP(B5,'Base Cobertura'!$A:$C,2,FALSE)</f>
        <v>183</v>
      </c>
      <c r="I5" s="17">
        <f t="shared" si="2"/>
        <v>-5.3499999999999943</v>
      </c>
      <c r="K5" t="s">
        <v>64</v>
      </c>
      <c r="P5" s="13">
        <v>25</v>
      </c>
      <c r="Q5" s="13">
        <v>0</v>
      </c>
      <c r="R5" s="13" t="str">
        <v>142 - BEBIDAS</v>
      </c>
      <c r="S5" s="13">
        <v>48</v>
      </c>
      <c r="T5" s="13">
        <v>174</v>
      </c>
      <c r="U5" s="5">
        <f t="shared" si="3"/>
        <v>0.27586206896551724</v>
      </c>
    </row>
    <row r="6" spans="1:21" x14ac:dyDescent="0.25">
      <c r="A6" s="141"/>
      <c r="B6">
        <v>16</v>
      </c>
      <c r="C6" s="13" t="str">
        <f>+AVANCE!B4</f>
        <v>16 - GOMEZ MATÍAS</v>
      </c>
      <c r="D6" s="22">
        <f t="shared" si="0"/>
        <v>0.85427135678391963</v>
      </c>
      <c r="E6" s="13">
        <v>81</v>
      </c>
      <c r="F6" s="12">
        <f t="shared" si="1"/>
        <v>89</v>
      </c>
      <c r="G6" s="13">
        <f>VLOOKUP(B6,'Base Cobertura'!$A:$C,3,FALSE)</f>
        <v>199</v>
      </c>
      <c r="H6" s="13">
        <f>VLOOKUP(B6,'Base Cobertura'!$A:$C,2,FALSE)</f>
        <v>170</v>
      </c>
      <c r="I6" s="17">
        <f t="shared" si="2"/>
        <v>-0.84999999999999432</v>
      </c>
      <c r="J6" t="s">
        <v>58</v>
      </c>
      <c r="K6" t="s">
        <v>58</v>
      </c>
      <c r="P6" s="13">
        <v>25</v>
      </c>
      <c r="Q6" s="13">
        <v>0</v>
      </c>
      <c r="R6" s="13" t="str">
        <v>142 - CHOCOLATE</v>
      </c>
      <c r="S6" s="13">
        <v>51</v>
      </c>
      <c r="T6" s="13">
        <v>174</v>
      </c>
      <c r="U6" s="5">
        <f t="shared" si="3"/>
        <v>0.29310344827586204</v>
      </c>
    </row>
    <row r="7" spans="1:21" x14ac:dyDescent="0.25">
      <c r="A7" s="141"/>
      <c r="B7">
        <v>12</v>
      </c>
      <c r="C7" s="13" t="str">
        <f>+AVANCE!B5</f>
        <v>12 - GUTIERREZ MARCOS DAVID</v>
      </c>
      <c r="D7" s="22">
        <f t="shared" si="0"/>
        <v>0.88785046728971961</v>
      </c>
      <c r="E7" s="13">
        <v>89</v>
      </c>
      <c r="F7" s="12">
        <f t="shared" si="1"/>
        <v>101</v>
      </c>
      <c r="G7" s="13">
        <f>VLOOKUP(B7,'Base Cobertura'!$A:$C,3,FALSE)</f>
        <v>214</v>
      </c>
      <c r="H7" s="13">
        <f>VLOOKUP(B7,'Base Cobertura'!$A:$C,2,FALSE)</f>
        <v>190</v>
      </c>
      <c r="I7" s="17">
        <f t="shared" si="2"/>
        <v>-8.0999999999999943</v>
      </c>
      <c r="J7" t="s">
        <v>58</v>
      </c>
      <c r="K7" t="s">
        <v>58</v>
      </c>
      <c r="P7" s="13">
        <v>25</v>
      </c>
      <c r="Q7" s="13">
        <v>0</v>
      </c>
      <c r="R7" s="13" t="str">
        <v>142 - GALLETITAS</v>
      </c>
      <c r="S7" s="13">
        <v>59</v>
      </c>
      <c r="T7" s="13">
        <v>174</v>
      </c>
      <c r="U7" s="5">
        <f t="shared" si="3"/>
        <v>0.33908045977011492</v>
      </c>
    </row>
    <row r="8" spans="1:21" x14ac:dyDescent="0.25">
      <c r="A8" s="141"/>
      <c r="B8">
        <v>11</v>
      </c>
      <c r="C8" s="13" t="str">
        <f>+AVANCE!B6</f>
        <v>11 - SANCHEZ RICARDO</v>
      </c>
      <c r="D8" s="22">
        <f>H8/G8</f>
        <v>0.82352941176470584</v>
      </c>
      <c r="E8" s="13">
        <v>92</v>
      </c>
      <c r="F8" s="12">
        <f t="shared" si="1"/>
        <v>48</v>
      </c>
      <c r="G8" s="13">
        <f>VLOOKUP(B8,'Base Cobertura'!$A:$C,3,FALSE)</f>
        <v>170</v>
      </c>
      <c r="H8" s="13">
        <f>VLOOKUP(B8,'Base Cobertura'!$A:$C,2,FALSE)</f>
        <v>140</v>
      </c>
      <c r="I8" s="17">
        <f t="shared" si="2"/>
        <v>4.5</v>
      </c>
      <c r="J8" t="s">
        <v>55</v>
      </c>
      <c r="K8" t="s">
        <v>58</v>
      </c>
      <c r="N8" s="29"/>
      <c r="P8" s="13">
        <v>25</v>
      </c>
      <c r="Q8" s="13">
        <v>0</v>
      </c>
      <c r="R8" s="13" t="str">
        <v>142 - GOLOSINAS</v>
      </c>
      <c r="S8" s="13">
        <v>55</v>
      </c>
      <c r="T8" s="13">
        <v>174</v>
      </c>
      <c r="U8" s="5">
        <f t="shared" si="3"/>
        <v>0.31609195402298851</v>
      </c>
    </row>
    <row r="9" spans="1:21" x14ac:dyDescent="0.25">
      <c r="A9" s="141"/>
      <c r="B9">
        <v>8</v>
      </c>
      <c r="C9" s="13" t="str">
        <f>+AVANCE!B7</f>
        <v>8 - PARRA MAXIMILIANO</v>
      </c>
      <c r="D9" s="22">
        <f t="shared" ref="D9:D13" si="4">H9/G9</f>
        <v>0.69191919191919193</v>
      </c>
      <c r="E9" s="13">
        <v>64</v>
      </c>
      <c r="F9" s="12">
        <f t="shared" si="1"/>
        <v>73</v>
      </c>
      <c r="G9" s="13">
        <f>VLOOKUP(B9,'Base Cobertura'!$A:$C,3,FALSE)</f>
        <v>198</v>
      </c>
      <c r="H9" s="13">
        <f>VLOOKUP(B9,'Base Cobertura'!$A:$C,2,FALSE)</f>
        <v>137</v>
      </c>
      <c r="I9" s="17">
        <f t="shared" si="2"/>
        <v>31.299999999999983</v>
      </c>
      <c r="J9" t="s">
        <v>55</v>
      </c>
      <c r="K9" t="s">
        <v>65</v>
      </c>
      <c r="P9" s="13">
        <v>25</v>
      </c>
      <c r="Q9" s="13">
        <v>0</v>
      </c>
      <c r="R9" s="13" t="str">
        <v>142 - MASCOTAS</v>
      </c>
      <c r="S9" s="13">
        <v>54</v>
      </c>
      <c r="T9" s="13">
        <v>174</v>
      </c>
      <c r="U9" s="5">
        <f t="shared" si="3"/>
        <v>0.31034482758620691</v>
      </c>
    </row>
    <row r="10" spans="1:21" x14ac:dyDescent="0.25">
      <c r="A10" s="141"/>
      <c r="B10">
        <v>52</v>
      </c>
      <c r="C10" s="31" t="str">
        <f>+AVANCE!B13</f>
        <v>52 - RAVAROTTO EMANUEL</v>
      </c>
      <c r="D10" s="32">
        <f t="shared" si="4"/>
        <v>0.54807692307692313</v>
      </c>
      <c r="E10" s="31">
        <v>19</v>
      </c>
      <c r="F10" s="33">
        <f t="shared" si="1"/>
        <v>38</v>
      </c>
      <c r="G10" s="13">
        <f>VLOOKUP(B10,'Base Cobertura'!$A:$C,3,FALSE)</f>
        <v>104</v>
      </c>
      <c r="H10" s="13">
        <f>VLOOKUP(B10,'Base Cobertura'!$A:$C,2,FALSE)</f>
        <v>57</v>
      </c>
      <c r="I10" s="34">
        <f t="shared" si="2"/>
        <v>31.399999999999991</v>
      </c>
      <c r="J10" t="s">
        <v>58</v>
      </c>
      <c r="K10" t="s">
        <v>58</v>
      </c>
      <c r="P10" s="13">
        <v>25</v>
      </c>
      <c r="Q10" s="13">
        <v>0</v>
      </c>
      <c r="R10" s="13" t="str">
        <v>142 - NO PERECEDEROS</v>
      </c>
      <c r="S10" s="13">
        <v>39</v>
      </c>
      <c r="T10" s="13">
        <v>174</v>
      </c>
      <c r="U10" s="5">
        <f t="shared" si="3"/>
        <v>0.22413793103448276</v>
      </c>
    </row>
    <row r="11" spans="1:21" x14ac:dyDescent="0.25">
      <c r="A11" s="141"/>
      <c r="B11">
        <v>53</v>
      </c>
      <c r="C11" s="31" t="str">
        <f>+AVANCE!B14</f>
        <v>53 - SANDOVAL RODRIGO</v>
      </c>
      <c r="D11" s="32">
        <f t="shared" si="4"/>
        <v>0.62857142857142856</v>
      </c>
      <c r="E11" s="31">
        <v>24</v>
      </c>
      <c r="F11" s="33">
        <f t="shared" si="1"/>
        <v>42</v>
      </c>
      <c r="G11" s="13">
        <f>VLOOKUP(B11,'Base Cobertura'!$A:$C,3,FALSE)</f>
        <v>105</v>
      </c>
      <c r="H11" s="13">
        <f>VLOOKUP(B11,'Base Cobertura'!$A:$C,2,FALSE)</f>
        <v>66</v>
      </c>
      <c r="I11" s="34">
        <f t="shared" si="2"/>
        <v>23.25</v>
      </c>
      <c r="J11" t="s">
        <v>59</v>
      </c>
      <c r="P11" s="13">
        <v>25</v>
      </c>
      <c r="Q11" s="13">
        <v>0</v>
      </c>
      <c r="R11" s="13" t="str">
        <v>142 - PILAS</v>
      </c>
      <c r="S11" s="13">
        <v>23</v>
      </c>
      <c r="T11" s="13">
        <v>174</v>
      </c>
      <c r="U11" s="5">
        <f t="shared" si="3"/>
        <v>0.13218390804597702</v>
      </c>
    </row>
    <row r="12" spans="1:21" x14ac:dyDescent="0.25">
      <c r="A12" s="141"/>
      <c r="B12">
        <v>5</v>
      </c>
      <c r="C12" s="13" t="str">
        <f>+AVANCE!B8</f>
        <v>5 - SCHELOVER RAUL</v>
      </c>
      <c r="D12" s="22">
        <f t="shared" si="4"/>
        <v>0.90458015267175573</v>
      </c>
      <c r="E12" s="13">
        <v>144</v>
      </c>
      <c r="F12" s="12">
        <f t="shared" si="1"/>
        <v>93</v>
      </c>
      <c r="G12" s="13">
        <f>VLOOKUP(B12,'Base Cobertura'!$A:$C,3,FALSE)</f>
        <v>262</v>
      </c>
      <c r="H12" s="13">
        <f>VLOOKUP(B12,'Base Cobertura'!$A:$C,2,FALSE)</f>
        <v>237</v>
      </c>
      <c r="I12" s="17">
        <f t="shared" si="2"/>
        <v>-14.300000000000011</v>
      </c>
      <c r="J12" t="s">
        <v>59</v>
      </c>
    </row>
    <row r="13" spans="1:21" ht="15.75" thickBot="1" x14ac:dyDescent="0.3">
      <c r="A13" s="141"/>
      <c r="B13">
        <v>4</v>
      </c>
      <c r="C13" s="10" t="str">
        <f>+AVANCE!B9</f>
        <v>4 - TUR SPRINGER FERNANDO</v>
      </c>
      <c r="D13" s="22">
        <f t="shared" si="4"/>
        <v>0.86263736263736268</v>
      </c>
      <c r="E13" s="13">
        <v>85</v>
      </c>
      <c r="F13" s="12">
        <f t="shared" si="1"/>
        <v>72</v>
      </c>
      <c r="G13" s="13">
        <f>VLOOKUP(B13,'Base Cobertura'!$A:$C,3,FALSE)</f>
        <v>182</v>
      </c>
      <c r="H13" s="13">
        <f>VLOOKUP(B13,'Base Cobertura'!$A:$C,2,FALSE)</f>
        <v>157</v>
      </c>
      <c r="I13" s="17">
        <f t="shared" si="2"/>
        <v>-2.3000000000000114</v>
      </c>
      <c r="J13" t="s">
        <v>57</v>
      </c>
      <c r="K13" t="s">
        <v>64</v>
      </c>
    </row>
    <row r="14" spans="1:21" ht="15.75" thickBot="1" x14ac:dyDescent="0.3">
      <c r="A14" s="141"/>
      <c r="C14" s="9"/>
      <c r="D14" s="23"/>
      <c r="E14" s="14"/>
      <c r="F14" s="16">
        <f>+SUM(F1:F13)</f>
        <v>788</v>
      </c>
      <c r="G14" s="8">
        <f>+SUM(G1:G13)</f>
        <v>2015</v>
      </c>
      <c r="H14" s="8">
        <f>+SUM(H1:H13)</f>
        <v>1666</v>
      </c>
      <c r="I14" s="8"/>
      <c r="J14" t="s">
        <v>55</v>
      </c>
      <c r="K14" t="s">
        <v>64</v>
      </c>
    </row>
    <row r="15" spans="1:21" x14ac:dyDescent="0.25">
      <c r="A15" s="149" t="s">
        <v>38</v>
      </c>
      <c r="B15">
        <v>31</v>
      </c>
      <c r="C15" s="12" t="str">
        <f>+AVANCE!B21</f>
        <v>31 - RENZO RAMOS</v>
      </c>
      <c r="D15" s="22">
        <f t="shared" ref="D15:D36" si="5">H15/G15</f>
        <v>0.78749999999999998</v>
      </c>
      <c r="E15" s="13">
        <v>90</v>
      </c>
      <c r="F15" s="12">
        <f t="shared" ref="F15:F36" si="6">+H15-E15</f>
        <v>36</v>
      </c>
      <c r="G15" s="13">
        <f>VLOOKUP(B15,'Base Cobertura'!$A:$C,3,FALSE)</f>
        <v>160</v>
      </c>
      <c r="H15" s="13">
        <f>VLOOKUP(B15,'Base Cobertura'!$A:$C,2,FALSE)</f>
        <v>126</v>
      </c>
      <c r="I15" s="17">
        <f t="shared" ref="I15:I36" si="7">(+G15*$M$2)-H15</f>
        <v>10</v>
      </c>
      <c r="J15" t="s">
        <v>55</v>
      </c>
      <c r="K15" t="s">
        <v>55</v>
      </c>
    </row>
    <row r="16" spans="1:21" x14ac:dyDescent="0.25">
      <c r="A16" s="150"/>
      <c r="B16">
        <v>54</v>
      </c>
      <c r="C16" s="13" t="str">
        <f>+AVANCE!B23</f>
        <v>54 - BARTSCHAT EMILIANO NAHUEL</v>
      </c>
      <c r="D16" s="22">
        <f t="shared" si="5"/>
        <v>0.82499999999999996</v>
      </c>
      <c r="E16" s="13">
        <v>92</v>
      </c>
      <c r="F16" s="12">
        <f t="shared" si="6"/>
        <v>73</v>
      </c>
      <c r="G16" s="13">
        <f>VLOOKUP(B16,'Base Cobertura'!$A:$C,3,FALSE)</f>
        <v>200</v>
      </c>
      <c r="H16" s="13">
        <f>VLOOKUP(B16,'Base Cobertura'!$A:$C,2,FALSE)</f>
        <v>165</v>
      </c>
      <c r="I16" s="17">
        <f t="shared" si="7"/>
        <v>5</v>
      </c>
      <c r="J16" t="s">
        <v>55</v>
      </c>
      <c r="K16" t="s">
        <v>63</v>
      </c>
    </row>
    <row r="17" spans="1:11" x14ac:dyDescent="0.25">
      <c r="A17" s="150"/>
      <c r="B17">
        <v>21</v>
      </c>
      <c r="C17" s="13" t="str">
        <f>+AVANCE!B19</f>
        <v>21 - CATAN MATIAS</v>
      </c>
      <c r="D17" s="22">
        <f t="shared" si="5"/>
        <v>0.89759036144578308</v>
      </c>
      <c r="E17" s="13">
        <v>88</v>
      </c>
      <c r="F17" s="12">
        <f t="shared" si="6"/>
        <v>61</v>
      </c>
      <c r="G17" s="13">
        <f>VLOOKUP(B17,'Base Cobertura'!$A:$C,3,FALSE)</f>
        <v>166</v>
      </c>
      <c r="H17" s="13">
        <f>VLOOKUP(B17,'Base Cobertura'!$A:$C,2,FALSE)</f>
        <v>149</v>
      </c>
      <c r="I17" s="17">
        <f t="shared" si="7"/>
        <v>-7.9000000000000057</v>
      </c>
      <c r="J17" t="s">
        <v>58</v>
      </c>
      <c r="K17" t="s">
        <v>55</v>
      </c>
    </row>
    <row r="18" spans="1:11" x14ac:dyDescent="0.25">
      <c r="A18" s="150"/>
      <c r="B18">
        <v>23</v>
      </c>
      <c r="C18" s="13" t="str">
        <f>+AVANCE!B20</f>
        <v>23 - DELGADO JOSÉ</v>
      </c>
      <c r="D18" s="22">
        <f t="shared" si="5"/>
        <v>0.83225806451612905</v>
      </c>
      <c r="E18" s="13">
        <v>95</v>
      </c>
      <c r="F18" s="12">
        <f t="shared" si="6"/>
        <v>34</v>
      </c>
      <c r="G18" s="13">
        <f>VLOOKUP(B18,'Base Cobertura'!$A:$C,3,FALSE)</f>
        <v>155</v>
      </c>
      <c r="H18" s="13">
        <f>VLOOKUP(B18,'Base Cobertura'!$A:$C,2,FALSE)</f>
        <v>129</v>
      </c>
      <c r="I18" s="17">
        <f t="shared" si="7"/>
        <v>2.75</v>
      </c>
      <c r="J18" t="s">
        <v>58</v>
      </c>
      <c r="K18" t="s">
        <v>64</v>
      </c>
    </row>
    <row r="19" spans="1:11" x14ac:dyDescent="0.25">
      <c r="A19" s="150"/>
      <c r="B19">
        <v>18</v>
      </c>
      <c r="C19" s="13" t="str">
        <f>+AVANCE!B18</f>
        <v>18 - HERRERA PABLO</v>
      </c>
      <c r="D19" s="22">
        <f t="shared" si="5"/>
        <v>0.87777777777777777</v>
      </c>
      <c r="E19" s="13">
        <v>83</v>
      </c>
      <c r="F19" s="12">
        <f t="shared" si="6"/>
        <v>75</v>
      </c>
      <c r="G19" s="13">
        <f>VLOOKUP(B19,'Base Cobertura'!$A:$C,3,FALSE)</f>
        <v>180</v>
      </c>
      <c r="H19" s="13">
        <f>VLOOKUP(B19,'Base Cobertura'!$A:$C,2,FALSE)</f>
        <v>158</v>
      </c>
      <c r="I19" s="17">
        <f t="shared" si="7"/>
        <v>-5</v>
      </c>
      <c r="J19" t="s">
        <v>55</v>
      </c>
      <c r="K19" t="s">
        <v>55</v>
      </c>
    </row>
    <row r="20" spans="1:11" x14ac:dyDescent="0.25">
      <c r="A20" s="150"/>
      <c r="B20">
        <v>44</v>
      </c>
      <c r="C20" s="13" t="str">
        <f>+AVANCE!B22</f>
        <v>44 - MONGES CESAR LUIS</v>
      </c>
      <c r="D20" s="22">
        <f t="shared" si="5"/>
        <v>0.85207100591715978</v>
      </c>
      <c r="E20" s="13">
        <v>64</v>
      </c>
      <c r="F20" s="12">
        <f t="shared" si="6"/>
        <v>80</v>
      </c>
      <c r="G20" s="13">
        <f>VLOOKUP(B20,'Base Cobertura'!$A:$C,3,FALSE)</f>
        <v>169</v>
      </c>
      <c r="H20" s="13">
        <f>VLOOKUP(B20,'Base Cobertura'!$A:$C,2,FALSE)</f>
        <v>144</v>
      </c>
      <c r="I20" s="17">
        <f t="shared" si="7"/>
        <v>-0.34999999999999432</v>
      </c>
      <c r="J20" t="s">
        <v>58</v>
      </c>
      <c r="K20" t="s">
        <v>64</v>
      </c>
    </row>
    <row r="21" spans="1:11" x14ac:dyDescent="0.25">
      <c r="A21" s="150"/>
      <c r="B21">
        <v>2</v>
      </c>
      <c r="C21" s="13" t="str">
        <f>+AVANCE!B16</f>
        <v>2 - OJEDA NORBERTO</v>
      </c>
      <c r="D21" s="22">
        <f t="shared" si="5"/>
        <v>0.79831932773109249</v>
      </c>
      <c r="E21" s="13">
        <v>70</v>
      </c>
      <c r="F21" s="12">
        <f t="shared" si="6"/>
        <v>25</v>
      </c>
      <c r="G21" s="13">
        <f>VLOOKUP(B21,'Base Cobertura'!$A:$C,3,FALSE)</f>
        <v>119</v>
      </c>
      <c r="H21" s="13">
        <f>VLOOKUP(B21,'Base Cobertura'!$A:$C,2,FALSE)</f>
        <v>95</v>
      </c>
      <c r="I21" s="17">
        <f t="shared" si="7"/>
        <v>6.1499999999999915</v>
      </c>
      <c r="J21" t="s">
        <v>58</v>
      </c>
      <c r="K21" t="s">
        <v>66</v>
      </c>
    </row>
    <row r="22" spans="1:11" ht="15.75" thickBot="1" x14ac:dyDescent="0.3">
      <c r="A22" s="150"/>
      <c r="B22">
        <v>3</v>
      </c>
      <c r="C22" s="10" t="str">
        <f>+AVANCE!B17</f>
        <v>3 - VIDAL NAHUEL</v>
      </c>
      <c r="D22" s="22">
        <f t="shared" si="5"/>
        <v>0.91176470588235292</v>
      </c>
      <c r="E22" s="13">
        <v>79</v>
      </c>
      <c r="F22" s="12">
        <f t="shared" si="6"/>
        <v>76</v>
      </c>
      <c r="G22" s="13">
        <f>VLOOKUP(B22,'Base Cobertura'!$A:$C,3,FALSE)</f>
        <v>170</v>
      </c>
      <c r="H22" s="13">
        <f>VLOOKUP(B22,'Base Cobertura'!$A:$C,2,FALSE)</f>
        <v>155</v>
      </c>
      <c r="I22" s="17">
        <f t="shared" si="7"/>
        <v>-10.5</v>
      </c>
      <c r="J22" t="s">
        <v>60</v>
      </c>
      <c r="K22" t="s">
        <v>64</v>
      </c>
    </row>
    <row r="23" spans="1:11" ht="15.75" thickBot="1" x14ac:dyDescent="0.3">
      <c r="A23" s="151"/>
      <c r="C23" s="9"/>
      <c r="D23" s="23"/>
      <c r="E23" s="14"/>
      <c r="F23" s="16">
        <f>+SUM(F15:F22)</f>
        <v>460</v>
      </c>
      <c r="G23" s="8">
        <f>+SUM(G15:G22)</f>
        <v>1319</v>
      </c>
      <c r="H23" s="8">
        <f>+SUM(H15:H22)</f>
        <v>1121</v>
      </c>
      <c r="I23" s="8"/>
    </row>
    <row r="24" spans="1:11" x14ac:dyDescent="0.25">
      <c r="A24" s="149" t="s">
        <v>215</v>
      </c>
      <c r="B24">
        <v>32</v>
      </c>
      <c r="C24" s="12" t="str">
        <f>+AVANCE!B25</f>
        <v>32 - CABRAL GONZALO</v>
      </c>
      <c r="D24" s="22">
        <f t="shared" si="5"/>
        <v>0.89655172413793105</v>
      </c>
      <c r="E24" s="13">
        <v>20</v>
      </c>
      <c r="F24" s="12">
        <f>+H24-E24</f>
        <v>32</v>
      </c>
      <c r="G24" s="13">
        <f>VLOOKUP(B24,'Base Cobertura'!$A:$C,3,FALSE)</f>
        <v>58</v>
      </c>
      <c r="H24" s="13">
        <f>VLOOKUP(B24,'Base Cobertura'!$A:$C,2,FALSE)</f>
        <v>52</v>
      </c>
      <c r="I24" s="17">
        <f t="shared" si="7"/>
        <v>-2.7000000000000028</v>
      </c>
      <c r="J24" t="s">
        <v>55</v>
      </c>
      <c r="K24" t="s">
        <v>66</v>
      </c>
    </row>
    <row r="25" spans="1:11" x14ac:dyDescent="0.25">
      <c r="A25" s="150"/>
      <c r="B25">
        <v>36</v>
      </c>
      <c r="C25" s="12" t="str">
        <f>+AVANCE!B26</f>
        <v>36 - COSARINSKI DIEGO</v>
      </c>
      <c r="D25" s="22">
        <f t="shared" si="5"/>
        <v>0.74842767295597479</v>
      </c>
      <c r="E25" s="13">
        <v>68</v>
      </c>
      <c r="F25" s="12">
        <f t="shared" si="6"/>
        <v>51</v>
      </c>
      <c r="G25" s="13">
        <f>VLOOKUP(B25,'Base Cobertura'!$A:$C,3,FALSE)</f>
        <v>159</v>
      </c>
      <c r="H25" s="13">
        <f>VLOOKUP(B25,'Base Cobertura'!$A:$C,2,FALSE)</f>
        <v>119</v>
      </c>
      <c r="I25" s="17">
        <f t="shared" si="7"/>
        <v>16.150000000000006</v>
      </c>
      <c r="J25" t="s">
        <v>58</v>
      </c>
      <c r="K25" t="s">
        <v>66</v>
      </c>
    </row>
    <row r="26" spans="1:11" x14ac:dyDescent="0.25">
      <c r="A26" s="150"/>
      <c r="B26">
        <v>9</v>
      </c>
      <c r="C26" s="12" t="str">
        <f>+AVANCE!B27</f>
        <v>9 - ESTIGARRIBIA DAVID</v>
      </c>
      <c r="D26" s="22">
        <f t="shared" si="5"/>
        <v>0.85987261146496818</v>
      </c>
      <c r="E26" s="13">
        <v>80</v>
      </c>
      <c r="F26" s="12">
        <f t="shared" si="6"/>
        <v>55</v>
      </c>
      <c r="G26" s="13">
        <f>VLOOKUP(B26,'Base Cobertura'!$A:$C,3,FALSE)</f>
        <v>157</v>
      </c>
      <c r="H26" s="13">
        <f>VLOOKUP(B26,'Base Cobertura'!$A:$C,2,FALSE)</f>
        <v>135</v>
      </c>
      <c r="I26" s="17">
        <f t="shared" si="7"/>
        <v>-1.5500000000000114</v>
      </c>
      <c r="J26" t="s">
        <v>58</v>
      </c>
      <c r="K26" t="s">
        <v>55</v>
      </c>
    </row>
    <row r="27" spans="1:11" x14ac:dyDescent="0.25">
      <c r="A27" s="150"/>
      <c r="B27">
        <v>40</v>
      </c>
      <c r="C27" s="12" t="str">
        <f>+AVANCE!B28</f>
        <v>40 - IBARROLA JORGE</v>
      </c>
      <c r="D27" s="22">
        <f t="shared" si="5"/>
        <v>0.61261261261261257</v>
      </c>
      <c r="E27" s="13">
        <v>68</v>
      </c>
      <c r="F27" s="12">
        <f t="shared" si="6"/>
        <v>68</v>
      </c>
      <c r="G27" s="13">
        <f>VLOOKUP(B27,'Base Cobertura'!$A:$C,3,FALSE)</f>
        <v>222</v>
      </c>
      <c r="H27" s="13">
        <f>VLOOKUP(B27,'Base Cobertura'!$A:$C,2,FALSE)</f>
        <v>136</v>
      </c>
      <c r="I27" s="17">
        <f t="shared" si="7"/>
        <v>52.699999999999989</v>
      </c>
      <c r="J27" t="s">
        <v>58</v>
      </c>
      <c r="K27" t="s">
        <v>66</v>
      </c>
    </row>
    <row r="28" spans="1:11" x14ac:dyDescent="0.25">
      <c r="A28" s="150"/>
      <c r="B28">
        <v>27</v>
      </c>
      <c r="C28" s="12" t="str">
        <f>+AVANCE!B29</f>
        <v>27 - GOMEZ ADRIÁN</v>
      </c>
      <c r="D28" s="22">
        <f t="shared" si="5"/>
        <v>0.96946564885496178</v>
      </c>
      <c r="E28" s="13">
        <v>73</v>
      </c>
      <c r="F28" s="12">
        <f t="shared" si="6"/>
        <v>54</v>
      </c>
      <c r="G28" s="13">
        <f>VLOOKUP(B28,'Base Cobertura'!$A:$C,3,FALSE)</f>
        <v>131</v>
      </c>
      <c r="H28" s="13">
        <f>VLOOKUP(B28,'Base Cobertura'!$A:$C,2,FALSE)</f>
        <v>127</v>
      </c>
      <c r="I28" s="17">
        <f t="shared" si="7"/>
        <v>-15.650000000000006</v>
      </c>
      <c r="J28" t="s">
        <v>55</v>
      </c>
      <c r="K28" t="s">
        <v>66</v>
      </c>
    </row>
    <row r="29" spans="1:11" x14ac:dyDescent="0.25">
      <c r="A29" s="150"/>
      <c r="B29">
        <v>10</v>
      </c>
      <c r="C29" s="12" t="str">
        <f>+AVANCE!B30</f>
        <v>10 - BRITEZ EMMANUEL</v>
      </c>
      <c r="D29" s="22">
        <f t="shared" si="5"/>
        <v>0.70967741935483875</v>
      </c>
      <c r="E29" s="13">
        <v>40</v>
      </c>
      <c r="F29" s="12">
        <f t="shared" si="6"/>
        <v>92</v>
      </c>
      <c r="G29" s="13">
        <f>VLOOKUP(B29,'Base Cobertura'!$A:$C,3,FALSE)</f>
        <v>186</v>
      </c>
      <c r="H29" s="13">
        <f>VLOOKUP(B29,'Base Cobertura'!$A:$C,2,FALSE)</f>
        <v>132</v>
      </c>
      <c r="I29" s="17">
        <f t="shared" si="7"/>
        <v>26.099999999999994</v>
      </c>
      <c r="J29" t="s">
        <v>58</v>
      </c>
      <c r="K29" t="s">
        <v>66</v>
      </c>
    </row>
    <row r="30" spans="1:11" x14ac:dyDescent="0.25">
      <c r="A30" s="150"/>
      <c r="B30">
        <v>28</v>
      </c>
      <c r="C30" s="12" t="str">
        <f>+AVANCE!B31</f>
        <v>28 - GOMEZ PABLO</v>
      </c>
      <c r="D30" s="22">
        <f t="shared" si="5"/>
        <v>0.88095238095238093</v>
      </c>
      <c r="E30" s="13">
        <v>67</v>
      </c>
      <c r="F30" s="12">
        <f t="shared" si="6"/>
        <v>81</v>
      </c>
      <c r="G30" s="13">
        <f>VLOOKUP(B30,'Base Cobertura'!$A:$C,3,FALSE)</f>
        <v>168</v>
      </c>
      <c r="H30" s="13">
        <f>VLOOKUP(B30,'Base Cobertura'!$A:$C,2,FALSE)</f>
        <v>148</v>
      </c>
      <c r="I30" s="17">
        <f t="shared" si="7"/>
        <v>-5.2000000000000171</v>
      </c>
      <c r="J30" t="s">
        <v>58</v>
      </c>
      <c r="K30" t="s">
        <v>66</v>
      </c>
    </row>
    <row r="31" spans="1:11" x14ac:dyDescent="0.25">
      <c r="A31" s="150"/>
      <c r="B31">
        <v>33</v>
      </c>
      <c r="C31" s="12" t="str">
        <f>+AVANCE!B32</f>
        <v>33 - NICOLAS AZULA</v>
      </c>
      <c r="D31" s="22">
        <f t="shared" si="5"/>
        <v>0.85029940119760483</v>
      </c>
      <c r="E31" s="13">
        <v>66</v>
      </c>
      <c r="F31" s="12">
        <f t="shared" si="6"/>
        <v>76</v>
      </c>
      <c r="G31" s="13">
        <f>VLOOKUP(B31,'Base Cobertura'!$A:$C,3,FALSE)</f>
        <v>167</v>
      </c>
      <c r="H31" s="13">
        <f>VLOOKUP(B31,'Base Cobertura'!$A:$C,2,FALSE)</f>
        <v>142</v>
      </c>
      <c r="I31" s="17">
        <f t="shared" si="7"/>
        <v>-5.0000000000011369E-2</v>
      </c>
      <c r="J31" t="s">
        <v>58</v>
      </c>
      <c r="K31" t="s">
        <v>66</v>
      </c>
    </row>
    <row r="32" spans="1:11" x14ac:dyDescent="0.25">
      <c r="A32" s="150"/>
      <c r="B32">
        <v>37</v>
      </c>
      <c r="C32" s="12" t="str">
        <f>+AVANCE!B33</f>
        <v>37 - SALAJ EMILIO</v>
      </c>
      <c r="D32" s="22">
        <f t="shared" si="5"/>
        <v>0.54861111111111116</v>
      </c>
      <c r="E32" s="13">
        <v>82</v>
      </c>
      <c r="F32" s="12">
        <f t="shared" si="6"/>
        <v>-3</v>
      </c>
      <c r="G32" s="13">
        <f>VLOOKUP(B32,'Base Cobertura'!$A:$C,3,FALSE)</f>
        <v>144</v>
      </c>
      <c r="H32" s="13">
        <f>VLOOKUP(B32,'Base Cobertura'!$A:$C,2,FALSE)</f>
        <v>79</v>
      </c>
      <c r="I32" s="17">
        <f t="shared" si="7"/>
        <v>43.399999999999991</v>
      </c>
      <c r="J32" t="s">
        <v>55</v>
      </c>
      <c r="K32" t="s">
        <v>66</v>
      </c>
    </row>
    <row r="33" spans="1:12" x14ac:dyDescent="0.25">
      <c r="A33" s="150"/>
      <c r="B33">
        <v>24</v>
      </c>
      <c r="C33" s="12" t="str">
        <f>+AVANCE!B34</f>
        <v>24 - SOLIS EMMANUEL</v>
      </c>
      <c r="D33" s="22">
        <f t="shared" si="5"/>
        <v>0.64130434782608692</v>
      </c>
      <c r="E33" s="13">
        <v>81</v>
      </c>
      <c r="F33" s="12">
        <f t="shared" si="6"/>
        <v>37</v>
      </c>
      <c r="G33" s="13">
        <f>VLOOKUP(B33,'Base Cobertura'!$A:$C,3,FALSE)</f>
        <v>184</v>
      </c>
      <c r="H33" s="13">
        <f>VLOOKUP(B33,'Base Cobertura'!$A:$C,2,FALSE)</f>
        <v>118</v>
      </c>
      <c r="I33" s="17">
        <f t="shared" si="7"/>
        <v>38.400000000000006</v>
      </c>
      <c r="J33" t="s">
        <v>58</v>
      </c>
      <c r="K33" t="s">
        <v>66</v>
      </c>
    </row>
    <row r="34" spans="1:12" x14ac:dyDescent="0.25">
      <c r="A34" s="150"/>
      <c r="B34">
        <v>7</v>
      </c>
      <c r="C34" s="12" t="str">
        <f>+AVANCE!B35</f>
        <v>7 - VALLEJOS EDUARDO</v>
      </c>
      <c r="D34" s="22">
        <f t="shared" si="5"/>
        <v>0.14529914529914531</v>
      </c>
      <c r="E34" s="13">
        <v>0</v>
      </c>
      <c r="F34" s="12">
        <f t="shared" si="6"/>
        <v>17</v>
      </c>
      <c r="G34" s="13">
        <f>VLOOKUP(B34,'Base Cobertura'!$A:$C,3,FALSE)</f>
        <v>117</v>
      </c>
      <c r="H34" s="13">
        <f>VLOOKUP(B34,'Base Cobertura'!$A:$C,2,FALSE)</f>
        <v>17</v>
      </c>
      <c r="I34" s="17">
        <f t="shared" si="7"/>
        <v>82.45</v>
      </c>
      <c r="J34" t="s">
        <v>58</v>
      </c>
    </row>
    <row r="35" spans="1:12" x14ac:dyDescent="0.25">
      <c r="A35" s="150"/>
      <c r="B35">
        <v>57</v>
      </c>
      <c r="C35" s="12" t="str">
        <f>+AVANCE!B36</f>
        <v>57 - ROUBINEAU SEBASTIAN</v>
      </c>
      <c r="D35" s="22">
        <f t="shared" si="5"/>
        <v>0.40776699029126212</v>
      </c>
      <c r="E35" s="13">
        <v>17</v>
      </c>
      <c r="F35" s="12">
        <f t="shared" si="6"/>
        <v>25</v>
      </c>
      <c r="G35" s="13">
        <f>VLOOKUP(B35,'Base Cobertura'!$A:$C,3,FALSE)</f>
        <v>103</v>
      </c>
      <c r="H35" s="13">
        <f>VLOOKUP(B35,'Base Cobertura'!$A:$C,2,FALSE)</f>
        <v>42</v>
      </c>
      <c r="I35" s="17">
        <f t="shared" si="7"/>
        <v>45.55</v>
      </c>
      <c r="J35" t="s">
        <v>59</v>
      </c>
    </row>
    <row r="36" spans="1:12" ht="15.75" thickBot="1" x14ac:dyDescent="0.3">
      <c r="A36" s="150"/>
      <c r="B36">
        <v>1</v>
      </c>
      <c r="C36" s="12" t="str">
        <f>+AVANCE!B37</f>
        <v>1 - VERA ERNESTO</v>
      </c>
      <c r="D36" s="22">
        <f t="shared" si="5"/>
        <v>0.88888888888888884</v>
      </c>
      <c r="E36" s="13">
        <v>60</v>
      </c>
      <c r="F36" s="12">
        <f t="shared" si="6"/>
        <v>44</v>
      </c>
      <c r="G36" s="13">
        <f>VLOOKUP(B36,'Base Cobertura'!$A:$C,3,FALSE)</f>
        <v>117</v>
      </c>
      <c r="H36" s="13">
        <f>VLOOKUP(B36,'Base Cobertura'!$A:$C,2,FALSE)</f>
        <v>104</v>
      </c>
      <c r="I36" s="17">
        <f t="shared" si="7"/>
        <v>-4.5499999999999972</v>
      </c>
      <c r="J36" t="s">
        <v>55</v>
      </c>
      <c r="K36" t="s">
        <v>55</v>
      </c>
    </row>
    <row r="37" spans="1:12" ht="15.75" thickBot="1" x14ac:dyDescent="0.3">
      <c r="A37" s="151"/>
      <c r="C37" s="9"/>
      <c r="D37" s="23"/>
      <c r="E37" s="14"/>
      <c r="F37" s="8">
        <f>+SUM(F24:F36)</f>
        <v>629</v>
      </c>
      <c r="G37" s="8">
        <f>+SUM(G24:G36)</f>
        <v>1913</v>
      </c>
      <c r="H37" s="8">
        <f>+SUM(H24:H36)</f>
        <v>1351</v>
      </c>
      <c r="I37" s="8"/>
    </row>
    <row r="38" spans="1:12" x14ac:dyDescent="0.25">
      <c r="A38" s="149" t="s">
        <v>269</v>
      </c>
      <c r="B38">
        <v>58</v>
      </c>
      <c r="C38" t="str">
        <f>+AVANCE!B39</f>
        <v>58 - BLADIMIR LEZCANO</v>
      </c>
      <c r="D38" s="22">
        <f t="shared" ref="D38:D45" si="8">H38/G38</f>
        <v>0.27642276422764228</v>
      </c>
      <c r="E38" s="13">
        <v>60</v>
      </c>
      <c r="F38" s="12">
        <f t="shared" ref="F38:F45" si="9">+H38-E38</f>
        <v>-26</v>
      </c>
      <c r="G38" s="13">
        <f>VLOOKUP(B38,'Base Cobertura'!$A:$C,3,FALSE)</f>
        <v>123</v>
      </c>
      <c r="H38" s="13">
        <f>VLOOKUP(B38,'Base Cobertura'!$A:$C,2,FALSE)</f>
        <v>34</v>
      </c>
      <c r="I38" s="17">
        <f t="shared" ref="I38:I45" si="10">(+G38*$M$2)-H38</f>
        <v>70.55</v>
      </c>
    </row>
    <row r="39" spans="1:12" x14ac:dyDescent="0.25">
      <c r="A39" s="150"/>
      <c r="B39">
        <v>59</v>
      </c>
      <c r="C39" t="str">
        <f>+AVANCE!B40</f>
        <v>59 - LEIVA SILVIO</v>
      </c>
      <c r="D39" s="22">
        <f t="shared" si="8"/>
        <v>0.49206349206349204</v>
      </c>
      <c r="E39" s="13">
        <v>60</v>
      </c>
      <c r="F39" s="12">
        <f t="shared" si="9"/>
        <v>2</v>
      </c>
      <c r="G39" s="13">
        <f>VLOOKUP(B39,'Base Cobertura'!$A:$C,3,FALSE)</f>
        <v>126</v>
      </c>
      <c r="H39" s="13">
        <f>VLOOKUP(B39,'Base Cobertura'!$A:$C,2,FALSE)</f>
        <v>62</v>
      </c>
      <c r="I39" s="17">
        <f t="shared" si="10"/>
        <v>45.099999999999994</v>
      </c>
    </row>
    <row r="40" spans="1:12" x14ac:dyDescent="0.25">
      <c r="A40" s="150"/>
      <c r="B40">
        <v>49</v>
      </c>
      <c r="C40" t="str">
        <f>+AVANCE!B41</f>
        <v>49 - ESCOBAR RAÚL</v>
      </c>
      <c r="D40" s="22">
        <f t="shared" si="8"/>
        <v>0.41632653061224489</v>
      </c>
      <c r="E40" s="13">
        <v>60</v>
      </c>
      <c r="F40" s="12">
        <f t="shared" si="9"/>
        <v>42</v>
      </c>
      <c r="G40" s="13">
        <f>VLOOKUP(B40,'Base Cobertura'!$A:$C,3,FALSE)</f>
        <v>245</v>
      </c>
      <c r="H40" s="13">
        <f>VLOOKUP(B40,'Base Cobertura'!$A:$C,2,FALSE)</f>
        <v>102</v>
      </c>
      <c r="I40" s="17">
        <f t="shared" si="10"/>
        <v>106.25</v>
      </c>
    </row>
    <row r="41" spans="1:12" x14ac:dyDescent="0.25">
      <c r="A41" s="150"/>
      <c r="B41">
        <v>56</v>
      </c>
      <c r="C41" t="str">
        <f>+AVANCE!B42</f>
        <v>56 - JUAN ANDRES SANCHEZ</v>
      </c>
      <c r="D41" s="22">
        <f t="shared" si="8"/>
        <v>0.49</v>
      </c>
      <c r="E41" s="13">
        <v>60</v>
      </c>
      <c r="F41" s="12">
        <f t="shared" si="9"/>
        <v>38</v>
      </c>
      <c r="G41" s="13">
        <f>VLOOKUP(B41,'Base Cobertura'!$A:$C,3,FALSE)</f>
        <v>200</v>
      </c>
      <c r="H41" s="13">
        <f>VLOOKUP(B41,'Base Cobertura'!$A:$C,2,FALSE)</f>
        <v>98</v>
      </c>
      <c r="I41" s="17">
        <f t="shared" si="10"/>
        <v>72</v>
      </c>
    </row>
    <row r="42" spans="1:12" x14ac:dyDescent="0.25">
      <c r="A42" s="150"/>
      <c r="B42">
        <v>26</v>
      </c>
      <c r="C42" t="str">
        <f>+AVANCE!B43</f>
        <v>26 - PUJOL ERNESTO</v>
      </c>
      <c r="D42" s="22">
        <f t="shared" si="8"/>
        <v>0.45833333333333331</v>
      </c>
      <c r="E42" s="13">
        <v>60</v>
      </c>
      <c r="F42" s="12">
        <f t="shared" si="9"/>
        <v>17</v>
      </c>
      <c r="G42" s="13">
        <f>VLOOKUP(B42,'Base Cobertura'!$A:$C,3,FALSE)</f>
        <v>168</v>
      </c>
      <c r="H42" s="13">
        <f>VLOOKUP(B42,'Base Cobertura'!$A:$C,2,FALSE)</f>
        <v>77</v>
      </c>
      <c r="I42" s="17">
        <f t="shared" si="10"/>
        <v>65.799999999999983</v>
      </c>
    </row>
    <row r="43" spans="1:12" x14ac:dyDescent="0.25">
      <c r="A43" s="150"/>
      <c r="B43">
        <v>25</v>
      </c>
      <c r="C43" t="str">
        <f>+AVANCE!B44</f>
        <v>25 - KALATAKI GUSTAVO</v>
      </c>
      <c r="D43" s="22">
        <f t="shared" si="8"/>
        <v>0.4885057471264368</v>
      </c>
      <c r="E43" s="13">
        <v>60</v>
      </c>
      <c r="F43" s="12">
        <f t="shared" si="9"/>
        <v>25</v>
      </c>
      <c r="G43" s="13">
        <f>VLOOKUP(B43,'Base Cobertura'!$A:$C,3,FALSE)</f>
        <v>174</v>
      </c>
      <c r="H43" s="13">
        <f>VLOOKUP(B43,'Base Cobertura'!$A:$C,2,FALSE)</f>
        <v>85</v>
      </c>
      <c r="I43" s="17">
        <f t="shared" si="10"/>
        <v>62.900000000000006</v>
      </c>
    </row>
    <row r="44" spans="1:12" x14ac:dyDescent="0.25">
      <c r="A44" s="150"/>
      <c r="B44">
        <v>60</v>
      </c>
      <c r="C44" t="str">
        <f>+AVANCE!B45</f>
        <v>60 - SILVA ADRIAN</v>
      </c>
      <c r="D44" s="22">
        <f t="shared" ref="D44" si="11">H44/G44</f>
        <v>0.56060606060606055</v>
      </c>
      <c r="E44" s="13">
        <v>61</v>
      </c>
      <c r="F44" s="12">
        <f t="shared" ref="F44" si="12">+H44-E44</f>
        <v>-24</v>
      </c>
      <c r="G44" s="13">
        <f>VLOOKUP(B44,'Base Cobertura'!$A:$C,3,FALSE)</f>
        <v>66</v>
      </c>
      <c r="H44" s="13">
        <f>VLOOKUP(B44,'Base Cobertura'!$A:$C,2,FALSE)</f>
        <v>37</v>
      </c>
      <c r="I44" s="17">
        <f t="shared" ref="I44" si="13">(+G44*$M$2)-H44</f>
        <v>19.100000000000001</v>
      </c>
    </row>
    <row r="45" spans="1:12" ht="15.75" thickBot="1" x14ac:dyDescent="0.3">
      <c r="A45" s="150"/>
      <c r="B45">
        <v>43</v>
      </c>
      <c r="C45" t="str">
        <f>+AVANCE!B46</f>
        <v>43 - COLHER DIEGO</v>
      </c>
      <c r="D45" s="22">
        <f t="shared" si="8"/>
        <v>0.25806451612903225</v>
      </c>
      <c r="E45" s="13">
        <v>60</v>
      </c>
      <c r="F45" s="12">
        <f t="shared" si="9"/>
        <v>-36</v>
      </c>
      <c r="G45" s="13">
        <f>VLOOKUP(B45,'Base Cobertura'!$A:$C,3,FALSE)</f>
        <v>93</v>
      </c>
      <c r="H45" s="13">
        <f>VLOOKUP(B45,'Base Cobertura'!$A:$C,2,FALSE)</f>
        <v>24</v>
      </c>
      <c r="I45" s="17">
        <f t="shared" si="10"/>
        <v>55.05</v>
      </c>
    </row>
    <row r="46" spans="1:12" ht="15.75" thickBot="1" x14ac:dyDescent="0.3">
      <c r="A46" s="134"/>
      <c r="C46" s="9"/>
      <c r="D46" s="23"/>
      <c r="E46" s="13"/>
      <c r="F46" s="12"/>
      <c r="G46" s="8">
        <f>+SUM(G32:G45)</f>
        <v>3773</v>
      </c>
      <c r="H46" s="8">
        <f>+SUM(H32:H45)</f>
        <v>2230</v>
      </c>
      <c r="I46" s="8"/>
      <c r="L46" t="s">
        <v>67</v>
      </c>
    </row>
    <row r="47" spans="1:12" x14ac:dyDescent="0.25">
      <c r="A47" s="11" t="s">
        <v>42</v>
      </c>
      <c r="C47" s="11"/>
      <c r="D47" s="24"/>
      <c r="E47" s="6"/>
      <c r="F47" s="8" t="e">
        <f>+SUM(F37+F23+#REF!)</f>
        <v>#REF!</v>
      </c>
      <c r="G47" s="8">
        <f>+G46+G23+G37+G14</f>
        <v>9020</v>
      </c>
      <c r="H47" s="8">
        <f>+H46+H23+H37+H14</f>
        <v>6368</v>
      </c>
      <c r="I47" s="8"/>
      <c r="L47" s="1">
        <f>+H47/G47</f>
        <v>0.70598669623059862</v>
      </c>
    </row>
  </sheetData>
  <autoFilter ref="C1:N47" xr:uid="{00000000-0001-0000-0500-000000000000}"/>
  <mergeCells count="3">
    <mergeCell ref="A15:A23"/>
    <mergeCell ref="A24:A37"/>
    <mergeCell ref="A38:A45"/>
  </mergeCells>
  <conditionalFormatting sqref="D2:D14">
    <cfRule type="iconSet" priority="7">
      <iconSet iconSet="3Arrows">
        <cfvo type="percent" val="0"/>
        <cfvo type="percent" val="33"/>
        <cfvo type="percent" val="67"/>
      </iconSet>
    </cfRule>
  </conditionalFormatting>
  <conditionalFormatting sqref="D15:D22">
    <cfRule type="iconSet" priority="12">
      <iconSet iconSet="3Arrows">
        <cfvo type="percent" val="0"/>
        <cfvo type="percent" val="33"/>
        <cfvo type="percent" val="67"/>
      </iconSet>
    </cfRule>
  </conditionalFormatting>
  <conditionalFormatting sqref="D24:D36">
    <cfRule type="iconSet" priority="3">
      <iconSet iconSet="3Arrows">
        <cfvo type="percent" val="0"/>
        <cfvo type="percent" val="33"/>
        <cfvo type="percent" val="67"/>
      </iconSet>
    </cfRule>
  </conditionalFormatting>
  <conditionalFormatting sqref="D38:D45">
    <cfRule type="iconSet" priority="1">
      <iconSet iconSet="3Arrows">
        <cfvo type="percent" val="0"/>
        <cfvo type="percent" val="33"/>
        <cfvo type="percent" val="67"/>
      </iconSet>
    </cfRule>
  </conditionalFormatting>
  <dataValidations count="1">
    <dataValidation type="list" allowBlank="1" showInputMessage="1" showErrorMessage="1" sqref="P2" xr:uid="{5194BFE1-80DD-4D0E-B7F8-7B3CCE97CF1A}">
      <formula1>$B:$B</formula1>
    </dataValidation>
  </dataValidations>
  <pageMargins left="0.7" right="0.7" top="0.75" bottom="0.75" header="0.3" footer="0.3"/>
  <pageSetup orientation="portrait" r:id="rId1"/>
  <ignoredErrors>
    <ignoredError sqref="F23" 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266A7-E820-4ED8-B174-FEA4C003CCEA}">
  <dimension ref="A1:C41"/>
  <sheetViews>
    <sheetView topLeftCell="B1" zoomScale="80" zoomScaleNormal="80" workbookViewId="0">
      <selection activeCell="B39" sqref="B39"/>
    </sheetView>
  </sheetViews>
  <sheetFormatPr baseColWidth="10" defaultRowHeight="15" x14ac:dyDescent="0.25"/>
  <cols>
    <col min="1" max="1" width="0" hidden="1" customWidth="1"/>
    <col min="2" max="2" width="47.85546875" bestFit="1" customWidth="1"/>
    <col min="3" max="3" width="29.7109375" style="45" bestFit="1" customWidth="1"/>
  </cols>
  <sheetData>
    <row r="1" spans="1:3" ht="15.75" thickBot="1" x14ac:dyDescent="0.3">
      <c r="B1" s="43" t="s">
        <v>30</v>
      </c>
      <c r="C1" s="49" t="s">
        <v>137</v>
      </c>
    </row>
    <row r="2" spans="1:3" ht="16.5" thickBot="1" x14ac:dyDescent="0.3">
      <c r="A2">
        <v>20</v>
      </c>
      <c r="B2" s="36" t="s">
        <v>94</v>
      </c>
      <c r="C2" s="46">
        <f>IFERROR(VLOOKUP(A2,'Base venta C'!$E:$P,12,FALSE),"0")*1</f>
        <v>343887.46</v>
      </c>
    </row>
    <row r="3" spans="1:3" ht="16.5" thickBot="1" x14ac:dyDescent="0.3">
      <c r="A3">
        <v>19</v>
      </c>
      <c r="B3" s="36" t="s">
        <v>93</v>
      </c>
      <c r="C3" s="46">
        <f>IFERROR(VLOOKUP(A3,'Base venta C'!$E:$P,12,FALSE),"0")*1</f>
        <v>365262.82</v>
      </c>
    </row>
    <row r="4" spans="1:3" ht="16.5" thickBot="1" x14ac:dyDescent="0.3">
      <c r="A4">
        <v>16</v>
      </c>
      <c r="B4" s="36" t="s">
        <v>91</v>
      </c>
      <c r="C4" s="46">
        <f>IFERROR(VLOOKUP(A4,'Base venta C'!$E:$P,12,FALSE),"0")*1</f>
        <v>271002.40000000002</v>
      </c>
    </row>
    <row r="5" spans="1:3" ht="16.5" thickBot="1" x14ac:dyDescent="0.3">
      <c r="A5">
        <v>12</v>
      </c>
      <c r="B5" s="36" t="s">
        <v>89</v>
      </c>
      <c r="C5" s="46">
        <f>IFERROR(VLOOKUP(A5,'Base venta C'!$E:$P,12,FALSE),"0")*1</f>
        <v>284624.48</v>
      </c>
    </row>
    <row r="6" spans="1:3" ht="16.5" thickBot="1" x14ac:dyDescent="0.3">
      <c r="A6">
        <v>11</v>
      </c>
      <c r="B6" s="36" t="s">
        <v>88</v>
      </c>
      <c r="C6" s="46">
        <f>IFERROR(VLOOKUP(A6,'Base venta C'!$E:$P,12,FALSE),"0")*1</f>
        <v>166886.04999999999</v>
      </c>
    </row>
    <row r="7" spans="1:3" ht="16.5" thickBot="1" x14ac:dyDescent="0.3">
      <c r="A7">
        <v>8</v>
      </c>
      <c r="B7" s="36" t="s">
        <v>85</v>
      </c>
      <c r="C7" s="46">
        <f>IFERROR(VLOOKUP(A7,'Base venta C'!$E:$P,12,FALSE),"0")*1</f>
        <v>284846.64</v>
      </c>
    </row>
    <row r="8" spans="1:3" ht="16.5" thickBot="1" x14ac:dyDescent="0.3">
      <c r="A8">
        <v>5</v>
      </c>
      <c r="B8" s="36" t="s">
        <v>84</v>
      </c>
      <c r="C8" s="46">
        <f>IFERROR(VLOOKUP(A8,'Base venta C'!$E:$P,12,FALSE),"0")*1</f>
        <v>322216.7</v>
      </c>
    </row>
    <row r="9" spans="1:3" ht="15.75" x14ac:dyDescent="0.25">
      <c r="A9">
        <v>4</v>
      </c>
      <c r="B9" s="36" t="s">
        <v>83</v>
      </c>
      <c r="C9" s="46">
        <f>IFERROR(VLOOKUP(A9,'Base venta C'!$E:$P,12,FALSE),"0")*1</f>
        <v>875228.78</v>
      </c>
    </row>
    <row r="10" spans="1:3" ht="16.5" thickBot="1" x14ac:dyDescent="0.3">
      <c r="B10" s="18" t="s">
        <v>51</v>
      </c>
      <c r="C10" s="50"/>
    </row>
    <row r="11" spans="1:3" ht="16.5" thickBot="1" x14ac:dyDescent="0.3">
      <c r="A11">
        <v>22</v>
      </c>
      <c r="B11" s="36" t="s">
        <v>96</v>
      </c>
      <c r="C11" s="46">
        <f>IFERROR(VLOOKUP(A11,'Base venta C'!$E:$P,12,FALSE),"0")*1</f>
        <v>270784.37</v>
      </c>
    </row>
    <row r="12" spans="1:3" ht="16.5" thickBot="1" x14ac:dyDescent="0.3">
      <c r="A12">
        <v>49</v>
      </c>
      <c r="B12" s="36" t="s">
        <v>106</v>
      </c>
      <c r="C12" s="46">
        <f>IFERROR(VLOOKUP(A12,'Base venta C'!$E:$P,12,FALSE),"0")*1</f>
        <v>76349.440000000002</v>
      </c>
    </row>
    <row r="13" spans="1:3" ht="16.5" thickBot="1" x14ac:dyDescent="0.3">
      <c r="A13">
        <v>15</v>
      </c>
      <c r="B13" s="36" t="s">
        <v>90</v>
      </c>
      <c r="C13" s="46">
        <f>IFERROR(VLOOKUP(A13,'Base venta C'!$E:$P,12,FALSE),"0")*1</f>
        <v>1329007.27</v>
      </c>
    </row>
    <row r="14" spans="1:3" ht="16.5" thickBot="1" x14ac:dyDescent="0.3">
      <c r="A14">
        <v>52</v>
      </c>
      <c r="B14" s="36" t="s">
        <v>111</v>
      </c>
      <c r="C14" s="46">
        <f>IFERROR(VLOOKUP(A14,'Base venta C'!$E:$P,12,FALSE),"0")*1</f>
        <v>155315.73000000001</v>
      </c>
    </row>
    <row r="15" spans="1:3" ht="15.75" x14ac:dyDescent="0.25">
      <c r="A15">
        <v>53</v>
      </c>
      <c r="B15" s="36" t="s">
        <v>107</v>
      </c>
      <c r="C15" s="46">
        <f>IFERROR(VLOOKUP(A15,'Base venta C'!$E:$P,12,FALSE),"0")*1</f>
        <v>833691.44</v>
      </c>
    </row>
    <row r="16" spans="1:3" ht="16.5" thickBot="1" x14ac:dyDescent="0.3">
      <c r="B16" s="18" t="s">
        <v>52</v>
      </c>
      <c r="C16" s="50"/>
    </row>
    <row r="17" spans="1:3" ht="16.5" thickBot="1" x14ac:dyDescent="0.3">
      <c r="A17">
        <v>2</v>
      </c>
      <c r="B17" s="19" t="s">
        <v>81</v>
      </c>
      <c r="C17" s="46">
        <f>IFERROR(VLOOKUP(A17,'Base venta C'!$E:$P,12,FALSE),"0")*1</f>
        <v>355809.05</v>
      </c>
    </row>
    <row r="18" spans="1:3" ht="16.5" thickBot="1" x14ac:dyDescent="0.3">
      <c r="A18">
        <v>3</v>
      </c>
      <c r="B18" s="19" t="s">
        <v>82</v>
      </c>
      <c r="C18" s="46">
        <f>IFERROR(VLOOKUP(A18,'Base venta C'!$E:$P,12,FALSE),"0")*1</f>
        <v>461503.95</v>
      </c>
    </row>
    <row r="19" spans="1:3" ht="16.5" thickBot="1" x14ac:dyDescent="0.3">
      <c r="A19">
        <v>18</v>
      </c>
      <c r="B19" s="19" t="s">
        <v>92</v>
      </c>
      <c r="C19" s="46">
        <f>IFERROR(VLOOKUP(A19,'Base venta C'!$E:$P,12,FALSE),"0")*1</f>
        <v>465462.81</v>
      </c>
    </row>
    <row r="20" spans="1:3" ht="16.5" thickBot="1" x14ac:dyDescent="0.3">
      <c r="A20">
        <v>21</v>
      </c>
      <c r="B20" s="19" t="s">
        <v>95</v>
      </c>
      <c r="C20" s="46">
        <f>IFERROR(VLOOKUP(A20,'Base venta C'!$E:$P,12,FALSE),"0")*1</f>
        <v>300786.17</v>
      </c>
    </row>
    <row r="21" spans="1:3" ht="16.5" thickBot="1" x14ac:dyDescent="0.3">
      <c r="A21">
        <v>23</v>
      </c>
      <c r="B21" s="19" t="s">
        <v>97</v>
      </c>
      <c r="C21" s="46">
        <f>IFERROR(VLOOKUP(A21,'Base venta C'!$E:$P,12,FALSE),"0")*1</f>
        <v>517438.51</v>
      </c>
    </row>
    <row r="22" spans="1:3" ht="16.5" thickBot="1" x14ac:dyDescent="0.3">
      <c r="A22">
        <v>31</v>
      </c>
      <c r="B22" s="19" t="s">
        <v>100</v>
      </c>
      <c r="C22" s="46">
        <f>IFERROR(VLOOKUP(A22,'Base venta C'!$E:$P,12,FALSE),"0")*1</f>
        <v>346898.23</v>
      </c>
    </row>
    <row r="23" spans="1:3" ht="16.5" thickBot="1" x14ac:dyDescent="0.3">
      <c r="A23">
        <v>44</v>
      </c>
      <c r="B23" s="19" t="s">
        <v>105</v>
      </c>
      <c r="C23" s="46">
        <f>IFERROR(VLOOKUP(A23,'Base venta C'!$E:$P,12,FALSE),"0")*1</f>
        <v>475747.4</v>
      </c>
    </row>
    <row r="24" spans="1:3" ht="16.5" thickBot="1" x14ac:dyDescent="0.3">
      <c r="A24">
        <v>54</v>
      </c>
      <c r="B24" s="19" t="s">
        <v>108</v>
      </c>
      <c r="C24" s="46">
        <f>IFERROR(VLOOKUP(A24,'Base venta C'!$E:$P,12,FALSE),"0")*1</f>
        <v>394891.73</v>
      </c>
    </row>
    <row r="25" spans="1:3" ht="15.75" x14ac:dyDescent="0.25">
      <c r="A25">
        <v>56</v>
      </c>
      <c r="B25" s="19" t="s">
        <v>139</v>
      </c>
      <c r="C25" s="46">
        <f>IFERROR(VLOOKUP(A25,'Base venta C'!$E:$P,12,FALSE),"0")*1</f>
        <v>254599.35</v>
      </c>
    </row>
    <row r="26" spans="1:3" ht="16.5" thickBot="1" x14ac:dyDescent="0.3">
      <c r="B26" s="20" t="s">
        <v>38</v>
      </c>
      <c r="C26" s="50"/>
    </row>
    <row r="27" spans="1:3" ht="16.5" thickBot="1" x14ac:dyDescent="0.3">
      <c r="A27">
        <v>32</v>
      </c>
      <c r="B27" s="37" t="s">
        <v>101</v>
      </c>
      <c r="C27" s="46">
        <f>IFERROR(VLOOKUP(A27,'Base venta C'!$E:$P,12,FALSE),"0")*1</f>
        <v>357064.39</v>
      </c>
    </row>
    <row r="28" spans="1:3" ht="16.5" thickBot="1" x14ac:dyDescent="0.3">
      <c r="A28">
        <v>36</v>
      </c>
      <c r="B28" s="36" t="s">
        <v>102</v>
      </c>
      <c r="C28" s="46">
        <f>IFERROR(VLOOKUP(A28,'Base venta C'!$E:$P,12,FALSE),"0")*1</f>
        <v>228911.14</v>
      </c>
    </row>
    <row r="29" spans="1:3" ht="16.5" thickBot="1" x14ac:dyDescent="0.3">
      <c r="A29">
        <v>9</v>
      </c>
      <c r="B29" s="36" t="s">
        <v>86</v>
      </c>
      <c r="C29" s="46">
        <f>IFERROR(VLOOKUP(A29,'Base venta C'!$E:$P,12,FALSE),"0")*1</f>
        <v>449396.93</v>
      </c>
    </row>
    <row r="30" spans="1:3" ht="16.5" thickBot="1" x14ac:dyDescent="0.3">
      <c r="A30">
        <v>40</v>
      </c>
      <c r="B30" s="36" t="s">
        <v>104</v>
      </c>
      <c r="C30" s="46">
        <f>IFERROR(VLOOKUP(A30,'Base venta C'!$E:$P,12,FALSE),"0")*1</f>
        <v>259074.86</v>
      </c>
    </row>
    <row r="31" spans="1:3" ht="16.5" thickBot="1" x14ac:dyDescent="0.3">
      <c r="A31">
        <v>27</v>
      </c>
      <c r="B31" s="36" t="s">
        <v>98</v>
      </c>
      <c r="C31" s="46">
        <f>IFERROR(VLOOKUP(A31,'Base venta C'!$E:$P,12,FALSE),"0")*1</f>
        <v>315929.46999999997</v>
      </c>
    </row>
    <row r="32" spans="1:3" ht="16.5" thickBot="1" x14ac:dyDescent="0.3">
      <c r="A32">
        <v>10</v>
      </c>
      <c r="B32" s="36" t="s">
        <v>87</v>
      </c>
      <c r="C32" s="46">
        <f>IFERROR(VLOOKUP(A32,'Base venta C'!$E:$P,12,FALSE),"0")*1</f>
        <v>385757.33</v>
      </c>
    </row>
    <row r="33" spans="1:3" ht="16.5" thickBot="1" x14ac:dyDescent="0.3">
      <c r="A33">
        <v>28</v>
      </c>
      <c r="B33" s="36" t="s">
        <v>99</v>
      </c>
      <c r="C33" s="46">
        <f>IFERROR(VLOOKUP(A33,'Base venta C'!$E:$P,12,FALSE),"0")*1</f>
        <v>216785.26</v>
      </c>
    </row>
    <row r="34" spans="1:3" ht="16.5" thickBot="1" x14ac:dyDescent="0.3">
      <c r="A34">
        <v>33</v>
      </c>
      <c r="B34" s="36" t="s">
        <v>138</v>
      </c>
      <c r="C34" s="46">
        <f>IFERROR(VLOOKUP(A34,'Base venta C'!$E:$P,12,FALSE),"0")*1</f>
        <v>218111.24</v>
      </c>
    </row>
    <row r="35" spans="1:3" ht="16.5" thickBot="1" x14ac:dyDescent="0.3">
      <c r="A35">
        <v>37</v>
      </c>
      <c r="B35" s="19" t="s">
        <v>103</v>
      </c>
      <c r="C35" s="46">
        <f>IFERROR(VLOOKUP(A35,'Base venta C'!$E:$P,12,FALSE),"0")*1</f>
        <v>160532.76</v>
      </c>
    </row>
    <row r="36" spans="1:3" ht="16.5" thickBot="1" x14ac:dyDescent="0.3">
      <c r="A36">
        <v>24</v>
      </c>
      <c r="B36" s="36" t="s">
        <v>112</v>
      </c>
      <c r="C36" s="46">
        <f>IFERROR(VLOOKUP(A36,'Base venta C'!$E:$P,12,FALSE),"0")*1</f>
        <v>294217.65999999997</v>
      </c>
    </row>
    <row r="37" spans="1:3" ht="16.5" thickBot="1" x14ac:dyDescent="0.3">
      <c r="A37">
        <v>7</v>
      </c>
      <c r="B37" s="36" t="s">
        <v>110</v>
      </c>
      <c r="C37" s="46">
        <f>IFERROR(VLOOKUP(A37,'Base venta C'!$E:$P,12,FALSE),"0")*1</f>
        <v>264122.84999999998</v>
      </c>
    </row>
    <row r="38" spans="1:3" ht="16.5" thickBot="1" x14ac:dyDescent="0.3">
      <c r="A38">
        <v>57</v>
      </c>
      <c r="B38" s="36" t="s">
        <v>109</v>
      </c>
      <c r="C38" s="46">
        <f>IFERROR(VLOOKUP(A38,'Base venta C'!$E:$P,12,FALSE),"0")*1</f>
        <v>62179.29</v>
      </c>
    </row>
    <row r="39" spans="1:3" ht="15.75" x14ac:dyDescent="0.25">
      <c r="A39">
        <v>1</v>
      </c>
      <c r="B39" s="36" t="s">
        <v>80</v>
      </c>
      <c r="C39" s="46">
        <f>IFERROR(VLOOKUP(A39,'Base venta C'!$E:$P,12,FALSE),"0")*1</f>
        <v>1671221.44</v>
      </c>
    </row>
    <row r="40" spans="1:3" ht="16.5" thickBot="1" x14ac:dyDescent="0.3">
      <c r="B40" s="3" t="s">
        <v>215</v>
      </c>
      <c r="C40" s="44"/>
    </row>
    <row r="41" spans="1:3" ht="15.75" x14ac:dyDescent="0.25">
      <c r="B41" s="48" t="s">
        <v>42</v>
      </c>
      <c r="C41" s="4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E1D482-9307-4314-B956-19CB7F4A5E07}">
  <dimension ref="A1:I416"/>
  <sheetViews>
    <sheetView workbookViewId="0">
      <selection activeCell="F2" sqref="F2:I416"/>
    </sheetView>
  </sheetViews>
  <sheetFormatPr baseColWidth="10" defaultRowHeight="15" x14ac:dyDescent="0.25"/>
  <cols>
    <col min="1" max="1" width="23.7109375" bestFit="1" customWidth="1"/>
    <col min="6" max="6" width="29.42578125" bestFit="1" customWidth="1"/>
  </cols>
  <sheetData>
    <row r="1" spans="1:9" x14ac:dyDescent="0.25">
      <c r="A1" t="s">
        <v>140</v>
      </c>
      <c r="F1" t="s">
        <v>141</v>
      </c>
    </row>
    <row r="2" spans="1:9" x14ac:dyDescent="0.25">
      <c r="A2" t="s">
        <v>76</v>
      </c>
      <c r="B2" t="s">
        <v>77</v>
      </c>
      <c r="C2" t="s">
        <v>78</v>
      </c>
      <c r="F2" t="s">
        <v>76</v>
      </c>
      <c r="G2" t="s">
        <v>73</v>
      </c>
      <c r="H2" t="s">
        <v>77</v>
      </c>
      <c r="I2" t="s">
        <v>78</v>
      </c>
    </row>
    <row r="3" spans="1:9" x14ac:dyDescent="0.25">
      <c r="B3" s="51">
        <v>10</v>
      </c>
      <c r="C3" s="51">
        <v>3577</v>
      </c>
      <c r="G3" t="s">
        <v>277</v>
      </c>
      <c r="H3" s="51">
        <v>6</v>
      </c>
      <c r="I3" s="51">
        <v>3577</v>
      </c>
    </row>
    <row r="4" spans="1:9" x14ac:dyDescent="0.25">
      <c r="A4">
        <v>1</v>
      </c>
      <c r="B4" s="51">
        <v>104</v>
      </c>
      <c r="C4" s="51">
        <v>117</v>
      </c>
      <c r="G4" t="s">
        <v>278</v>
      </c>
      <c r="H4">
        <v>2</v>
      </c>
      <c r="I4" s="51">
        <v>3577</v>
      </c>
    </row>
    <row r="5" spans="1:9" x14ac:dyDescent="0.25">
      <c r="A5">
        <v>10</v>
      </c>
      <c r="B5" s="51">
        <v>132</v>
      </c>
      <c r="C5" s="51">
        <v>186</v>
      </c>
      <c r="G5" t="s">
        <v>279</v>
      </c>
      <c r="H5" s="51">
        <v>3</v>
      </c>
      <c r="I5" s="51">
        <v>3577</v>
      </c>
    </row>
    <row r="6" spans="1:9" x14ac:dyDescent="0.25">
      <c r="A6">
        <v>100</v>
      </c>
      <c r="B6" s="51">
        <v>44</v>
      </c>
      <c r="C6" s="51">
        <v>2033</v>
      </c>
      <c r="G6" t="s">
        <v>280</v>
      </c>
      <c r="H6" s="51">
        <v>2</v>
      </c>
      <c r="I6" s="51">
        <v>3577</v>
      </c>
    </row>
    <row r="7" spans="1:9" x14ac:dyDescent="0.25">
      <c r="A7">
        <v>11</v>
      </c>
      <c r="B7" s="51">
        <v>140</v>
      </c>
      <c r="C7" s="51">
        <v>170</v>
      </c>
      <c r="G7" t="s">
        <v>281</v>
      </c>
      <c r="H7" s="51">
        <v>6</v>
      </c>
      <c r="I7" s="51">
        <v>3577</v>
      </c>
    </row>
    <row r="8" spans="1:9" x14ac:dyDescent="0.25">
      <c r="A8">
        <v>12</v>
      </c>
      <c r="B8" s="51">
        <v>190</v>
      </c>
      <c r="C8" s="51">
        <v>214</v>
      </c>
      <c r="G8" t="s">
        <v>282</v>
      </c>
      <c r="H8" s="51">
        <v>4</v>
      </c>
      <c r="I8" s="51">
        <v>3577</v>
      </c>
    </row>
    <row r="9" spans="1:9" x14ac:dyDescent="0.25">
      <c r="A9">
        <v>123</v>
      </c>
      <c r="B9" s="51">
        <v>38</v>
      </c>
      <c r="C9" s="51">
        <v>488</v>
      </c>
      <c r="G9" t="s">
        <v>283</v>
      </c>
      <c r="H9" s="51">
        <v>2</v>
      </c>
      <c r="I9" s="51">
        <v>3577</v>
      </c>
    </row>
    <row r="10" spans="1:9" x14ac:dyDescent="0.25">
      <c r="A10">
        <v>15</v>
      </c>
      <c r="B10" s="51">
        <v>52</v>
      </c>
      <c r="C10" s="51">
        <v>65</v>
      </c>
      <c r="G10" t="s">
        <v>284</v>
      </c>
      <c r="I10" s="51">
        <v>3577</v>
      </c>
    </row>
    <row r="11" spans="1:9" x14ac:dyDescent="0.25">
      <c r="A11">
        <v>16</v>
      </c>
      <c r="B11" s="51">
        <v>170</v>
      </c>
      <c r="C11" s="51">
        <v>199</v>
      </c>
      <c r="G11" t="s">
        <v>285</v>
      </c>
      <c r="H11" s="51">
        <v>1</v>
      </c>
      <c r="I11" s="51">
        <v>3577</v>
      </c>
    </row>
    <row r="12" spans="1:9" x14ac:dyDescent="0.25">
      <c r="A12">
        <v>18</v>
      </c>
      <c r="B12" s="51">
        <v>158</v>
      </c>
      <c r="C12" s="51">
        <v>180</v>
      </c>
      <c r="E12">
        <f>+F12</f>
        <v>1</v>
      </c>
      <c r="F12">
        <v>1</v>
      </c>
      <c r="G12" t="s">
        <v>277</v>
      </c>
      <c r="H12">
        <v>48</v>
      </c>
      <c r="I12" s="51">
        <v>117</v>
      </c>
    </row>
    <row r="13" spans="1:9" x14ac:dyDescent="0.25">
      <c r="A13">
        <v>19</v>
      </c>
      <c r="B13" s="51">
        <v>183</v>
      </c>
      <c r="C13" s="51">
        <v>209</v>
      </c>
      <c r="E13">
        <f>+$E$12</f>
        <v>1</v>
      </c>
      <c r="G13" t="s">
        <v>278</v>
      </c>
      <c r="H13" s="51">
        <v>47</v>
      </c>
      <c r="I13" s="51">
        <v>117</v>
      </c>
    </row>
    <row r="14" spans="1:9" x14ac:dyDescent="0.25">
      <c r="A14">
        <v>2</v>
      </c>
      <c r="B14" s="51">
        <v>95</v>
      </c>
      <c r="C14" s="51">
        <v>119</v>
      </c>
      <c r="E14">
        <f t="shared" ref="E14:E20" si="0">+$E$12</f>
        <v>1</v>
      </c>
      <c r="G14" t="s">
        <v>279</v>
      </c>
      <c r="H14" s="51">
        <v>51</v>
      </c>
      <c r="I14" s="51">
        <v>117</v>
      </c>
    </row>
    <row r="15" spans="1:9" x14ac:dyDescent="0.25">
      <c r="A15">
        <v>20</v>
      </c>
      <c r="B15" s="51">
        <v>207</v>
      </c>
      <c r="C15" s="51">
        <v>228</v>
      </c>
      <c r="E15">
        <f t="shared" si="0"/>
        <v>1</v>
      </c>
      <c r="G15" t="s">
        <v>280</v>
      </c>
      <c r="H15" s="51">
        <v>42</v>
      </c>
      <c r="I15" s="51">
        <v>117</v>
      </c>
    </row>
    <row r="16" spans="1:9" x14ac:dyDescent="0.25">
      <c r="A16">
        <v>21</v>
      </c>
      <c r="B16" s="51">
        <v>149</v>
      </c>
      <c r="C16" s="51">
        <v>166</v>
      </c>
      <c r="E16">
        <f t="shared" si="0"/>
        <v>1</v>
      </c>
      <c r="G16" t="s">
        <v>281</v>
      </c>
      <c r="H16" s="51">
        <v>66</v>
      </c>
      <c r="I16" s="51">
        <v>117</v>
      </c>
    </row>
    <row r="17" spans="1:9" x14ac:dyDescent="0.25">
      <c r="A17">
        <v>22</v>
      </c>
      <c r="B17" s="51">
        <v>70</v>
      </c>
      <c r="C17" s="51">
        <v>79</v>
      </c>
      <c r="E17">
        <f t="shared" si="0"/>
        <v>1</v>
      </c>
      <c r="G17" t="s">
        <v>282</v>
      </c>
      <c r="H17" s="51">
        <v>58</v>
      </c>
      <c r="I17" s="51">
        <v>117</v>
      </c>
    </row>
    <row r="18" spans="1:9" x14ac:dyDescent="0.25">
      <c r="A18">
        <v>23</v>
      </c>
      <c r="B18" s="51">
        <v>129</v>
      </c>
      <c r="C18" s="51">
        <v>155</v>
      </c>
      <c r="E18">
        <f t="shared" si="0"/>
        <v>1</v>
      </c>
      <c r="G18" t="s">
        <v>283</v>
      </c>
      <c r="H18" s="51">
        <v>28</v>
      </c>
      <c r="I18" s="51">
        <v>117</v>
      </c>
    </row>
    <row r="19" spans="1:9" x14ac:dyDescent="0.25">
      <c r="A19">
        <v>24</v>
      </c>
      <c r="B19" s="51">
        <v>118</v>
      </c>
      <c r="C19" s="51">
        <v>184</v>
      </c>
      <c r="E19">
        <f t="shared" si="0"/>
        <v>1</v>
      </c>
      <c r="G19" t="s">
        <v>284</v>
      </c>
      <c r="H19" s="51">
        <v>33</v>
      </c>
      <c r="I19" s="51">
        <v>117</v>
      </c>
    </row>
    <row r="20" spans="1:9" x14ac:dyDescent="0.25">
      <c r="A20">
        <v>25</v>
      </c>
      <c r="B20" s="51">
        <v>85</v>
      </c>
      <c r="C20" s="51">
        <v>174</v>
      </c>
      <c r="E20">
        <f t="shared" si="0"/>
        <v>1</v>
      </c>
      <c r="G20" t="s">
        <v>285</v>
      </c>
      <c r="H20">
        <v>40</v>
      </c>
      <c r="I20" s="51">
        <v>117</v>
      </c>
    </row>
    <row r="21" spans="1:9" x14ac:dyDescent="0.25">
      <c r="A21">
        <v>26</v>
      </c>
      <c r="B21" s="51">
        <v>77</v>
      </c>
      <c r="C21" s="51">
        <v>168</v>
      </c>
      <c r="E21">
        <f>+$F$21</f>
        <v>10</v>
      </c>
      <c r="F21">
        <v>10</v>
      </c>
      <c r="G21" t="s">
        <v>277</v>
      </c>
      <c r="H21" s="51">
        <v>29</v>
      </c>
      <c r="I21" s="51">
        <v>186</v>
      </c>
    </row>
    <row r="22" spans="1:9" x14ac:dyDescent="0.25">
      <c r="A22">
        <v>27</v>
      </c>
      <c r="B22" s="51">
        <v>127</v>
      </c>
      <c r="C22" s="51">
        <v>131</v>
      </c>
      <c r="E22">
        <f t="shared" ref="E22:E29" si="1">+$F$21</f>
        <v>10</v>
      </c>
      <c r="G22" t="s">
        <v>278</v>
      </c>
      <c r="H22" s="51">
        <v>29</v>
      </c>
      <c r="I22" s="51">
        <v>186</v>
      </c>
    </row>
    <row r="23" spans="1:9" x14ac:dyDescent="0.25">
      <c r="A23">
        <v>28</v>
      </c>
      <c r="B23" s="51">
        <v>148</v>
      </c>
      <c r="C23" s="51">
        <v>168</v>
      </c>
      <c r="E23">
        <f t="shared" si="1"/>
        <v>10</v>
      </c>
      <c r="G23" t="s">
        <v>279</v>
      </c>
      <c r="H23" s="51">
        <v>76</v>
      </c>
      <c r="I23" s="51">
        <v>186</v>
      </c>
    </row>
    <row r="24" spans="1:9" x14ac:dyDescent="0.25">
      <c r="A24">
        <v>3</v>
      </c>
      <c r="B24" s="51">
        <v>155</v>
      </c>
      <c r="C24" s="51">
        <v>170</v>
      </c>
      <c r="E24">
        <f t="shared" si="1"/>
        <v>10</v>
      </c>
      <c r="G24" t="s">
        <v>280</v>
      </c>
      <c r="H24" s="51">
        <v>69</v>
      </c>
      <c r="I24" s="51">
        <v>186</v>
      </c>
    </row>
    <row r="25" spans="1:9" x14ac:dyDescent="0.25">
      <c r="A25">
        <v>30</v>
      </c>
      <c r="B25" s="51">
        <v>30</v>
      </c>
      <c r="C25" s="51">
        <v>122</v>
      </c>
      <c r="E25">
        <f t="shared" si="1"/>
        <v>10</v>
      </c>
      <c r="G25" t="s">
        <v>281</v>
      </c>
      <c r="H25" s="51">
        <v>66</v>
      </c>
      <c r="I25" s="51">
        <v>186</v>
      </c>
    </row>
    <row r="26" spans="1:9" x14ac:dyDescent="0.25">
      <c r="A26">
        <v>31</v>
      </c>
      <c r="B26" s="51">
        <v>126</v>
      </c>
      <c r="C26" s="51">
        <v>160</v>
      </c>
      <c r="E26">
        <f t="shared" si="1"/>
        <v>10</v>
      </c>
      <c r="G26" t="s">
        <v>282</v>
      </c>
      <c r="H26" s="51">
        <v>52</v>
      </c>
      <c r="I26" s="51">
        <v>186</v>
      </c>
    </row>
    <row r="27" spans="1:9" x14ac:dyDescent="0.25">
      <c r="A27">
        <v>32</v>
      </c>
      <c r="B27" s="51">
        <v>52</v>
      </c>
      <c r="C27" s="51">
        <v>58</v>
      </c>
      <c r="E27">
        <f t="shared" si="1"/>
        <v>10</v>
      </c>
      <c r="G27" t="s">
        <v>283</v>
      </c>
      <c r="H27" s="51">
        <v>21</v>
      </c>
      <c r="I27" s="51">
        <v>186</v>
      </c>
    </row>
    <row r="28" spans="1:9" x14ac:dyDescent="0.25">
      <c r="A28">
        <v>33</v>
      </c>
      <c r="B28" s="51">
        <v>142</v>
      </c>
      <c r="C28" s="51">
        <v>167</v>
      </c>
      <c r="E28">
        <f t="shared" si="1"/>
        <v>10</v>
      </c>
      <c r="G28" t="s">
        <v>284</v>
      </c>
      <c r="H28" s="51">
        <v>22</v>
      </c>
      <c r="I28" s="51">
        <v>186</v>
      </c>
    </row>
    <row r="29" spans="1:9" x14ac:dyDescent="0.25">
      <c r="A29">
        <v>36</v>
      </c>
      <c r="B29" s="51">
        <v>119</v>
      </c>
      <c r="C29" s="51">
        <v>159</v>
      </c>
      <c r="E29">
        <f t="shared" si="1"/>
        <v>10</v>
      </c>
      <c r="G29" t="s">
        <v>285</v>
      </c>
      <c r="H29" s="51">
        <v>23</v>
      </c>
      <c r="I29" s="51">
        <v>186</v>
      </c>
    </row>
    <row r="30" spans="1:9" x14ac:dyDescent="0.25">
      <c r="A30">
        <v>37</v>
      </c>
      <c r="B30" s="51">
        <v>79</v>
      </c>
      <c r="C30" s="51">
        <v>144</v>
      </c>
      <c r="E30">
        <f>+$F$30</f>
        <v>100</v>
      </c>
      <c r="F30">
        <v>100</v>
      </c>
      <c r="G30" t="s">
        <v>277</v>
      </c>
      <c r="H30" s="51">
        <v>28</v>
      </c>
      <c r="I30" s="51">
        <v>2033</v>
      </c>
    </row>
    <row r="31" spans="1:9" x14ac:dyDescent="0.25">
      <c r="A31">
        <v>4</v>
      </c>
      <c r="B31" s="51">
        <v>157</v>
      </c>
      <c r="C31" s="51">
        <v>182</v>
      </c>
      <c r="E31">
        <f t="shared" ref="E31:E38" si="2">+$F$30</f>
        <v>100</v>
      </c>
      <c r="G31" t="s">
        <v>278</v>
      </c>
      <c r="H31" s="51">
        <v>24</v>
      </c>
      <c r="I31" s="51">
        <v>2033</v>
      </c>
    </row>
    <row r="32" spans="1:9" x14ac:dyDescent="0.25">
      <c r="A32">
        <v>40</v>
      </c>
      <c r="B32" s="51">
        <v>136</v>
      </c>
      <c r="C32" s="51">
        <v>222</v>
      </c>
      <c r="E32">
        <f t="shared" si="2"/>
        <v>100</v>
      </c>
      <c r="G32" t="s">
        <v>279</v>
      </c>
      <c r="H32" s="51">
        <v>22</v>
      </c>
      <c r="I32" s="51">
        <v>2033</v>
      </c>
    </row>
    <row r="33" spans="1:9" x14ac:dyDescent="0.25">
      <c r="A33">
        <v>42</v>
      </c>
      <c r="B33" s="51">
        <v>14</v>
      </c>
      <c r="C33" s="51">
        <v>52</v>
      </c>
      <c r="E33">
        <f t="shared" si="2"/>
        <v>100</v>
      </c>
      <c r="G33" t="s">
        <v>280</v>
      </c>
      <c r="H33" s="51">
        <v>14</v>
      </c>
      <c r="I33" s="51">
        <v>2033</v>
      </c>
    </row>
    <row r="34" spans="1:9" x14ac:dyDescent="0.25">
      <c r="A34">
        <v>43</v>
      </c>
      <c r="B34" s="51">
        <v>24</v>
      </c>
      <c r="C34" s="51">
        <v>93</v>
      </c>
      <c r="E34">
        <f t="shared" si="2"/>
        <v>100</v>
      </c>
      <c r="G34" t="s">
        <v>281</v>
      </c>
      <c r="H34" s="51">
        <v>27</v>
      </c>
      <c r="I34" s="51">
        <v>2033</v>
      </c>
    </row>
    <row r="35" spans="1:9" x14ac:dyDescent="0.25">
      <c r="A35">
        <v>44</v>
      </c>
      <c r="B35" s="51">
        <v>144</v>
      </c>
      <c r="C35" s="51">
        <v>169</v>
      </c>
      <c r="E35">
        <f t="shared" si="2"/>
        <v>100</v>
      </c>
      <c r="G35" t="s">
        <v>282</v>
      </c>
      <c r="H35" s="51">
        <v>21</v>
      </c>
      <c r="I35" s="51">
        <v>2033</v>
      </c>
    </row>
    <row r="36" spans="1:9" x14ac:dyDescent="0.25">
      <c r="A36">
        <v>49</v>
      </c>
      <c r="B36" s="51">
        <v>102</v>
      </c>
      <c r="C36" s="51">
        <v>245</v>
      </c>
      <c r="E36">
        <f t="shared" si="2"/>
        <v>100</v>
      </c>
      <c r="G36" t="s">
        <v>283</v>
      </c>
      <c r="H36" s="51">
        <v>23</v>
      </c>
      <c r="I36" s="51">
        <v>2033</v>
      </c>
    </row>
    <row r="37" spans="1:9" x14ac:dyDescent="0.25">
      <c r="A37">
        <v>5</v>
      </c>
      <c r="B37" s="51">
        <v>237</v>
      </c>
      <c r="C37" s="51">
        <v>262</v>
      </c>
      <c r="E37">
        <f t="shared" si="2"/>
        <v>100</v>
      </c>
      <c r="G37" t="s">
        <v>284</v>
      </c>
      <c r="H37" s="51">
        <v>10</v>
      </c>
      <c r="I37" s="51">
        <v>2033</v>
      </c>
    </row>
    <row r="38" spans="1:9" x14ac:dyDescent="0.25">
      <c r="A38">
        <v>52</v>
      </c>
      <c r="B38" s="51">
        <v>57</v>
      </c>
      <c r="C38" s="51">
        <v>104</v>
      </c>
      <c r="E38">
        <f t="shared" si="2"/>
        <v>100</v>
      </c>
      <c r="G38" t="s">
        <v>285</v>
      </c>
      <c r="H38" s="51">
        <v>4</v>
      </c>
      <c r="I38" s="51">
        <v>2033</v>
      </c>
    </row>
    <row r="39" spans="1:9" x14ac:dyDescent="0.25">
      <c r="A39">
        <v>53</v>
      </c>
      <c r="B39" s="51">
        <v>66</v>
      </c>
      <c r="C39" s="51">
        <v>105</v>
      </c>
      <c r="E39">
        <f>+$F$39</f>
        <v>11</v>
      </c>
      <c r="F39">
        <v>11</v>
      </c>
      <c r="G39" t="s">
        <v>277</v>
      </c>
      <c r="H39" s="51">
        <v>65</v>
      </c>
      <c r="I39" s="51">
        <v>170</v>
      </c>
    </row>
    <row r="40" spans="1:9" x14ac:dyDescent="0.25">
      <c r="A40">
        <v>54</v>
      </c>
      <c r="B40" s="51">
        <v>165</v>
      </c>
      <c r="C40" s="51">
        <v>200</v>
      </c>
      <c r="E40">
        <f t="shared" ref="E40:E47" si="3">+$F$39</f>
        <v>11</v>
      </c>
      <c r="G40" t="s">
        <v>278</v>
      </c>
      <c r="H40" s="51">
        <v>39</v>
      </c>
      <c r="I40" s="51">
        <v>170</v>
      </c>
    </row>
    <row r="41" spans="1:9" x14ac:dyDescent="0.25">
      <c r="A41">
        <v>56</v>
      </c>
      <c r="B41">
        <v>98</v>
      </c>
      <c r="C41" s="51">
        <v>200</v>
      </c>
      <c r="E41">
        <f t="shared" si="3"/>
        <v>11</v>
      </c>
      <c r="G41" t="s">
        <v>279</v>
      </c>
      <c r="H41" s="51">
        <v>93</v>
      </c>
      <c r="I41" s="51">
        <v>170</v>
      </c>
    </row>
    <row r="42" spans="1:9" x14ac:dyDescent="0.25">
      <c r="A42">
        <v>57</v>
      </c>
      <c r="B42" s="51">
        <v>42</v>
      </c>
      <c r="C42" s="51">
        <v>103</v>
      </c>
      <c r="E42">
        <f t="shared" si="3"/>
        <v>11</v>
      </c>
      <c r="G42" t="s">
        <v>280</v>
      </c>
      <c r="H42" s="51">
        <v>60</v>
      </c>
      <c r="I42" s="51">
        <v>170</v>
      </c>
    </row>
    <row r="43" spans="1:9" x14ac:dyDescent="0.25">
      <c r="A43">
        <v>58</v>
      </c>
      <c r="B43" s="51">
        <v>34</v>
      </c>
      <c r="C43" s="51">
        <v>123</v>
      </c>
      <c r="E43">
        <f t="shared" si="3"/>
        <v>11</v>
      </c>
      <c r="G43" t="s">
        <v>281</v>
      </c>
      <c r="H43" s="51">
        <v>109</v>
      </c>
      <c r="I43" s="51">
        <v>170</v>
      </c>
    </row>
    <row r="44" spans="1:9" x14ac:dyDescent="0.25">
      <c r="A44">
        <v>59</v>
      </c>
      <c r="B44" s="51">
        <v>62</v>
      </c>
      <c r="C44" s="51">
        <v>126</v>
      </c>
      <c r="E44">
        <f t="shared" si="3"/>
        <v>11</v>
      </c>
      <c r="G44" t="s">
        <v>282</v>
      </c>
      <c r="H44" s="51">
        <v>67</v>
      </c>
      <c r="I44" s="51">
        <v>170</v>
      </c>
    </row>
    <row r="45" spans="1:9" x14ac:dyDescent="0.25">
      <c r="A45">
        <v>60</v>
      </c>
      <c r="B45" s="51">
        <v>37</v>
      </c>
      <c r="C45" s="51">
        <v>66</v>
      </c>
      <c r="E45">
        <f t="shared" si="3"/>
        <v>11</v>
      </c>
      <c r="G45" t="s">
        <v>283</v>
      </c>
      <c r="H45" s="51">
        <v>15</v>
      </c>
      <c r="I45" s="51">
        <v>170</v>
      </c>
    </row>
    <row r="46" spans="1:9" x14ac:dyDescent="0.25">
      <c r="A46">
        <v>7</v>
      </c>
      <c r="B46" s="51">
        <v>17</v>
      </c>
      <c r="C46" s="51">
        <v>117</v>
      </c>
      <c r="E46">
        <f t="shared" si="3"/>
        <v>11</v>
      </c>
      <c r="G46" t="s">
        <v>284</v>
      </c>
      <c r="H46" s="51">
        <v>32</v>
      </c>
      <c r="I46" s="51">
        <v>170</v>
      </c>
    </row>
    <row r="47" spans="1:9" x14ac:dyDescent="0.25">
      <c r="A47">
        <v>8</v>
      </c>
      <c r="B47" s="51">
        <v>137</v>
      </c>
      <c r="C47" s="51">
        <v>198</v>
      </c>
      <c r="E47">
        <f t="shared" si="3"/>
        <v>11</v>
      </c>
      <c r="G47" t="s">
        <v>285</v>
      </c>
      <c r="H47" s="51">
        <v>24</v>
      </c>
      <c r="I47" s="51">
        <v>170</v>
      </c>
    </row>
    <row r="48" spans="1:9" x14ac:dyDescent="0.25">
      <c r="A48">
        <v>9</v>
      </c>
      <c r="B48" s="51">
        <v>135</v>
      </c>
      <c r="C48" s="51">
        <v>157</v>
      </c>
      <c r="E48">
        <f>+$F$48</f>
        <v>12</v>
      </c>
      <c r="F48">
        <v>12</v>
      </c>
      <c r="G48" t="s">
        <v>277</v>
      </c>
      <c r="H48" s="51">
        <v>72</v>
      </c>
      <c r="I48" s="51">
        <v>214</v>
      </c>
    </row>
    <row r="49" spans="2:9" x14ac:dyDescent="0.25">
      <c r="B49" s="35"/>
      <c r="C49" s="35"/>
      <c r="E49">
        <f t="shared" ref="E49:E56" si="4">+$F$48</f>
        <v>12</v>
      </c>
      <c r="G49" t="s">
        <v>278</v>
      </c>
      <c r="H49" s="51">
        <v>79</v>
      </c>
      <c r="I49" s="51">
        <v>214</v>
      </c>
    </row>
    <row r="50" spans="2:9" x14ac:dyDescent="0.25">
      <c r="E50">
        <f t="shared" si="4"/>
        <v>12</v>
      </c>
      <c r="G50" t="s">
        <v>279</v>
      </c>
      <c r="H50" s="51">
        <v>94</v>
      </c>
      <c r="I50" s="51">
        <v>214</v>
      </c>
    </row>
    <row r="51" spans="2:9" x14ac:dyDescent="0.25">
      <c r="E51">
        <f t="shared" si="4"/>
        <v>12</v>
      </c>
      <c r="G51" t="s">
        <v>280</v>
      </c>
      <c r="H51" s="51">
        <v>73</v>
      </c>
      <c r="I51" s="51">
        <v>214</v>
      </c>
    </row>
    <row r="52" spans="2:9" x14ac:dyDescent="0.25">
      <c r="E52">
        <f t="shared" si="4"/>
        <v>12</v>
      </c>
      <c r="G52" t="s">
        <v>281</v>
      </c>
      <c r="H52" s="51">
        <v>106</v>
      </c>
      <c r="I52" s="51">
        <v>214</v>
      </c>
    </row>
    <row r="53" spans="2:9" x14ac:dyDescent="0.25">
      <c r="E53">
        <f t="shared" si="4"/>
        <v>12</v>
      </c>
      <c r="G53" t="s">
        <v>282</v>
      </c>
      <c r="H53" s="51">
        <v>79</v>
      </c>
      <c r="I53" s="51">
        <v>214</v>
      </c>
    </row>
    <row r="54" spans="2:9" x14ac:dyDescent="0.25">
      <c r="E54">
        <f t="shared" si="4"/>
        <v>12</v>
      </c>
      <c r="G54" t="s">
        <v>283</v>
      </c>
      <c r="H54" s="51">
        <v>24</v>
      </c>
      <c r="I54" s="51">
        <v>214</v>
      </c>
    </row>
    <row r="55" spans="2:9" x14ac:dyDescent="0.25">
      <c r="E55">
        <f t="shared" si="4"/>
        <v>12</v>
      </c>
      <c r="G55" t="s">
        <v>284</v>
      </c>
      <c r="H55" s="51">
        <v>48</v>
      </c>
      <c r="I55" s="51">
        <v>214</v>
      </c>
    </row>
    <row r="56" spans="2:9" x14ac:dyDescent="0.25">
      <c r="E56">
        <f t="shared" si="4"/>
        <v>12</v>
      </c>
      <c r="G56" t="s">
        <v>285</v>
      </c>
      <c r="H56" s="51">
        <v>43</v>
      </c>
      <c r="I56" s="51">
        <v>214</v>
      </c>
    </row>
    <row r="57" spans="2:9" x14ac:dyDescent="0.25">
      <c r="E57">
        <f>+$F$57</f>
        <v>123</v>
      </c>
      <c r="F57">
        <v>123</v>
      </c>
      <c r="G57" t="s">
        <v>277</v>
      </c>
      <c r="H57" s="51">
        <v>23</v>
      </c>
      <c r="I57" s="51">
        <v>488</v>
      </c>
    </row>
    <row r="58" spans="2:9" x14ac:dyDescent="0.25">
      <c r="E58">
        <f t="shared" ref="E58:E65" si="5">+$F$57</f>
        <v>123</v>
      </c>
      <c r="G58" t="s">
        <v>278</v>
      </c>
      <c r="H58" s="51">
        <v>23</v>
      </c>
      <c r="I58" s="51">
        <v>488</v>
      </c>
    </row>
    <row r="59" spans="2:9" x14ac:dyDescent="0.25">
      <c r="E59">
        <f t="shared" si="5"/>
        <v>123</v>
      </c>
      <c r="G59" t="s">
        <v>279</v>
      </c>
      <c r="H59" s="51">
        <v>23</v>
      </c>
      <c r="I59" s="51">
        <v>488</v>
      </c>
    </row>
    <row r="60" spans="2:9" x14ac:dyDescent="0.25">
      <c r="E60">
        <f t="shared" si="5"/>
        <v>123</v>
      </c>
      <c r="G60" t="s">
        <v>280</v>
      </c>
      <c r="H60" s="51">
        <v>15</v>
      </c>
      <c r="I60" s="51">
        <v>488</v>
      </c>
    </row>
    <row r="61" spans="2:9" x14ac:dyDescent="0.25">
      <c r="E61">
        <f t="shared" si="5"/>
        <v>123</v>
      </c>
      <c r="G61" t="s">
        <v>281</v>
      </c>
      <c r="H61" s="51">
        <v>22</v>
      </c>
      <c r="I61" s="51">
        <v>488</v>
      </c>
    </row>
    <row r="62" spans="2:9" x14ac:dyDescent="0.25">
      <c r="E62">
        <f t="shared" si="5"/>
        <v>123</v>
      </c>
      <c r="G62" t="s">
        <v>282</v>
      </c>
      <c r="H62" s="51">
        <v>19</v>
      </c>
      <c r="I62" s="51">
        <v>488</v>
      </c>
    </row>
    <row r="63" spans="2:9" x14ac:dyDescent="0.25">
      <c r="E63">
        <f t="shared" si="5"/>
        <v>123</v>
      </c>
      <c r="G63" t="s">
        <v>283</v>
      </c>
      <c r="H63" s="51">
        <v>15</v>
      </c>
      <c r="I63" s="51">
        <v>488</v>
      </c>
    </row>
    <row r="64" spans="2:9" x14ac:dyDescent="0.25">
      <c r="E64">
        <f t="shared" si="5"/>
        <v>123</v>
      </c>
      <c r="G64" t="s">
        <v>284</v>
      </c>
      <c r="H64" s="51">
        <v>9</v>
      </c>
      <c r="I64" s="51">
        <v>488</v>
      </c>
    </row>
    <row r="65" spans="5:9" x14ac:dyDescent="0.25">
      <c r="E65">
        <f t="shared" si="5"/>
        <v>123</v>
      </c>
      <c r="G65" t="s">
        <v>285</v>
      </c>
      <c r="H65" s="51">
        <v>8</v>
      </c>
      <c r="I65" s="51">
        <v>488</v>
      </c>
    </row>
    <row r="66" spans="5:9" x14ac:dyDescent="0.25">
      <c r="E66">
        <f>+$F$66</f>
        <v>15</v>
      </c>
      <c r="F66">
        <v>15</v>
      </c>
      <c r="G66" t="s">
        <v>277</v>
      </c>
      <c r="H66" s="51">
        <v>33</v>
      </c>
      <c r="I66" s="51">
        <v>65</v>
      </c>
    </row>
    <row r="67" spans="5:9" x14ac:dyDescent="0.25">
      <c r="E67">
        <f t="shared" ref="E67:E74" si="6">+$F$66</f>
        <v>15</v>
      </c>
      <c r="G67" t="s">
        <v>278</v>
      </c>
      <c r="H67" s="51">
        <v>11</v>
      </c>
      <c r="I67" s="51">
        <v>65</v>
      </c>
    </row>
    <row r="68" spans="5:9" x14ac:dyDescent="0.25">
      <c r="E68">
        <f t="shared" si="6"/>
        <v>15</v>
      </c>
      <c r="G68" t="s">
        <v>279</v>
      </c>
      <c r="H68" s="51">
        <v>29</v>
      </c>
      <c r="I68" s="51">
        <v>65</v>
      </c>
    </row>
    <row r="69" spans="5:9" x14ac:dyDescent="0.25">
      <c r="E69">
        <f t="shared" si="6"/>
        <v>15</v>
      </c>
      <c r="G69" t="s">
        <v>280</v>
      </c>
      <c r="H69" s="51">
        <v>22</v>
      </c>
      <c r="I69" s="51">
        <v>65</v>
      </c>
    </row>
    <row r="70" spans="5:9" x14ac:dyDescent="0.25">
      <c r="E70">
        <f t="shared" si="6"/>
        <v>15</v>
      </c>
      <c r="G70" t="s">
        <v>281</v>
      </c>
      <c r="H70" s="51">
        <v>39</v>
      </c>
      <c r="I70" s="51">
        <v>65</v>
      </c>
    </row>
    <row r="71" spans="5:9" x14ac:dyDescent="0.25">
      <c r="E71">
        <f t="shared" si="6"/>
        <v>15</v>
      </c>
      <c r="G71" t="s">
        <v>282</v>
      </c>
      <c r="H71" s="51">
        <v>22</v>
      </c>
      <c r="I71" s="51">
        <v>65</v>
      </c>
    </row>
    <row r="72" spans="5:9" x14ac:dyDescent="0.25">
      <c r="E72">
        <f t="shared" si="6"/>
        <v>15</v>
      </c>
      <c r="G72" t="s">
        <v>283</v>
      </c>
      <c r="H72" s="51">
        <v>23</v>
      </c>
      <c r="I72" s="51">
        <v>65</v>
      </c>
    </row>
    <row r="73" spans="5:9" x14ac:dyDescent="0.25">
      <c r="E73">
        <f t="shared" si="6"/>
        <v>15</v>
      </c>
      <c r="G73" t="s">
        <v>284</v>
      </c>
      <c r="H73" s="51">
        <v>13</v>
      </c>
      <c r="I73" s="51">
        <v>65</v>
      </c>
    </row>
    <row r="74" spans="5:9" x14ac:dyDescent="0.25">
      <c r="E74">
        <f t="shared" si="6"/>
        <v>15</v>
      </c>
      <c r="G74" t="s">
        <v>285</v>
      </c>
      <c r="H74" s="51">
        <v>15</v>
      </c>
      <c r="I74" s="51">
        <v>65</v>
      </c>
    </row>
    <row r="75" spans="5:9" x14ac:dyDescent="0.25">
      <c r="E75">
        <f>+$F$75</f>
        <v>16</v>
      </c>
      <c r="F75">
        <v>16</v>
      </c>
      <c r="G75" t="s">
        <v>277</v>
      </c>
      <c r="H75" s="51">
        <v>54</v>
      </c>
      <c r="I75" s="51">
        <v>199</v>
      </c>
    </row>
    <row r="76" spans="5:9" x14ac:dyDescent="0.25">
      <c r="E76">
        <f t="shared" ref="E76:E83" si="7">+$F$75</f>
        <v>16</v>
      </c>
      <c r="G76" t="s">
        <v>278</v>
      </c>
      <c r="H76">
        <v>48</v>
      </c>
      <c r="I76" s="51">
        <v>199</v>
      </c>
    </row>
    <row r="77" spans="5:9" x14ac:dyDescent="0.25">
      <c r="E77">
        <f t="shared" si="7"/>
        <v>16</v>
      </c>
      <c r="G77" t="s">
        <v>279</v>
      </c>
      <c r="H77" s="51">
        <v>93</v>
      </c>
      <c r="I77" s="51">
        <v>199</v>
      </c>
    </row>
    <row r="78" spans="5:9" x14ac:dyDescent="0.25">
      <c r="E78">
        <f t="shared" si="7"/>
        <v>16</v>
      </c>
      <c r="G78" t="s">
        <v>280</v>
      </c>
      <c r="H78" s="51">
        <v>68</v>
      </c>
      <c r="I78" s="51">
        <v>199</v>
      </c>
    </row>
    <row r="79" spans="5:9" x14ac:dyDescent="0.25">
      <c r="E79">
        <f t="shared" si="7"/>
        <v>16</v>
      </c>
      <c r="G79" t="s">
        <v>281</v>
      </c>
      <c r="H79" s="51">
        <v>99</v>
      </c>
      <c r="I79" s="51">
        <v>199</v>
      </c>
    </row>
    <row r="80" spans="5:9" x14ac:dyDescent="0.25">
      <c r="E80">
        <f t="shared" si="7"/>
        <v>16</v>
      </c>
      <c r="G80" t="s">
        <v>282</v>
      </c>
      <c r="H80" s="51">
        <v>72</v>
      </c>
      <c r="I80" s="51">
        <v>199</v>
      </c>
    </row>
    <row r="81" spans="5:9" x14ac:dyDescent="0.25">
      <c r="E81">
        <f t="shared" si="7"/>
        <v>16</v>
      </c>
      <c r="G81" t="s">
        <v>283</v>
      </c>
      <c r="H81" s="51">
        <v>13</v>
      </c>
      <c r="I81" s="51">
        <v>199</v>
      </c>
    </row>
    <row r="82" spans="5:9" x14ac:dyDescent="0.25">
      <c r="E82">
        <f t="shared" si="7"/>
        <v>16</v>
      </c>
      <c r="G82" t="s">
        <v>284</v>
      </c>
      <c r="H82" s="51">
        <v>47</v>
      </c>
      <c r="I82" s="51">
        <v>199</v>
      </c>
    </row>
    <row r="83" spans="5:9" x14ac:dyDescent="0.25">
      <c r="E83">
        <f t="shared" si="7"/>
        <v>16</v>
      </c>
      <c r="G83" t="s">
        <v>285</v>
      </c>
      <c r="H83" s="51">
        <v>34</v>
      </c>
      <c r="I83" s="51">
        <v>199</v>
      </c>
    </row>
    <row r="84" spans="5:9" x14ac:dyDescent="0.25">
      <c r="E84">
        <f>+$F$84</f>
        <v>18</v>
      </c>
      <c r="F84">
        <v>18</v>
      </c>
      <c r="G84" t="s">
        <v>277</v>
      </c>
      <c r="H84" s="51">
        <v>62</v>
      </c>
      <c r="I84" s="51">
        <v>180</v>
      </c>
    </row>
    <row r="85" spans="5:9" x14ac:dyDescent="0.25">
      <c r="E85">
        <f t="shared" ref="E85:E92" si="8">+$F$84</f>
        <v>18</v>
      </c>
      <c r="G85" t="s">
        <v>278</v>
      </c>
      <c r="H85" s="51">
        <v>61</v>
      </c>
      <c r="I85" s="51">
        <v>180</v>
      </c>
    </row>
    <row r="86" spans="5:9" x14ac:dyDescent="0.25">
      <c r="E86">
        <f t="shared" si="8"/>
        <v>18</v>
      </c>
      <c r="G86" t="s">
        <v>279</v>
      </c>
      <c r="H86" s="51">
        <v>76</v>
      </c>
      <c r="I86" s="51">
        <v>180</v>
      </c>
    </row>
    <row r="87" spans="5:9" x14ac:dyDescent="0.25">
      <c r="E87">
        <f t="shared" si="8"/>
        <v>18</v>
      </c>
      <c r="G87" t="s">
        <v>280</v>
      </c>
      <c r="H87" s="51">
        <v>70</v>
      </c>
      <c r="I87" s="51">
        <v>180</v>
      </c>
    </row>
    <row r="88" spans="5:9" x14ac:dyDescent="0.25">
      <c r="E88">
        <f t="shared" si="8"/>
        <v>18</v>
      </c>
      <c r="G88" t="s">
        <v>281</v>
      </c>
      <c r="H88" s="51">
        <v>121</v>
      </c>
      <c r="I88" s="51">
        <v>180</v>
      </c>
    </row>
    <row r="89" spans="5:9" x14ac:dyDescent="0.25">
      <c r="E89">
        <f t="shared" si="8"/>
        <v>18</v>
      </c>
      <c r="G89" t="s">
        <v>282</v>
      </c>
      <c r="H89" s="51">
        <v>92</v>
      </c>
      <c r="I89" s="51">
        <v>180</v>
      </c>
    </row>
    <row r="90" spans="5:9" x14ac:dyDescent="0.25">
      <c r="E90">
        <f t="shared" si="8"/>
        <v>18</v>
      </c>
      <c r="G90" t="s">
        <v>283</v>
      </c>
      <c r="H90" s="51">
        <v>21</v>
      </c>
      <c r="I90" s="51">
        <v>180</v>
      </c>
    </row>
    <row r="91" spans="5:9" x14ac:dyDescent="0.25">
      <c r="E91">
        <f t="shared" si="8"/>
        <v>18</v>
      </c>
      <c r="G91" t="s">
        <v>284</v>
      </c>
      <c r="H91" s="51">
        <v>48</v>
      </c>
      <c r="I91" s="51">
        <v>180</v>
      </c>
    </row>
    <row r="92" spans="5:9" x14ac:dyDescent="0.25">
      <c r="E92">
        <f t="shared" si="8"/>
        <v>18</v>
      </c>
      <c r="G92" t="s">
        <v>285</v>
      </c>
      <c r="H92" s="51">
        <v>58</v>
      </c>
      <c r="I92" s="51">
        <v>180</v>
      </c>
    </row>
    <row r="93" spans="5:9" x14ac:dyDescent="0.25">
      <c r="E93">
        <f>+$F$93</f>
        <v>19</v>
      </c>
      <c r="F93">
        <v>19</v>
      </c>
      <c r="G93" t="s">
        <v>277</v>
      </c>
      <c r="H93" s="51">
        <v>62</v>
      </c>
      <c r="I93" s="51">
        <v>209</v>
      </c>
    </row>
    <row r="94" spans="5:9" x14ac:dyDescent="0.25">
      <c r="E94">
        <f t="shared" ref="E94:E101" si="9">+$F$93</f>
        <v>19</v>
      </c>
      <c r="G94" t="s">
        <v>278</v>
      </c>
      <c r="H94" s="51">
        <v>53</v>
      </c>
      <c r="I94" s="51">
        <v>209</v>
      </c>
    </row>
    <row r="95" spans="5:9" x14ac:dyDescent="0.25">
      <c r="E95">
        <f t="shared" si="9"/>
        <v>19</v>
      </c>
      <c r="G95" t="s">
        <v>279</v>
      </c>
      <c r="H95" s="51">
        <v>95</v>
      </c>
      <c r="I95" s="51">
        <v>209</v>
      </c>
    </row>
    <row r="96" spans="5:9" x14ac:dyDescent="0.25">
      <c r="E96">
        <f t="shared" si="9"/>
        <v>19</v>
      </c>
      <c r="G96" t="s">
        <v>280</v>
      </c>
      <c r="H96" s="51">
        <v>82</v>
      </c>
      <c r="I96" s="51">
        <v>209</v>
      </c>
    </row>
    <row r="97" spans="5:9" x14ac:dyDescent="0.25">
      <c r="E97">
        <f t="shared" si="9"/>
        <v>19</v>
      </c>
      <c r="G97" t="s">
        <v>281</v>
      </c>
      <c r="H97" s="51">
        <v>120</v>
      </c>
      <c r="I97" s="51">
        <v>209</v>
      </c>
    </row>
    <row r="98" spans="5:9" x14ac:dyDescent="0.25">
      <c r="E98">
        <f t="shared" si="9"/>
        <v>19</v>
      </c>
      <c r="G98" t="s">
        <v>282</v>
      </c>
      <c r="H98" s="51">
        <v>96</v>
      </c>
      <c r="I98" s="51">
        <v>209</v>
      </c>
    </row>
    <row r="99" spans="5:9" x14ac:dyDescent="0.25">
      <c r="E99">
        <f t="shared" si="9"/>
        <v>19</v>
      </c>
      <c r="G99" t="s">
        <v>283</v>
      </c>
      <c r="H99" s="51">
        <v>17</v>
      </c>
      <c r="I99" s="51">
        <v>209</v>
      </c>
    </row>
    <row r="100" spans="5:9" x14ac:dyDescent="0.25">
      <c r="E100">
        <f t="shared" si="9"/>
        <v>19</v>
      </c>
      <c r="G100" t="s">
        <v>284</v>
      </c>
      <c r="H100" s="51">
        <v>48</v>
      </c>
      <c r="I100" s="51">
        <v>209</v>
      </c>
    </row>
    <row r="101" spans="5:9" x14ac:dyDescent="0.25">
      <c r="E101">
        <f t="shared" si="9"/>
        <v>19</v>
      </c>
      <c r="G101" t="s">
        <v>285</v>
      </c>
      <c r="H101" s="51">
        <v>45</v>
      </c>
      <c r="I101" s="51">
        <v>209</v>
      </c>
    </row>
    <row r="102" spans="5:9" x14ac:dyDescent="0.25">
      <c r="E102">
        <f>+$F$102</f>
        <v>2</v>
      </c>
      <c r="F102">
        <v>2</v>
      </c>
      <c r="G102" t="s">
        <v>277</v>
      </c>
      <c r="H102" s="51">
        <v>28</v>
      </c>
      <c r="I102" s="51">
        <v>119</v>
      </c>
    </row>
    <row r="103" spans="5:9" x14ac:dyDescent="0.25">
      <c r="E103">
        <f t="shared" ref="E103:E110" si="10">+$F$102</f>
        <v>2</v>
      </c>
      <c r="G103" t="s">
        <v>278</v>
      </c>
      <c r="H103" s="51">
        <v>25</v>
      </c>
      <c r="I103" s="51">
        <v>119</v>
      </c>
    </row>
    <row r="104" spans="5:9" x14ac:dyDescent="0.25">
      <c r="E104">
        <f t="shared" si="10"/>
        <v>2</v>
      </c>
      <c r="G104" t="s">
        <v>279</v>
      </c>
      <c r="H104" s="51">
        <v>51</v>
      </c>
      <c r="I104" s="51">
        <v>119</v>
      </c>
    </row>
    <row r="105" spans="5:9" x14ac:dyDescent="0.25">
      <c r="E105">
        <f t="shared" si="10"/>
        <v>2</v>
      </c>
      <c r="G105" t="s">
        <v>280</v>
      </c>
      <c r="H105" s="51">
        <v>44</v>
      </c>
      <c r="I105" s="51">
        <v>119</v>
      </c>
    </row>
    <row r="106" spans="5:9" x14ac:dyDescent="0.25">
      <c r="E106">
        <f t="shared" si="10"/>
        <v>2</v>
      </c>
      <c r="G106" t="s">
        <v>281</v>
      </c>
      <c r="H106" s="51">
        <v>60</v>
      </c>
      <c r="I106" s="51">
        <v>119</v>
      </c>
    </row>
    <row r="107" spans="5:9" x14ac:dyDescent="0.25">
      <c r="E107">
        <f t="shared" si="10"/>
        <v>2</v>
      </c>
      <c r="G107" t="s">
        <v>282</v>
      </c>
      <c r="H107" s="51">
        <v>38</v>
      </c>
      <c r="I107" s="51">
        <v>119</v>
      </c>
    </row>
    <row r="108" spans="5:9" x14ac:dyDescent="0.25">
      <c r="E108">
        <f t="shared" si="10"/>
        <v>2</v>
      </c>
      <c r="G108" t="s">
        <v>283</v>
      </c>
      <c r="H108" s="51">
        <v>17</v>
      </c>
      <c r="I108" s="51">
        <v>119</v>
      </c>
    </row>
    <row r="109" spans="5:9" x14ac:dyDescent="0.25">
      <c r="E109">
        <f t="shared" si="10"/>
        <v>2</v>
      </c>
      <c r="G109" t="s">
        <v>284</v>
      </c>
      <c r="H109" s="51">
        <v>26</v>
      </c>
      <c r="I109" s="51">
        <v>119</v>
      </c>
    </row>
    <row r="110" spans="5:9" x14ac:dyDescent="0.25">
      <c r="E110">
        <f t="shared" si="10"/>
        <v>2</v>
      </c>
      <c r="G110" t="s">
        <v>285</v>
      </c>
      <c r="H110" s="51">
        <v>28</v>
      </c>
      <c r="I110" s="51">
        <v>119</v>
      </c>
    </row>
    <row r="111" spans="5:9" x14ac:dyDescent="0.25">
      <c r="E111">
        <f>+$F$111</f>
        <v>20</v>
      </c>
      <c r="F111">
        <v>20</v>
      </c>
      <c r="G111" t="s">
        <v>277</v>
      </c>
      <c r="H111" s="51">
        <v>76</v>
      </c>
      <c r="I111" s="51">
        <v>228</v>
      </c>
    </row>
    <row r="112" spans="5:9" x14ac:dyDescent="0.25">
      <c r="E112">
        <f t="shared" ref="E112:E119" si="11">+$F$111</f>
        <v>20</v>
      </c>
      <c r="G112" t="s">
        <v>278</v>
      </c>
      <c r="H112" s="51">
        <v>59</v>
      </c>
      <c r="I112" s="51">
        <v>228</v>
      </c>
    </row>
    <row r="113" spans="5:9" x14ac:dyDescent="0.25">
      <c r="E113">
        <f t="shared" si="11"/>
        <v>20</v>
      </c>
      <c r="G113" t="s">
        <v>279</v>
      </c>
      <c r="H113" s="51">
        <v>128</v>
      </c>
      <c r="I113" s="51">
        <v>228</v>
      </c>
    </row>
    <row r="114" spans="5:9" x14ac:dyDescent="0.25">
      <c r="E114">
        <f t="shared" si="11"/>
        <v>20</v>
      </c>
      <c r="G114" t="s">
        <v>280</v>
      </c>
      <c r="H114" s="51">
        <v>89</v>
      </c>
      <c r="I114" s="51">
        <v>228</v>
      </c>
    </row>
    <row r="115" spans="5:9" x14ac:dyDescent="0.25">
      <c r="E115">
        <f t="shared" si="11"/>
        <v>20</v>
      </c>
      <c r="G115" t="s">
        <v>281</v>
      </c>
      <c r="H115" s="51">
        <v>142</v>
      </c>
      <c r="I115" s="51">
        <v>228</v>
      </c>
    </row>
    <row r="116" spans="5:9" x14ac:dyDescent="0.25">
      <c r="E116">
        <f t="shared" si="11"/>
        <v>20</v>
      </c>
      <c r="G116" t="s">
        <v>282</v>
      </c>
      <c r="H116">
        <v>95</v>
      </c>
      <c r="I116" s="51">
        <v>228</v>
      </c>
    </row>
    <row r="117" spans="5:9" x14ac:dyDescent="0.25">
      <c r="E117">
        <f t="shared" si="11"/>
        <v>20</v>
      </c>
      <c r="G117" t="s">
        <v>283</v>
      </c>
      <c r="H117" s="51">
        <v>15</v>
      </c>
      <c r="I117" s="51">
        <v>228</v>
      </c>
    </row>
    <row r="118" spans="5:9" x14ac:dyDescent="0.25">
      <c r="E118">
        <f t="shared" si="11"/>
        <v>20</v>
      </c>
      <c r="G118" t="s">
        <v>284</v>
      </c>
      <c r="H118" s="51">
        <v>43</v>
      </c>
      <c r="I118" s="51">
        <v>228</v>
      </c>
    </row>
    <row r="119" spans="5:9" x14ac:dyDescent="0.25">
      <c r="E119">
        <f t="shared" si="11"/>
        <v>20</v>
      </c>
      <c r="G119" t="s">
        <v>285</v>
      </c>
      <c r="H119" s="51">
        <v>49</v>
      </c>
      <c r="I119" s="51">
        <v>228</v>
      </c>
    </row>
    <row r="120" spans="5:9" x14ac:dyDescent="0.25">
      <c r="E120">
        <f>+$F$120</f>
        <v>21</v>
      </c>
      <c r="F120">
        <v>21</v>
      </c>
      <c r="G120" t="s">
        <v>277</v>
      </c>
      <c r="H120" s="51">
        <v>79</v>
      </c>
      <c r="I120" s="51">
        <v>166</v>
      </c>
    </row>
    <row r="121" spans="5:9" x14ac:dyDescent="0.25">
      <c r="E121">
        <f t="shared" ref="E121:E128" si="12">+$F$120</f>
        <v>21</v>
      </c>
      <c r="G121" t="s">
        <v>278</v>
      </c>
      <c r="H121" s="51">
        <v>63</v>
      </c>
      <c r="I121" s="51">
        <v>166</v>
      </c>
    </row>
    <row r="122" spans="5:9" x14ac:dyDescent="0.25">
      <c r="E122">
        <f t="shared" si="12"/>
        <v>21</v>
      </c>
      <c r="G122" t="s">
        <v>279</v>
      </c>
      <c r="H122" s="51">
        <v>108</v>
      </c>
      <c r="I122" s="51">
        <v>166</v>
      </c>
    </row>
    <row r="123" spans="5:9" x14ac:dyDescent="0.25">
      <c r="E123">
        <f t="shared" si="12"/>
        <v>21</v>
      </c>
      <c r="G123" t="s">
        <v>280</v>
      </c>
      <c r="H123" s="51">
        <v>69</v>
      </c>
      <c r="I123" s="51">
        <v>166</v>
      </c>
    </row>
    <row r="124" spans="5:9" x14ac:dyDescent="0.25">
      <c r="E124">
        <f t="shared" si="12"/>
        <v>21</v>
      </c>
      <c r="G124" t="s">
        <v>281</v>
      </c>
      <c r="H124">
        <v>132</v>
      </c>
      <c r="I124" s="51">
        <v>166</v>
      </c>
    </row>
    <row r="125" spans="5:9" x14ac:dyDescent="0.25">
      <c r="E125">
        <f t="shared" si="12"/>
        <v>21</v>
      </c>
      <c r="G125" t="s">
        <v>282</v>
      </c>
      <c r="H125" s="51">
        <v>95</v>
      </c>
      <c r="I125" s="51">
        <v>166</v>
      </c>
    </row>
    <row r="126" spans="5:9" x14ac:dyDescent="0.25">
      <c r="E126">
        <f t="shared" si="12"/>
        <v>21</v>
      </c>
      <c r="G126" t="s">
        <v>283</v>
      </c>
      <c r="H126" s="51">
        <v>26</v>
      </c>
      <c r="I126" s="51">
        <v>166</v>
      </c>
    </row>
    <row r="127" spans="5:9" x14ac:dyDescent="0.25">
      <c r="E127">
        <f t="shared" si="12"/>
        <v>21</v>
      </c>
      <c r="G127" t="s">
        <v>284</v>
      </c>
      <c r="H127" s="51">
        <v>33</v>
      </c>
      <c r="I127" s="51">
        <v>166</v>
      </c>
    </row>
    <row r="128" spans="5:9" x14ac:dyDescent="0.25">
      <c r="E128">
        <f t="shared" si="12"/>
        <v>21</v>
      </c>
      <c r="G128" t="s">
        <v>285</v>
      </c>
      <c r="H128" s="51">
        <v>36</v>
      </c>
      <c r="I128" s="51">
        <v>166</v>
      </c>
    </row>
    <row r="129" spans="5:9" x14ac:dyDescent="0.25">
      <c r="E129">
        <f>+$F$129</f>
        <v>22</v>
      </c>
      <c r="F129">
        <v>22</v>
      </c>
      <c r="G129" t="s">
        <v>277</v>
      </c>
      <c r="H129" s="51">
        <v>56</v>
      </c>
      <c r="I129" s="51">
        <v>79</v>
      </c>
    </row>
    <row r="130" spans="5:9" x14ac:dyDescent="0.25">
      <c r="E130">
        <f t="shared" ref="E130:E137" si="13">+$F$129</f>
        <v>22</v>
      </c>
      <c r="G130" t="s">
        <v>278</v>
      </c>
      <c r="H130" s="51">
        <v>45</v>
      </c>
      <c r="I130" s="51">
        <v>79</v>
      </c>
    </row>
    <row r="131" spans="5:9" x14ac:dyDescent="0.25">
      <c r="E131">
        <f t="shared" si="13"/>
        <v>22</v>
      </c>
      <c r="G131" t="s">
        <v>279</v>
      </c>
      <c r="H131" s="51">
        <v>40</v>
      </c>
      <c r="I131" s="51">
        <v>79</v>
      </c>
    </row>
    <row r="132" spans="5:9" x14ac:dyDescent="0.25">
      <c r="E132">
        <f t="shared" si="13"/>
        <v>22</v>
      </c>
      <c r="G132" t="s">
        <v>280</v>
      </c>
      <c r="H132" s="51">
        <v>42</v>
      </c>
      <c r="I132" s="51">
        <v>79</v>
      </c>
    </row>
    <row r="133" spans="5:9" x14ac:dyDescent="0.25">
      <c r="E133">
        <f t="shared" si="13"/>
        <v>22</v>
      </c>
      <c r="G133" t="s">
        <v>281</v>
      </c>
      <c r="H133" s="51">
        <v>54</v>
      </c>
      <c r="I133" s="51">
        <v>79</v>
      </c>
    </row>
    <row r="134" spans="5:9" x14ac:dyDescent="0.25">
      <c r="E134">
        <f t="shared" si="13"/>
        <v>22</v>
      </c>
      <c r="G134" t="s">
        <v>282</v>
      </c>
      <c r="H134" s="51">
        <v>47</v>
      </c>
      <c r="I134" s="51">
        <v>79</v>
      </c>
    </row>
    <row r="135" spans="5:9" x14ac:dyDescent="0.25">
      <c r="E135">
        <f t="shared" si="13"/>
        <v>22</v>
      </c>
      <c r="G135" t="s">
        <v>283</v>
      </c>
      <c r="H135" s="51">
        <v>48</v>
      </c>
      <c r="I135" s="51">
        <v>79</v>
      </c>
    </row>
    <row r="136" spans="5:9" x14ac:dyDescent="0.25">
      <c r="E136">
        <f t="shared" si="13"/>
        <v>22</v>
      </c>
      <c r="G136" t="s">
        <v>284</v>
      </c>
      <c r="H136" s="51">
        <v>38</v>
      </c>
      <c r="I136" s="51">
        <v>79</v>
      </c>
    </row>
    <row r="137" spans="5:9" x14ac:dyDescent="0.25">
      <c r="E137">
        <f t="shared" si="13"/>
        <v>22</v>
      </c>
      <c r="G137" t="s">
        <v>285</v>
      </c>
      <c r="H137" s="51">
        <v>43</v>
      </c>
      <c r="I137" s="51">
        <v>79</v>
      </c>
    </row>
    <row r="138" spans="5:9" x14ac:dyDescent="0.25">
      <c r="E138">
        <f>+$F$138</f>
        <v>23</v>
      </c>
      <c r="F138">
        <v>23</v>
      </c>
      <c r="G138" t="s">
        <v>277</v>
      </c>
      <c r="H138" s="51">
        <v>58</v>
      </c>
      <c r="I138" s="51">
        <v>155</v>
      </c>
    </row>
    <row r="139" spans="5:9" x14ac:dyDescent="0.25">
      <c r="E139">
        <f t="shared" ref="E139:E146" si="14">+$F$138</f>
        <v>23</v>
      </c>
      <c r="G139" t="s">
        <v>278</v>
      </c>
      <c r="H139" s="51">
        <v>40</v>
      </c>
      <c r="I139" s="51">
        <v>155</v>
      </c>
    </row>
    <row r="140" spans="5:9" x14ac:dyDescent="0.25">
      <c r="E140">
        <f t="shared" si="14"/>
        <v>23</v>
      </c>
      <c r="G140" t="s">
        <v>279</v>
      </c>
      <c r="H140">
        <v>74</v>
      </c>
      <c r="I140" s="51">
        <v>155</v>
      </c>
    </row>
    <row r="141" spans="5:9" x14ac:dyDescent="0.25">
      <c r="E141">
        <f t="shared" si="14"/>
        <v>23</v>
      </c>
      <c r="G141" t="s">
        <v>280</v>
      </c>
      <c r="H141" s="51">
        <v>52</v>
      </c>
      <c r="I141" s="51">
        <v>155</v>
      </c>
    </row>
    <row r="142" spans="5:9" x14ac:dyDescent="0.25">
      <c r="E142">
        <f t="shared" si="14"/>
        <v>23</v>
      </c>
      <c r="G142" t="s">
        <v>281</v>
      </c>
      <c r="H142" s="51">
        <v>104</v>
      </c>
      <c r="I142" s="51">
        <v>155</v>
      </c>
    </row>
    <row r="143" spans="5:9" x14ac:dyDescent="0.25">
      <c r="E143">
        <f t="shared" si="14"/>
        <v>23</v>
      </c>
      <c r="G143" t="s">
        <v>282</v>
      </c>
      <c r="H143" s="51">
        <v>78</v>
      </c>
      <c r="I143" s="51">
        <v>155</v>
      </c>
    </row>
    <row r="144" spans="5:9" x14ac:dyDescent="0.25">
      <c r="E144">
        <f t="shared" si="14"/>
        <v>23</v>
      </c>
      <c r="G144" t="s">
        <v>283</v>
      </c>
      <c r="H144" s="51">
        <v>15</v>
      </c>
      <c r="I144" s="51">
        <v>155</v>
      </c>
    </row>
    <row r="145" spans="5:9" x14ac:dyDescent="0.25">
      <c r="E145">
        <f t="shared" si="14"/>
        <v>23</v>
      </c>
      <c r="G145" t="s">
        <v>284</v>
      </c>
      <c r="H145" s="51">
        <v>34</v>
      </c>
      <c r="I145" s="51">
        <v>155</v>
      </c>
    </row>
    <row r="146" spans="5:9" x14ac:dyDescent="0.25">
      <c r="E146">
        <f t="shared" si="14"/>
        <v>23</v>
      </c>
      <c r="G146" t="s">
        <v>285</v>
      </c>
      <c r="H146" s="51">
        <v>27</v>
      </c>
      <c r="I146" s="51">
        <v>155</v>
      </c>
    </row>
    <row r="147" spans="5:9" x14ac:dyDescent="0.25">
      <c r="E147">
        <f>+$F$147</f>
        <v>24</v>
      </c>
      <c r="F147">
        <v>24</v>
      </c>
      <c r="G147" t="s">
        <v>277</v>
      </c>
      <c r="H147" s="51">
        <v>36</v>
      </c>
      <c r="I147" s="51">
        <v>184</v>
      </c>
    </row>
    <row r="148" spans="5:9" x14ac:dyDescent="0.25">
      <c r="E148">
        <f t="shared" ref="E148:E155" si="15">+$F$147</f>
        <v>24</v>
      </c>
      <c r="G148" t="s">
        <v>278</v>
      </c>
      <c r="H148">
        <v>21</v>
      </c>
      <c r="I148" s="51">
        <v>184</v>
      </c>
    </row>
    <row r="149" spans="5:9" x14ac:dyDescent="0.25">
      <c r="E149">
        <f t="shared" si="15"/>
        <v>24</v>
      </c>
      <c r="G149" t="s">
        <v>279</v>
      </c>
      <c r="H149" s="51">
        <v>58</v>
      </c>
      <c r="I149" s="51">
        <v>184</v>
      </c>
    </row>
    <row r="150" spans="5:9" x14ac:dyDescent="0.25">
      <c r="E150">
        <f t="shared" si="15"/>
        <v>24</v>
      </c>
      <c r="G150" t="s">
        <v>280</v>
      </c>
      <c r="H150" s="51">
        <v>41</v>
      </c>
      <c r="I150" s="51">
        <v>184</v>
      </c>
    </row>
    <row r="151" spans="5:9" x14ac:dyDescent="0.25">
      <c r="E151">
        <f t="shared" si="15"/>
        <v>24</v>
      </c>
      <c r="G151" t="s">
        <v>281</v>
      </c>
      <c r="H151" s="51">
        <v>71</v>
      </c>
      <c r="I151" s="51">
        <v>184</v>
      </c>
    </row>
    <row r="152" spans="5:9" x14ac:dyDescent="0.25">
      <c r="E152">
        <f t="shared" si="15"/>
        <v>24</v>
      </c>
      <c r="G152" t="s">
        <v>282</v>
      </c>
      <c r="H152" s="51">
        <v>46</v>
      </c>
      <c r="I152" s="51">
        <v>184</v>
      </c>
    </row>
    <row r="153" spans="5:9" x14ac:dyDescent="0.25">
      <c r="E153">
        <f t="shared" si="15"/>
        <v>24</v>
      </c>
      <c r="G153" t="s">
        <v>283</v>
      </c>
      <c r="H153" s="51">
        <v>24</v>
      </c>
      <c r="I153" s="51">
        <v>184</v>
      </c>
    </row>
    <row r="154" spans="5:9" x14ac:dyDescent="0.25">
      <c r="E154">
        <f t="shared" si="15"/>
        <v>24</v>
      </c>
      <c r="G154" t="s">
        <v>284</v>
      </c>
      <c r="H154" s="51">
        <v>33</v>
      </c>
      <c r="I154" s="51">
        <v>184</v>
      </c>
    </row>
    <row r="155" spans="5:9" x14ac:dyDescent="0.25">
      <c r="E155">
        <f t="shared" si="15"/>
        <v>24</v>
      </c>
      <c r="G155" t="s">
        <v>285</v>
      </c>
      <c r="H155" s="51">
        <v>23</v>
      </c>
      <c r="I155" s="51">
        <v>184</v>
      </c>
    </row>
    <row r="156" spans="5:9" x14ac:dyDescent="0.25">
      <c r="E156">
        <f>+$F$156</f>
        <v>25</v>
      </c>
      <c r="F156">
        <v>25</v>
      </c>
      <c r="G156" t="s">
        <v>277</v>
      </c>
      <c r="H156" s="51">
        <v>49</v>
      </c>
      <c r="I156" s="51">
        <v>174</v>
      </c>
    </row>
    <row r="157" spans="5:9" x14ac:dyDescent="0.25">
      <c r="E157">
        <f t="shared" ref="E157:E164" si="16">+$F$156</f>
        <v>25</v>
      </c>
      <c r="G157" t="s">
        <v>278</v>
      </c>
      <c r="H157" s="51">
        <v>42</v>
      </c>
      <c r="I157" s="51">
        <v>174</v>
      </c>
    </row>
    <row r="158" spans="5:9" x14ac:dyDescent="0.25">
      <c r="E158">
        <f t="shared" si="16"/>
        <v>25</v>
      </c>
      <c r="G158" t="s">
        <v>279</v>
      </c>
      <c r="H158" s="51">
        <v>48</v>
      </c>
      <c r="I158" s="51">
        <v>174</v>
      </c>
    </row>
    <row r="159" spans="5:9" x14ac:dyDescent="0.25">
      <c r="E159">
        <f t="shared" si="16"/>
        <v>25</v>
      </c>
      <c r="G159" t="s">
        <v>280</v>
      </c>
      <c r="H159" s="51">
        <v>51</v>
      </c>
      <c r="I159" s="51">
        <v>174</v>
      </c>
    </row>
    <row r="160" spans="5:9" x14ac:dyDescent="0.25">
      <c r="E160">
        <f t="shared" si="16"/>
        <v>25</v>
      </c>
      <c r="G160" t="s">
        <v>281</v>
      </c>
      <c r="H160" s="51">
        <v>59</v>
      </c>
      <c r="I160" s="51">
        <v>174</v>
      </c>
    </row>
    <row r="161" spans="5:9" x14ac:dyDescent="0.25">
      <c r="E161">
        <f t="shared" si="16"/>
        <v>25</v>
      </c>
      <c r="G161" t="s">
        <v>282</v>
      </c>
      <c r="H161" s="51">
        <v>55</v>
      </c>
      <c r="I161" s="51">
        <v>174</v>
      </c>
    </row>
    <row r="162" spans="5:9" x14ac:dyDescent="0.25">
      <c r="E162">
        <f t="shared" si="16"/>
        <v>25</v>
      </c>
      <c r="G162" t="s">
        <v>283</v>
      </c>
      <c r="H162" s="51">
        <v>54</v>
      </c>
      <c r="I162" s="51">
        <v>174</v>
      </c>
    </row>
    <row r="163" spans="5:9" x14ac:dyDescent="0.25">
      <c r="E163">
        <f t="shared" si="16"/>
        <v>25</v>
      </c>
      <c r="G163" t="s">
        <v>284</v>
      </c>
      <c r="H163" s="51">
        <v>39</v>
      </c>
      <c r="I163" s="51">
        <v>174</v>
      </c>
    </row>
    <row r="164" spans="5:9" x14ac:dyDescent="0.25">
      <c r="E164">
        <f t="shared" si="16"/>
        <v>25</v>
      </c>
      <c r="G164" t="s">
        <v>285</v>
      </c>
      <c r="H164">
        <v>23</v>
      </c>
      <c r="I164" s="51">
        <v>174</v>
      </c>
    </row>
    <row r="165" spans="5:9" x14ac:dyDescent="0.25">
      <c r="E165">
        <f>+$F$165</f>
        <v>26</v>
      </c>
      <c r="F165">
        <v>26</v>
      </c>
      <c r="G165" t="s">
        <v>277</v>
      </c>
      <c r="H165" s="51">
        <v>41</v>
      </c>
      <c r="I165" s="51">
        <v>168</v>
      </c>
    </row>
    <row r="166" spans="5:9" x14ac:dyDescent="0.25">
      <c r="E166">
        <f t="shared" ref="E166:E173" si="17">+$F$165</f>
        <v>26</v>
      </c>
      <c r="G166" t="s">
        <v>278</v>
      </c>
      <c r="H166" s="51">
        <v>20</v>
      </c>
      <c r="I166" s="51">
        <v>168</v>
      </c>
    </row>
    <row r="167" spans="5:9" x14ac:dyDescent="0.25">
      <c r="E167">
        <f t="shared" si="17"/>
        <v>26</v>
      </c>
      <c r="G167" t="s">
        <v>279</v>
      </c>
      <c r="H167" s="51">
        <v>16</v>
      </c>
      <c r="I167" s="51">
        <v>168</v>
      </c>
    </row>
    <row r="168" spans="5:9" x14ac:dyDescent="0.25">
      <c r="E168">
        <f t="shared" si="17"/>
        <v>26</v>
      </c>
      <c r="G168" t="s">
        <v>280</v>
      </c>
      <c r="H168" s="51">
        <v>29</v>
      </c>
      <c r="I168" s="51">
        <v>168</v>
      </c>
    </row>
    <row r="169" spans="5:9" x14ac:dyDescent="0.25">
      <c r="E169">
        <f t="shared" si="17"/>
        <v>26</v>
      </c>
      <c r="G169" t="s">
        <v>281</v>
      </c>
      <c r="H169" s="51">
        <v>37</v>
      </c>
      <c r="I169" s="51">
        <v>168</v>
      </c>
    </row>
    <row r="170" spans="5:9" x14ac:dyDescent="0.25">
      <c r="E170">
        <f t="shared" si="17"/>
        <v>26</v>
      </c>
      <c r="G170" t="s">
        <v>282</v>
      </c>
      <c r="H170" s="51">
        <v>22</v>
      </c>
      <c r="I170" s="51">
        <v>168</v>
      </c>
    </row>
    <row r="171" spans="5:9" x14ac:dyDescent="0.25">
      <c r="E171">
        <f t="shared" si="17"/>
        <v>26</v>
      </c>
      <c r="G171" t="s">
        <v>283</v>
      </c>
      <c r="H171" s="51">
        <v>42</v>
      </c>
      <c r="I171" s="51">
        <v>168</v>
      </c>
    </row>
    <row r="172" spans="5:9" x14ac:dyDescent="0.25">
      <c r="E172">
        <f t="shared" si="17"/>
        <v>26</v>
      </c>
      <c r="G172" t="s">
        <v>284</v>
      </c>
      <c r="H172" s="51">
        <v>26</v>
      </c>
      <c r="I172" s="51">
        <v>168</v>
      </c>
    </row>
    <row r="173" spans="5:9" x14ac:dyDescent="0.25">
      <c r="E173">
        <f t="shared" si="17"/>
        <v>26</v>
      </c>
      <c r="G173" t="s">
        <v>285</v>
      </c>
      <c r="H173" s="51">
        <v>18</v>
      </c>
      <c r="I173" s="51">
        <v>168</v>
      </c>
    </row>
    <row r="174" spans="5:9" x14ac:dyDescent="0.25">
      <c r="E174">
        <f>+$F$174</f>
        <v>27</v>
      </c>
      <c r="F174">
        <v>27</v>
      </c>
      <c r="G174" t="s">
        <v>277</v>
      </c>
      <c r="H174" s="51">
        <v>53</v>
      </c>
      <c r="I174" s="51">
        <v>131</v>
      </c>
    </row>
    <row r="175" spans="5:9" x14ac:dyDescent="0.25">
      <c r="E175">
        <f t="shared" ref="E175:E182" si="18">+$F$174</f>
        <v>27</v>
      </c>
      <c r="G175" t="s">
        <v>278</v>
      </c>
      <c r="H175" s="51">
        <v>41</v>
      </c>
      <c r="I175" s="51">
        <v>131</v>
      </c>
    </row>
    <row r="176" spans="5:9" x14ac:dyDescent="0.25">
      <c r="E176">
        <f t="shared" si="18"/>
        <v>27</v>
      </c>
      <c r="G176" t="s">
        <v>279</v>
      </c>
      <c r="H176" s="51">
        <v>66</v>
      </c>
      <c r="I176" s="51">
        <v>131</v>
      </c>
    </row>
    <row r="177" spans="5:9" x14ac:dyDescent="0.25">
      <c r="E177">
        <f t="shared" si="18"/>
        <v>27</v>
      </c>
      <c r="G177" t="s">
        <v>280</v>
      </c>
      <c r="H177" s="51">
        <v>65</v>
      </c>
      <c r="I177" s="51">
        <v>131</v>
      </c>
    </row>
    <row r="178" spans="5:9" x14ac:dyDescent="0.25">
      <c r="E178">
        <f t="shared" si="18"/>
        <v>27</v>
      </c>
      <c r="G178" t="s">
        <v>281</v>
      </c>
      <c r="H178" s="51">
        <v>107</v>
      </c>
      <c r="I178" s="51">
        <v>131</v>
      </c>
    </row>
    <row r="179" spans="5:9" x14ac:dyDescent="0.25">
      <c r="E179">
        <f t="shared" si="18"/>
        <v>27</v>
      </c>
      <c r="G179" t="s">
        <v>282</v>
      </c>
      <c r="H179" s="51">
        <v>76</v>
      </c>
      <c r="I179" s="51">
        <v>131</v>
      </c>
    </row>
    <row r="180" spans="5:9" x14ac:dyDescent="0.25">
      <c r="E180">
        <f t="shared" si="18"/>
        <v>27</v>
      </c>
      <c r="G180" t="s">
        <v>283</v>
      </c>
      <c r="H180">
        <v>32</v>
      </c>
      <c r="I180" s="51">
        <v>131</v>
      </c>
    </row>
    <row r="181" spans="5:9" x14ac:dyDescent="0.25">
      <c r="E181">
        <f t="shared" si="18"/>
        <v>27</v>
      </c>
      <c r="G181" t="s">
        <v>284</v>
      </c>
      <c r="H181" s="51">
        <v>36</v>
      </c>
      <c r="I181" s="51">
        <v>131</v>
      </c>
    </row>
    <row r="182" spans="5:9" x14ac:dyDescent="0.25">
      <c r="E182">
        <f t="shared" si="18"/>
        <v>27</v>
      </c>
      <c r="G182" t="s">
        <v>285</v>
      </c>
      <c r="H182" s="51">
        <v>27</v>
      </c>
      <c r="I182" s="51">
        <v>131</v>
      </c>
    </row>
    <row r="183" spans="5:9" x14ac:dyDescent="0.25">
      <c r="E183">
        <f>+$F$183</f>
        <v>28</v>
      </c>
      <c r="F183">
        <v>28</v>
      </c>
      <c r="G183" t="s">
        <v>277</v>
      </c>
      <c r="H183" s="51">
        <v>45</v>
      </c>
      <c r="I183" s="51">
        <v>168</v>
      </c>
    </row>
    <row r="184" spans="5:9" x14ac:dyDescent="0.25">
      <c r="E184">
        <f t="shared" ref="E184:E191" si="19">+$F$183</f>
        <v>28</v>
      </c>
      <c r="G184" t="s">
        <v>278</v>
      </c>
      <c r="H184" s="51">
        <v>35</v>
      </c>
      <c r="I184" s="51">
        <v>168</v>
      </c>
    </row>
    <row r="185" spans="5:9" x14ac:dyDescent="0.25">
      <c r="E185">
        <f t="shared" si="19"/>
        <v>28</v>
      </c>
      <c r="G185" t="s">
        <v>279</v>
      </c>
      <c r="H185" s="51">
        <v>68</v>
      </c>
      <c r="I185" s="51">
        <v>168</v>
      </c>
    </row>
    <row r="186" spans="5:9" x14ac:dyDescent="0.25">
      <c r="E186">
        <f t="shared" si="19"/>
        <v>28</v>
      </c>
      <c r="G186" t="s">
        <v>280</v>
      </c>
      <c r="H186">
        <v>66</v>
      </c>
      <c r="I186" s="51">
        <v>168</v>
      </c>
    </row>
    <row r="187" spans="5:9" x14ac:dyDescent="0.25">
      <c r="E187">
        <f t="shared" si="19"/>
        <v>28</v>
      </c>
      <c r="G187" t="s">
        <v>281</v>
      </c>
      <c r="H187" s="51">
        <v>95</v>
      </c>
      <c r="I187" s="51">
        <v>168</v>
      </c>
    </row>
    <row r="188" spans="5:9" x14ac:dyDescent="0.25">
      <c r="E188">
        <f t="shared" si="19"/>
        <v>28</v>
      </c>
      <c r="G188" t="s">
        <v>282</v>
      </c>
      <c r="H188" s="51">
        <v>73</v>
      </c>
      <c r="I188" s="51">
        <v>168</v>
      </c>
    </row>
    <row r="189" spans="5:9" x14ac:dyDescent="0.25">
      <c r="E189">
        <f t="shared" si="19"/>
        <v>28</v>
      </c>
      <c r="G189" t="s">
        <v>283</v>
      </c>
      <c r="H189" s="51">
        <v>18</v>
      </c>
      <c r="I189" s="51">
        <v>168</v>
      </c>
    </row>
    <row r="190" spans="5:9" x14ac:dyDescent="0.25">
      <c r="E190">
        <f t="shared" si="19"/>
        <v>28</v>
      </c>
      <c r="G190" t="s">
        <v>284</v>
      </c>
      <c r="H190" s="51">
        <v>38</v>
      </c>
      <c r="I190" s="51">
        <v>168</v>
      </c>
    </row>
    <row r="191" spans="5:9" x14ac:dyDescent="0.25">
      <c r="E191">
        <f t="shared" si="19"/>
        <v>28</v>
      </c>
      <c r="G191" t="s">
        <v>285</v>
      </c>
      <c r="H191" s="51">
        <v>20</v>
      </c>
      <c r="I191" s="51">
        <v>168</v>
      </c>
    </row>
    <row r="192" spans="5:9" x14ac:dyDescent="0.25">
      <c r="E192">
        <f>+$F$192</f>
        <v>3</v>
      </c>
      <c r="F192">
        <v>3</v>
      </c>
      <c r="G192" t="s">
        <v>277</v>
      </c>
      <c r="H192" s="51">
        <v>64</v>
      </c>
      <c r="I192" s="51">
        <v>170</v>
      </c>
    </row>
    <row r="193" spans="5:9" x14ac:dyDescent="0.25">
      <c r="E193">
        <f t="shared" ref="E193:E200" si="20">+$F$192</f>
        <v>3</v>
      </c>
      <c r="G193" t="s">
        <v>278</v>
      </c>
      <c r="H193" s="51">
        <v>54</v>
      </c>
      <c r="I193" s="51">
        <v>170</v>
      </c>
    </row>
    <row r="194" spans="5:9" x14ac:dyDescent="0.25">
      <c r="E194">
        <f t="shared" si="20"/>
        <v>3</v>
      </c>
      <c r="G194" t="s">
        <v>279</v>
      </c>
      <c r="H194" s="51">
        <v>96</v>
      </c>
      <c r="I194" s="51">
        <v>170</v>
      </c>
    </row>
    <row r="195" spans="5:9" x14ac:dyDescent="0.25">
      <c r="E195">
        <f t="shared" si="20"/>
        <v>3</v>
      </c>
      <c r="G195" t="s">
        <v>280</v>
      </c>
      <c r="H195" s="51">
        <v>69</v>
      </c>
      <c r="I195" s="51">
        <v>170</v>
      </c>
    </row>
    <row r="196" spans="5:9" x14ac:dyDescent="0.25">
      <c r="E196">
        <f t="shared" si="20"/>
        <v>3</v>
      </c>
      <c r="G196" t="s">
        <v>281</v>
      </c>
      <c r="H196">
        <v>105</v>
      </c>
      <c r="I196" s="51">
        <v>170</v>
      </c>
    </row>
    <row r="197" spans="5:9" x14ac:dyDescent="0.25">
      <c r="E197">
        <f t="shared" si="20"/>
        <v>3</v>
      </c>
      <c r="G197" t="s">
        <v>282</v>
      </c>
      <c r="H197" s="51">
        <v>96</v>
      </c>
      <c r="I197" s="51">
        <v>170</v>
      </c>
    </row>
    <row r="198" spans="5:9" x14ac:dyDescent="0.25">
      <c r="E198">
        <f t="shared" si="20"/>
        <v>3</v>
      </c>
      <c r="G198" t="s">
        <v>283</v>
      </c>
      <c r="H198" s="51">
        <v>23</v>
      </c>
      <c r="I198" s="51">
        <v>170</v>
      </c>
    </row>
    <row r="199" spans="5:9" x14ac:dyDescent="0.25">
      <c r="E199">
        <f t="shared" si="20"/>
        <v>3</v>
      </c>
      <c r="G199" t="s">
        <v>284</v>
      </c>
      <c r="H199" s="51">
        <v>36</v>
      </c>
      <c r="I199" s="51">
        <v>170</v>
      </c>
    </row>
    <row r="200" spans="5:9" x14ac:dyDescent="0.25">
      <c r="E200">
        <f t="shared" si="20"/>
        <v>3</v>
      </c>
      <c r="G200" t="s">
        <v>285</v>
      </c>
      <c r="H200" s="51">
        <v>42</v>
      </c>
      <c r="I200" s="51">
        <v>170</v>
      </c>
    </row>
    <row r="201" spans="5:9" x14ac:dyDescent="0.25">
      <c r="E201">
        <f>+$F$201</f>
        <v>30</v>
      </c>
      <c r="F201">
        <v>30</v>
      </c>
      <c r="G201" t="s">
        <v>277</v>
      </c>
      <c r="H201" s="51">
        <v>11</v>
      </c>
      <c r="I201" s="51">
        <v>122</v>
      </c>
    </row>
    <row r="202" spans="5:9" x14ac:dyDescent="0.25">
      <c r="E202">
        <f t="shared" ref="E202:E209" si="21">+$F$201</f>
        <v>30</v>
      </c>
      <c r="G202" t="s">
        <v>278</v>
      </c>
      <c r="H202" s="51">
        <v>5</v>
      </c>
      <c r="I202" s="51">
        <v>122</v>
      </c>
    </row>
    <row r="203" spans="5:9" x14ac:dyDescent="0.25">
      <c r="E203">
        <f t="shared" si="21"/>
        <v>30</v>
      </c>
      <c r="G203" t="s">
        <v>279</v>
      </c>
      <c r="H203" s="51">
        <v>13</v>
      </c>
      <c r="I203" s="51">
        <v>122</v>
      </c>
    </row>
    <row r="204" spans="5:9" x14ac:dyDescent="0.25">
      <c r="E204">
        <f t="shared" si="21"/>
        <v>30</v>
      </c>
      <c r="G204" t="s">
        <v>280</v>
      </c>
      <c r="H204" s="51">
        <v>4</v>
      </c>
      <c r="I204" s="51">
        <v>122</v>
      </c>
    </row>
    <row r="205" spans="5:9" x14ac:dyDescent="0.25">
      <c r="E205">
        <f t="shared" si="21"/>
        <v>30</v>
      </c>
      <c r="G205" t="s">
        <v>281</v>
      </c>
      <c r="H205" s="51">
        <v>8</v>
      </c>
      <c r="I205" s="51">
        <v>122</v>
      </c>
    </row>
    <row r="206" spans="5:9" x14ac:dyDescent="0.25">
      <c r="E206">
        <f t="shared" si="21"/>
        <v>30</v>
      </c>
      <c r="G206" t="s">
        <v>282</v>
      </c>
      <c r="H206" s="51">
        <v>1</v>
      </c>
      <c r="I206" s="51">
        <v>122</v>
      </c>
    </row>
    <row r="207" spans="5:9" x14ac:dyDescent="0.25">
      <c r="E207">
        <f t="shared" si="21"/>
        <v>30</v>
      </c>
      <c r="G207" t="s">
        <v>283</v>
      </c>
      <c r="H207" s="51">
        <v>15</v>
      </c>
      <c r="I207" s="51">
        <v>122</v>
      </c>
    </row>
    <row r="208" spans="5:9" x14ac:dyDescent="0.25">
      <c r="E208">
        <f t="shared" si="21"/>
        <v>30</v>
      </c>
      <c r="G208" t="s">
        <v>284</v>
      </c>
      <c r="H208" s="51"/>
      <c r="I208" s="51">
        <v>122</v>
      </c>
    </row>
    <row r="209" spans="5:9" x14ac:dyDescent="0.25">
      <c r="E209">
        <f t="shared" si="21"/>
        <v>30</v>
      </c>
      <c r="G209" t="s">
        <v>285</v>
      </c>
      <c r="H209" s="51">
        <v>2</v>
      </c>
      <c r="I209" s="51">
        <v>122</v>
      </c>
    </row>
    <row r="210" spans="5:9" x14ac:dyDescent="0.25">
      <c r="E210">
        <f>+$F$210</f>
        <v>31</v>
      </c>
      <c r="F210">
        <v>31</v>
      </c>
      <c r="G210" t="s">
        <v>277</v>
      </c>
      <c r="H210" s="51">
        <v>45</v>
      </c>
      <c r="I210" s="51">
        <v>160</v>
      </c>
    </row>
    <row r="211" spans="5:9" x14ac:dyDescent="0.25">
      <c r="E211">
        <f t="shared" ref="E211:E218" si="22">+$F$210</f>
        <v>31</v>
      </c>
      <c r="G211" t="s">
        <v>278</v>
      </c>
      <c r="H211" s="51">
        <v>51</v>
      </c>
      <c r="I211" s="51">
        <v>160</v>
      </c>
    </row>
    <row r="212" spans="5:9" x14ac:dyDescent="0.25">
      <c r="E212">
        <f t="shared" si="22"/>
        <v>31</v>
      </c>
      <c r="G212" t="s">
        <v>279</v>
      </c>
      <c r="H212">
        <v>71</v>
      </c>
      <c r="I212" s="51">
        <v>160</v>
      </c>
    </row>
    <row r="213" spans="5:9" x14ac:dyDescent="0.25">
      <c r="E213">
        <f t="shared" si="22"/>
        <v>31</v>
      </c>
      <c r="G213" t="s">
        <v>280</v>
      </c>
      <c r="H213" s="51">
        <v>51</v>
      </c>
      <c r="I213" s="51">
        <v>160</v>
      </c>
    </row>
    <row r="214" spans="5:9" x14ac:dyDescent="0.25">
      <c r="E214">
        <f t="shared" si="22"/>
        <v>31</v>
      </c>
      <c r="G214" t="s">
        <v>281</v>
      </c>
      <c r="H214" s="51">
        <v>98</v>
      </c>
      <c r="I214" s="51">
        <v>160</v>
      </c>
    </row>
    <row r="215" spans="5:9" x14ac:dyDescent="0.25">
      <c r="E215">
        <f t="shared" si="22"/>
        <v>31</v>
      </c>
      <c r="G215" t="s">
        <v>282</v>
      </c>
      <c r="H215" s="51">
        <v>75</v>
      </c>
      <c r="I215" s="51">
        <v>160</v>
      </c>
    </row>
    <row r="216" spans="5:9" x14ac:dyDescent="0.25">
      <c r="E216">
        <f t="shared" si="22"/>
        <v>31</v>
      </c>
      <c r="G216" t="s">
        <v>283</v>
      </c>
      <c r="H216" s="51">
        <v>28</v>
      </c>
      <c r="I216" s="51">
        <v>160</v>
      </c>
    </row>
    <row r="217" spans="5:9" x14ac:dyDescent="0.25">
      <c r="E217">
        <f t="shared" si="22"/>
        <v>31</v>
      </c>
      <c r="G217" t="s">
        <v>284</v>
      </c>
      <c r="H217" s="51">
        <v>39</v>
      </c>
      <c r="I217" s="51">
        <v>160</v>
      </c>
    </row>
    <row r="218" spans="5:9" x14ac:dyDescent="0.25">
      <c r="E218">
        <f t="shared" si="22"/>
        <v>31</v>
      </c>
      <c r="G218" t="s">
        <v>285</v>
      </c>
      <c r="H218" s="51">
        <v>26</v>
      </c>
      <c r="I218" s="51">
        <v>160</v>
      </c>
    </row>
    <row r="219" spans="5:9" x14ac:dyDescent="0.25">
      <c r="E219">
        <f>+$F$219</f>
        <v>32</v>
      </c>
      <c r="F219">
        <v>32</v>
      </c>
      <c r="G219" t="s">
        <v>277</v>
      </c>
      <c r="H219" s="51">
        <v>34</v>
      </c>
      <c r="I219" s="51">
        <v>58</v>
      </c>
    </row>
    <row r="220" spans="5:9" x14ac:dyDescent="0.25">
      <c r="E220">
        <f t="shared" ref="E220:E227" si="23">+$F$219</f>
        <v>32</v>
      </c>
      <c r="G220" t="s">
        <v>278</v>
      </c>
      <c r="H220" s="51">
        <v>16</v>
      </c>
      <c r="I220" s="51">
        <v>58</v>
      </c>
    </row>
    <row r="221" spans="5:9" x14ac:dyDescent="0.25">
      <c r="E221">
        <f t="shared" si="23"/>
        <v>32</v>
      </c>
      <c r="G221" t="s">
        <v>279</v>
      </c>
      <c r="H221" s="51">
        <v>25</v>
      </c>
      <c r="I221" s="51">
        <v>58</v>
      </c>
    </row>
    <row r="222" spans="5:9" x14ac:dyDescent="0.25">
      <c r="E222">
        <f t="shared" si="23"/>
        <v>32</v>
      </c>
      <c r="G222" t="s">
        <v>280</v>
      </c>
      <c r="H222" s="51">
        <v>30</v>
      </c>
      <c r="I222" s="51">
        <v>58</v>
      </c>
    </row>
    <row r="223" spans="5:9" x14ac:dyDescent="0.25">
      <c r="E223">
        <f t="shared" si="23"/>
        <v>32</v>
      </c>
      <c r="G223" t="s">
        <v>281</v>
      </c>
      <c r="H223" s="51">
        <v>46</v>
      </c>
      <c r="I223" s="51">
        <v>58</v>
      </c>
    </row>
    <row r="224" spans="5:9" x14ac:dyDescent="0.25">
      <c r="E224">
        <f t="shared" si="23"/>
        <v>32</v>
      </c>
      <c r="G224" t="s">
        <v>282</v>
      </c>
      <c r="H224" s="51">
        <v>33</v>
      </c>
      <c r="I224" s="51">
        <v>58</v>
      </c>
    </row>
    <row r="225" spans="5:9" x14ac:dyDescent="0.25">
      <c r="E225">
        <f t="shared" si="23"/>
        <v>32</v>
      </c>
      <c r="G225" t="s">
        <v>283</v>
      </c>
      <c r="H225" s="51">
        <v>29</v>
      </c>
      <c r="I225" s="51">
        <v>58</v>
      </c>
    </row>
    <row r="226" spans="5:9" x14ac:dyDescent="0.25">
      <c r="E226">
        <f t="shared" si="23"/>
        <v>32</v>
      </c>
      <c r="G226" t="s">
        <v>284</v>
      </c>
      <c r="H226" s="51">
        <v>20</v>
      </c>
      <c r="I226" s="51">
        <v>58</v>
      </c>
    </row>
    <row r="227" spans="5:9" x14ac:dyDescent="0.25">
      <c r="E227">
        <f t="shared" si="23"/>
        <v>32</v>
      </c>
      <c r="G227" t="s">
        <v>285</v>
      </c>
      <c r="H227" s="51">
        <v>24</v>
      </c>
      <c r="I227" s="51">
        <v>58</v>
      </c>
    </row>
    <row r="228" spans="5:9" x14ac:dyDescent="0.25">
      <c r="E228">
        <f>+$F$228</f>
        <v>33</v>
      </c>
      <c r="F228">
        <v>33</v>
      </c>
      <c r="G228" t="s">
        <v>277</v>
      </c>
      <c r="H228" s="51">
        <v>38</v>
      </c>
      <c r="I228" s="51">
        <v>167</v>
      </c>
    </row>
    <row r="229" spans="5:9" x14ac:dyDescent="0.25">
      <c r="E229">
        <f t="shared" ref="E229:E236" si="24">+$F$228</f>
        <v>33</v>
      </c>
      <c r="G229" t="s">
        <v>278</v>
      </c>
      <c r="H229" s="51">
        <v>36</v>
      </c>
      <c r="I229" s="51">
        <v>167</v>
      </c>
    </row>
    <row r="230" spans="5:9" x14ac:dyDescent="0.25">
      <c r="E230">
        <f t="shared" si="24"/>
        <v>33</v>
      </c>
      <c r="G230" t="s">
        <v>279</v>
      </c>
      <c r="H230" s="51">
        <v>77</v>
      </c>
      <c r="I230" s="51">
        <v>167</v>
      </c>
    </row>
    <row r="231" spans="5:9" x14ac:dyDescent="0.25">
      <c r="E231">
        <f t="shared" si="24"/>
        <v>33</v>
      </c>
      <c r="G231" t="s">
        <v>280</v>
      </c>
      <c r="H231" s="51">
        <v>53</v>
      </c>
      <c r="I231" s="51">
        <v>167</v>
      </c>
    </row>
    <row r="232" spans="5:9" x14ac:dyDescent="0.25">
      <c r="E232">
        <f t="shared" si="24"/>
        <v>33</v>
      </c>
      <c r="G232" t="s">
        <v>281</v>
      </c>
      <c r="H232" s="51">
        <v>93</v>
      </c>
      <c r="I232" s="51">
        <v>167</v>
      </c>
    </row>
    <row r="233" spans="5:9" x14ac:dyDescent="0.25">
      <c r="E233">
        <f t="shared" si="24"/>
        <v>33</v>
      </c>
      <c r="G233" t="s">
        <v>282</v>
      </c>
      <c r="H233" s="51">
        <v>69</v>
      </c>
      <c r="I233" s="51">
        <v>167</v>
      </c>
    </row>
    <row r="234" spans="5:9" x14ac:dyDescent="0.25">
      <c r="E234">
        <f t="shared" si="24"/>
        <v>33</v>
      </c>
      <c r="G234" t="s">
        <v>283</v>
      </c>
      <c r="H234" s="51">
        <v>13</v>
      </c>
      <c r="I234" s="51">
        <v>167</v>
      </c>
    </row>
    <row r="235" spans="5:9" x14ac:dyDescent="0.25">
      <c r="E235">
        <f t="shared" si="24"/>
        <v>33</v>
      </c>
      <c r="G235" t="s">
        <v>284</v>
      </c>
      <c r="H235" s="51">
        <v>32</v>
      </c>
      <c r="I235" s="51">
        <v>167</v>
      </c>
    </row>
    <row r="236" spans="5:9" x14ac:dyDescent="0.25">
      <c r="E236">
        <f t="shared" si="24"/>
        <v>33</v>
      </c>
      <c r="G236" t="s">
        <v>285</v>
      </c>
      <c r="H236">
        <v>25</v>
      </c>
      <c r="I236" s="51">
        <v>167</v>
      </c>
    </row>
    <row r="237" spans="5:9" x14ac:dyDescent="0.25">
      <c r="E237">
        <f>+$F$237</f>
        <v>36</v>
      </c>
      <c r="F237">
        <v>36</v>
      </c>
      <c r="G237" t="s">
        <v>277</v>
      </c>
      <c r="H237" s="51">
        <v>34</v>
      </c>
      <c r="I237" s="51">
        <v>159</v>
      </c>
    </row>
    <row r="238" spans="5:9" x14ac:dyDescent="0.25">
      <c r="E238">
        <f t="shared" ref="E238:E245" si="25">+$F$237</f>
        <v>36</v>
      </c>
      <c r="G238" t="s">
        <v>278</v>
      </c>
      <c r="H238" s="51">
        <v>24</v>
      </c>
      <c r="I238" s="51">
        <v>159</v>
      </c>
    </row>
    <row r="239" spans="5:9" x14ac:dyDescent="0.25">
      <c r="E239">
        <f t="shared" si="25"/>
        <v>36</v>
      </c>
      <c r="G239" t="s">
        <v>279</v>
      </c>
      <c r="H239" s="51">
        <v>70</v>
      </c>
      <c r="I239" s="51">
        <v>159</v>
      </c>
    </row>
    <row r="240" spans="5:9" x14ac:dyDescent="0.25">
      <c r="E240">
        <f t="shared" si="25"/>
        <v>36</v>
      </c>
      <c r="G240" t="s">
        <v>280</v>
      </c>
      <c r="H240" s="51">
        <v>49</v>
      </c>
      <c r="I240" s="51">
        <v>159</v>
      </c>
    </row>
    <row r="241" spans="5:9" x14ac:dyDescent="0.25">
      <c r="E241">
        <f t="shared" si="25"/>
        <v>36</v>
      </c>
      <c r="G241" t="s">
        <v>281</v>
      </c>
      <c r="H241" s="51">
        <v>83</v>
      </c>
      <c r="I241" s="51">
        <v>159</v>
      </c>
    </row>
    <row r="242" spans="5:9" x14ac:dyDescent="0.25">
      <c r="E242">
        <f t="shared" si="25"/>
        <v>36</v>
      </c>
      <c r="G242" t="s">
        <v>282</v>
      </c>
      <c r="H242" s="51">
        <v>40</v>
      </c>
      <c r="I242" s="51">
        <v>159</v>
      </c>
    </row>
    <row r="243" spans="5:9" x14ac:dyDescent="0.25">
      <c r="E243">
        <f t="shared" si="25"/>
        <v>36</v>
      </c>
      <c r="G243" t="s">
        <v>283</v>
      </c>
      <c r="H243" s="51">
        <v>24</v>
      </c>
      <c r="I243" s="51">
        <v>159</v>
      </c>
    </row>
    <row r="244" spans="5:9" x14ac:dyDescent="0.25">
      <c r="E244">
        <f t="shared" si="25"/>
        <v>36</v>
      </c>
      <c r="G244" t="s">
        <v>284</v>
      </c>
      <c r="H244">
        <v>21</v>
      </c>
      <c r="I244" s="51">
        <v>159</v>
      </c>
    </row>
    <row r="245" spans="5:9" x14ac:dyDescent="0.25">
      <c r="E245">
        <f t="shared" si="25"/>
        <v>36</v>
      </c>
      <c r="G245" t="s">
        <v>285</v>
      </c>
      <c r="H245" s="51">
        <v>22</v>
      </c>
      <c r="I245" s="51">
        <v>159</v>
      </c>
    </row>
    <row r="246" spans="5:9" x14ac:dyDescent="0.25">
      <c r="E246">
        <f>+$F$246</f>
        <v>37</v>
      </c>
      <c r="F246">
        <v>37</v>
      </c>
      <c r="G246" t="s">
        <v>277</v>
      </c>
      <c r="H246" s="51">
        <v>26</v>
      </c>
      <c r="I246" s="51">
        <v>144</v>
      </c>
    </row>
    <row r="247" spans="5:9" x14ac:dyDescent="0.25">
      <c r="E247">
        <f t="shared" ref="E247:E254" si="26">+$F$246</f>
        <v>37</v>
      </c>
      <c r="G247" t="s">
        <v>278</v>
      </c>
      <c r="H247" s="51">
        <v>16</v>
      </c>
      <c r="I247" s="51">
        <v>144</v>
      </c>
    </row>
    <row r="248" spans="5:9" x14ac:dyDescent="0.25">
      <c r="E248">
        <f t="shared" si="26"/>
        <v>37</v>
      </c>
      <c r="G248" t="s">
        <v>279</v>
      </c>
      <c r="H248" s="51">
        <v>29</v>
      </c>
      <c r="I248" s="51">
        <v>144</v>
      </c>
    </row>
    <row r="249" spans="5:9" x14ac:dyDescent="0.25">
      <c r="E249">
        <f t="shared" si="26"/>
        <v>37</v>
      </c>
      <c r="G249" t="s">
        <v>280</v>
      </c>
      <c r="H249" s="51">
        <v>34</v>
      </c>
      <c r="I249" s="51">
        <v>144</v>
      </c>
    </row>
    <row r="250" spans="5:9" x14ac:dyDescent="0.25">
      <c r="E250">
        <f t="shared" si="26"/>
        <v>37</v>
      </c>
      <c r="G250" t="s">
        <v>281</v>
      </c>
      <c r="H250" s="51">
        <v>54</v>
      </c>
      <c r="I250" s="51">
        <v>144</v>
      </c>
    </row>
    <row r="251" spans="5:9" x14ac:dyDescent="0.25">
      <c r="E251">
        <f t="shared" si="26"/>
        <v>37</v>
      </c>
      <c r="G251" t="s">
        <v>282</v>
      </c>
      <c r="H251" s="51">
        <v>31</v>
      </c>
      <c r="I251" s="51">
        <v>144</v>
      </c>
    </row>
    <row r="252" spans="5:9" x14ac:dyDescent="0.25">
      <c r="E252">
        <f t="shared" si="26"/>
        <v>37</v>
      </c>
      <c r="G252" t="s">
        <v>283</v>
      </c>
      <c r="H252">
        <v>14</v>
      </c>
      <c r="I252" s="51">
        <v>144</v>
      </c>
    </row>
    <row r="253" spans="5:9" x14ac:dyDescent="0.25">
      <c r="E253">
        <f t="shared" si="26"/>
        <v>37</v>
      </c>
      <c r="G253" t="s">
        <v>284</v>
      </c>
      <c r="H253" s="51">
        <v>30</v>
      </c>
      <c r="I253" s="51">
        <v>144</v>
      </c>
    </row>
    <row r="254" spans="5:9" x14ac:dyDescent="0.25">
      <c r="E254">
        <f t="shared" si="26"/>
        <v>37</v>
      </c>
      <c r="G254" t="s">
        <v>285</v>
      </c>
      <c r="H254" s="51">
        <v>20</v>
      </c>
      <c r="I254" s="51">
        <v>144</v>
      </c>
    </row>
    <row r="255" spans="5:9" x14ac:dyDescent="0.25">
      <c r="E255">
        <f>+$F$255</f>
        <v>4</v>
      </c>
      <c r="F255">
        <v>4</v>
      </c>
      <c r="G255" t="s">
        <v>277</v>
      </c>
      <c r="H255" s="51">
        <v>48</v>
      </c>
      <c r="I255" s="51">
        <v>182</v>
      </c>
    </row>
    <row r="256" spans="5:9" x14ac:dyDescent="0.25">
      <c r="E256">
        <f t="shared" ref="E256:E263" si="27">+$F$255</f>
        <v>4</v>
      </c>
      <c r="G256" t="s">
        <v>278</v>
      </c>
      <c r="H256" s="51">
        <v>47</v>
      </c>
      <c r="I256" s="51">
        <v>182</v>
      </c>
    </row>
    <row r="257" spans="5:9" x14ac:dyDescent="0.25">
      <c r="E257">
        <f t="shared" si="27"/>
        <v>4</v>
      </c>
      <c r="G257" t="s">
        <v>279</v>
      </c>
      <c r="H257" s="51">
        <v>78</v>
      </c>
      <c r="I257" s="51">
        <v>182</v>
      </c>
    </row>
    <row r="258" spans="5:9" x14ac:dyDescent="0.25">
      <c r="E258">
        <f t="shared" si="27"/>
        <v>4</v>
      </c>
      <c r="G258" t="s">
        <v>280</v>
      </c>
      <c r="H258">
        <v>64</v>
      </c>
      <c r="I258" s="51">
        <v>182</v>
      </c>
    </row>
    <row r="259" spans="5:9" x14ac:dyDescent="0.25">
      <c r="E259">
        <f t="shared" si="27"/>
        <v>4</v>
      </c>
      <c r="G259" t="s">
        <v>281</v>
      </c>
      <c r="H259" s="51">
        <v>99</v>
      </c>
      <c r="I259" s="51">
        <v>182</v>
      </c>
    </row>
    <row r="260" spans="5:9" x14ac:dyDescent="0.25">
      <c r="E260">
        <f t="shared" si="27"/>
        <v>4</v>
      </c>
      <c r="G260" t="s">
        <v>282</v>
      </c>
      <c r="H260">
        <v>70</v>
      </c>
      <c r="I260" s="51">
        <v>182</v>
      </c>
    </row>
    <row r="261" spans="5:9" x14ac:dyDescent="0.25">
      <c r="E261">
        <f t="shared" si="27"/>
        <v>4</v>
      </c>
      <c r="G261" t="s">
        <v>283</v>
      </c>
      <c r="H261" s="51">
        <v>20</v>
      </c>
      <c r="I261" s="51">
        <v>182</v>
      </c>
    </row>
    <row r="262" spans="5:9" x14ac:dyDescent="0.25">
      <c r="E262">
        <f t="shared" si="27"/>
        <v>4</v>
      </c>
      <c r="G262" t="s">
        <v>284</v>
      </c>
      <c r="H262" s="51">
        <v>37</v>
      </c>
      <c r="I262" s="51">
        <v>182</v>
      </c>
    </row>
    <row r="263" spans="5:9" x14ac:dyDescent="0.25">
      <c r="E263">
        <f t="shared" si="27"/>
        <v>4</v>
      </c>
      <c r="G263" t="s">
        <v>285</v>
      </c>
      <c r="H263" s="51">
        <v>46</v>
      </c>
      <c r="I263" s="51">
        <v>182</v>
      </c>
    </row>
    <row r="264" spans="5:9" x14ac:dyDescent="0.25">
      <c r="E264">
        <f>+$F$264</f>
        <v>40</v>
      </c>
      <c r="F264">
        <v>40</v>
      </c>
      <c r="G264" t="s">
        <v>277</v>
      </c>
      <c r="H264" s="51">
        <v>40</v>
      </c>
      <c r="I264" s="51">
        <v>222</v>
      </c>
    </row>
    <row r="265" spans="5:9" x14ac:dyDescent="0.25">
      <c r="E265">
        <f t="shared" ref="E265:E272" si="28">+$F$264</f>
        <v>40</v>
      </c>
      <c r="G265" t="s">
        <v>278</v>
      </c>
      <c r="H265">
        <v>28</v>
      </c>
      <c r="I265" s="51">
        <v>222</v>
      </c>
    </row>
    <row r="266" spans="5:9" x14ac:dyDescent="0.25">
      <c r="E266">
        <f t="shared" si="28"/>
        <v>40</v>
      </c>
      <c r="G266" t="s">
        <v>279</v>
      </c>
      <c r="H266" s="51">
        <v>61</v>
      </c>
      <c r="I266" s="51">
        <v>222</v>
      </c>
    </row>
    <row r="267" spans="5:9" x14ac:dyDescent="0.25">
      <c r="E267">
        <f t="shared" si="28"/>
        <v>40</v>
      </c>
      <c r="G267" t="s">
        <v>280</v>
      </c>
      <c r="H267" s="51">
        <v>58</v>
      </c>
      <c r="I267" s="51">
        <v>222</v>
      </c>
    </row>
    <row r="268" spans="5:9" x14ac:dyDescent="0.25">
      <c r="E268">
        <f t="shared" si="28"/>
        <v>40</v>
      </c>
      <c r="G268" t="s">
        <v>281</v>
      </c>
      <c r="H268">
        <v>82</v>
      </c>
      <c r="I268" s="51">
        <v>222</v>
      </c>
    </row>
    <row r="269" spans="5:9" x14ac:dyDescent="0.25">
      <c r="E269">
        <f t="shared" si="28"/>
        <v>40</v>
      </c>
      <c r="G269" t="s">
        <v>282</v>
      </c>
      <c r="H269" s="51">
        <v>64</v>
      </c>
      <c r="I269" s="51">
        <v>222</v>
      </c>
    </row>
    <row r="270" spans="5:9" x14ac:dyDescent="0.25">
      <c r="E270">
        <f t="shared" si="28"/>
        <v>40</v>
      </c>
      <c r="G270" t="s">
        <v>283</v>
      </c>
      <c r="H270" s="51">
        <v>41</v>
      </c>
      <c r="I270" s="51">
        <v>222</v>
      </c>
    </row>
    <row r="271" spans="5:9" x14ac:dyDescent="0.25">
      <c r="E271">
        <f t="shared" si="28"/>
        <v>40</v>
      </c>
      <c r="G271" t="s">
        <v>284</v>
      </c>
      <c r="H271" s="51">
        <v>32</v>
      </c>
      <c r="I271" s="51">
        <v>222</v>
      </c>
    </row>
    <row r="272" spans="5:9" x14ac:dyDescent="0.25">
      <c r="E272">
        <f t="shared" si="28"/>
        <v>40</v>
      </c>
      <c r="G272" t="s">
        <v>285</v>
      </c>
      <c r="H272" s="51">
        <v>19</v>
      </c>
      <c r="I272" s="51">
        <v>222</v>
      </c>
    </row>
    <row r="273" spans="5:9" x14ac:dyDescent="0.25">
      <c r="E273">
        <f>+$F$273</f>
        <v>42</v>
      </c>
      <c r="F273">
        <v>42</v>
      </c>
      <c r="G273" t="s">
        <v>277</v>
      </c>
      <c r="H273" s="51">
        <v>2</v>
      </c>
      <c r="I273" s="51">
        <v>52</v>
      </c>
    </row>
    <row r="274" spans="5:9" x14ac:dyDescent="0.25">
      <c r="E274">
        <f t="shared" ref="E274:E281" si="29">+$F$273</f>
        <v>42</v>
      </c>
      <c r="G274" t="s">
        <v>278</v>
      </c>
      <c r="H274" s="51">
        <v>5</v>
      </c>
      <c r="I274" s="51">
        <v>52</v>
      </c>
    </row>
    <row r="275" spans="5:9" x14ac:dyDescent="0.25">
      <c r="E275">
        <f t="shared" si="29"/>
        <v>42</v>
      </c>
      <c r="G275" t="s">
        <v>279</v>
      </c>
      <c r="H275" s="51">
        <v>6</v>
      </c>
      <c r="I275" s="51">
        <v>52</v>
      </c>
    </row>
    <row r="276" spans="5:9" x14ac:dyDescent="0.25">
      <c r="E276">
        <f t="shared" si="29"/>
        <v>42</v>
      </c>
      <c r="G276" t="s">
        <v>280</v>
      </c>
      <c r="H276">
        <v>5</v>
      </c>
      <c r="I276" s="51">
        <v>52</v>
      </c>
    </row>
    <row r="277" spans="5:9" x14ac:dyDescent="0.25">
      <c r="E277">
        <f t="shared" si="29"/>
        <v>42</v>
      </c>
      <c r="G277" t="s">
        <v>281</v>
      </c>
      <c r="H277" s="51">
        <v>6</v>
      </c>
      <c r="I277" s="51">
        <v>52</v>
      </c>
    </row>
    <row r="278" spans="5:9" x14ac:dyDescent="0.25">
      <c r="E278">
        <f t="shared" si="29"/>
        <v>42</v>
      </c>
      <c r="G278" t="s">
        <v>282</v>
      </c>
      <c r="H278" s="51">
        <v>4</v>
      </c>
      <c r="I278" s="51">
        <v>52</v>
      </c>
    </row>
    <row r="279" spans="5:9" x14ac:dyDescent="0.25">
      <c r="E279">
        <f t="shared" si="29"/>
        <v>42</v>
      </c>
      <c r="G279" t="s">
        <v>283</v>
      </c>
      <c r="H279" s="51">
        <v>8</v>
      </c>
      <c r="I279" s="51">
        <v>52</v>
      </c>
    </row>
    <row r="280" spans="5:9" x14ac:dyDescent="0.25">
      <c r="E280">
        <f t="shared" si="29"/>
        <v>42</v>
      </c>
      <c r="G280" t="s">
        <v>284</v>
      </c>
      <c r="H280" s="51">
        <v>9</v>
      </c>
      <c r="I280" s="51">
        <v>52</v>
      </c>
    </row>
    <row r="281" spans="5:9" x14ac:dyDescent="0.25">
      <c r="E281">
        <f t="shared" si="29"/>
        <v>42</v>
      </c>
      <c r="G281" t="s">
        <v>285</v>
      </c>
      <c r="H281" s="51">
        <v>7</v>
      </c>
      <c r="I281" s="51">
        <v>52</v>
      </c>
    </row>
    <row r="282" spans="5:9" x14ac:dyDescent="0.25">
      <c r="E282">
        <f>+$F$282</f>
        <v>43</v>
      </c>
      <c r="F282">
        <v>43</v>
      </c>
      <c r="G282" t="s">
        <v>277</v>
      </c>
      <c r="H282" s="51">
        <v>14</v>
      </c>
      <c r="I282" s="51">
        <v>93</v>
      </c>
    </row>
    <row r="283" spans="5:9" x14ac:dyDescent="0.25">
      <c r="E283">
        <f t="shared" ref="E283:E290" si="30">+$F$282</f>
        <v>43</v>
      </c>
      <c r="G283" t="s">
        <v>278</v>
      </c>
      <c r="H283" s="51">
        <v>3</v>
      </c>
      <c r="I283" s="51">
        <v>93</v>
      </c>
    </row>
    <row r="284" spans="5:9" x14ac:dyDescent="0.25">
      <c r="E284">
        <f t="shared" si="30"/>
        <v>43</v>
      </c>
      <c r="G284" t="s">
        <v>279</v>
      </c>
      <c r="H284">
        <v>5</v>
      </c>
      <c r="I284" s="51">
        <v>93</v>
      </c>
    </row>
    <row r="285" spans="5:9" x14ac:dyDescent="0.25">
      <c r="E285">
        <f t="shared" si="30"/>
        <v>43</v>
      </c>
      <c r="G285" t="s">
        <v>280</v>
      </c>
      <c r="H285">
        <v>1</v>
      </c>
      <c r="I285" s="51">
        <v>93</v>
      </c>
    </row>
    <row r="286" spans="5:9" x14ac:dyDescent="0.25">
      <c r="E286">
        <f t="shared" si="30"/>
        <v>43</v>
      </c>
      <c r="G286" t="s">
        <v>281</v>
      </c>
      <c r="H286">
        <v>2</v>
      </c>
      <c r="I286" s="51">
        <v>93</v>
      </c>
    </row>
    <row r="287" spans="5:9" x14ac:dyDescent="0.25">
      <c r="E287">
        <f t="shared" si="30"/>
        <v>43</v>
      </c>
      <c r="G287" t="s">
        <v>282</v>
      </c>
      <c r="H287">
        <v>1</v>
      </c>
      <c r="I287" s="51">
        <v>93</v>
      </c>
    </row>
    <row r="288" spans="5:9" x14ac:dyDescent="0.25">
      <c r="E288">
        <f t="shared" si="30"/>
        <v>43</v>
      </c>
      <c r="G288" t="s">
        <v>283</v>
      </c>
      <c r="H288">
        <v>7</v>
      </c>
      <c r="I288" s="51">
        <v>93</v>
      </c>
    </row>
    <row r="289" spans="5:9" x14ac:dyDescent="0.25">
      <c r="E289">
        <f t="shared" si="30"/>
        <v>43</v>
      </c>
      <c r="G289" t="s">
        <v>284</v>
      </c>
      <c r="H289" s="51">
        <v>5</v>
      </c>
      <c r="I289" s="51">
        <v>93</v>
      </c>
    </row>
    <row r="290" spans="5:9" x14ac:dyDescent="0.25">
      <c r="E290">
        <f t="shared" si="30"/>
        <v>43</v>
      </c>
      <c r="G290" t="s">
        <v>285</v>
      </c>
      <c r="H290">
        <v>7</v>
      </c>
      <c r="I290" s="51">
        <v>93</v>
      </c>
    </row>
    <row r="291" spans="5:9" x14ac:dyDescent="0.25">
      <c r="E291">
        <f>+$F$291</f>
        <v>44</v>
      </c>
      <c r="F291">
        <v>44</v>
      </c>
      <c r="G291" t="s">
        <v>277</v>
      </c>
      <c r="H291">
        <v>51</v>
      </c>
      <c r="I291" s="51">
        <v>169</v>
      </c>
    </row>
    <row r="292" spans="5:9" x14ac:dyDescent="0.25">
      <c r="E292">
        <f t="shared" ref="E292:E299" si="31">+$F$291</f>
        <v>44</v>
      </c>
      <c r="G292" t="s">
        <v>278</v>
      </c>
      <c r="H292">
        <v>50</v>
      </c>
      <c r="I292" s="51">
        <v>169</v>
      </c>
    </row>
    <row r="293" spans="5:9" x14ac:dyDescent="0.25">
      <c r="E293">
        <f t="shared" si="31"/>
        <v>44</v>
      </c>
      <c r="G293" t="s">
        <v>279</v>
      </c>
      <c r="H293">
        <v>101</v>
      </c>
      <c r="I293" s="51">
        <v>169</v>
      </c>
    </row>
    <row r="294" spans="5:9" x14ac:dyDescent="0.25">
      <c r="E294">
        <f t="shared" si="31"/>
        <v>44</v>
      </c>
      <c r="G294" t="s">
        <v>280</v>
      </c>
      <c r="H294">
        <v>58</v>
      </c>
      <c r="I294" s="51">
        <v>169</v>
      </c>
    </row>
    <row r="295" spans="5:9" x14ac:dyDescent="0.25">
      <c r="E295">
        <f t="shared" si="31"/>
        <v>44</v>
      </c>
      <c r="G295" t="s">
        <v>281</v>
      </c>
      <c r="H295">
        <v>111</v>
      </c>
      <c r="I295" s="51">
        <v>169</v>
      </c>
    </row>
    <row r="296" spans="5:9" x14ac:dyDescent="0.25">
      <c r="E296">
        <f t="shared" si="31"/>
        <v>44</v>
      </c>
      <c r="G296" t="s">
        <v>282</v>
      </c>
      <c r="H296">
        <v>90</v>
      </c>
      <c r="I296" s="51">
        <v>169</v>
      </c>
    </row>
    <row r="297" spans="5:9" x14ac:dyDescent="0.25">
      <c r="E297">
        <f t="shared" si="31"/>
        <v>44</v>
      </c>
      <c r="G297" t="s">
        <v>283</v>
      </c>
      <c r="H297" s="51">
        <v>19</v>
      </c>
      <c r="I297" s="51">
        <v>169</v>
      </c>
    </row>
    <row r="298" spans="5:9" x14ac:dyDescent="0.25">
      <c r="E298">
        <f t="shared" si="31"/>
        <v>44</v>
      </c>
      <c r="G298" t="s">
        <v>284</v>
      </c>
      <c r="H298">
        <v>44</v>
      </c>
      <c r="I298" s="51">
        <v>169</v>
      </c>
    </row>
    <row r="299" spans="5:9" x14ac:dyDescent="0.25">
      <c r="E299">
        <f t="shared" si="31"/>
        <v>44</v>
      </c>
      <c r="G299" t="s">
        <v>285</v>
      </c>
      <c r="H299" s="51">
        <v>43</v>
      </c>
      <c r="I299" s="51">
        <v>169</v>
      </c>
    </row>
    <row r="300" spans="5:9" x14ac:dyDescent="0.25">
      <c r="E300">
        <f>+$F$300</f>
        <v>49</v>
      </c>
      <c r="F300">
        <v>49</v>
      </c>
      <c r="G300" t="s">
        <v>277</v>
      </c>
      <c r="H300" s="51">
        <v>26</v>
      </c>
      <c r="I300" s="51">
        <v>245</v>
      </c>
    </row>
    <row r="301" spans="5:9" x14ac:dyDescent="0.25">
      <c r="E301">
        <f t="shared" ref="E301:E308" si="32">+$F$300</f>
        <v>49</v>
      </c>
      <c r="G301" t="s">
        <v>278</v>
      </c>
      <c r="H301" s="51">
        <v>20</v>
      </c>
      <c r="I301" s="51">
        <v>245</v>
      </c>
    </row>
    <row r="302" spans="5:9" x14ac:dyDescent="0.25">
      <c r="E302">
        <f t="shared" si="32"/>
        <v>49</v>
      </c>
      <c r="G302" t="s">
        <v>279</v>
      </c>
      <c r="H302" s="51">
        <v>57</v>
      </c>
      <c r="I302" s="51">
        <v>245</v>
      </c>
    </row>
    <row r="303" spans="5:9" x14ac:dyDescent="0.25">
      <c r="E303">
        <f t="shared" si="32"/>
        <v>49</v>
      </c>
      <c r="G303" t="s">
        <v>280</v>
      </c>
      <c r="H303" s="51">
        <v>19</v>
      </c>
      <c r="I303" s="51">
        <v>245</v>
      </c>
    </row>
    <row r="304" spans="5:9" x14ac:dyDescent="0.25">
      <c r="E304">
        <f t="shared" si="32"/>
        <v>49</v>
      </c>
      <c r="G304" t="s">
        <v>281</v>
      </c>
      <c r="H304" s="51">
        <v>50</v>
      </c>
      <c r="I304" s="51">
        <v>245</v>
      </c>
    </row>
    <row r="305" spans="5:9" x14ac:dyDescent="0.25">
      <c r="E305">
        <f t="shared" si="32"/>
        <v>49</v>
      </c>
      <c r="G305" t="s">
        <v>282</v>
      </c>
      <c r="H305" s="51">
        <v>25</v>
      </c>
      <c r="I305" s="51">
        <v>245</v>
      </c>
    </row>
    <row r="306" spans="5:9" x14ac:dyDescent="0.25">
      <c r="E306">
        <f t="shared" si="32"/>
        <v>49</v>
      </c>
      <c r="G306" t="s">
        <v>283</v>
      </c>
      <c r="H306" s="51">
        <v>35</v>
      </c>
      <c r="I306" s="51">
        <v>245</v>
      </c>
    </row>
    <row r="307" spans="5:9" x14ac:dyDescent="0.25">
      <c r="E307">
        <f t="shared" si="32"/>
        <v>49</v>
      </c>
      <c r="G307" t="s">
        <v>284</v>
      </c>
      <c r="H307">
        <v>19</v>
      </c>
      <c r="I307" s="51">
        <v>245</v>
      </c>
    </row>
    <row r="308" spans="5:9" x14ac:dyDescent="0.25">
      <c r="E308">
        <f t="shared" si="32"/>
        <v>49</v>
      </c>
      <c r="G308" t="s">
        <v>285</v>
      </c>
      <c r="H308">
        <v>27</v>
      </c>
      <c r="I308" s="51">
        <v>245</v>
      </c>
    </row>
    <row r="309" spans="5:9" x14ac:dyDescent="0.25">
      <c r="E309">
        <f>+$F$309</f>
        <v>5</v>
      </c>
      <c r="F309">
        <v>5</v>
      </c>
      <c r="G309" t="s">
        <v>277</v>
      </c>
      <c r="H309">
        <v>110</v>
      </c>
      <c r="I309" s="51">
        <v>262</v>
      </c>
    </row>
    <row r="310" spans="5:9" x14ac:dyDescent="0.25">
      <c r="E310">
        <f t="shared" ref="E310:E317" si="33">+$F$309</f>
        <v>5</v>
      </c>
      <c r="G310" t="s">
        <v>278</v>
      </c>
      <c r="H310">
        <v>66</v>
      </c>
      <c r="I310" s="51">
        <v>262</v>
      </c>
    </row>
    <row r="311" spans="5:9" x14ac:dyDescent="0.25">
      <c r="E311">
        <f t="shared" si="33"/>
        <v>5</v>
      </c>
      <c r="G311" t="s">
        <v>279</v>
      </c>
      <c r="H311">
        <v>148</v>
      </c>
      <c r="I311" s="51">
        <v>262</v>
      </c>
    </row>
    <row r="312" spans="5:9" x14ac:dyDescent="0.25">
      <c r="E312">
        <f t="shared" si="33"/>
        <v>5</v>
      </c>
      <c r="G312" t="s">
        <v>280</v>
      </c>
      <c r="H312">
        <v>79</v>
      </c>
      <c r="I312" s="51">
        <v>262</v>
      </c>
    </row>
    <row r="313" spans="5:9" x14ac:dyDescent="0.25">
      <c r="E313">
        <f t="shared" si="33"/>
        <v>5</v>
      </c>
      <c r="G313" t="s">
        <v>281</v>
      </c>
      <c r="H313">
        <v>175</v>
      </c>
      <c r="I313" s="51">
        <v>262</v>
      </c>
    </row>
    <row r="314" spans="5:9" x14ac:dyDescent="0.25">
      <c r="E314">
        <f t="shared" si="33"/>
        <v>5</v>
      </c>
      <c r="G314" t="s">
        <v>282</v>
      </c>
      <c r="H314">
        <v>127</v>
      </c>
      <c r="I314" s="51">
        <v>262</v>
      </c>
    </row>
    <row r="315" spans="5:9" x14ac:dyDescent="0.25">
      <c r="E315">
        <f t="shared" si="33"/>
        <v>5</v>
      </c>
      <c r="G315" t="s">
        <v>283</v>
      </c>
      <c r="H315" s="51">
        <v>50</v>
      </c>
      <c r="I315" s="51">
        <v>262</v>
      </c>
    </row>
    <row r="316" spans="5:9" x14ac:dyDescent="0.25">
      <c r="E316">
        <f t="shared" si="33"/>
        <v>5</v>
      </c>
      <c r="G316" t="s">
        <v>284</v>
      </c>
      <c r="H316">
        <v>50</v>
      </c>
      <c r="I316" s="51">
        <v>262</v>
      </c>
    </row>
    <row r="317" spans="5:9" x14ac:dyDescent="0.25">
      <c r="E317">
        <f t="shared" si="33"/>
        <v>5</v>
      </c>
      <c r="G317" t="s">
        <v>285</v>
      </c>
      <c r="H317" s="51">
        <v>52</v>
      </c>
      <c r="I317" s="51">
        <v>262</v>
      </c>
    </row>
    <row r="318" spans="5:9" x14ac:dyDescent="0.25">
      <c r="E318">
        <f>+$F$318</f>
        <v>52</v>
      </c>
      <c r="F318">
        <v>52</v>
      </c>
      <c r="G318" t="s">
        <v>277</v>
      </c>
      <c r="H318" s="51"/>
      <c r="I318" s="51">
        <v>104</v>
      </c>
    </row>
    <row r="319" spans="5:9" x14ac:dyDescent="0.25">
      <c r="E319">
        <f t="shared" ref="E319:E326" si="34">+$F$318</f>
        <v>52</v>
      </c>
      <c r="G319" t="s">
        <v>278</v>
      </c>
      <c r="H319" s="51">
        <v>5</v>
      </c>
      <c r="I319" s="51">
        <v>104</v>
      </c>
    </row>
    <row r="320" spans="5:9" x14ac:dyDescent="0.25">
      <c r="E320">
        <f t="shared" si="34"/>
        <v>52</v>
      </c>
      <c r="G320" t="s">
        <v>279</v>
      </c>
      <c r="H320" s="51"/>
      <c r="I320" s="51">
        <v>104</v>
      </c>
    </row>
    <row r="321" spans="5:9" x14ac:dyDescent="0.25">
      <c r="E321">
        <f t="shared" si="34"/>
        <v>52</v>
      </c>
      <c r="G321" t="s">
        <v>280</v>
      </c>
      <c r="H321" s="51"/>
      <c r="I321" s="51">
        <v>104</v>
      </c>
    </row>
    <row r="322" spans="5:9" x14ac:dyDescent="0.25">
      <c r="E322">
        <f t="shared" si="34"/>
        <v>52</v>
      </c>
      <c r="G322" t="s">
        <v>281</v>
      </c>
      <c r="H322" s="51"/>
      <c r="I322" s="51">
        <v>104</v>
      </c>
    </row>
    <row r="323" spans="5:9" x14ac:dyDescent="0.25">
      <c r="E323">
        <f t="shared" si="34"/>
        <v>52</v>
      </c>
      <c r="G323" t="s">
        <v>282</v>
      </c>
      <c r="I323" s="51">
        <v>104</v>
      </c>
    </row>
    <row r="324" spans="5:9" x14ac:dyDescent="0.25">
      <c r="E324">
        <f t="shared" si="34"/>
        <v>52</v>
      </c>
      <c r="G324" t="s">
        <v>283</v>
      </c>
      <c r="H324" s="51">
        <v>57</v>
      </c>
      <c r="I324" s="51">
        <v>104</v>
      </c>
    </row>
    <row r="325" spans="5:9" x14ac:dyDescent="0.25">
      <c r="E325">
        <f t="shared" si="34"/>
        <v>52</v>
      </c>
      <c r="G325" t="s">
        <v>284</v>
      </c>
      <c r="H325" s="51"/>
      <c r="I325" s="51">
        <v>104</v>
      </c>
    </row>
    <row r="326" spans="5:9" x14ac:dyDescent="0.25">
      <c r="E326">
        <f t="shared" si="34"/>
        <v>52</v>
      </c>
      <c r="G326" t="s">
        <v>285</v>
      </c>
      <c r="H326" s="51">
        <v>1</v>
      </c>
      <c r="I326" s="51">
        <v>104</v>
      </c>
    </row>
    <row r="327" spans="5:9" x14ac:dyDescent="0.25">
      <c r="E327">
        <f>+$F$327</f>
        <v>53</v>
      </c>
      <c r="F327">
        <v>53</v>
      </c>
      <c r="G327" t="s">
        <v>277</v>
      </c>
      <c r="I327" s="51">
        <v>105</v>
      </c>
    </row>
    <row r="328" spans="5:9" x14ac:dyDescent="0.25">
      <c r="E328">
        <f t="shared" ref="E328:E335" si="35">+$F$327</f>
        <v>53</v>
      </c>
      <c r="G328" t="s">
        <v>278</v>
      </c>
      <c r="H328">
        <v>7</v>
      </c>
      <c r="I328" s="51">
        <v>105</v>
      </c>
    </row>
    <row r="329" spans="5:9" x14ac:dyDescent="0.25">
      <c r="E329">
        <f t="shared" si="35"/>
        <v>53</v>
      </c>
      <c r="G329" t="s">
        <v>279</v>
      </c>
      <c r="H329" s="51">
        <v>1</v>
      </c>
      <c r="I329" s="51">
        <v>105</v>
      </c>
    </row>
    <row r="330" spans="5:9" x14ac:dyDescent="0.25">
      <c r="E330">
        <f t="shared" si="35"/>
        <v>53</v>
      </c>
      <c r="G330" t="s">
        <v>280</v>
      </c>
      <c r="I330" s="51">
        <v>105</v>
      </c>
    </row>
    <row r="331" spans="5:9" x14ac:dyDescent="0.25">
      <c r="E331">
        <f t="shared" si="35"/>
        <v>53</v>
      </c>
      <c r="G331" t="s">
        <v>281</v>
      </c>
      <c r="H331" s="51">
        <v>1</v>
      </c>
      <c r="I331" s="51">
        <v>105</v>
      </c>
    </row>
    <row r="332" spans="5:9" x14ac:dyDescent="0.25">
      <c r="E332">
        <f t="shared" si="35"/>
        <v>53</v>
      </c>
      <c r="G332" t="s">
        <v>282</v>
      </c>
      <c r="H332">
        <v>2</v>
      </c>
      <c r="I332" s="51">
        <v>105</v>
      </c>
    </row>
    <row r="333" spans="5:9" x14ac:dyDescent="0.25">
      <c r="E333">
        <f t="shared" si="35"/>
        <v>53</v>
      </c>
      <c r="G333" t="s">
        <v>283</v>
      </c>
      <c r="H333" s="51">
        <v>65</v>
      </c>
      <c r="I333" s="51">
        <v>105</v>
      </c>
    </row>
    <row r="334" spans="5:9" x14ac:dyDescent="0.25">
      <c r="E334">
        <f t="shared" si="35"/>
        <v>53</v>
      </c>
      <c r="G334" t="s">
        <v>284</v>
      </c>
      <c r="H334" s="51">
        <v>1</v>
      </c>
      <c r="I334" s="51">
        <v>105</v>
      </c>
    </row>
    <row r="335" spans="5:9" x14ac:dyDescent="0.25">
      <c r="E335">
        <f t="shared" si="35"/>
        <v>53</v>
      </c>
      <c r="G335" t="s">
        <v>285</v>
      </c>
      <c r="H335" s="51">
        <v>1</v>
      </c>
      <c r="I335" s="51">
        <v>105</v>
      </c>
    </row>
    <row r="336" spans="5:9" x14ac:dyDescent="0.25">
      <c r="E336">
        <f>+$F$336</f>
        <v>54</v>
      </c>
      <c r="F336">
        <v>54</v>
      </c>
      <c r="G336" t="s">
        <v>277</v>
      </c>
      <c r="H336" s="51">
        <v>73</v>
      </c>
      <c r="I336" s="51">
        <v>200</v>
      </c>
    </row>
    <row r="337" spans="5:9" x14ac:dyDescent="0.25">
      <c r="E337">
        <f t="shared" ref="E337:E344" si="36">+$F$336</f>
        <v>54</v>
      </c>
      <c r="G337" t="s">
        <v>278</v>
      </c>
      <c r="H337" s="51">
        <v>60</v>
      </c>
      <c r="I337" s="51">
        <v>200</v>
      </c>
    </row>
    <row r="338" spans="5:9" x14ac:dyDescent="0.25">
      <c r="E338">
        <f t="shared" si="36"/>
        <v>54</v>
      </c>
      <c r="G338" t="s">
        <v>279</v>
      </c>
      <c r="H338" s="51">
        <v>111</v>
      </c>
      <c r="I338" s="51">
        <v>200</v>
      </c>
    </row>
    <row r="339" spans="5:9" x14ac:dyDescent="0.25">
      <c r="E339">
        <f t="shared" si="36"/>
        <v>54</v>
      </c>
      <c r="G339" t="s">
        <v>280</v>
      </c>
      <c r="H339" s="51">
        <v>86</v>
      </c>
      <c r="I339" s="51">
        <v>200</v>
      </c>
    </row>
    <row r="340" spans="5:9" x14ac:dyDescent="0.25">
      <c r="E340">
        <f t="shared" si="36"/>
        <v>54</v>
      </c>
      <c r="G340" t="s">
        <v>281</v>
      </c>
      <c r="H340">
        <v>116</v>
      </c>
      <c r="I340" s="51">
        <v>200</v>
      </c>
    </row>
    <row r="341" spans="5:9" x14ac:dyDescent="0.25">
      <c r="E341">
        <f t="shared" si="36"/>
        <v>54</v>
      </c>
      <c r="G341" t="s">
        <v>282</v>
      </c>
      <c r="H341" s="51">
        <v>83</v>
      </c>
      <c r="I341" s="51">
        <v>200</v>
      </c>
    </row>
    <row r="342" spans="5:9" x14ac:dyDescent="0.25">
      <c r="E342">
        <f t="shared" si="36"/>
        <v>54</v>
      </c>
      <c r="G342" t="s">
        <v>283</v>
      </c>
      <c r="H342" s="51">
        <v>29</v>
      </c>
      <c r="I342" s="51">
        <v>200</v>
      </c>
    </row>
    <row r="343" spans="5:9" x14ac:dyDescent="0.25">
      <c r="E343">
        <f t="shared" si="36"/>
        <v>54</v>
      </c>
      <c r="G343" t="s">
        <v>284</v>
      </c>
      <c r="H343" s="51">
        <v>48</v>
      </c>
      <c r="I343" s="51">
        <v>200</v>
      </c>
    </row>
    <row r="344" spans="5:9" x14ac:dyDescent="0.25">
      <c r="E344">
        <f t="shared" si="36"/>
        <v>54</v>
      </c>
      <c r="G344" t="s">
        <v>285</v>
      </c>
      <c r="H344" s="51">
        <v>40</v>
      </c>
      <c r="I344" s="51">
        <v>200</v>
      </c>
    </row>
    <row r="345" spans="5:9" x14ac:dyDescent="0.25">
      <c r="E345">
        <f>+$F$345</f>
        <v>56</v>
      </c>
      <c r="F345">
        <v>56</v>
      </c>
      <c r="G345" t="s">
        <v>277</v>
      </c>
      <c r="H345">
        <v>29</v>
      </c>
      <c r="I345" s="51">
        <v>200</v>
      </c>
    </row>
    <row r="346" spans="5:9" x14ac:dyDescent="0.25">
      <c r="E346">
        <f t="shared" ref="E346:E353" si="37">+$F$345</f>
        <v>56</v>
      </c>
      <c r="G346" t="s">
        <v>278</v>
      </c>
      <c r="H346" s="51">
        <v>18</v>
      </c>
      <c r="I346" s="51">
        <v>200</v>
      </c>
    </row>
    <row r="347" spans="5:9" x14ac:dyDescent="0.25">
      <c r="E347">
        <f t="shared" si="37"/>
        <v>56</v>
      </c>
      <c r="G347" t="s">
        <v>279</v>
      </c>
      <c r="H347" s="51">
        <v>62</v>
      </c>
      <c r="I347" s="51">
        <v>200</v>
      </c>
    </row>
    <row r="348" spans="5:9" x14ac:dyDescent="0.25">
      <c r="E348">
        <f t="shared" si="37"/>
        <v>56</v>
      </c>
      <c r="G348" t="s">
        <v>280</v>
      </c>
      <c r="H348">
        <v>31</v>
      </c>
      <c r="I348" s="51">
        <v>200</v>
      </c>
    </row>
    <row r="349" spans="5:9" x14ac:dyDescent="0.25">
      <c r="E349">
        <f t="shared" si="37"/>
        <v>56</v>
      </c>
      <c r="G349" t="s">
        <v>281</v>
      </c>
      <c r="H349" s="51">
        <v>42</v>
      </c>
      <c r="I349" s="51">
        <v>200</v>
      </c>
    </row>
    <row r="350" spans="5:9" x14ac:dyDescent="0.25">
      <c r="E350">
        <f t="shared" si="37"/>
        <v>56</v>
      </c>
      <c r="G350" t="s">
        <v>282</v>
      </c>
      <c r="H350" s="51">
        <v>32</v>
      </c>
      <c r="I350" s="51">
        <v>200</v>
      </c>
    </row>
    <row r="351" spans="5:9" x14ac:dyDescent="0.25">
      <c r="E351">
        <f t="shared" si="37"/>
        <v>56</v>
      </c>
      <c r="G351" t="s">
        <v>283</v>
      </c>
      <c r="H351" s="51">
        <v>45</v>
      </c>
      <c r="I351" s="51">
        <v>200</v>
      </c>
    </row>
    <row r="352" spans="5:9" x14ac:dyDescent="0.25">
      <c r="E352">
        <f t="shared" si="37"/>
        <v>56</v>
      </c>
      <c r="G352" t="s">
        <v>284</v>
      </c>
      <c r="H352">
        <v>18</v>
      </c>
      <c r="I352" s="51">
        <v>200</v>
      </c>
    </row>
    <row r="353" spans="5:9" x14ac:dyDescent="0.25">
      <c r="E353">
        <f t="shared" si="37"/>
        <v>56</v>
      </c>
      <c r="G353" t="s">
        <v>285</v>
      </c>
      <c r="H353" s="51">
        <v>20</v>
      </c>
      <c r="I353" s="51">
        <v>200</v>
      </c>
    </row>
    <row r="354" spans="5:9" x14ac:dyDescent="0.25">
      <c r="E354">
        <f>+$F$354</f>
        <v>57</v>
      </c>
      <c r="F354">
        <v>57</v>
      </c>
      <c r="G354" t="s">
        <v>277</v>
      </c>
      <c r="H354" s="51"/>
      <c r="I354" s="51">
        <v>103</v>
      </c>
    </row>
    <row r="355" spans="5:9" x14ac:dyDescent="0.25">
      <c r="E355">
        <f t="shared" ref="E355:E362" si="38">+$F$354</f>
        <v>57</v>
      </c>
      <c r="G355" t="s">
        <v>278</v>
      </c>
      <c r="H355" s="51">
        <v>11</v>
      </c>
      <c r="I355" s="51">
        <v>103</v>
      </c>
    </row>
    <row r="356" spans="5:9" x14ac:dyDescent="0.25">
      <c r="E356">
        <f t="shared" si="38"/>
        <v>57</v>
      </c>
      <c r="G356" t="s">
        <v>279</v>
      </c>
      <c r="H356" s="51">
        <v>1</v>
      </c>
      <c r="I356" s="51">
        <v>103</v>
      </c>
    </row>
    <row r="357" spans="5:9" x14ac:dyDescent="0.25">
      <c r="E357">
        <f t="shared" si="38"/>
        <v>57</v>
      </c>
      <c r="G357" t="s">
        <v>280</v>
      </c>
      <c r="H357" s="51"/>
      <c r="I357" s="51">
        <v>103</v>
      </c>
    </row>
    <row r="358" spans="5:9" x14ac:dyDescent="0.25">
      <c r="E358">
        <f t="shared" si="38"/>
        <v>57</v>
      </c>
      <c r="G358" t="s">
        <v>281</v>
      </c>
      <c r="H358" s="51"/>
      <c r="I358" s="51">
        <v>103</v>
      </c>
    </row>
    <row r="359" spans="5:9" x14ac:dyDescent="0.25">
      <c r="E359">
        <f t="shared" si="38"/>
        <v>57</v>
      </c>
      <c r="G359" t="s">
        <v>282</v>
      </c>
      <c r="H359" s="51"/>
      <c r="I359" s="51">
        <v>103</v>
      </c>
    </row>
    <row r="360" spans="5:9" x14ac:dyDescent="0.25">
      <c r="E360">
        <f t="shared" si="38"/>
        <v>57</v>
      </c>
      <c r="G360" t="s">
        <v>283</v>
      </c>
      <c r="H360" s="51">
        <v>40</v>
      </c>
      <c r="I360" s="51">
        <v>103</v>
      </c>
    </row>
    <row r="361" spans="5:9" x14ac:dyDescent="0.25">
      <c r="E361">
        <f t="shared" si="38"/>
        <v>57</v>
      </c>
      <c r="G361" t="s">
        <v>284</v>
      </c>
      <c r="H361" s="51"/>
      <c r="I361" s="51">
        <v>103</v>
      </c>
    </row>
    <row r="362" spans="5:9" x14ac:dyDescent="0.25">
      <c r="E362">
        <f t="shared" si="38"/>
        <v>57</v>
      </c>
      <c r="G362" t="s">
        <v>285</v>
      </c>
      <c r="H362" s="51">
        <v>1</v>
      </c>
      <c r="I362" s="51">
        <v>103</v>
      </c>
    </row>
    <row r="363" spans="5:9" x14ac:dyDescent="0.25">
      <c r="E363">
        <f>+$F$363</f>
        <v>58</v>
      </c>
      <c r="F363">
        <v>58</v>
      </c>
      <c r="G363" t="s">
        <v>277</v>
      </c>
      <c r="H363" s="51">
        <v>5</v>
      </c>
      <c r="I363" s="51">
        <v>123</v>
      </c>
    </row>
    <row r="364" spans="5:9" x14ac:dyDescent="0.25">
      <c r="E364">
        <f t="shared" ref="E364:E371" si="39">+$F$363</f>
        <v>58</v>
      </c>
      <c r="G364" t="s">
        <v>278</v>
      </c>
      <c r="H364" s="51">
        <v>12</v>
      </c>
      <c r="I364" s="51">
        <v>123</v>
      </c>
    </row>
    <row r="365" spans="5:9" x14ac:dyDescent="0.25">
      <c r="E365">
        <f t="shared" si="39"/>
        <v>58</v>
      </c>
      <c r="G365" t="s">
        <v>279</v>
      </c>
      <c r="H365" s="51">
        <v>9</v>
      </c>
      <c r="I365" s="51">
        <v>123</v>
      </c>
    </row>
    <row r="366" spans="5:9" x14ac:dyDescent="0.25">
      <c r="E366">
        <f t="shared" si="39"/>
        <v>58</v>
      </c>
      <c r="G366" t="s">
        <v>280</v>
      </c>
      <c r="H366" s="51">
        <v>22</v>
      </c>
      <c r="I366" s="51">
        <v>123</v>
      </c>
    </row>
    <row r="367" spans="5:9" x14ac:dyDescent="0.25">
      <c r="E367">
        <f t="shared" si="39"/>
        <v>58</v>
      </c>
      <c r="G367" t="s">
        <v>281</v>
      </c>
      <c r="H367" s="51">
        <v>23</v>
      </c>
      <c r="I367" s="51">
        <v>123</v>
      </c>
    </row>
    <row r="368" spans="5:9" x14ac:dyDescent="0.25">
      <c r="E368">
        <f t="shared" si="39"/>
        <v>58</v>
      </c>
      <c r="G368" t="s">
        <v>282</v>
      </c>
      <c r="H368" s="51">
        <v>25</v>
      </c>
      <c r="I368" s="51">
        <v>123</v>
      </c>
    </row>
    <row r="369" spans="5:9" x14ac:dyDescent="0.25">
      <c r="E369">
        <f t="shared" si="39"/>
        <v>58</v>
      </c>
      <c r="G369" t="s">
        <v>283</v>
      </c>
      <c r="H369" s="51">
        <v>8</v>
      </c>
      <c r="I369" s="51">
        <v>123</v>
      </c>
    </row>
    <row r="370" spans="5:9" x14ac:dyDescent="0.25">
      <c r="E370">
        <f t="shared" si="39"/>
        <v>58</v>
      </c>
      <c r="G370" t="s">
        <v>284</v>
      </c>
      <c r="H370" s="51">
        <v>5</v>
      </c>
      <c r="I370" s="51">
        <v>123</v>
      </c>
    </row>
    <row r="371" spans="5:9" x14ac:dyDescent="0.25">
      <c r="E371">
        <f t="shared" si="39"/>
        <v>58</v>
      </c>
      <c r="G371" t="s">
        <v>285</v>
      </c>
      <c r="H371" s="35">
        <v>7</v>
      </c>
      <c r="I371" s="35">
        <v>123</v>
      </c>
    </row>
    <row r="372" spans="5:9" x14ac:dyDescent="0.25">
      <c r="E372">
        <f>+$F$372</f>
        <v>59</v>
      </c>
      <c r="F372">
        <v>59</v>
      </c>
      <c r="G372" t="s">
        <v>277</v>
      </c>
      <c r="H372">
        <v>29</v>
      </c>
      <c r="I372">
        <v>126</v>
      </c>
    </row>
    <row r="373" spans="5:9" x14ac:dyDescent="0.25">
      <c r="E373">
        <f t="shared" ref="E373:E380" si="40">+$F$372</f>
        <v>59</v>
      </c>
      <c r="G373" t="s">
        <v>278</v>
      </c>
      <c r="H373">
        <v>24</v>
      </c>
      <c r="I373">
        <v>126</v>
      </c>
    </row>
    <row r="374" spans="5:9" x14ac:dyDescent="0.25">
      <c r="E374">
        <f t="shared" si="40"/>
        <v>59</v>
      </c>
      <c r="G374" t="s">
        <v>279</v>
      </c>
      <c r="H374">
        <v>19</v>
      </c>
      <c r="I374">
        <v>126</v>
      </c>
    </row>
    <row r="375" spans="5:9" x14ac:dyDescent="0.25">
      <c r="E375">
        <f t="shared" si="40"/>
        <v>59</v>
      </c>
      <c r="G375" t="s">
        <v>280</v>
      </c>
      <c r="H375">
        <v>34</v>
      </c>
      <c r="I375">
        <v>126</v>
      </c>
    </row>
    <row r="376" spans="5:9" x14ac:dyDescent="0.25">
      <c r="E376">
        <f t="shared" si="40"/>
        <v>59</v>
      </c>
      <c r="G376" t="s">
        <v>281</v>
      </c>
      <c r="H376">
        <v>40</v>
      </c>
      <c r="I376">
        <v>126</v>
      </c>
    </row>
    <row r="377" spans="5:9" x14ac:dyDescent="0.25">
      <c r="E377">
        <f t="shared" si="40"/>
        <v>59</v>
      </c>
      <c r="G377" t="s">
        <v>282</v>
      </c>
      <c r="H377">
        <v>30</v>
      </c>
      <c r="I377">
        <v>126</v>
      </c>
    </row>
    <row r="378" spans="5:9" x14ac:dyDescent="0.25">
      <c r="E378">
        <f t="shared" si="40"/>
        <v>59</v>
      </c>
      <c r="G378" t="s">
        <v>283</v>
      </c>
      <c r="H378">
        <v>11</v>
      </c>
      <c r="I378">
        <v>126</v>
      </c>
    </row>
    <row r="379" spans="5:9" x14ac:dyDescent="0.25">
      <c r="E379">
        <f t="shared" si="40"/>
        <v>59</v>
      </c>
      <c r="G379" t="s">
        <v>284</v>
      </c>
      <c r="H379">
        <v>3</v>
      </c>
      <c r="I379">
        <v>126</v>
      </c>
    </row>
    <row r="380" spans="5:9" x14ac:dyDescent="0.25">
      <c r="E380">
        <f t="shared" si="40"/>
        <v>59</v>
      </c>
      <c r="G380" t="s">
        <v>285</v>
      </c>
      <c r="H380">
        <v>4</v>
      </c>
      <c r="I380">
        <v>126</v>
      </c>
    </row>
    <row r="381" spans="5:9" x14ac:dyDescent="0.25">
      <c r="E381">
        <f>+$F$381</f>
        <v>60</v>
      </c>
      <c r="F381">
        <v>60</v>
      </c>
      <c r="G381" t="s">
        <v>277</v>
      </c>
      <c r="H381">
        <v>23</v>
      </c>
      <c r="I381">
        <v>66</v>
      </c>
    </row>
    <row r="382" spans="5:9" x14ac:dyDescent="0.25">
      <c r="E382">
        <f t="shared" ref="E382:E389" si="41">+$F$381</f>
        <v>60</v>
      </c>
      <c r="G382" t="s">
        <v>278</v>
      </c>
      <c r="H382">
        <v>17</v>
      </c>
      <c r="I382">
        <v>66</v>
      </c>
    </row>
    <row r="383" spans="5:9" x14ac:dyDescent="0.25">
      <c r="E383">
        <f t="shared" si="41"/>
        <v>60</v>
      </c>
      <c r="G383" t="s">
        <v>279</v>
      </c>
      <c r="H383">
        <v>27</v>
      </c>
      <c r="I383">
        <v>66</v>
      </c>
    </row>
    <row r="384" spans="5:9" x14ac:dyDescent="0.25">
      <c r="E384">
        <f t="shared" si="41"/>
        <v>60</v>
      </c>
      <c r="G384" t="s">
        <v>280</v>
      </c>
      <c r="H384">
        <v>12</v>
      </c>
      <c r="I384">
        <v>66</v>
      </c>
    </row>
    <row r="385" spans="5:9" x14ac:dyDescent="0.25">
      <c r="E385">
        <f t="shared" si="41"/>
        <v>60</v>
      </c>
      <c r="G385" t="s">
        <v>281</v>
      </c>
      <c r="H385">
        <v>14</v>
      </c>
      <c r="I385">
        <v>66</v>
      </c>
    </row>
    <row r="386" spans="5:9" x14ac:dyDescent="0.25">
      <c r="E386">
        <f t="shared" si="41"/>
        <v>60</v>
      </c>
      <c r="G386" t="s">
        <v>282</v>
      </c>
      <c r="H386">
        <v>16</v>
      </c>
      <c r="I386">
        <v>66</v>
      </c>
    </row>
    <row r="387" spans="5:9" x14ac:dyDescent="0.25">
      <c r="E387">
        <f t="shared" si="41"/>
        <v>60</v>
      </c>
      <c r="G387" t="s">
        <v>283</v>
      </c>
      <c r="H387">
        <v>8</v>
      </c>
      <c r="I387">
        <v>66</v>
      </c>
    </row>
    <row r="388" spans="5:9" x14ac:dyDescent="0.25">
      <c r="E388">
        <f t="shared" si="41"/>
        <v>60</v>
      </c>
      <c r="G388" t="s">
        <v>284</v>
      </c>
      <c r="H388">
        <v>8</v>
      </c>
      <c r="I388">
        <v>66</v>
      </c>
    </row>
    <row r="389" spans="5:9" x14ac:dyDescent="0.25">
      <c r="E389">
        <f t="shared" si="41"/>
        <v>60</v>
      </c>
      <c r="G389" t="s">
        <v>285</v>
      </c>
      <c r="H389">
        <v>16</v>
      </c>
      <c r="I389">
        <v>66</v>
      </c>
    </row>
    <row r="390" spans="5:9" x14ac:dyDescent="0.25">
      <c r="E390">
        <f>+$F$390</f>
        <v>7</v>
      </c>
      <c r="F390">
        <v>7</v>
      </c>
      <c r="G390" t="s">
        <v>277</v>
      </c>
      <c r="H390">
        <v>3</v>
      </c>
      <c r="I390">
        <v>117</v>
      </c>
    </row>
    <row r="391" spans="5:9" x14ac:dyDescent="0.25">
      <c r="E391">
        <f t="shared" ref="E391:E398" si="42">+$F$390</f>
        <v>7</v>
      </c>
      <c r="G391" t="s">
        <v>278</v>
      </c>
      <c r="H391">
        <v>3</v>
      </c>
      <c r="I391">
        <v>117</v>
      </c>
    </row>
    <row r="392" spans="5:9" x14ac:dyDescent="0.25">
      <c r="E392">
        <f t="shared" si="42"/>
        <v>7</v>
      </c>
      <c r="G392" t="s">
        <v>279</v>
      </c>
      <c r="H392">
        <v>8</v>
      </c>
      <c r="I392">
        <v>117</v>
      </c>
    </row>
    <row r="393" spans="5:9" x14ac:dyDescent="0.25">
      <c r="E393">
        <f t="shared" si="42"/>
        <v>7</v>
      </c>
      <c r="G393" t="s">
        <v>280</v>
      </c>
      <c r="I393">
        <v>117</v>
      </c>
    </row>
    <row r="394" spans="5:9" x14ac:dyDescent="0.25">
      <c r="E394">
        <f t="shared" si="42"/>
        <v>7</v>
      </c>
      <c r="G394" t="s">
        <v>281</v>
      </c>
      <c r="H394">
        <v>6</v>
      </c>
      <c r="I394">
        <v>117</v>
      </c>
    </row>
    <row r="395" spans="5:9" x14ac:dyDescent="0.25">
      <c r="E395">
        <f t="shared" si="42"/>
        <v>7</v>
      </c>
      <c r="G395" t="s">
        <v>282</v>
      </c>
      <c r="H395">
        <v>2</v>
      </c>
      <c r="I395">
        <v>117</v>
      </c>
    </row>
    <row r="396" spans="5:9" x14ac:dyDescent="0.25">
      <c r="E396">
        <f t="shared" si="42"/>
        <v>7</v>
      </c>
      <c r="G396" t="s">
        <v>283</v>
      </c>
      <c r="H396">
        <v>13</v>
      </c>
      <c r="I396">
        <v>117</v>
      </c>
    </row>
    <row r="397" spans="5:9" x14ac:dyDescent="0.25">
      <c r="E397">
        <f t="shared" si="42"/>
        <v>7</v>
      </c>
      <c r="G397" t="s">
        <v>284</v>
      </c>
      <c r="H397">
        <v>3</v>
      </c>
      <c r="I397">
        <v>117</v>
      </c>
    </row>
    <row r="398" spans="5:9" x14ac:dyDescent="0.25">
      <c r="E398">
        <f t="shared" si="42"/>
        <v>7</v>
      </c>
      <c r="G398" t="s">
        <v>285</v>
      </c>
      <c r="H398">
        <v>7</v>
      </c>
      <c r="I398">
        <v>117</v>
      </c>
    </row>
    <row r="399" spans="5:9" x14ac:dyDescent="0.25">
      <c r="E399">
        <f>+$F$399</f>
        <v>8</v>
      </c>
      <c r="F399">
        <v>8</v>
      </c>
      <c r="G399" t="s">
        <v>277</v>
      </c>
      <c r="H399">
        <v>53</v>
      </c>
      <c r="I399">
        <v>198</v>
      </c>
    </row>
    <row r="400" spans="5:9" x14ac:dyDescent="0.25">
      <c r="E400">
        <f t="shared" ref="E400:E407" si="43">+$F$399</f>
        <v>8</v>
      </c>
      <c r="G400" t="s">
        <v>278</v>
      </c>
      <c r="H400">
        <v>29</v>
      </c>
      <c r="I400">
        <v>198</v>
      </c>
    </row>
    <row r="401" spans="5:9" x14ac:dyDescent="0.25">
      <c r="E401">
        <f t="shared" si="43"/>
        <v>8</v>
      </c>
      <c r="G401" t="s">
        <v>279</v>
      </c>
      <c r="H401">
        <v>74</v>
      </c>
      <c r="I401">
        <v>198</v>
      </c>
    </row>
    <row r="402" spans="5:9" x14ac:dyDescent="0.25">
      <c r="E402">
        <f t="shared" si="43"/>
        <v>8</v>
      </c>
      <c r="G402" t="s">
        <v>280</v>
      </c>
      <c r="H402">
        <v>49</v>
      </c>
      <c r="I402">
        <v>198</v>
      </c>
    </row>
    <row r="403" spans="5:9" x14ac:dyDescent="0.25">
      <c r="E403">
        <f t="shared" si="43"/>
        <v>8</v>
      </c>
      <c r="G403" t="s">
        <v>281</v>
      </c>
      <c r="H403">
        <v>94</v>
      </c>
      <c r="I403">
        <v>198</v>
      </c>
    </row>
    <row r="404" spans="5:9" x14ac:dyDescent="0.25">
      <c r="E404">
        <f t="shared" si="43"/>
        <v>8</v>
      </c>
      <c r="G404" t="s">
        <v>282</v>
      </c>
      <c r="H404">
        <v>67</v>
      </c>
      <c r="I404">
        <v>198</v>
      </c>
    </row>
    <row r="405" spans="5:9" x14ac:dyDescent="0.25">
      <c r="E405">
        <f t="shared" si="43"/>
        <v>8</v>
      </c>
      <c r="G405" t="s">
        <v>283</v>
      </c>
      <c r="H405">
        <v>14</v>
      </c>
      <c r="I405">
        <v>198</v>
      </c>
    </row>
    <row r="406" spans="5:9" x14ac:dyDescent="0.25">
      <c r="E406">
        <f t="shared" si="43"/>
        <v>8</v>
      </c>
      <c r="G406" t="s">
        <v>284</v>
      </c>
      <c r="H406">
        <v>31</v>
      </c>
      <c r="I406">
        <v>198</v>
      </c>
    </row>
    <row r="407" spans="5:9" x14ac:dyDescent="0.25">
      <c r="E407">
        <f t="shared" si="43"/>
        <v>8</v>
      </c>
      <c r="G407" t="s">
        <v>285</v>
      </c>
      <c r="H407">
        <v>36</v>
      </c>
      <c r="I407">
        <v>198</v>
      </c>
    </row>
    <row r="408" spans="5:9" x14ac:dyDescent="0.25">
      <c r="E408">
        <f>+$F$408</f>
        <v>9</v>
      </c>
      <c r="F408">
        <v>9</v>
      </c>
      <c r="G408" t="s">
        <v>277</v>
      </c>
      <c r="H408">
        <v>43</v>
      </c>
      <c r="I408">
        <v>157</v>
      </c>
    </row>
    <row r="409" spans="5:9" x14ac:dyDescent="0.25">
      <c r="E409">
        <f t="shared" ref="E409:E416" si="44">+$F$408</f>
        <v>9</v>
      </c>
      <c r="G409" t="s">
        <v>278</v>
      </c>
      <c r="H409">
        <v>48</v>
      </c>
      <c r="I409">
        <v>157</v>
      </c>
    </row>
    <row r="410" spans="5:9" x14ac:dyDescent="0.25">
      <c r="E410">
        <f t="shared" si="44"/>
        <v>9</v>
      </c>
      <c r="G410" t="s">
        <v>279</v>
      </c>
      <c r="H410">
        <v>59</v>
      </c>
      <c r="I410">
        <v>157</v>
      </c>
    </row>
    <row r="411" spans="5:9" x14ac:dyDescent="0.25">
      <c r="E411">
        <f t="shared" si="44"/>
        <v>9</v>
      </c>
      <c r="G411" t="s">
        <v>280</v>
      </c>
      <c r="H411">
        <v>50</v>
      </c>
      <c r="I411">
        <v>157</v>
      </c>
    </row>
    <row r="412" spans="5:9" x14ac:dyDescent="0.25">
      <c r="E412">
        <f t="shared" si="44"/>
        <v>9</v>
      </c>
      <c r="G412" t="s">
        <v>281</v>
      </c>
      <c r="H412">
        <v>84</v>
      </c>
      <c r="I412">
        <v>157</v>
      </c>
    </row>
    <row r="413" spans="5:9" x14ac:dyDescent="0.25">
      <c r="E413">
        <f t="shared" si="44"/>
        <v>9</v>
      </c>
      <c r="G413" t="s">
        <v>282</v>
      </c>
      <c r="H413">
        <v>69</v>
      </c>
      <c r="I413">
        <v>157</v>
      </c>
    </row>
    <row r="414" spans="5:9" x14ac:dyDescent="0.25">
      <c r="E414">
        <f t="shared" si="44"/>
        <v>9</v>
      </c>
      <c r="G414" t="s">
        <v>283</v>
      </c>
      <c r="H414">
        <v>10</v>
      </c>
      <c r="I414">
        <v>157</v>
      </c>
    </row>
    <row r="415" spans="5:9" x14ac:dyDescent="0.25">
      <c r="E415">
        <f t="shared" si="44"/>
        <v>9</v>
      </c>
      <c r="G415" t="s">
        <v>284</v>
      </c>
      <c r="H415">
        <v>25</v>
      </c>
      <c r="I415">
        <v>157</v>
      </c>
    </row>
    <row r="416" spans="5:9" x14ac:dyDescent="0.25">
      <c r="E416">
        <f t="shared" si="44"/>
        <v>9</v>
      </c>
      <c r="G416" t="s">
        <v>285</v>
      </c>
      <c r="H416">
        <v>39</v>
      </c>
      <c r="I416">
        <v>157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C7CD1B-7040-4EDB-BDA4-36A2CA347871}">
  <dimension ref="A1:T45"/>
  <sheetViews>
    <sheetView workbookViewId="0">
      <selection sqref="A1:T45"/>
    </sheetView>
  </sheetViews>
  <sheetFormatPr baseColWidth="10" defaultRowHeight="15" x14ac:dyDescent="0.25"/>
  <cols>
    <col min="9" max="9" width="11.140625" customWidth="1"/>
  </cols>
  <sheetData>
    <row r="1" spans="1:20" x14ac:dyDescent="0.25">
      <c r="A1" t="s">
        <v>116</v>
      </c>
      <c r="B1" t="s">
        <v>117</v>
      </c>
      <c r="C1" t="s">
        <v>118</v>
      </c>
      <c r="D1" t="s">
        <v>119</v>
      </c>
      <c r="E1" t="s">
        <v>120</v>
      </c>
      <c r="F1" t="s">
        <v>121</v>
      </c>
      <c r="G1" t="s">
        <v>122</v>
      </c>
      <c r="H1" t="s">
        <v>120</v>
      </c>
      <c r="I1" t="s">
        <v>121</v>
      </c>
      <c r="J1" t="s">
        <v>123</v>
      </c>
      <c r="K1" t="s">
        <v>124</v>
      </c>
      <c r="L1" t="s">
        <v>125</v>
      </c>
      <c r="M1" t="s">
        <v>126</v>
      </c>
      <c r="N1" t="s">
        <v>127</v>
      </c>
      <c r="O1" t="s">
        <v>128</v>
      </c>
      <c r="P1" t="s">
        <v>129</v>
      </c>
      <c r="Q1" t="s">
        <v>130</v>
      </c>
      <c r="R1" t="s">
        <v>131</v>
      </c>
      <c r="S1" t="s">
        <v>132</v>
      </c>
      <c r="T1" t="s">
        <v>133</v>
      </c>
    </row>
    <row r="2" spans="1:20" x14ac:dyDescent="0.25">
      <c r="A2" t="s">
        <v>203</v>
      </c>
      <c r="B2">
        <v>1</v>
      </c>
      <c r="C2" s="52">
        <v>46082</v>
      </c>
      <c r="D2" t="s">
        <v>155</v>
      </c>
      <c r="E2">
        <v>1</v>
      </c>
      <c r="F2" t="s">
        <v>14</v>
      </c>
      <c r="G2" t="s">
        <v>142</v>
      </c>
      <c r="H2">
        <v>1382</v>
      </c>
      <c r="I2" t="s">
        <v>143</v>
      </c>
      <c r="J2">
        <v>98746.145000000004</v>
      </c>
      <c r="K2">
        <v>122432.8</v>
      </c>
      <c r="L2">
        <v>14.2607</v>
      </c>
      <c r="M2">
        <v>2.6637</v>
      </c>
      <c r="N2">
        <v>16.924399999999999</v>
      </c>
      <c r="O2">
        <v>0</v>
      </c>
      <c r="P2">
        <v>1671221.44</v>
      </c>
      <c r="Q2">
        <v>2072104.38</v>
      </c>
      <c r="R2">
        <v>128</v>
      </c>
      <c r="S2">
        <v>0.13</v>
      </c>
      <c r="T2">
        <v>0</v>
      </c>
    </row>
    <row r="3" spans="1:20" x14ac:dyDescent="0.25">
      <c r="A3" t="s">
        <v>203</v>
      </c>
      <c r="B3">
        <v>1</v>
      </c>
      <c r="C3" s="52">
        <v>46082</v>
      </c>
      <c r="D3" t="s">
        <v>179</v>
      </c>
      <c r="E3">
        <v>2</v>
      </c>
      <c r="F3" t="s">
        <v>7</v>
      </c>
      <c r="G3" t="s">
        <v>142</v>
      </c>
      <c r="H3">
        <v>1382</v>
      </c>
      <c r="I3" t="s">
        <v>143</v>
      </c>
      <c r="J3">
        <v>11815.421</v>
      </c>
      <c r="K3">
        <v>14554.453</v>
      </c>
      <c r="L3">
        <v>25.549800000000001</v>
      </c>
      <c r="M3">
        <v>4.5641999999999996</v>
      </c>
      <c r="N3">
        <v>30.114000000000001</v>
      </c>
      <c r="O3">
        <v>0</v>
      </c>
      <c r="P3">
        <v>355809.05</v>
      </c>
      <c r="Q3">
        <v>438292.15</v>
      </c>
      <c r="R3">
        <v>73</v>
      </c>
      <c r="S3">
        <v>0.41</v>
      </c>
      <c r="T3">
        <v>0</v>
      </c>
    </row>
    <row r="4" spans="1:20" x14ac:dyDescent="0.25">
      <c r="A4" t="s">
        <v>203</v>
      </c>
      <c r="B4">
        <v>1</v>
      </c>
      <c r="C4" s="52">
        <v>46082</v>
      </c>
      <c r="D4" t="s">
        <v>156</v>
      </c>
      <c r="E4">
        <v>3</v>
      </c>
      <c r="F4" t="s">
        <v>4</v>
      </c>
      <c r="G4" t="s">
        <v>142</v>
      </c>
      <c r="H4">
        <v>1382</v>
      </c>
      <c r="I4" t="s">
        <v>143</v>
      </c>
      <c r="J4">
        <v>12029.634</v>
      </c>
      <c r="K4">
        <v>14825.838</v>
      </c>
      <c r="L4">
        <v>27.373100000000001</v>
      </c>
      <c r="M4">
        <v>10.9908</v>
      </c>
      <c r="N4">
        <v>38.363900000000001</v>
      </c>
      <c r="O4">
        <v>0</v>
      </c>
      <c r="P4">
        <v>461503.95</v>
      </c>
      <c r="Q4">
        <v>568777.28</v>
      </c>
      <c r="R4">
        <v>79</v>
      </c>
      <c r="S4">
        <v>0.49</v>
      </c>
      <c r="T4">
        <v>0</v>
      </c>
    </row>
    <row r="5" spans="1:20" x14ac:dyDescent="0.25">
      <c r="A5" t="s">
        <v>203</v>
      </c>
      <c r="B5">
        <v>1</v>
      </c>
      <c r="C5" s="52">
        <v>46082</v>
      </c>
      <c r="D5" t="s">
        <v>161</v>
      </c>
      <c r="E5">
        <v>4</v>
      </c>
      <c r="F5" t="s">
        <v>19</v>
      </c>
      <c r="G5" t="s">
        <v>142</v>
      </c>
      <c r="H5">
        <v>1382</v>
      </c>
      <c r="I5" t="s">
        <v>143</v>
      </c>
      <c r="J5">
        <v>17624.901999999998</v>
      </c>
      <c r="K5">
        <v>21774.702000000001</v>
      </c>
      <c r="L5">
        <v>44.352899999999998</v>
      </c>
      <c r="M5">
        <v>5.3057999999999996</v>
      </c>
      <c r="N5">
        <v>49.6586</v>
      </c>
      <c r="O5">
        <v>0</v>
      </c>
      <c r="P5">
        <v>875228.78</v>
      </c>
      <c r="Q5">
        <v>1081302.23</v>
      </c>
      <c r="R5">
        <v>100</v>
      </c>
      <c r="S5">
        <v>0.5</v>
      </c>
      <c r="T5">
        <v>0</v>
      </c>
    </row>
    <row r="6" spans="1:20" x14ac:dyDescent="0.25">
      <c r="A6" t="s">
        <v>203</v>
      </c>
      <c r="B6">
        <v>1</v>
      </c>
      <c r="C6" s="52">
        <v>46082</v>
      </c>
      <c r="D6" t="s">
        <v>162</v>
      </c>
      <c r="E6">
        <v>5</v>
      </c>
      <c r="F6" t="s">
        <v>70</v>
      </c>
      <c r="G6" t="s">
        <v>142</v>
      </c>
      <c r="H6">
        <v>1382</v>
      </c>
      <c r="I6" t="s">
        <v>143</v>
      </c>
      <c r="J6">
        <v>26707.909</v>
      </c>
      <c r="K6">
        <v>32656.222000000002</v>
      </c>
      <c r="L6">
        <v>7.0171999999999999</v>
      </c>
      <c r="M6">
        <v>5.0472000000000001</v>
      </c>
      <c r="N6">
        <v>12.064500000000001</v>
      </c>
      <c r="O6">
        <v>0</v>
      </c>
      <c r="P6">
        <v>322216.7</v>
      </c>
      <c r="Q6">
        <v>393979.93</v>
      </c>
      <c r="R6">
        <v>70</v>
      </c>
      <c r="S6">
        <v>0.17</v>
      </c>
      <c r="T6">
        <v>0</v>
      </c>
    </row>
    <row r="7" spans="1:20" x14ac:dyDescent="0.25">
      <c r="A7" t="s">
        <v>203</v>
      </c>
      <c r="B7">
        <v>1</v>
      </c>
      <c r="C7" s="52">
        <v>46082</v>
      </c>
      <c r="D7" t="s">
        <v>196</v>
      </c>
      <c r="E7">
        <v>7</v>
      </c>
      <c r="F7" t="s">
        <v>10</v>
      </c>
      <c r="G7" t="s">
        <v>142</v>
      </c>
      <c r="H7">
        <v>1382</v>
      </c>
      <c r="I7" t="s">
        <v>143</v>
      </c>
      <c r="J7">
        <v>6772.3810000000003</v>
      </c>
      <c r="K7">
        <v>8382.7170000000006</v>
      </c>
      <c r="L7">
        <v>39</v>
      </c>
      <c r="M7">
        <v>0</v>
      </c>
      <c r="N7">
        <v>39</v>
      </c>
      <c r="O7">
        <v>0</v>
      </c>
      <c r="P7">
        <v>264122.84999999998</v>
      </c>
      <c r="Q7">
        <v>326925.96999999997</v>
      </c>
      <c r="R7">
        <v>1</v>
      </c>
      <c r="S7">
        <v>39</v>
      </c>
      <c r="T7">
        <v>0</v>
      </c>
    </row>
    <row r="8" spans="1:20" x14ac:dyDescent="0.25">
      <c r="A8" t="s">
        <v>203</v>
      </c>
      <c r="B8">
        <v>1</v>
      </c>
      <c r="C8" s="52">
        <v>46082</v>
      </c>
      <c r="D8" t="s">
        <v>157</v>
      </c>
      <c r="E8">
        <v>8</v>
      </c>
      <c r="F8" t="s">
        <v>6</v>
      </c>
      <c r="G8" t="s">
        <v>142</v>
      </c>
      <c r="H8">
        <v>1382</v>
      </c>
      <c r="I8" t="s">
        <v>143</v>
      </c>
      <c r="J8">
        <v>18047.967000000001</v>
      </c>
      <c r="K8">
        <v>22290.442999999999</v>
      </c>
      <c r="L8">
        <v>8.0508000000000006</v>
      </c>
      <c r="M8">
        <v>7.7319000000000004</v>
      </c>
      <c r="N8">
        <v>15.7828</v>
      </c>
      <c r="O8">
        <v>0</v>
      </c>
      <c r="P8">
        <v>284846.64</v>
      </c>
      <c r="Q8">
        <v>351804.59</v>
      </c>
      <c r="R8">
        <v>61</v>
      </c>
      <c r="S8">
        <v>0.26</v>
      </c>
      <c r="T8">
        <v>0</v>
      </c>
    </row>
    <row r="9" spans="1:20" x14ac:dyDescent="0.25">
      <c r="A9" t="s">
        <v>203</v>
      </c>
      <c r="B9">
        <v>1</v>
      </c>
      <c r="C9" s="52">
        <v>46082</v>
      </c>
      <c r="D9" t="s">
        <v>134</v>
      </c>
      <c r="E9">
        <v>9</v>
      </c>
      <c r="F9" t="s">
        <v>8</v>
      </c>
      <c r="G9" t="s">
        <v>142</v>
      </c>
      <c r="H9">
        <v>1382</v>
      </c>
      <c r="I9" t="s">
        <v>143</v>
      </c>
      <c r="J9">
        <v>9288.0779999999995</v>
      </c>
      <c r="K9">
        <v>11426.612999999999</v>
      </c>
      <c r="L9">
        <v>40.548999999999999</v>
      </c>
      <c r="M9">
        <v>7.8353000000000002</v>
      </c>
      <c r="N9">
        <v>48.384300000000003</v>
      </c>
      <c r="O9">
        <v>0</v>
      </c>
      <c r="P9">
        <v>449396.93</v>
      </c>
      <c r="Q9">
        <v>552868.39</v>
      </c>
      <c r="R9">
        <v>85</v>
      </c>
      <c r="S9">
        <v>0.56999999999999995</v>
      </c>
      <c r="T9">
        <v>0</v>
      </c>
    </row>
    <row r="10" spans="1:20" x14ac:dyDescent="0.25">
      <c r="A10" t="s">
        <v>203</v>
      </c>
      <c r="B10">
        <v>1</v>
      </c>
      <c r="C10" s="52">
        <v>46082</v>
      </c>
      <c r="D10" t="s">
        <v>163</v>
      </c>
      <c r="E10">
        <v>10</v>
      </c>
      <c r="F10" t="s">
        <v>62</v>
      </c>
      <c r="G10" t="s">
        <v>142</v>
      </c>
      <c r="H10">
        <v>1382</v>
      </c>
      <c r="I10" t="s">
        <v>143</v>
      </c>
      <c r="J10">
        <v>19423.101999999999</v>
      </c>
      <c r="K10">
        <v>23755.08</v>
      </c>
      <c r="L10">
        <v>16.260000000000002</v>
      </c>
      <c r="M10">
        <v>3.6008</v>
      </c>
      <c r="N10">
        <v>19.860700000000001</v>
      </c>
      <c r="O10">
        <v>0</v>
      </c>
      <c r="P10">
        <v>385757.33</v>
      </c>
      <c r="Q10">
        <v>471793.64</v>
      </c>
      <c r="R10">
        <v>61</v>
      </c>
      <c r="S10">
        <v>0.33</v>
      </c>
      <c r="T10">
        <v>0</v>
      </c>
    </row>
    <row r="11" spans="1:20" x14ac:dyDescent="0.25">
      <c r="A11" t="s">
        <v>203</v>
      </c>
      <c r="B11">
        <v>1</v>
      </c>
      <c r="C11" s="52">
        <v>46082</v>
      </c>
      <c r="D11" t="s">
        <v>164</v>
      </c>
      <c r="E11">
        <v>11</v>
      </c>
      <c r="F11" t="s">
        <v>79</v>
      </c>
      <c r="G11" t="s">
        <v>142</v>
      </c>
      <c r="H11">
        <v>1382</v>
      </c>
      <c r="I11" t="s">
        <v>143</v>
      </c>
      <c r="J11">
        <v>19880.77</v>
      </c>
      <c r="K11">
        <v>24580.662</v>
      </c>
      <c r="L11">
        <v>6.2249999999999996</v>
      </c>
      <c r="M11">
        <v>2.1692999999999998</v>
      </c>
      <c r="N11">
        <v>8.3942999999999994</v>
      </c>
      <c r="O11">
        <v>0</v>
      </c>
      <c r="P11">
        <v>166886.04999999999</v>
      </c>
      <c r="Q11">
        <v>206338.57</v>
      </c>
      <c r="R11">
        <v>53</v>
      </c>
      <c r="S11">
        <v>0.16</v>
      </c>
      <c r="T11">
        <v>0</v>
      </c>
    </row>
    <row r="12" spans="1:20" x14ac:dyDescent="0.25">
      <c r="A12" t="s">
        <v>203</v>
      </c>
      <c r="B12">
        <v>1</v>
      </c>
      <c r="C12" s="52">
        <v>46082</v>
      </c>
      <c r="D12" t="s">
        <v>180</v>
      </c>
      <c r="E12">
        <v>12</v>
      </c>
      <c r="F12" t="s">
        <v>12</v>
      </c>
      <c r="G12" t="s">
        <v>142</v>
      </c>
      <c r="H12">
        <v>1382</v>
      </c>
      <c r="I12" t="s">
        <v>143</v>
      </c>
      <c r="J12">
        <v>21003.651000000002</v>
      </c>
      <c r="K12">
        <v>25910.202000000001</v>
      </c>
      <c r="L12">
        <v>6.2832999999999997</v>
      </c>
      <c r="M12">
        <v>7.2679</v>
      </c>
      <c r="N12">
        <v>13.5512</v>
      </c>
      <c r="O12">
        <v>0</v>
      </c>
      <c r="P12">
        <v>284624.48</v>
      </c>
      <c r="Q12">
        <v>351114.08</v>
      </c>
      <c r="R12">
        <v>65</v>
      </c>
      <c r="S12">
        <v>0.21</v>
      </c>
      <c r="T12">
        <v>0</v>
      </c>
    </row>
    <row r="13" spans="1:20" x14ac:dyDescent="0.25">
      <c r="A13" t="s">
        <v>203</v>
      </c>
      <c r="B13">
        <v>1</v>
      </c>
      <c r="C13" s="52">
        <v>46082</v>
      </c>
      <c r="D13" t="s">
        <v>201</v>
      </c>
      <c r="E13">
        <v>15</v>
      </c>
      <c r="F13" t="s">
        <v>13</v>
      </c>
      <c r="G13" t="s">
        <v>142</v>
      </c>
      <c r="H13">
        <v>1382</v>
      </c>
      <c r="I13" t="s">
        <v>143</v>
      </c>
      <c r="J13">
        <v>39203.754000000001</v>
      </c>
      <c r="K13">
        <v>49427.271000000001</v>
      </c>
      <c r="L13">
        <v>33.666699999999999</v>
      </c>
      <c r="M13">
        <v>0.23330000000000001</v>
      </c>
      <c r="N13">
        <v>33.9</v>
      </c>
      <c r="O13">
        <v>0</v>
      </c>
      <c r="P13">
        <v>1329007.27</v>
      </c>
      <c r="Q13">
        <v>1675584.49</v>
      </c>
      <c r="R13">
        <v>10</v>
      </c>
      <c r="S13">
        <v>3.39</v>
      </c>
      <c r="T13">
        <v>0</v>
      </c>
    </row>
    <row r="14" spans="1:20" x14ac:dyDescent="0.25">
      <c r="A14" t="s">
        <v>203</v>
      </c>
      <c r="B14">
        <v>1</v>
      </c>
      <c r="C14" s="52">
        <v>46082</v>
      </c>
      <c r="D14" t="s">
        <v>165</v>
      </c>
      <c r="E14">
        <v>16</v>
      </c>
      <c r="F14" t="s">
        <v>21</v>
      </c>
      <c r="G14" t="s">
        <v>142</v>
      </c>
      <c r="H14">
        <v>1382</v>
      </c>
      <c r="I14" t="s">
        <v>143</v>
      </c>
      <c r="J14">
        <v>14326.343999999999</v>
      </c>
      <c r="K14">
        <v>17577.612000000001</v>
      </c>
      <c r="L14">
        <v>8.6333000000000002</v>
      </c>
      <c r="M14">
        <v>10.282999999999999</v>
      </c>
      <c r="N14">
        <v>18.916399999999999</v>
      </c>
      <c r="O14">
        <v>0</v>
      </c>
      <c r="P14">
        <v>271002.40000000002</v>
      </c>
      <c r="Q14">
        <v>332504.59000000003</v>
      </c>
      <c r="R14">
        <v>64</v>
      </c>
      <c r="S14">
        <v>0.3</v>
      </c>
      <c r="T14">
        <v>0</v>
      </c>
    </row>
    <row r="15" spans="1:20" x14ac:dyDescent="0.25">
      <c r="A15" t="s">
        <v>203</v>
      </c>
      <c r="B15">
        <v>1</v>
      </c>
      <c r="C15" s="52">
        <v>46082</v>
      </c>
      <c r="D15" t="s">
        <v>166</v>
      </c>
      <c r="E15">
        <v>18</v>
      </c>
      <c r="F15" t="s">
        <v>11</v>
      </c>
      <c r="G15" t="s">
        <v>142</v>
      </c>
      <c r="H15">
        <v>1382</v>
      </c>
      <c r="I15" t="s">
        <v>143</v>
      </c>
      <c r="J15">
        <v>47544.817000000003</v>
      </c>
      <c r="K15">
        <v>58104.665999999997</v>
      </c>
      <c r="L15">
        <v>7.1306000000000003</v>
      </c>
      <c r="M15">
        <v>2.6594000000000002</v>
      </c>
      <c r="N15">
        <v>9.7899999999999991</v>
      </c>
      <c r="O15">
        <v>0</v>
      </c>
      <c r="P15">
        <v>465462.81</v>
      </c>
      <c r="Q15">
        <v>568843.53</v>
      </c>
      <c r="R15">
        <v>66</v>
      </c>
      <c r="S15">
        <v>0.15</v>
      </c>
      <c r="T15">
        <v>0</v>
      </c>
    </row>
    <row r="16" spans="1:20" x14ac:dyDescent="0.25">
      <c r="A16" t="s">
        <v>203</v>
      </c>
      <c r="B16">
        <v>1</v>
      </c>
      <c r="C16" s="52">
        <v>46082</v>
      </c>
      <c r="D16" t="s">
        <v>181</v>
      </c>
      <c r="E16">
        <v>19</v>
      </c>
      <c r="F16" t="s">
        <v>72</v>
      </c>
      <c r="G16" t="s">
        <v>142</v>
      </c>
      <c r="H16">
        <v>1382</v>
      </c>
      <c r="I16" t="s">
        <v>143</v>
      </c>
      <c r="J16">
        <v>29959.673999999999</v>
      </c>
      <c r="K16">
        <v>36445.453999999998</v>
      </c>
      <c r="L16">
        <v>6.3691000000000004</v>
      </c>
      <c r="M16">
        <v>5.8227000000000002</v>
      </c>
      <c r="N16">
        <v>12.191800000000001</v>
      </c>
      <c r="O16">
        <v>0</v>
      </c>
      <c r="P16">
        <v>365262.82</v>
      </c>
      <c r="Q16">
        <v>444336.25</v>
      </c>
      <c r="R16">
        <v>68</v>
      </c>
      <c r="S16">
        <v>0.18</v>
      </c>
      <c r="T16">
        <v>0</v>
      </c>
    </row>
    <row r="17" spans="1:20" x14ac:dyDescent="0.25">
      <c r="A17" t="s">
        <v>203</v>
      </c>
      <c r="B17">
        <v>1</v>
      </c>
      <c r="C17" s="52">
        <v>46082</v>
      </c>
      <c r="D17" t="s">
        <v>167</v>
      </c>
      <c r="E17">
        <v>20</v>
      </c>
      <c r="F17" t="s">
        <v>20</v>
      </c>
      <c r="G17" t="s">
        <v>142</v>
      </c>
      <c r="H17">
        <v>1382</v>
      </c>
      <c r="I17" t="s">
        <v>143</v>
      </c>
      <c r="J17">
        <v>14553.7</v>
      </c>
      <c r="K17">
        <v>17790.960999999999</v>
      </c>
      <c r="L17">
        <v>15.525</v>
      </c>
      <c r="M17">
        <v>8.1038999999999994</v>
      </c>
      <c r="N17">
        <v>23.628900000000002</v>
      </c>
      <c r="O17">
        <v>0</v>
      </c>
      <c r="P17">
        <v>343887.46</v>
      </c>
      <c r="Q17">
        <v>420380.3</v>
      </c>
      <c r="R17">
        <v>101</v>
      </c>
      <c r="S17">
        <v>0.23</v>
      </c>
      <c r="T17">
        <v>0</v>
      </c>
    </row>
    <row r="18" spans="1:20" x14ac:dyDescent="0.25">
      <c r="A18" t="s">
        <v>203</v>
      </c>
      <c r="B18">
        <v>1</v>
      </c>
      <c r="C18" s="52">
        <v>46082</v>
      </c>
      <c r="D18" t="s">
        <v>135</v>
      </c>
      <c r="E18">
        <v>21</v>
      </c>
      <c r="F18" t="s">
        <v>17</v>
      </c>
      <c r="G18" t="s">
        <v>142</v>
      </c>
      <c r="H18">
        <v>1382</v>
      </c>
      <c r="I18" t="s">
        <v>143</v>
      </c>
      <c r="J18">
        <v>23359.303</v>
      </c>
      <c r="K18">
        <v>28731.166000000001</v>
      </c>
      <c r="L18">
        <v>5.8674999999999997</v>
      </c>
      <c r="M18">
        <v>7.0090000000000003</v>
      </c>
      <c r="N18">
        <v>12.8765</v>
      </c>
      <c r="O18">
        <v>0</v>
      </c>
      <c r="P18">
        <v>300786.17</v>
      </c>
      <c r="Q18">
        <v>369957</v>
      </c>
      <c r="R18">
        <v>81</v>
      </c>
      <c r="S18">
        <v>0.16</v>
      </c>
      <c r="T18">
        <v>0</v>
      </c>
    </row>
    <row r="19" spans="1:20" x14ac:dyDescent="0.25">
      <c r="A19" t="s">
        <v>203</v>
      </c>
      <c r="B19">
        <v>1</v>
      </c>
      <c r="C19" s="52">
        <v>46082</v>
      </c>
      <c r="D19" t="s">
        <v>197</v>
      </c>
      <c r="E19">
        <v>22</v>
      </c>
      <c r="F19" t="s">
        <v>23</v>
      </c>
      <c r="G19" t="s">
        <v>142</v>
      </c>
      <c r="H19">
        <v>1382</v>
      </c>
      <c r="I19" t="s">
        <v>143</v>
      </c>
      <c r="J19">
        <v>72204.706999999995</v>
      </c>
      <c r="K19">
        <v>89368.476999999999</v>
      </c>
      <c r="L19">
        <v>3.3626999999999998</v>
      </c>
      <c r="M19">
        <v>0.38750000000000001</v>
      </c>
      <c r="N19">
        <v>3.7502</v>
      </c>
      <c r="O19">
        <v>0</v>
      </c>
      <c r="P19">
        <v>270784.37</v>
      </c>
      <c r="Q19">
        <v>335152.46999999997</v>
      </c>
      <c r="R19">
        <v>15</v>
      </c>
      <c r="S19">
        <v>0.25</v>
      </c>
      <c r="T19">
        <v>0</v>
      </c>
    </row>
    <row r="20" spans="1:20" x14ac:dyDescent="0.25">
      <c r="A20" t="s">
        <v>203</v>
      </c>
      <c r="B20">
        <v>1</v>
      </c>
      <c r="C20" s="52">
        <v>46082</v>
      </c>
      <c r="D20" t="s">
        <v>158</v>
      </c>
      <c r="E20">
        <v>23</v>
      </c>
      <c r="F20" t="s">
        <v>22</v>
      </c>
      <c r="G20" t="s">
        <v>142</v>
      </c>
      <c r="H20">
        <v>1382</v>
      </c>
      <c r="I20" t="s">
        <v>143</v>
      </c>
      <c r="J20">
        <v>20368.519</v>
      </c>
      <c r="K20">
        <v>24979.891</v>
      </c>
      <c r="L20">
        <v>16.326899999999998</v>
      </c>
      <c r="M20">
        <v>9.077</v>
      </c>
      <c r="N20">
        <v>25.4038</v>
      </c>
      <c r="O20">
        <v>0</v>
      </c>
      <c r="P20">
        <v>517438.51</v>
      </c>
      <c r="Q20">
        <v>634585.06000000006</v>
      </c>
      <c r="R20">
        <v>94</v>
      </c>
      <c r="S20">
        <v>0.27</v>
      </c>
      <c r="T20">
        <v>0</v>
      </c>
    </row>
    <row r="21" spans="1:20" x14ac:dyDescent="0.25">
      <c r="A21" t="s">
        <v>203</v>
      </c>
      <c r="B21">
        <v>1</v>
      </c>
      <c r="C21" s="52">
        <v>46082</v>
      </c>
      <c r="D21" t="s">
        <v>136</v>
      </c>
      <c r="E21">
        <v>24</v>
      </c>
      <c r="F21" t="s">
        <v>74</v>
      </c>
      <c r="G21" t="s">
        <v>142</v>
      </c>
      <c r="H21">
        <v>1382</v>
      </c>
      <c r="I21" t="s">
        <v>143</v>
      </c>
      <c r="J21">
        <v>15470.788</v>
      </c>
      <c r="K21">
        <v>19101.392</v>
      </c>
      <c r="L21">
        <v>6.9164000000000003</v>
      </c>
      <c r="M21">
        <v>12.1012</v>
      </c>
      <c r="N21">
        <v>19.017600000000002</v>
      </c>
      <c r="O21">
        <v>0</v>
      </c>
      <c r="P21">
        <v>294217.65999999997</v>
      </c>
      <c r="Q21">
        <v>363263.13</v>
      </c>
      <c r="R21">
        <v>63</v>
      </c>
      <c r="S21">
        <v>0.3</v>
      </c>
      <c r="T21">
        <v>0</v>
      </c>
    </row>
    <row r="22" spans="1:20" x14ac:dyDescent="0.25">
      <c r="A22" t="s">
        <v>203</v>
      </c>
      <c r="B22">
        <v>1</v>
      </c>
      <c r="C22" s="52">
        <v>46082</v>
      </c>
      <c r="D22" t="s">
        <v>168</v>
      </c>
      <c r="E22">
        <v>25</v>
      </c>
      <c r="F22" t="s">
        <v>18</v>
      </c>
      <c r="G22" t="s">
        <v>142</v>
      </c>
      <c r="H22">
        <v>1382</v>
      </c>
      <c r="I22" t="s">
        <v>143</v>
      </c>
      <c r="J22">
        <v>17401.135999999999</v>
      </c>
      <c r="K22">
        <v>21711.321</v>
      </c>
      <c r="L22">
        <v>29.747</v>
      </c>
      <c r="M22">
        <v>6.5793999999999997</v>
      </c>
      <c r="N22">
        <v>36.3264</v>
      </c>
      <c r="O22">
        <v>0</v>
      </c>
      <c r="P22">
        <v>632119.85</v>
      </c>
      <c r="Q22">
        <v>788693.16</v>
      </c>
      <c r="R22">
        <v>49</v>
      </c>
      <c r="S22">
        <v>0.74</v>
      </c>
      <c r="T22">
        <v>0</v>
      </c>
    </row>
    <row r="23" spans="1:20" x14ac:dyDescent="0.25">
      <c r="A23" t="s">
        <v>203</v>
      </c>
      <c r="B23">
        <v>1</v>
      </c>
      <c r="C23" s="52">
        <v>46082</v>
      </c>
      <c r="D23" t="s">
        <v>169</v>
      </c>
      <c r="E23">
        <v>26</v>
      </c>
      <c r="F23" t="s">
        <v>16</v>
      </c>
      <c r="G23" t="s">
        <v>142</v>
      </c>
      <c r="H23">
        <v>1382</v>
      </c>
      <c r="I23" t="s">
        <v>143</v>
      </c>
      <c r="J23">
        <v>13033.684999999999</v>
      </c>
      <c r="K23">
        <v>16156.763000000001</v>
      </c>
      <c r="L23">
        <v>3.5832999999999999</v>
      </c>
      <c r="M23">
        <v>6.6794000000000002</v>
      </c>
      <c r="N23">
        <v>10.262700000000001</v>
      </c>
      <c r="O23">
        <v>0</v>
      </c>
      <c r="P23">
        <v>133760.78</v>
      </c>
      <c r="Q23">
        <v>165811.99</v>
      </c>
      <c r="R23">
        <v>29</v>
      </c>
      <c r="S23">
        <v>0.35</v>
      </c>
      <c r="T23">
        <v>0</v>
      </c>
    </row>
    <row r="24" spans="1:20" x14ac:dyDescent="0.25">
      <c r="A24" t="s">
        <v>203</v>
      </c>
      <c r="B24">
        <v>1</v>
      </c>
      <c r="C24" s="52">
        <v>46082</v>
      </c>
      <c r="D24" t="s">
        <v>170</v>
      </c>
      <c r="E24">
        <v>27</v>
      </c>
      <c r="F24" t="s">
        <v>26</v>
      </c>
      <c r="G24" t="s">
        <v>142</v>
      </c>
      <c r="H24">
        <v>1382</v>
      </c>
      <c r="I24" t="s">
        <v>143</v>
      </c>
      <c r="J24">
        <v>16815.141</v>
      </c>
      <c r="K24">
        <v>20603.353999999999</v>
      </c>
      <c r="L24">
        <v>15.783300000000001</v>
      </c>
      <c r="M24">
        <v>3.0051000000000001</v>
      </c>
      <c r="N24">
        <v>18.788399999999999</v>
      </c>
      <c r="O24">
        <v>0</v>
      </c>
      <c r="P24">
        <v>315929.46999999997</v>
      </c>
      <c r="Q24">
        <v>387103.91</v>
      </c>
      <c r="R24">
        <v>58</v>
      </c>
      <c r="S24">
        <v>0.32</v>
      </c>
      <c r="T24">
        <v>0</v>
      </c>
    </row>
    <row r="25" spans="1:20" x14ac:dyDescent="0.25">
      <c r="A25" t="s">
        <v>203</v>
      </c>
      <c r="B25">
        <v>1</v>
      </c>
      <c r="C25" s="52">
        <v>46082</v>
      </c>
      <c r="D25" t="s">
        <v>171</v>
      </c>
      <c r="E25">
        <v>28</v>
      </c>
      <c r="F25" t="s">
        <v>1</v>
      </c>
      <c r="G25" t="s">
        <v>142</v>
      </c>
      <c r="H25">
        <v>1382</v>
      </c>
      <c r="I25" t="s">
        <v>143</v>
      </c>
      <c r="J25">
        <v>7344.9750000000004</v>
      </c>
      <c r="K25">
        <v>8959.3690000000006</v>
      </c>
      <c r="L25">
        <v>21.935199999999998</v>
      </c>
      <c r="M25">
        <v>7.5796000000000001</v>
      </c>
      <c r="N25">
        <v>29.514800000000001</v>
      </c>
      <c r="O25">
        <v>0</v>
      </c>
      <c r="P25">
        <v>216785.26</v>
      </c>
      <c r="Q25">
        <v>264433.74</v>
      </c>
      <c r="R25">
        <v>82</v>
      </c>
      <c r="S25">
        <v>0.36</v>
      </c>
      <c r="T25">
        <v>0</v>
      </c>
    </row>
    <row r="26" spans="1:20" x14ac:dyDescent="0.25">
      <c r="A26" t="s">
        <v>203</v>
      </c>
      <c r="B26">
        <v>1</v>
      </c>
      <c r="C26" s="52">
        <v>46082</v>
      </c>
      <c r="D26" t="s">
        <v>187</v>
      </c>
      <c r="E26">
        <v>30</v>
      </c>
      <c r="F26" t="s">
        <v>0</v>
      </c>
      <c r="G26" t="s">
        <v>142</v>
      </c>
      <c r="H26">
        <v>1382</v>
      </c>
      <c r="I26" t="s">
        <v>143</v>
      </c>
      <c r="J26">
        <v>47918.364000000001</v>
      </c>
      <c r="K26">
        <v>60837.553</v>
      </c>
      <c r="L26">
        <v>12.55</v>
      </c>
      <c r="M26">
        <v>0</v>
      </c>
      <c r="N26">
        <v>12.55</v>
      </c>
      <c r="O26">
        <v>0</v>
      </c>
      <c r="P26">
        <v>601375.47</v>
      </c>
      <c r="Q26">
        <v>763511.29</v>
      </c>
      <c r="R26">
        <v>3</v>
      </c>
      <c r="S26">
        <v>4.18</v>
      </c>
      <c r="T26">
        <v>0</v>
      </c>
    </row>
    <row r="27" spans="1:20" x14ac:dyDescent="0.25">
      <c r="A27" t="s">
        <v>203</v>
      </c>
      <c r="B27">
        <v>1</v>
      </c>
      <c r="C27" s="52">
        <v>46082</v>
      </c>
      <c r="D27" t="s">
        <v>172</v>
      </c>
      <c r="E27">
        <v>31</v>
      </c>
      <c r="F27" t="s">
        <v>3</v>
      </c>
      <c r="G27" t="s">
        <v>142</v>
      </c>
      <c r="H27">
        <v>1382</v>
      </c>
      <c r="I27" t="s">
        <v>143</v>
      </c>
      <c r="J27">
        <v>27205.694</v>
      </c>
      <c r="K27">
        <v>33519.57</v>
      </c>
      <c r="L27">
        <v>6.1969000000000003</v>
      </c>
      <c r="M27">
        <v>6.5541</v>
      </c>
      <c r="N27">
        <v>12.7509</v>
      </c>
      <c r="O27">
        <v>0</v>
      </c>
      <c r="P27">
        <v>346898.23</v>
      </c>
      <c r="Q27">
        <v>427406.11</v>
      </c>
      <c r="R27">
        <v>66</v>
      </c>
      <c r="S27">
        <v>0.19</v>
      </c>
      <c r="T27">
        <v>0</v>
      </c>
    </row>
    <row r="28" spans="1:20" x14ac:dyDescent="0.25">
      <c r="A28" t="s">
        <v>203</v>
      </c>
      <c r="B28">
        <v>1</v>
      </c>
      <c r="C28" s="52">
        <v>46082</v>
      </c>
      <c r="D28" t="s">
        <v>188</v>
      </c>
      <c r="E28">
        <v>32</v>
      </c>
      <c r="F28" t="s">
        <v>28</v>
      </c>
      <c r="G28" t="s">
        <v>142</v>
      </c>
      <c r="H28">
        <v>1382</v>
      </c>
      <c r="I28" t="s">
        <v>143</v>
      </c>
      <c r="J28">
        <v>58256.595999999998</v>
      </c>
      <c r="K28">
        <v>72004.615999999995</v>
      </c>
      <c r="L28">
        <v>4.6417000000000002</v>
      </c>
      <c r="M28">
        <v>1.4875</v>
      </c>
      <c r="N28">
        <v>6.1292</v>
      </c>
      <c r="O28">
        <v>0</v>
      </c>
      <c r="P28">
        <v>357064.39</v>
      </c>
      <c r="Q28">
        <v>441328.29</v>
      </c>
      <c r="R28">
        <v>19</v>
      </c>
      <c r="S28">
        <v>0.32</v>
      </c>
      <c r="T28">
        <v>0</v>
      </c>
    </row>
    <row r="29" spans="1:20" x14ac:dyDescent="0.25">
      <c r="A29" t="s">
        <v>203</v>
      </c>
      <c r="B29">
        <v>1</v>
      </c>
      <c r="C29" s="52">
        <v>46082</v>
      </c>
      <c r="D29" t="s">
        <v>173</v>
      </c>
      <c r="E29">
        <v>33</v>
      </c>
      <c r="F29" t="s">
        <v>174</v>
      </c>
      <c r="G29" t="s">
        <v>142</v>
      </c>
      <c r="H29">
        <v>1382</v>
      </c>
      <c r="I29" t="s">
        <v>143</v>
      </c>
      <c r="J29">
        <v>8085.0420000000004</v>
      </c>
      <c r="K29">
        <v>9944.9529999999995</v>
      </c>
      <c r="L29">
        <v>19.932300000000001</v>
      </c>
      <c r="M29">
        <v>7.0448000000000004</v>
      </c>
      <c r="N29">
        <v>26.9771</v>
      </c>
      <c r="O29">
        <v>0</v>
      </c>
      <c r="P29">
        <v>218111.24</v>
      </c>
      <c r="Q29">
        <v>268286.33</v>
      </c>
      <c r="R29">
        <v>72</v>
      </c>
      <c r="S29">
        <v>0.37</v>
      </c>
      <c r="T29">
        <v>0</v>
      </c>
    </row>
    <row r="30" spans="1:20" x14ac:dyDescent="0.25">
      <c r="A30" t="s">
        <v>203</v>
      </c>
      <c r="B30">
        <v>1</v>
      </c>
      <c r="C30" s="52">
        <v>46082</v>
      </c>
      <c r="D30" t="s">
        <v>182</v>
      </c>
      <c r="E30">
        <v>36</v>
      </c>
      <c r="F30" t="s">
        <v>183</v>
      </c>
      <c r="G30" t="s">
        <v>142</v>
      </c>
      <c r="H30">
        <v>1382</v>
      </c>
      <c r="I30" t="s">
        <v>143</v>
      </c>
      <c r="J30">
        <v>15927.221</v>
      </c>
      <c r="K30">
        <v>19503.672999999999</v>
      </c>
      <c r="L30">
        <v>11.0924</v>
      </c>
      <c r="M30">
        <v>3.28</v>
      </c>
      <c r="N30">
        <v>14.372299999999999</v>
      </c>
      <c r="O30">
        <v>0</v>
      </c>
      <c r="P30">
        <v>228911.14</v>
      </c>
      <c r="Q30">
        <v>280313.05</v>
      </c>
      <c r="R30">
        <v>59</v>
      </c>
      <c r="S30">
        <v>0.24</v>
      </c>
      <c r="T30">
        <v>0</v>
      </c>
    </row>
    <row r="31" spans="1:20" x14ac:dyDescent="0.25">
      <c r="A31" t="s">
        <v>203</v>
      </c>
      <c r="B31">
        <v>1</v>
      </c>
      <c r="C31" s="52">
        <v>46082</v>
      </c>
      <c r="D31" t="s">
        <v>175</v>
      </c>
      <c r="E31">
        <v>37</v>
      </c>
      <c r="F31" t="s">
        <v>25</v>
      </c>
      <c r="G31" t="s">
        <v>142</v>
      </c>
      <c r="H31">
        <v>1382</v>
      </c>
      <c r="I31" t="s">
        <v>143</v>
      </c>
      <c r="J31">
        <v>6704.7730000000001</v>
      </c>
      <c r="K31">
        <v>8224</v>
      </c>
      <c r="L31">
        <v>15.316700000000001</v>
      </c>
      <c r="M31">
        <v>8.6264000000000003</v>
      </c>
      <c r="N31">
        <v>23.943100000000001</v>
      </c>
      <c r="O31">
        <v>0</v>
      </c>
      <c r="P31">
        <v>160532.76</v>
      </c>
      <c r="Q31">
        <v>196907.69</v>
      </c>
      <c r="R31">
        <v>46</v>
      </c>
      <c r="S31">
        <v>0.52</v>
      </c>
      <c r="T31">
        <v>0</v>
      </c>
    </row>
    <row r="32" spans="1:20" x14ac:dyDescent="0.25">
      <c r="A32" t="s">
        <v>203</v>
      </c>
      <c r="B32">
        <v>1</v>
      </c>
      <c r="C32" s="52">
        <v>46082</v>
      </c>
      <c r="D32" t="s">
        <v>159</v>
      </c>
      <c r="E32">
        <v>40</v>
      </c>
      <c r="F32" t="s">
        <v>68</v>
      </c>
      <c r="G32" t="s">
        <v>142</v>
      </c>
      <c r="H32">
        <v>1382</v>
      </c>
      <c r="I32" t="s">
        <v>143</v>
      </c>
      <c r="J32">
        <v>10358.124</v>
      </c>
      <c r="K32">
        <v>12673.079</v>
      </c>
      <c r="L32">
        <v>18.282299999999999</v>
      </c>
      <c r="M32">
        <v>6.7294999999999998</v>
      </c>
      <c r="N32">
        <v>25.011800000000001</v>
      </c>
      <c r="O32">
        <v>0</v>
      </c>
      <c r="P32">
        <v>259074.86</v>
      </c>
      <c r="Q32">
        <v>316975.96000000002</v>
      </c>
      <c r="R32">
        <v>76</v>
      </c>
      <c r="S32">
        <v>0.33</v>
      </c>
      <c r="T32">
        <v>0</v>
      </c>
    </row>
    <row r="33" spans="1:20" x14ac:dyDescent="0.25">
      <c r="A33" t="s">
        <v>203</v>
      </c>
      <c r="B33">
        <v>1</v>
      </c>
      <c r="C33" s="52">
        <v>46082</v>
      </c>
      <c r="D33" t="s">
        <v>199</v>
      </c>
      <c r="E33">
        <v>42</v>
      </c>
      <c r="F33" t="s">
        <v>29</v>
      </c>
      <c r="G33" t="s">
        <v>142</v>
      </c>
      <c r="H33">
        <v>1382</v>
      </c>
      <c r="I33" t="s">
        <v>143</v>
      </c>
      <c r="J33">
        <v>33671.682000000001</v>
      </c>
      <c r="K33">
        <v>41247.811000000002</v>
      </c>
      <c r="L33">
        <v>1</v>
      </c>
      <c r="M33">
        <v>4.8599999999999997E-2</v>
      </c>
      <c r="N33">
        <v>1.0486</v>
      </c>
      <c r="O33">
        <v>0</v>
      </c>
      <c r="P33">
        <v>35308.5</v>
      </c>
      <c r="Q33">
        <v>43252.91</v>
      </c>
      <c r="R33">
        <v>3</v>
      </c>
      <c r="S33">
        <v>0.35</v>
      </c>
      <c r="T33">
        <v>0</v>
      </c>
    </row>
    <row r="34" spans="1:20" x14ac:dyDescent="0.25">
      <c r="A34" t="s">
        <v>203</v>
      </c>
      <c r="B34">
        <v>1</v>
      </c>
      <c r="C34" s="52">
        <v>46082</v>
      </c>
      <c r="D34" t="s">
        <v>202</v>
      </c>
      <c r="E34">
        <v>43</v>
      </c>
      <c r="F34" t="s">
        <v>5</v>
      </c>
      <c r="G34" t="s">
        <v>142</v>
      </c>
      <c r="H34">
        <v>1382</v>
      </c>
      <c r="I34" t="s">
        <v>143</v>
      </c>
      <c r="J34">
        <v>29461.72</v>
      </c>
      <c r="K34">
        <v>36090.608</v>
      </c>
      <c r="L34">
        <v>0.29170000000000001</v>
      </c>
      <c r="M34">
        <v>0.75</v>
      </c>
      <c r="N34">
        <v>1.0417000000000001</v>
      </c>
      <c r="O34">
        <v>0</v>
      </c>
      <c r="P34">
        <v>30689.29</v>
      </c>
      <c r="Q34">
        <v>37594.379999999997</v>
      </c>
      <c r="R34">
        <v>3</v>
      </c>
      <c r="S34">
        <v>0.35</v>
      </c>
      <c r="T34">
        <v>0</v>
      </c>
    </row>
    <row r="35" spans="1:20" x14ac:dyDescent="0.25">
      <c r="A35" t="s">
        <v>203</v>
      </c>
      <c r="B35">
        <v>1</v>
      </c>
      <c r="C35" s="52">
        <v>46082</v>
      </c>
      <c r="D35" t="s">
        <v>176</v>
      </c>
      <c r="E35">
        <v>44</v>
      </c>
      <c r="F35" t="s">
        <v>71</v>
      </c>
      <c r="G35" t="s">
        <v>142</v>
      </c>
      <c r="H35">
        <v>1382</v>
      </c>
      <c r="I35" t="s">
        <v>143</v>
      </c>
      <c r="J35">
        <v>33037.103999999999</v>
      </c>
      <c r="K35">
        <v>40836.677000000003</v>
      </c>
      <c r="L35">
        <v>10.6167</v>
      </c>
      <c r="M35">
        <v>3.7837000000000001</v>
      </c>
      <c r="N35">
        <v>14.400399999999999</v>
      </c>
      <c r="O35">
        <v>0</v>
      </c>
      <c r="P35">
        <v>475747.4</v>
      </c>
      <c r="Q35">
        <v>588064.36</v>
      </c>
      <c r="R35">
        <v>88</v>
      </c>
      <c r="S35">
        <v>0.16</v>
      </c>
      <c r="T35">
        <v>0</v>
      </c>
    </row>
    <row r="36" spans="1:20" x14ac:dyDescent="0.25">
      <c r="A36" t="s">
        <v>203</v>
      </c>
      <c r="B36">
        <v>1</v>
      </c>
      <c r="C36" s="52">
        <v>46082</v>
      </c>
      <c r="D36" t="s">
        <v>198</v>
      </c>
      <c r="E36">
        <v>49</v>
      </c>
      <c r="F36" t="s">
        <v>15</v>
      </c>
      <c r="G36" t="s">
        <v>142</v>
      </c>
      <c r="H36">
        <v>1382</v>
      </c>
      <c r="I36" t="s">
        <v>143</v>
      </c>
      <c r="J36">
        <v>20651.596000000001</v>
      </c>
      <c r="K36">
        <v>25607.98</v>
      </c>
      <c r="L36">
        <v>1.5417000000000001</v>
      </c>
      <c r="M36">
        <v>2.1554000000000002</v>
      </c>
      <c r="N36">
        <v>3.6970000000000001</v>
      </c>
      <c r="O36">
        <v>0</v>
      </c>
      <c r="P36">
        <v>76349.440000000002</v>
      </c>
      <c r="Q36">
        <v>94673.31</v>
      </c>
      <c r="R36">
        <v>28</v>
      </c>
      <c r="S36">
        <v>0.13</v>
      </c>
      <c r="T36">
        <v>0</v>
      </c>
    </row>
    <row r="37" spans="1:20" x14ac:dyDescent="0.25">
      <c r="A37" t="s">
        <v>203</v>
      </c>
      <c r="B37">
        <v>1</v>
      </c>
      <c r="C37" s="52">
        <v>46082</v>
      </c>
      <c r="D37" t="s">
        <v>189</v>
      </c>
      <c r="E37">
        <v>52</v>
      </c>
      <c r="F37" t="s">
        <v>190</v>
      </c>
      <c r="G37" t="s">
        <v>142</v>
      </c>
      <c r="H37">
        <v>1382</v>
      </c>
      <c r="I37" t="s">
        <v>143</v>
      </c>
      <c r="J37">
        <v>25885.955000000002</v>
      </c>
      <c r="K37">
        <v>31322.006000000001</v>
      </c>
      <c r="L37">
        <v>6</v>
      </c>
      <c r="M37">
        <v>0</v>
      </c>
      <c r="N37">
        <v>6</v>
      </c>
      <c r="O37">
        <v>0</v>
      </c>
      <c r="P37">
        <v>155315.73000000001</v>
      </c>
      <c r="Q37">
        <v>187932.03</v>
      </c>
      <c r="R37">
        <v>3</v>
      </c>
      <c r="S37">
        <v>2</v>
      </c>
      <c r="T37">
        <v>0</v>
      </c>
    </row>
    <row r="38" spans="1:20" x14ac:dyDescent="0.25">
      <c r="A38" t="s">
        <v>203</v>
      </c>
      <c r="B38">
        <v>1</v>
      </c>
      <c r="C38" s="52">
        <v>46082</v>
      </c>
      <c r="D38" t="s">
        <v>191</v>
      </c>
      <c r="E38">
        <v>53</v>
      </c>
      <c r="F38" t="s">
        <v>9</v>
      </c>
      <c r="G38" t="s">
        <v>142</v>
      </c>
      <c r="H38">
        <v>1382</v>
      </c>
      <c r="I38" t="s">
        <v>143</v>
      </c>
      <c r="J38">
        <v>18869.559000000001</v>
      </c>
      <c r="K38">
        <v>22919.346000000001</v>
      </c>
      <c r="L38">
        <v>43.545499999999997</v>
      </c>
      <c r="M38">
        <v>0.63639999999999997</v>
      </c>
      <c r="N38">
        <v>44.181800000000003</v>
      </c>
      <c r="O38">
        <v>0</v>
      </c>
      <c r="P38">
        <v>833691.44</v>
      </c>
      <c r="Q38">
        <v>1012618.39</v>
      </c>
      <c r="R38">
        <v>13</v>
      </c>
      <c r="S38">
        <v>3.4</v>
      </c>
      <c r="T38">
        <v>0</v>
      </c>
    </row>
    <row r="39" spans="1:20" x14ac:dyDescent="0.25">
      <c r="A39" t="s">
        <v>203</v>
      </c>
      <c r="B39">
        <v>1</v>
      </c>
      <c r="C39" s="52">
        <v>46082</v>
      </c>
      <c r="D39" t="s">
        <v>177</v>
      </c>
      <c r="E39">
        <v>54</v>
      </c>
      <c r="F39" t="s">
        <v>24</v>
      </c>
      <c r="G39" t="s">
        <v>142</v>
      </c>
      <c r="H39">
        <v>1382</v>
      </c>
      <c r="I39" t="s">
        <v>143</v>
      </c>
      <c r="J39">
        <v>29242.68</v>
      </c>
      <c r="K39">
        <v>36034.220999999998</v>
      </c>
      <c r="L39">
        <v>8.5006000000000004</v>
      </c>
      <c r="M39">
        <v>5.0034000000000001</v>
      </c>
      <c r="N39">
        <v>13.504</v>
      </c>
      <c r="O39">
        <v>0</v>
      </c>
      <c r="P39">
        <v>394891.73</v>
      </c>
      <c r="Q39">
        <v>486604.38</v>
      </c>
      <c r="R39">
        <v>77</v>
      </c>
      <c r="S39">
        <v>0.18</v>
      </c>
      <c r="T39">
        <v>0</v>
      </c>
    </row>
    <row r="40" spans="1:20" x14ac:dyDescent="0.25">
      <c r="A40" t="s">
        <v>203</v>
      </c>
      <c r="B40">
        <v>1</v>
      </c>
      <c r="C40" s="52">
        <v>46082</v>
      </c>
      <c r="D40" t="s">
        <v>184</v>
      </c>
      <c r="E40">
        <v>56</v>
      </c>
      <c r="F40" t="s">
        <v>185</v>
      </c>
      <c r="G40" t="s">
        <v>142</v>
      </c>
      <c r="H40">
        <v>1382</v>
      </c>
      <c r="I40" t="s">
        <v>143</v>
      </c>
      <c r="J40">
        <v>24707.873</v>
      </c>
      <c r="K40">
        <v>30279.046999999999</v>
      </c>
      <c r="L40">
        <v>6.5091000000000001</v>
      </c>
      <c r="M40">
        <v>3.7951999999999999</v>
      </c>
      <c r="N40">
        <v>10.304399999999999</v>
      </c>
      <c r="O40">
        <v>0</v>
      </c>
      <c r="P40">
        <v>254599.35</v>
      </c>
      <c r="Q40">
        <v>312006.86</v>
      </c>
      <c r="R40">
        <v>31</v>
      </c>
      <c r="S40">
        <v>0.33</v>
      </c>
      <c r="T40">
        <v>0</v>
      </c>
    </row>
    <row r="41" spans="1:20" x14ac:dyDescent="0.25">
      <c r="A41" t="s">
        <v>203</v>
      </c>
      <c r="B41">
        <v>1</v>
      </c>
      <c r="C41" s="52">
        <v>46082</v>
      </c>
      <c r="D41" t="s">
        <v>200</v>
      </c>
      <c r="E41">
        <v>57</v>
      </c>
      <c r="F41" t="s">
        <v>27</v>
      </c>
      <c r="G41" t="s">
        <v>142</v>
      </c>
      <c r="H41">
        <v>1382</v>
      </c>
      <c r="I41" t="s">
        <v>143</v>
      </c>
      <c r="J41">
        <v>2186.33</v>
      </c>
      <c r="K41">
        <v>2678.2550000000001</v>
      </c>
      <c r="L41">
        <v>1.1818</v>
      </c>
      <c r="M41">
        <v>27.258199999999999</v>
      </c>
      <c r="N41">
        <v>28.44</v>
      </c>
      <c r="O41">
        <v>0</v>
      </c>
      <c r="P41">
        <v>62179.29</v>
      </c>
      <c r="Q41">
        <v>76169.63</v>
      </c>
      <c r="R41">
        <v>10</v>
      </c>
      <c r="S41">
        <v>2.84</v>
      </c>
      <c r="T41">
        <v>0</v>
      </c>
    </row>
    <row r="42" spans="1:20" x14ac:dyDescent="0.25">
      <c r="A42" t="s">
        <v>203</v>
      </c>
      <c r="B42">
        <v>1</v>
      </c>
      <c r="C42" s="52">
        <v>46082</v>
      </c>
      <c r="D42" t="s">
        <v>192</v>
      </c>
      <c r="E42">
        <v>58</v>
      </c>
      <c r="F42" t="s">
        <v>193</v>
      </c>
      <c r="G42" t="s">
        <v>142</v>
      </c>
      <c r="H42">
        <v>1382</v>
      </c>
      <c r="I42" t="s">
        <v>143</v>
      </c>
      <c r="J42">
        <v>103950.592</v>
      </c>
      <c r="K42">
        <v>128510.251</v>
      </c>
      <c r="L42">
        <v>4.9798999999999998</v>
      </c>
      <c r="M42">
        <v>0.56599999999999995</v>
      </c>
      <c r="N42">
        <v>5.5457999999999998</v>
      </c>
      <c r="O42">
        <v>0</v>
      </c>
      <c r="P42">
        <v>576492.66</v>
      </c>
      <c r="Q42">
        <v>712696.43</v>
      </c>
      <c r="R42">
        <v>26</v>
      </c>
      <c r="S42">
        <v>0.21</v>
      </c>
      <c r="T42">
        <v>0</v>
      </c>
    </row>
    <row r="43" spans="1:20" x14ac:dyDescent="0.25">
      <c r="A43" t="s">
        <v>203</v>
      </c>
      <c r="B43">
        <v>1</v>
      </c>
      <c r="C43" s="52">
        <v>46082</v>
      </c>
      <c r="D43" t="s">
        <v>194</v>
      </c>
      <c r="E43">
        <v>59</v>
      </c>
      <c r="F43" t="s">
        <v>195</v>
      </c>
      <c r="G43" t="s">
        <v>142</v>
      </c>
      <c r="H43">
        <v>1382</v>
      </c>
      <c r="I43" t="s">
        <v>143</v>
      </c>
      <c r="J43">
        <v>22557.902999999998</v>
      </c>
      <c r="K43">
        <v>27572.455999999998</v>
      </c>
      <c r="L43">
        <v>5.6822999999999997</v>
      </c>
      <c r="M43">
        <v>0.92710000000000004</v>
      </c>
      <c r="N43">
        <v>6.6093999999999999</v>
      </c>
      <c r="O43">
        <v>0</v>
      </c>
      <c r="P43">
        <v>149093.64000000001</v>
      </c>
      <c r="Q43">
        <v>182236.7</v>
      </c>
      <c r="R43">
        <v>25</v>
      </c>
      <c r="S43">
        <v>0.26</v>
      </c>
      <c r="T43">
        <v>0</v>
      </c>
    </row>
    <row r="44" spans="1:20" x14ac:dyDescent="0.25">
      <c r="A44" t="s">
        <v>203</v>
      </c>
      <c r="B44">
        <v>1</v>
      </c>
      <c r="C44" s="52">
        <v>46082</v>
      </c>
      <c r="D44" t="s">
        <v>178</v>
      </c>
      <c r="E44">
        <v>100</v>
      </c>
      <c r="F44" t="s">
        <v>69</v>
      </c>
      <c r="G44" t="s">
        <v>142</v>
      </c>
      <c r="H44">
        <v>1382</v>
      </c>
      <c r="I44" t="s">
        <v>143</v>
      </c>
      <c r="J44">
        <v>-52821.15</v>
      </c>
      <c r="K44">
        <v>-75368.879000000001</v>
      </c>
      <c r="L44">
        <v>1.3069999999999999</v>
      </c>
      <c r="M44">
        <v>1.3569</v>
      </c>
      <c r="N44">
        <v>2.6638999999999999</v>
      </c>
      <c r="O44">
        <v>0</v>
      </c>
      <c r="P44">
        <v>-140710.54999999999</v>
      </c>
      <c r="Q44">
        <v>-200775.56</v>
      </c>
      <c r="R44">
        <v>52</v>
      </c>
      <c r="S44">
        <v>0.05</v>
      </c>
      <c r="T44">
        <v>0</v>
      </c>
    </row>
    <row r="45" spans="1:20" x14ac:dyDescent="0.25">
      <c r="A45" t="s">
        <v>203</v>
      </c>
      <c r="B45">
        <v>1</v>
      </c>
      <c r="C45" s="52">
        <v>46082</v>
      </c>
      <c r="D45" t="s">
        <v>186</v>
      </c>
      <c r="E45">
        <v>123</v>
      </c>
      <c r="F45" t="s">
        <v>2</v>
      </c>
      <c r="G45" t="s">
        <v>142</v>
      </c>
      <c r="H45">
        <v>1382</v>
      </c>
      <c r="I45" t="s">
        <v>143</v>
      </c>
      <c r="J45">
        <v>52587.591999999997</v>
      </c>
      <c r="K45">
        <v>64949.010999999999</v>
      </c>
      <c r="L45">
        <v>26.324999999999999</v>
      </c>
      <c r="M45">
        <v>0.16669999999999999</v>
      </c>
      <c r="N45">
        <v>26.491700000000002</v>
      </c>
      <c r="O45">
        <v>0</v>
      </c>
      <c r="P45">
        <v>1393132.95</v>
      </c>
      <c r="Q45">
        <v>1720607.56</v>
      </c>
      <c r="R45">
        <v>13</v>
      </c>
      <c r="S45">
        <v>2.04</v>
      </c>
      <c r="T45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DDA640-86A1-4FFA-BCBA-ACFCAF105AC6}">
  <dimension ref="A1:D36"/>
  <sheetViews>
    <sheetView workbookViewId="0">
      <selection activeCell="D1" sqref="D1:D36"/>
    </sheetView>
  </sheetViews>
  <sheetFormatPr baseColWidth="10" defaultRowHeight="15" x14ac:dyDescent="0.25"/>
  <cols>
    <col min="1" max="1" width="4.42578125" bestFit="1" customWidth="1"/>
    <col min="2" max="2" width="30.28515625" bestFit="1" customWidth="1"/>
    <col min="4" max="4" width="17.7109375" bestFit="1" customWidth="1"/>
  </cols>
  <sheetData>
    <row r="1" spans="1:4" ht="15.75" thickBot="1" x14ac:dyDescent="0.3">
      <c r="A1" t="s">
        <v>227</v>
      </c>
      <c r="B1" s="130" t="s">
        <v>228</v>
      </c>
      <c r="C1" s="131"/>
      <c r="D1" s="132" t="s">
        <v>229</v>
      </c>
    </row>
    <row r="2" spans="1:4" x14ac:dyDescent="0.25">
      <c r="A2" s="133" t="s">
        <v>230</v>
      </c>
      <c r="B2" s="133" t="str">
        <f>+AVANCE!B16</f>
        <v>2 - OJEDA NORBERTO</v>
      </c>
      <c r="C2" s="131"/>
      <c r="D2" s="131">
        <v>0.15841840277777777</v>
      </c>
    </row>
    <row r="3" spans="1:4" x14ac:dyDescent="0.25">
      <c r="A3" s="133" t="s">
        <v>231</v>
      </c>
      <c r="B3" s="133" t="str">
        <f>+AVANCE!B17</f>
        <v>3 - VIDAL NAHUEL</v>
      </c>
      <c r="C3" s="131"/>
      <c r="D3" s="131">
        <v>0.26972380401234564</v>
      </c>
    </row>
    <row r="4" spans="1:4" x14ac:dyDescent="0.25">
      <c r="A4" s="133" t="s">
        <v>232</v>
      </c>
      <c r="B4" s="133" t="str">
        <f>+AVANCE!B18</f>
        <v>18 - HERRERA PABLO</v>
      </c>
      <c r="C4" s="131"/>
      <c r="D4" s="131">
        <v>0.24831979166666668</v>
      </c>
    </row>
    <row r="5" spans="1:4" x14ac:dyDescent="0.25">
      <c r="A5" s="133" t="s">
        <v>233</v>
      </c>
      <c r="B5" s="133" t="str">
        <f>+AVANCE!B19</f>
        <v>21 - CATAN MATIAS</v>
      </c>
      <c r="C5" s="131"/>
      <c r="D5" s="131">
        <v>0.24467102623456788</v>
      </c>
    </row>
    <row r="6" spans="1:4" x14ac:dyDescent="0.25">
      <c r="A6" s="133" t="s">
        <v>234</v>
      </c>
      <c r="B6" s="133" t="str">
        <f>+AVANCE!B20</f>
        <v>23 - DELGADO JOSÉ</v>
      </c>
      <c r="C6" s="131"/>
      <c r="D6" s="131">
        <v>0.21006168981481482</v>
      </c>
    </row>
    <row r="7" spans="1:4" x14ac:dyDescent="0.25">
      <c r="A7" s="133" t="s">
        <v>235</v>
      </c>
      <c r="B7" s="133" t="str">
        <f>+AVANCE!B21</f>
        <v>31 - RENZO RAMOS</v>
      </c>
      <c r="C7" s="131"/>
      <c r="D7" s="131">
        <v>0.24012619598765433</v>
      </c>
    </row>
    <row r="8" spans="1:4" x14ac:dyDescent="0.25">
      <c r="A8" s="133" t="s">
        <v>236</v>
      </c>
      <c r="B8" s="133" t="str">
        <f>+AVANCE!B22</f>
        <v>44 - MONGES CESAR LUIS</v>
      </c>
      <c r="C8" s="131"/>
      <c r="D8" s="131">
        <v>0.23506712962962967</v>
      </c>
    </row>
    <row r="9" spans="1:4" x14ac:dyDescent="0.25">
      <c r="A9" s="133" t="s">
        <v>237</v>
      </c>
      <c r="B9" s="133" t="str">
        <f>+AVANCE!B23</f>
        <v>54 - BARTSCHAT EMILIANO NAHUEL</v>
      </c>
      <c r="C9" s="131"/>
      <c r="D9" s="131">
        <v>0.22535304783950619</v>
      </c>
    </row>
    <row r="10" spans="1:4" x14ac:dyDescent="0.25">
      <c r="A10" s="133" t="s">
        <v>238</v>
      </c>
      <c r="B10" s="133" t="str">
        <f>+AVANCE!B42</f>
        <v>56 - JUAN ANDRES SANCHEZ</v>
      </c>
      <c r="C10" s="131"/>
      <c r="D10" s="131">
        <v>8.0912229938271615E-2</v>
      </c>
    </row>
    <row r="11" spans="1:4" x14ac:dyDescent="0.25">
      <c r="A11" s="133" t="s">
        <v>239</v>
      </c>
      <c r="B11" s="133" t="str">
        <f>+AVANCE!B9</f>
        <v>4 - TUR SPRINGER FERNANDO</v>
      </c>
      <c r="C11" s="131"/>
      <c r="D11" s="131">
        <v>0.25244976851851852</v>
      </c>
    </row>
    <row r="12" spans="1:4" x14ac:dyDescent="0.25">
      <c r="A12" s="133" t="s">
        <v>240</v>
      </c>
      <c r="B12" s="133" t="str">
        <f>+AVANCE!B8</f>
        <v>5 - SCHELOVER RAUL</v>
      </c>
      <c r="C12" s="131"/>
      <c r="D12" s="131">
        <v>0.28448935185185187</v>
      </c>
    </row>
    <row r="13" spans="1:4" x14ac:dyDescent="0.25">
      <c r="A13" s="133" t="s">
        <v>241</v>
      </c>
      <c r="B13" s="133" t="str">
        <f>+AVANCE!B7</f>
        <v>8 - PARRA MAXIMILIANO</v>
      </c>
      <c r="C13" s="131"/>
      <c r="D13" s="131">
        <v>0.24084490740740738</v>
      </c>
    </row>
    <row r="14" spans="1:4" x14ac:dyDescent="0.25">
      <c r="A14" s="133" t="s">
        <v>242</v>
      </c>
      <c r="B14" s="133" t="str">
        <f>+AVANCE!B6</f>
        <v>11 - SANCHEZ RICARDO</v>
      </c>
      <c r="C14" s="131"/>
      <c r="D14" s="131">
        <v>0.26697276234567907</v>
      </c>
    </row>
    <row r="15" spans="1:4" x14ac:dyDescent="0.25">
      <c r="A15" s="133" t="s">
        <v>243</v>
      </c>
      <c r="B15" s="133" t="str">
        <f>+AVANCE!B5</f>
        <v>12 - GUTIERREZ MARCOS DAVID</v>
      </c>
      <c r="C15" s="131"/>
      <c r="D15" s="131">
        <v>0.23186574074074073</v>
      </c>
    </row>
    <row r="16" spans="1:4" x14ac:dyDescent="0.25">
      <c r="A16" s="133" t="s">
        <v>244</v>
      </c>
      <c r="B16" s="133" t="str">
        <f>+AVANCE!B4</f>
        <v>16 - GOMEZ MATÍAS</v>
      </c>
      <c r="C16" s="131"/>
      <c r="D16" s="131">
        <v>0.22938831018518516</v>
      </c>
    </row>
    <row r="17" spans="1:4" x14ac:dyDescent="0.25">
      <c r="A17" s="133" t="s">
        <v>245</v>
      </c>
      <c r="B17" s="133" t="str">
        <f>+AVANCE!B3</f>
        <v>19 - GONZALEZ MARCELO</v>
      </c>
      <c r="C17" s="131"/>
      <c r="D17" s="131">
        <v>0.2409222222222222</v>
      </c>
    </row>
    <row r="18" spans="1:4" x14ac:dyDescent="0.25">
      <c r="A18" s="133" t="s">
        <v>246</v>
      </c>
      <c r="B18" s="133" t="str">
        <f>+AVANCE!B2</f>
        <v>20 - FLORES JAVIER</v>
      </c>
      <c r="C18" s="131"/>
      <c r="D18" s="131">
        <v>0.2429548225308642</v>
      </c>
    </row>
    <row r="19" spans="1:4" x14ac:dyDescent="0.25">
      <c r="A19" s="133" t="s">
        <v>247</v>
      </c>
      <c r="B19" s="133" t="str">
        <f>+AVANCE!B41</f>
        <v>49 - ESCOBAR RAÚL</v>
      </c>
      <c r="C19" s="131"/>
      <c r="D19" s="131">
        <v>0.23757905092592596</v>
      </c>
    </row>
    <row r="20" spans="1:4" x14ac:dyDescent="0.25">
      <c r="A20" s="133" t="s">
        <v>248</v>
      </c>
      <c r="B20" s="133" t="str">
        <f>+AVANCE!B37</f>
        <v>1 - VERA ERNESTO</v>
      </c>
      <c r="C20" s="131"/>
      <c r="D20" s="131">
        <v>0.28669355709876543</v>
      </c>
    </row>
    <row r="21" spans="1:4" x14ac:dyDescent="0.25">
      <c r="A21" s="133" t="s">
        <v>249</v>
      </c>
      <c r="B21" s="133" t="str">
        <f>+AVANCE!B27</f>
        <v>9 - ESTIGARRIBIA DAVID</v>
      </c>
      <c r="C21" s="131"/>
      <c r="D21" s="131">
        <v>0.23442299382716053</v>
      </c>
    </row>
    <row r="22" spans="1:4" x14ac:dyDescent="0.25">
      <c r="A22" s="133" t="s">
        <v>250</v>
      </c>
      <c r="B22" s="133" t="str">
        <f>+AVANCE!B30</f>
        <v>10 - BRITEZ EMMANUEL</v>
      </c>
      <c r="C22" s="131"/>
      <c r="D22" s="131">
        <v>0.23051689814814816</v>
      </c>
    </row>
    <row r="23" spans="1:4" x14ac:dyDescent="0.25">
      <c r="A23" s="133" t="s">
        <v>251</v>
      </c>
      <c r="B23" s="133" t="str">
        <f>+AVANCE!B34</f>
        <v>24 - SOLIS EMMANUEL</v>
      </c>
      <c r="C23" s="131"/>
      <c r="D23" s="131">
        <v>0.20709683641975307</v>
      </c>
    </row>
    <row r="24" spans="1:4" x14ac:dyDescent="0.25">
      <c r="A24" s="133" t="s">
        <v>252</v>
      </c>
      <c r="B24" s="133" t="str">
        <f>+AVANCE!B29</f>
        <v>27 - GOMEZ ADRIÁN</v>
      </c>
      <c r="C24" s="131"/>
      <c r="D24" s="131">
        <v>0.25099077932098768</v>
      </c>
    </row>
    <row r="25" spans="1:4" x14ac:dyDescent="0.25">
      <c r="A25" s="133" t="s">
        <v>253</v>
      </c>
      <c r="B25" s="133" t="str">
        <f>+AVANCE!B31</f>
        <v>28 - GOMEZ PABLO</v>
      </c>
      <c r="C25" s="131"/>
      <c r="D25" s="131">
        <v>0.20464185956790124</v>
      </c>
    </row>
    <row r="26" spans="1:4" x14ac:dyDescent="0.25">
      <c r="A26" s="133" t="s">
        <v>254</v>
      </c>
      <c r="B26" s="133" t="str">
        <f>+AVANCE!B32</f>
        <v>33 - NICOLAS AZULA</v>
      </c>
      <c r="C26" s="131"/>
      <c r="D26" s="131">
        <v>0.23304282407407406</v>
      </c>
    </row>
    <row r="27" spans="1:4" x14ac:dyDescent="0.25">
      <c r="A27" s="133" t="s">
        <v>255</v>
      </c>
      <c r="B27" s="133" t="str">
        <f>+AVANCE!B26</f>
        <v>36 - COSARINSKI DIEGO</v>
      </c>
      <c r="C27" s="131"/>
      <c r="D27" s="131">
        <v>0.23332716049382712</v>
      </c>
    </row>
    <row r="28" spans="1:4" x14ac:dyDescent="0.25">
      <c r="A28" s="133" t="s">
        <v>256</v>
      </c>
      <c r="B28" s="133" t="str">
        <f>+AVANCE!B33</f>
        <v>37 - SALAJ EMILIO</v>
      </c>
      <c r="C28" s="131"/>
      <c r="D28" s="131">
        <v>0.24530709876543208</v>
      </c>
    </row>
    <row r="29" spans="1:4" x14ac:dyDescent="0.25">
      <c r="A29" s="133" t="s">
        <v>257</v>
      </c>
      <c r="B29" s="133" t="str">
        <f>+AVANCE!B28</f>
        <v>40 - IBARROLA JORGE</v>
      </c>
      <c r="C29" s="131"/>
      <c r="D29" s="131">
        <v>0.21043769290123454</v>
      </c>
    </row>
    <row r="30" spans="1:4" x14ac:dyDescent="0.25">
      <c r="A30" s="133" t="s">
        <v>258</v>
      </c>
      <c r="B30" s="133" t="str">
        <f>+AVANCE!B13</f>
        <v>52 - RAVAROTTO EMANUEL</v>
      </c>
      <c r="C30" s="131"/>
      <c r="D30" s="131">
        <v>0.19978981481481481</v>
      </c>
    </row>
    <row r="31" spans="1:4" x14ac:dyDescent="0.25">
      <c r="A31" s="133" t="s">
        <v>259</v>
      </c>
      <c r="B31" s="133" t="str">
        <f>+AVANCE!B14</f>
        <v>53 - SANDOVAL RODRIGO</v>
      </c>
      <c r="C31" s="131"/>
      <c r="D31" s="131">
        <v>0.18629884259259261</v>
      </c>
    </row>
    <row r="32" spans="1:4" x14ac:dyDescent="0.25">
      <c r="A32" s="133" t="s">
        <v>260</v>
      </c>
      <c r="B32" s="133" t="str">
        <f>+AVANCE!B12</f>
        <v>15 - GALARZA GERARDO</v>
      </c>
      <c r="C32" s="131"/>
      <c r="D32" s="131">
        <v>0.16014286265432098</v>
      </c>
    </row>
    <row r="33" spans="1:4" x14ac:dyDescent="0.25">
      <c r="A33" s="133" t="s">
        <v>261</v>
      </c>
      <c r="B33" s="133" t="str">
        <f>+AVANCE!B11</f>
        <v>22 - ALMIRON NICOLAS</v>
      </c>
      <c r="C33" s="131"/>
      <c r="D33" s="131">
        <v>0.18735929783950617</v>
      </c>
    </row>
    <row r="34" spans="1:4" x14ac:dyDescent="0.25">
      <c r="A34" s="133" t="s">
        <v>262</v>
      </c>
      <c r="B34" s="133" t="str">
        <f>+AVANCE!B35</f>
        <v>7 - VALLEJOS EDUARDO</v>
      </c>
      <c r="C34" s="131"/>
      <c r="D34" s="131">
        <v>0.11120582561728395</v>
      </c>
    </row>
    <row r="35" spans="1:4" x14ac:dyDescent="0.25">
      <c r="A35" s="133" t="s">
        <v>263</v>
      </c>
      <c r="B35" s="133" t="str">
        <f>+AVANCE!B25</f>
        <v>32 - CABRAL GONZALO</v>
      </c>
      <c r="C35" s="131"/>
      <c r="D35" s="131">
        <v>0.13574861111111111</v>
      </c>
    </row>
    <row r="36" spans="1:4" x14ac:dyDescent="0.25">
      <c r="A36" s="133" t="s">
        <v>264</v>
      </c>
      <c r="B36" s="133" t="str">
        <f>+AVANCE!B36</f>
        <v>57 - ROUBINEAU SEBASTIAN</v>
      </c>
      <c r="C36" s="131"/>
      <c r="D36" s="131">
        <v>0.16088083526234565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3F5A8-97FC-43D0-9818-EEE7215F944D}">
  <dimension ref="A1:T41"/>
  <sheetViews>
    <sheetView workbookViewId="0">
      <selection activeCell="H13" sqref="H13"/>
    </sheetView>
  </sheetViews>
  <sheetFormatPr baseColWidth="10" defaultRowHeight="15" x14ac:dyDescent="0.25"/>
  <cols>
    <col min="1" max="1" width="47.85546875" bestFit="1" customWidth="1"/>
    <col min="2" max="2" width="17.85546875" bestFit="1" customWidth="1"/>
    <col min="3" max="3" width="16.28515625" bestFit="1" customWidth="1"/>
    <col min="4" max="4" width="11" bestFit="1" customWidth="1"/>
    <col min="5" max="5" width="16.28515625" bestFit="1" customWidth="1"/>
    <col min="6" max="6" width="10.140625" bestFit="1" customWidth="1"/>
    <col min="7" max="7" width="16.28515625" bestFit="1" customWidth="1"/>
    <col min="8" max="8" width="11.140625" bestFit="1" customWidth="1"/>
    <col min="9" max="9" width="15.140625" bestFit="1" customWidth="1"/>
    <col min="10" max="10" width="11.28515625" bestFit="1" customWidth="1"/>
    <col min="11" max="11" width="12.5703125" bestFit="1" customWidth="1"/>
  </cols>
  <sheetData>
    <row r="1" spans="1:20" ht="15.75" thickBot="1" x14ac:dyDescent="0.3">
      <c r="A1" s="43" t="s">
        <v>30</v>
      </c>
      <c r="B1" s="43" t="s">
        <v>31</v>
      </c>
      <c r="C1" s="43" t="s">
        <v>32</v>
      </c>
      <c r="D1" s="43" t="s">
        <v>39</v>
      </c>
      <c r="E1" s="43" t="s">
        <v>33</v>
      </c>
      <c r="F1" s="82" t="s">
        <v>41</v>
      </c>
      <c r="G1" s="83" t="s">
        <v>45</v>
      </c>
      <c r="H1" s="82" t="s">
        <v>46</v>
      </c>
      <c r="I1" s="43" t="s">
        <v>35</v>
      </c>
      <c r="J1" s="43" t="s">
        <v>34</v>
      </c>
      <c r="K1" s="43" t="s">
        <v>53</v>
      </c>
      <c r="N1" s="7" t="s">
        <v>30</v>
      </c>
      <c r="O1" s="21" t="s">
        <v>43</v>
      </c>
      <c r="P1" s="15" t="s">
        <v>50</v>
      </c>
      <c r="Q1" s="7" t="s">
        <v>44</v>
      </c>
      <c r="R1" s="7" t="s">
        <v>48</v>
      </c>
      <c r="S1" s="7" t="s">
        <v>49</v>
      </c>
      <c r="T1" s="7" t="s">
        <v>54</v>
      </c>
    </row>
    <row r="2" spans="1:20" ht="15.75" x14ac:dyDescent="0.25">
      <c r="A2" s="19" t="s">
        <v>94</v>
      </c>
      <c r="B2" s="84">
        <v>28001295</v>
      </c>
      <c r="C2" s="85">
        <v>32969064.085886825</v>
      </c>
      <c r="D2" s="85">
        <v>0</v>
      </c>
      <c r="E2" s="85">
        <v>32969064.085886825</v>
      </c>
      <c r="F2" s="86">
        <v>1.1774121191854456</v>
      </c>
      <c r="G2" s="85">
        <v>32969064.085886825</v>
      </c>
      <c r="H2" s="86">
        <v>1.1774121191854456</v>
      </c>
      <c r="I2" s="85">
        <v>1268040.9263802625</v>
      </c>
      <c r="J2" s="85" t="e">
        <v>#DIV/0!</v>
      </c>
      <c r="K2" s="85">
        <v>659381.28171773651</v>
      </c>
      <c r="M2">
        <v>22</v>
      </c>
      <c r="N2" s="12" t="s">
        <v>96</v>
      </c>
      <c r="O2" s="22">
        <v>0.79411764705882348</v>
      </c>
      <c r="P2" s="13">
        <v>33</v>
      </c>
      <c r="Q2" s="12">
        <v>21</v>
      </c>
      <c r="R2" s="13">
        <v>68</v>
      </c>
      <c r="S2" s="13">
        <v>54</v>
      </c>
      <c r="T2" s="17">
        <v>3.7999999999999972</v>
      </c>
    </row>
    <row r="3" spans="1:20" ht="15.75" x14ac:dyDescent="0.25">
      <c r="A3" s="19" t="s">
        <v>93</v>
      </c>
      <c r="B3" s="84">
        <v>26876745</v>
      </c>
      <c r="C3" s="85">
        <v>29130364.756566606</v>
      </c>
      <c r="D3" s="85">
        <v>0</v>
      </c>
      <c r="E3" s="85">
        <v>29130364.756566606</v>
      </c>
      <c r="F3" s="86">
        <v>1.0838501744376636</v>
      </c>
      <c r="G3" s="85">
        <v>29130364.75656661</v>
      </c>
      <c r="H3" s="86">
        <v>1.0838501744376638</v>
      </c>
      <c r="I3" s="85">
        <v>1120398.6444833311</v>
      </c>
      <c r="J3" s="85" t="e">
        <v>#DIV/0!</v>
      </c>
      <c r="K3" s="85">
        <v>364129.55945708265</v>
      </c>
      <c r="M3">
        <v>49</v>
      </c>
      <c r="N3" s="13" t="s">
        <v>106</v>
      </c>
      <c r="O3" s="22">
        <v>0.45493562231759654</v>
      </c>
      <c r="P3" s="13">
        <v>1</v>
      </c>
      <c r="Q3" s="12">
        <v>105</v>
      </c>
      <c r="R3" s="13">
        <v>233</v>
      </c>
      <c r="S3" s="13">
        <v>106</v>
      </c>
      <c r="T3" s="17">
        <v>92.049999999999983</v>
      </c>
    </row>
    <row r="4" spans="1:20" ht="15.75" x14ac:dyDescent="0.25">
      <c r="A4" s="19" t="s">
        <v>91</v>
      </c>
      <c r="B4" s="84">
        <v>24627645</v>
      </c>
      <c r="C4" s="85">
        <v>20258833.614688918</v>
      </c>
      <c r="D4" s="85">
        <v>0</v>
      </c>
      <c r="E4" s="85">
        <v>20258833.614688918</v>
      </c>
      <c r="F4" s="86">
        <v>0.82260539384455633</v>
      </c>
      <c r="G4" s="85">
        <v>20258833.614688918</v>
      </c>
      <c r="H4" s="86">
        <v>0.82260539384455633</v>
      </c>
      <c r="I4" s="85">
        <v>779185.90825726604</v>
      </c>
      <c r="J4" s="85" t="e">
        <v>#DIV/0!</v>
      </c>
      <c r="K4" s="85">
        <v>0</v>
      </c>
      <c r="M4">
        <v>20</v>
      </c>
      <c r="N4" s="13" t="s">
        <v>94</v>
      </c>
      <c r="O4" s="22">
        <v>0.91891891891891897</v>
      </c>
      <c r="P4" s="13">
        <v>126</v>
      </c>
      <c r="Q4" s="12">
        <v>78</v>
      </c>
      <c r="R4" s="13">
        <v>222</v>
      </c>
      <c r="S4" s="13">
        <v>204</v>
      </c>
      <c r="T4" s="17">
        <v>-15.300000000000011</v>
      </c>
    </row>
    <row r="5" spans="1:20" ht="15.75" x14ac:dyDescent="0.25">
      <c r="A5" s="19" t="s">
        <v>89</v>
      </c>
      <c r="B5" s="84">
        <v>24627645</v>
      </c>
      <c r="C5" s="85">
        <v>26537938.241926376</v>
      </c>
      <c r="D5" s="85">
        <v>0</v>
      </c>
      <c r="E5" s="85">
        <v>26537938.241926376</v>
      </c>
      <c r="F5" s="86">
        <v>1.0775670285131353</v>
      </c>
      <c r="G5" s="85">
        <v>26537938.241926376</v>
      </c>
      <c r="H5" s="86">
        <v>1.0775670285131353</v>
      </c>
      <c r="I5" s="85">
        <v>1020689.9323817837</v>
      </c>
      <c r="J5" s="85" t="e">
        <v>#DIV/0!</v>
      </c>
      <c r="K5" s="85">
        <v>331724.2280240797</v>
      </c>
      <c r="M5">
        <v>15</v>
      </c>
      <c r="N5" s="13" t="s">
        <v>90</v>
      </c>
      <c r="O5" s="22">
        <v>0.7846153846153846</v>
      </c>
      <c r="P5" s="13">
        <v>21</v>
      </c>
      <c r="Q5" s="12">
        <v>30</v>
      </c>
      <c r="R5" s="13">
        <v>65</v>
      </c>
      <c r="S5" s="13">
        <v>51</v>
      </c>
      <c r="T5" s="17">
        <v>4.25</v>
      </c>
    </row>
    <row r="6" spans="1:20" ht="15.75" x14ac:dyDescent="0.25">
      <c r="A6" s="19" t="s">
        <v>88</v>
      </c>
      <c r="B6" s="84">
        <v>20410582.5</v>
      </c>
      <c r="C6" s="85">
        <v>17576102.641826726</v>
      </c>
      <c r="D6" s="85">
        <v>0</v>
      </c>
      <c r="E6" s="85">
        <v>17576102.641826726</v>
      </c>
      <c r="F6" s="86">
        <v>0.86112694930812128</v>
      </c>
      <c r="G6" s="85">
        <v>17576102.641826726</v>
      </c>
      <c r="H6" s="86">
        <v>0.86112694930812128</v>
      </c>
      <c r="I6" s="85">
        <v>676003.94776256639</v>
      </c>
      <c r="J6" s="85" t="e">
        <v>#DIV/0!</v>
      </c>
      <c r="K6" s="85">
        <v>0</v>
      </c>
      <c r="M6">
        <v>19</v>
      </c>
      <c r="N6" s="13" t="s">
        <v>93</v>
      </c>
      <c r="O6" s="22">
        <v>0.85784313725490191</v>
      </c>
      <c r="P6" s="13">
        <v>100</v>
      </c>
      <c r="Q6" s="12">
        <v>75</v>
      </c>
      <c r="R6" s="13">
        <v>204</v>
      </c>
      <c r="S6" s="13">
        <v>175</v>
      </c>
      <c r="T6" s="17">
        <v>-1.5999999999999943</v>
      </c>
    </row>
    <row r="7" spans="1:20" ht="15.75" x14ac:dyDescent="0.25">
      <c r="A7" s="19" t="s">
        <v>85</v>
      </c>
      <c r="B7" s="84">
        <v>24065370</v>
      </c>
      <c r="C7" s="85">
        <v>24383408.810882814</v>
      </c>
      <c r="D7" s="85">
        <v>0</v>
      </c>
      <c r="E7" s="85">
        <v>24383408.810882814</v>
      </c>
      <c r="F7" s="86">
        <v>1.0132156210722219</v>
      </c>
      <c r="G7" s="85">
        <v>24383408.810882814</v>
      </c>
      <c r="H7" s="86">
        <v>1.0132156210722219</v>
      </c>
      <c r="I7" s="85">
        <v>937823.4158031852</v>
      </c>
      <c r="J7" s="85" t="e">
        <v>#DIV/0!</v>
      </c>
      <c r="K7" s="85">
        <v>243834.08810882815</v>
      </c>
      <c r="M7">
        <v>16</v>
      </c>
      <c r="N7" s="13" t="s">
        <v>91</v>
      </c>
      <c r="O7" s="22">
        <v>0.87309644670050757</v>
      </c>
      <c r="P7" s="13">
        <v>81</v>
      </c>
      <c r="Q7" s="12">
        <v>91</v>
      </c>
      <c r="R7" s="13">
        <v>197</v>
      </c>
      <c r="S7" s="13">
        <v>172</v>
      </c>
      <c r="T7" s="17">
        <v>-4.5500000000000114</v>
      </c>
    </row>
    <row r="8" spans="1:20" ht="15.75" x14ac:dyDescent="0.25">
      <c r="A8" s="19" t="s">
        <v>84</v>
      </c>
      <c r="B8" s="84">
        <v>31082562</v>
      </c>
      <c r="C8" s="85">
        <v>32899444.909960415</v>
      </c>
      <c r="D8" s="85">
        <v>0</v>
      </c>
      <c r="E8" s="85">
        <v>32899444.909960415</v>
      </c>
      <c r="F8" s="86">
        <v>1.0584534476263705</v>
      </c>
      <c r="G8" s="85">
        <v>32899444.909960411</v>
      </c>
      <c r="H8" s="86">
        <v>1.0584534476263705</v>
      </c>
      <c r="I8" s="85">
        <v>1265363.2657677082</v>
      </c>
      <c r="J8" s="85" t="e">
        <v>#DIV/0!</v>
      </c>
      <c r="K8" s="85">
        <v>411243.06137450517</v>
      </c>
      <c r="M8">
        <v>12</v>
      </c>
      <c r="N8" s="13" t="s">
        <v>89</v>
      </c>
      <c r="O8" s="22">
        <v>0.8995215311004785</v>
      </c>
      <c r="P8" s="13">
        <v>89</v>
      </c>
      <c r="Q8" s="12">
        <v>99</v>
      </c>
      <c r="R8" s="13">
        <v>209</v>
      </c>
      <c r="S8" s="13">
        <v>188</v>
      </c>
      <c r="T8" s="17">
        <v>-10.349999999999994</v>
      </c>
    </row>
    <row r="9" spans="1:20" ht="15.75" x14ac:dyDescent="0.25">
      <c r="A9" s="19" t="s">
        <v>83</v>
      </c>
      <c r="B9" s="84">
        <v>31082562</v>
      </c>
      <c r="C9" s="85">
        <v>30879201.629310861</v>
      </c>
      <c r="D9" s="85">
        <v>0</v>
      </c>
      <c r="E9" s="85">
        <v>30879201.629310861</v>
      </c>
      <c r="F9" s="86">
        <v>0.99345741285132361</v>
      </c>
      <c r="G9" s="85">
        <v>30879201.629310865</v>
      </c>
      <c r="H9" s="86">
        <v>0.99345741285132372</v>
      </c>
      <c r="I9" s="85">
        <v>1187661.6011273409</v>
      </c>
      <c r="J9" s="85" t="e">
        <v>#DIV/0!</v>
      </c>
      <c r="K9" s="85">
        <v>308792.01629310864</v>
      </c>
      <c r="M9">
        <v>11</v>
      </c>
      <c r="N9" s="30" t="s">
        <v>88</v>
      </c>
      <c r="O9" s="22">
        <v>0.90797546012269936</v>
      </c>
      <c r="P9" s="13">
        <v>92</v>
      </c>
      <c r="Q9" s="12">
        <v>56</v>
      </c>
      <c r="R9" s="13">
        <v>163</v>
      </c>
      <c r="S9" s="13">
        <v>148</v>
      </c>
      <c r="T9" s="17">
        <v>-9.4500000000000171</v>
      </c>
    </row>
    <row r="10" spans="1:20" ht="15.75" x14ac:dyDescent="0.25">
      <c r="A10" s="18" t="s">
        <v>51</v>
      </c>
      <c r="B10" s="87">
        <v>210774406.5</v>
      </c>
      <c r="C10" s="87">
        <v>214634358.69104952</v>
      </c>
      <c r="D10" s="87">
        <v>0</v>
      </c>
      <c r="E10" s="87">
        <v>214634358.69104952</v>
      </c>
      <c r="F10" s="88">
        <v>1.0183131920765225</v>
      </c>
      <c r="G10" s="87">
        <v>214634358.69104952</v>
      </c>
      <c r="H10" s="88">
        <v>1.0183131920765225</v>
      </c>
      <c r="I10" s="87">
        <v>8255167.6419634428</v>
      </c>
      <c r="J10" s="89" t="e">
        <v>#DIV/0!</v>
      </c>
      <c r="K10" s="89"/>
      <c r="M10">
        <v>8</v>
      </c>
      <c r="N10" s="13" t="s">
        <v>85</v>
      </c>
      <c r="O10" s="22">
        <v>0.83243243243243248</v>
      </c>
      <c r="P10" s="13">
        <v>64</v>
      </c>
      <c r="Q10" s="12">
        <v>90</v>
      </c>
      <c r="R10" s="13">
        <v>185</v>
      </c>
      <c r="S10" s="13">
        <v>154</v>
      </c>
      <c r="T10" s="17">
        <v>3.25</v>
      </c>
    </row>
    <row r="11" spans="1:20" ht="15.75" x14ac:dyDescent="0.25">
      <c r="A11" s="19" t="s">
        <v>96</v>
      </c>
      <c r="B11" s="84">
        <v>84120750</v>
      </c>
      <c r="C11" s="85">
        <v>64387271.98183801</v>
      </c>
      <c r="D11" s="85">
        <v>0</v>
      </c>
      <c r="E11" s="85">
        <v>64387271.98183801</v>
      </c>
      <c r="F11" s="86">
        <v>0.76541485878143034</v>
      </c>
      <c r="G11" s="85">
        <v>64387271.98183801</v>
      </c>
      <c r="H11" s="86">
        <v>0.76541485878143034</v>
      </c>
      <c r="I11" s="85">
        <v>2476433.5377630005</v>
      </c>
      <c r="J11" s="85" t="e">
        <v>#DIV/0!</v>
      </c>
      <c r="K11" s="85">
        <v>0</v>
      </c>
      <c r="M11">
        <v>52</v>
      </c>
      <c r="N11" s="31" t="s">
        <v>111</v>
      </c>
      <c r="O11" s="32">
        <v>0.52884615384615385</v>
      </c>
      <c r="P11" s="31">
        <v>19</v>
      </c>
      <c r="Q11" s="33">
        <v>36</v>
      </c>
      <c r="R11" s="13">
        <v>104</v>
      </c>
      <c r="S11" s="13">
        <v>55</v>
      </c>
      <c r="T11" s="34">
        <v>33.399999999999991</v>
      </c>
    </row>
    <row r="12" spans="1:20" ht="15.75" x14ac:dyDescent="0.25">
      <c r="A12" s="19" t="s">
        <v>106</v>
      </c>
      <c r="B12" s="84">
        <v>27439020</v>
      </c>
      <c r="C12" s="85">
        <v>21503763.720070578</v>
      </c>
      <c r="D12" s="85">
        <v>0</v>
      </c>
      <c r="E12" s="85">
        <v>21503763.720070578</v>
      </c>
      <c r="F12" s="86">
        <v>0.78369284763342784</v>
      </c>
      <c r="G12" s="85">
        <v>21503763.720070578</v>
      </c>
      <c r="H12" s="86">
        <v>0.78369284763342784</v>
      </c>
      <c r="I12" s="85">
        <v>827067.83538732992</v>
      </c>
      <c r="J12" s="85" t="e">
        <v>#DIV/0!</v>
      </c>
      <c r="K12" s="85">
        <v>0</v>
      </c>
      <c r="M12">
        <v>53</v>
      </c>
      <c r="N12" s="31" t="s">
        <v>107</v>
      </c>
      <c r="O12" s="32">
        <v>0.62727272727272732</v>
      </c>
      <c r="P12" s="31">
        <v>24</v>
      </c>
      <c r="Q12" s="33">
        <v>45</v>
      </c>
      <c r="R12" s="13">
        <v>110</v>
      </c>
      <c r="S12" s="13">
        <v>69</v>
      </c>
      <c r="T12" s="34">
        <v>24.5</v>
      </c>
    </row>
    <row r="13" spans="1:20" ht="15.75" x14ac:dyDescent="0.25">
      <c r="A13" s="19" t="s">
        <v>90</v>
      </c>
      <c r="B13" s="84">
        <v>111352500</v>
      </c>
      <c r="C13" s="85">
        <v>81948670.721768543</v>
      </c>
      <c r="D13" s="85">
        <v>0</v>
      </c>
      <c r="E13" s="85">
        <v>81948670.721768543</v>
      </c>
      <c r="F13" s="86">
        <v>0.7359392085653087</v>
      </c>
      <c r="G13" s="85">
        <v>81948670.721768543</v>
      </c>
      <c r="H13" s="86">
        <v>0.7359392085653087</v>
      </c>
      <c r="I13" s="85">
        <v>3151871.9508372517</v>
      </c>
      <c r="J13" s="85" t="e">
        <v>#DIV/0!</v>
      </c>
      <c r="K13" s="85">
        <v>0</v>
      </c>
      <c r="M13">
        <v>5</v>
      </c>
      <c r="N13" s="13" t="s">
        <v>84</v>
      </c>
      <c r="O13" s="22">
        <v>0.96484375</v>
      </c>
      <c r="P13" s="13">
        <v>144</v>
      </c>
      <c r="Q13" s="12">
        <v>103</v>
      </c>
      <c r="R13" s="13">
        <v>256</v>
      </c>
      <c r="S13" s="13">
        <v>247</v>
      </c>
      <c r="T13" s="17">
        <v>-29.400000000000006</v>
      </c>
    </row>
    <row r="14" spans="1:20" ht="16.5" thickBot="1" x14ac:dyDescent="0.3">
      <c r="A14" s="19" t="s">
        <v>111</v>
      </c>
      <c r="B14" s="84">
        <v>36823500</v>
      </c>
      <c r="C14" s="85">
        <v>27773181.596537951</v>
      </c>
      <c r="D14" s="85">
        <v>0</v>
      </c>
      <c r="E14" s="85">
        <v>27773181.596537951</v>
      </c>
      <c r="F14" s="86">
        <v>0.75422438379127332</v>
      </c>
      <c r="G14" s="85">
        <v>27773181.596537948</v>
      </c>
      <c r="H14" s="86">
        <v>0.75422438379127321</v>
      </c>
      <c r="I14" s="85">
        <v>1068199.2921745365</v>
      </c>
      <c r="J14" s="85" t="e">
        <v>#DIV/0!</v>
      </c>
      <c r="K14" s="85">
        <v>0</v>
      </c>
      <c r="M14">
        <v>4</v>
      </c>
      <c r="N14" s="10" t="s">
        <v>83</v>
      </c>
      <c r="O14" s="22">
        <v>0.88571428571428568</v>
      </c>
      <c r="P14" s="13">
        <v>85</v>
      </c>
      <c r="Q14" s="12">
        <v>70</v>
      </c>
      <c r="R14" s="13">
        <v>175</v>
      </c>
      <c r="S14" s="13">
        <v>155</v>
      </c>
      <c r="T14" s="17">
        <v>-6.25</v>
      </c>
    </row>
    <row r="15" spans="1:20" ht="16.5" thickBot="1" x14ac:dyDescent="0.3">
      <c r="A15" s="19" t="s">
        <v>107</v>
      </c>
      <c r="B15" s="84">
        <v>36823500</v>
      </c>
      <c r="C15" s="85">
        <v>40412110.7009774</v>
      </c>
      <c r="D15" s="85">
        <v>0</v>
      </c>
      <c r="E15" s="85">
        <v>40412110.7009774</v>
      </c>
      <c r="F15" s="86">
        <v>1.0974543620507937</v>
      </c>
      <c r="G15" s="85">
        <v>40412110.7009774</v>
      </c>
      <c r="H15" s="86">
        <v>1.0974543620507937</v>
      </c>
      <c r="I15" s="85">
        <v>1554311.9500375923</v>
      </c>
      <c r="J15" s="85" t="e">
        <v>#DIV/0!</v>
      </c>
      <c r="K15" s="85">
        <v>606181.66051466099</v>
      </c>
      <c r="N15" s="9" t="s">
        <v>37</v>
      </c>
      <c r="O15" s="23"/>
      <c r="P15" s="14"/>
      <c r="Q15" s="16">
        <v>899</v>
      </c>
      <c r="R15" s="8">
        <v>2191</v>
      </c>
      <c r="S15" s="8">
        <v>1778</v>
      </c>
      <c r="T15" s="8"/>
    </row>
    <row r="16" spans="1:20" ht="15.75" x14ac:dyDescent="0.25">
      <c r="A16" s="18" t="s">
        <v>52</v>
      </c>
      <c r="B16" s="87">
        <v>296559270</v>
      </c>
      <c r="C16" s="87">
        <v>236024998.72119248</v>
      </c>
      <c r="D16" s="87">
        <v>0</v>
      </c>
      <c r="E16" s="87">
        <v>236024998.72119248</v>
      </c>
      <c r="F16" s="88">
        <v>0.79587800010835097</v>
      </c>
      <c r="G16" s="87">
        <v>236024998.72119248</v>
      </c>
      <c r="H16" s="88">
        <v>0.79587800010835097</v>
      </c>
      <c r="I16" s="87">
        <v>9077884.5661997106</v>
      </c>
      <c r="J16" s="89" t="e">
        <v>#DIV/0!</v>
      </c>
      <c r="K16" s="89"/>
      <c r="M16">
        <v>31</v>
      </c>
      <c r="N16" s="12" t="s">
        <v>100</v>
      </c>
      <c r="O16" s="22">
        <v>0.91082802547770703</v>
      </c>
      <c r="P16" s="13">
        <v>90</v>
      </c>
      <c r="Q16" s="12">
        <v>53</v>
      </c>
      <c r="R16" s="13">
        <v>157</v>
      </c>
      <c r="S16" s="13">
        <v>143</v>
      </c>
      <c r="T16" s="17">
        <v>-9.5500000000000114</v>
      </c>
    </row>
    <row r="17" spans="1:20" ht="15.75" x14ac:dyDescent="0.25">
      <c r="A17" s="19" t="s">
        <v>81</v>
      </c>
      <c r="B17" s="70">
        <v>25450000</v>
      </c>
      <c r="C17" s="85">
        <v>16519194.256903937</v>
      </c>
      <c r="D17" s="85">
        <v>0</v>
      </c>
      <c r="E17" s="85">
        <v>16519194.256903937</v>
      </c>
      <c r="F17" s="86">
        <v>0.64908425370938849</v>
      </c>
      <c r="G17" s="85">
        <v>16519194.256903937</v>
      </c>
      <c r="H17" s="86">
        <v>0.64908425370938849</v>
      </c>
      <c r="I17" s="85">
        <v>635353.62526553601</v>
      </c>
      <c r="J17" s="85" t="e">
        <v>#DIV/0!</v>
      </c>
      <c r="K17" s="85">
        <v>0</v>
      </c>
      <c r="M17">
        <v>54</v>
      </c>
      <c r="N17" s="13" t="s">
        <v>108</v>
      </c>
      <c r="O17" s="22">
        <v>0.66494845360824739</v>
      </c>
      <c r="P17" s="13">
        <v>92</v>
      </c>
      <c r="Q17" s="12">
        <v>37</v>
      </c>
      <c r="R17" s="13">
        <v>194</v>
      </c>
      <c r="S17" s="13">
        <v>129</v>
      </c>
      <c r="T17" s="17">
        <v>35.900000000000006</v>
      </c>
    </row>
    <row r="18" spans="1:20" ht="15.75" x14ac:dyDescent="0.25">
      <c r="A18" s="19" t="s">
        <v>82</v>
      </c>
      <c r="B18" s="70">
        <v>22430000</v>
      </c>
      <c r="C18" s="85">
        <v>14871118.704486541</v>
      </c>
      <c r="D18" s="85">
        <v>0</v>
      </c>
      <c r="E18" s="85">
        <v>14871118.704486541</v>
      </c>
      <c r="F18" s="86">
        <v>0.66300127973635936</v>
      </c>
      <c r="G18" s="85">
        <v>14871118.704486541</v>
      </c>
      <c r="H18" s="86">
        <v>0.66300127973635936</v>
      </c>
      <c r="I18" s="85">
        <v>571966.10401871311</v>
      </c>
      <c r="J18" s="85" t="e">
        <v>#DIV/0!</v>
      </c>
      <c r="K18" s="85">
        <v>0</v>
      </c>
      <c r="M18">
        <v>21</v>
      </c>
      <c r="N18" s="13" t="s">
        <v>95</v>
      </c>
      <c r="O18" s="22">
        <v>0.81097560975609762</v>
      </c>
      <c r="P18" s="13">
        <v>88</v>
      </c>
      <c r="Q18" s="12">
        <v>45</v>
      </c>
      <c r="R18" s="13">
        <v>164</v>
      </c>
      <c r="S18" s="13">
        <v>133</v>
      </c>
      <c r="T18" s="17">
        <v>6.4000000000000057</v>
      </c>
    </row>
    <row r="19" spans="1:20" ht="15.75" x14ac:dyDescent="0.25">
      <c r="A19" s="19" t="s">
        <v>92</v>
      </c>
      <c r="B19" s="70">
        <v>22430000</v>
      </c>
      <c r="C19" s="85">
        <v>17383067.799878713</v>
      </c>
      <c r="D19" s="85">
        <v>0</v>
      </c>
      <c r="E19" s="85">
        <v>17383067.799878713</v>
      </c>
      <c r="F19" s="86">
        <v>0.7749918769451053</v>
      </c>
      <c r="G19" s="85">
        <v>17383067.799878713</v>
      </c>
      <c r="H19" s="86">
        <v>0.7749918769451053</v>
      </c>
      <c r="I19" s="85">
        <v>668579.53076456592</v>
      </c>
      <c r="J19" s="85" t="e">
        <v>#DIV/0!</v>
      </c>
      <c r="K19" s="85">
        <v>0</v>
      </c>
      <c r="M19">
        <v>23</v>
      </c>
      <c r="N19" s="13" t="s">
        <v>97</v>
      </c>
      <c r="O19" s="22">
        <v>0.91333333333333333</v>
      </c>
      <c r="P19" s="13">
        <v>95</v>
      </c>
      <c r="Q19" s="12">
        <v>42</v>
      </c>
      <c r="R19" s="13">
        <v>150</v>
      </c>
      <c r="S19" s="13">
        <v>137</v>
      </c>
      <c r="T19" s="17">
        <v>-9.5</v>
      </c>
    </row>
    <row r="20" spans="1:20" ht="15.75" x14ac:dyDescent="0.25">
      <c r="A20" s="19" t="s">
        <v>95</v>
      </c>
      <c r="B20" s="70">
        <v>29000000</v>
      </c>
      <c r="C20" s="85">
        <v>24462624.729524348</v>
      </c>
      <c r="D20" s="85">
        <v>0</v>
      </c>
      <c r="E20" s="85">
        <v>24462624.729524348</v>
      </c>
      <c r="F20" s="86">
        <v>0.84353878377670166</v>
      </c>
      <c r="G20" s="85">
        <v>24462624.729524348</v>
      </c>
      <c r="H20" s="86">
        <v>0.84353878377670166</v>
      </c>
      <c r="I20" s="85">
        <v>940870.18190478266</v>
      </c>
      <c r="J20" s="85" t="e">
        <v>#DIV/0!</v>
      </c>
      <c r="K20" s="85">
        <v>0</v>
      </c>
      <c r="M20">
        <v>18</v>
      </c>
      <c r="N20" s="13" t="s">
        <v>92</v>
      </c>
      <c r="O20" s="22">
        <v>0.86046511627906974</v>
      </c>
      <c r="P20" s="13">
        <v>83</v>
      </c>
      <c r="Q20" s="12">
        <v>65</v>
      </c>
      <c r="R20" s="13">
        <v>172</v>
      </c>
      <c r="S20" s="13">
        <v>148</v>
      </c>
      <c r="T20" s="17">
        <v>-1.8000000000000114</v>
      </c>
    </row>
    <row r="21" spans="1:20" ht="15.75" x14ac:dyDescent="0.25">
      <c r="A21" s="19" t="s">
        <v>97</v>
      </c>
      <c r="B21" s="70">
        <v>22000000</v>
      </c>
      <c r="C21" s="85">
        <v>19224920.576570924</v>
      </c>
      <c r="D21" s="85">
        <v>0</v>
      </c>
      <c r="E21" s="85">
        <v>19224920.576570924</v>
      </c>
      <c r="F21" s="86">
        <v>0.87386002620776926</v>
      </c>
      <c r="G21" s="85">
        <v>19224920.576570924</v>
      </c>
      <c r="H21" s="86">
        <v>0.87386002620776926</v>
      </c>
      <c r="I21" s="85">
        <v>739420.02217580483</v>
      </c>
      <c r="J21" s="85" t="e">
        <v>#DIV/0!</v>
      </c>
      <c r="K21" s="85">
        <v>0</v>
      </c>
      <c r="M21">
        <v>44</v>
      </c>
      <c r="N21" s="13" t="s">
        <v>105</v>
      </c>
      <c r="O21" s="22">
        <v>0.88505747126436785</v>
      </c>
      <c r="P21" s="13">
        <v>64</v>
      </c>
      <c r="Q21" s="12">
        <v>90</v>
      </c>
      <c r="R21" s="13">
        <v>174</v>
      </c>
      <c r="S21" s="13">
        <v>154</v>
      </c>
      <c r="T21" s="17">
        <v>-6.0999999999999943</v>
      </c>
    </row>
    <row r="22" spans="1:20" ht="15.75" x14ac:dyDescent="0.25">
      <c r="A22" s="19" t="s">
        <v>100</v>
      </c>
      <c r="B22" s="70">
        <v>27500000</v>
      </c>
      <c r="C22" s="85">
        <v>22580286.482825678</v>
      </c>
      <c r="D22" s="85">
        <v>0</v>
      </c>
      <c r="E22" s="85">
        <v>22580286.482825678</v>
      </c>
      <c r="F22" s="86">
        <v>0.82110132664820645</v>
      </c>
      <c r="G22" s="85">
        <v>22580286.482825678</v>
      </c>
      <c r="H22" s="86">
        <v>0.82110132664820645</v>
      </c>
      <c r="I22" s="85">
        <v>868472.55703175685</v>
      </c>
      <c r="J22" s="85" t="e">
        <v>#DIV/0!</v>
      </c>
      <c r="K22" s="85">
        <v>0</v>
      </c>
      <c r="M22">
        <v>56</v>
      </c>
      <c r="N22" s="13" t="s">
        <v>139</v>
      </c>
      <c r="O22" s="22">
        <v>0.46268656716417911</v>
      </c>
      <c r="P22" s="13">
        <v>66</v>
      </c>
      <c r="Q22" s="12">
        <v>27</v>
      </c>
      <c r="R22" s="13">
        <v>201</v>
      </c>
      <c r="S22" s="13">
        <v>93</v>
      </c>
      <c r="T22" s="17">
        <v>77.849999999999994</v>
      </c>
    </row>
    <row r="23" spans="1:20" ht="15.75" x14ac:dyDescent="0.25">
      <c r="A23" s="19" t="s">
        <v>105</v>
      </c>
      <c r="B23" s="70">
        <v>23800000</v>
      </c>
      <c r="C23" s="85">
        <v>18758064.323494539</v>
      </c>
      <c r="D23" s="85">
        <v>0</v>
      </c>
      <c r="E23" s="85">
        <v>18758064.323494539</v>
      </c>
      <c r="F23" s="86">
        <v>0.78815396317203945</v>
      </c>
      <c r="G23" s="85">
        <v>18758064.323494539</v>
      </c>
      <c r="H23" s="86">
        <v>0.78815396317203945</v>
      </c>
      <c r="I23" s="85">
        <v>721464.01244209765</v>
      </c>
      <c r="J23" s="85" t="e">
        <v>#DIV/0!</v>
      </c>
      <c r="K23" s="85">
        <v>0</v>
      </c>
      <c r="M23">
        <v>2</v>
      </c>
      <c r="N23" s="13" t="s">
        <v>81</v>
      </c>
      <c r="O23" s="22">
        <v>0.83783783783783783</v>
      </c>
      <c r="P23" s="13">
        <v>70</v>
      </c>
      <c r="Q23" s="12">
        <v>54</v>
      </c>
      <c r="R23" s="13">
        <v>148</v>
      </c>
      <c r="S23" s="13">
        <v>124</v>
      </c>
      <c r="T23" s="17">
        <v>1.7999999999999972</v>
      </c>
    </row>
    <row r="24" spans="1:20" ht="16.5" thickBot="1" x14ac:dyDescent="0.3">
      <c r="A24" s="19" t="s">
        <v>108</v>
      </c>
      <c r="B24" s="70">
        <v>28500000</v>
      </c>
      <c r="C24" s="85">
        <v>25700325.30407371</v>
      </c>
      <c r="D24" s="85">
        <v>0</v>
      </c>
      <c r="E24" s="85">
        <v>25700325.30407371</v>
      </c>
      <c r="F24" s="86">
        <v>0.90176580014293717</v>
      </c>
      <c r="G24" s="85">
        <v>25700325.30407371</v>
      </c>
      <c r="H24" s="86">
        <v>0.90176580014293717</v>
      </c>
      <c r="I24" s="85">
        <v>988474.0501566811</v>
      </c>
      <c r="J24" s="85" t="e">
        <v>#DIV/0!</v>
      </c>
      <c r="K24" s="85">
        <v>0</v>
      </c>
      <c r="M24">
        <v>3</v>
      </c>
      <c r="N24" s="10" t="s">
        <v>82</v>
      </c>
      <c r="O24" s="22">
        <v>0.9096774193548387</v>
      </c>
      <c r="P24" s="13">
        <v>79</v>
      </c>
      <c r="Q24" s="12">
        <v>62</v>
      </c>
      <c r="R24" s="13">
        <v>155</v>
      </c>
      <c r="S24" s="13">
        <v>141</v>
      </c>
      <c r="T24" s="17">
        <v>-9.25</v>
      </c>
    </row>
    <row r="25" spans="1:20" ht="16.5" thickBot="1" x14ac:dyDescent="0.3">
      <c r="A25" s="19" t="s">
        <v>139</v>
      </c>
      <c r="B25" s="70">
        <v>46900000</v>
      </c>
      <c r="C25" s="85">
        <v>26132280.684891887</v>
      </c>
      <c r="D25" s="85">
        <v>0</v>
      </c>
      <c r="E25" s="85">
        <v>26132280.684891887</v>
      </c>
      <c r="F25" s="86">
        <v>0.55719148581859035</v>
      </c>
      <c r="G25" s="85">
        <v>26132280.684891887</v>
      </c>
      <c r="H25" s="86">
        <v>0.55719148581859035</v>
      </c>
      <c r="I25" s="85">
        <v>1005087.7186496879</v>
      </c>
      <c r="J25" s="85" t="e">
        <v>#DIV/0!</v>
      </c>
      <c r="K25" s="85">
        <v>0</v>
      </c>
      <c r="N25" s="9" t="s">
        <v>38</v>
      </c>
      <c r="O25" s="23"/>
      <c r="P25" s="14"/>
      <c r="Q25" s="16">
        <v>475</v>
      </c>
      <c r="R25" s="8">
        <v>1515</v>
      </c>
      <c r="S25" s="8">
        <v>1202</v>
      </c>
      <c r="T25" s="8"/>
    </row>
    <row r="26" spans="1:20" ht="15.75" x14ac:dyDescent="0.25">
      <c r="A26" s="20" t="s">
        <v>38</v>
      </c>
      <c r="B26" s="89">
        <v>248010000</v>
      </c>
      <c r="C26" s="89">
        <v>185631882.86265028</v>
      </c>
      <c r="D26" s="89">
        <v>0</v>
      </c>
      <c r="E26" s="89">
        <v>185631882.86265028</v>
      </c>
      <c r="F26" s="88">
        <v>0.74848547583827374</v>
      </c>
      <c r="G26" s="87">
        <v>185631882.86265028</v>
      </c>
      <c r="H26" s="88">
        <v>0.74848547583827374</v>
      </c>
      <c r="I26" s="87">
        <v>7139687.8024096256</v>
      </c>
      <c r="J26" s="89" t="e">
        <v>#DIV/0!</v>
      </c>
      <c r="K26" s="89"/>
      <c r="M26">
        <v>32</v>
      </c>
      <c r="N26" s="12" t="s">
        <v>101</v>
      </c>
      <c r="O26" s="22">
        <v>0.83636363636363631</v>
      </c>
      <c r="P26" s="13">
        <v>20</v>
      </c>
      <c r="Q26" s="12">
        <v>26</v>
      </c>
      <c r="R26" s="13">
        <v>55</v>
      </c>
      <c r="S26" s="13">
        <v>46</v>
      </c>
      <c r="T26" s="17">
        <v>0.75</v>
      </c>
    </row>
    <row r="27" spans="1:20" ht="15.75" x14ac:dyDescent="0.25">
      <c r="A27" s="90" t="s">
        <v>101</v>
      </c>
      <c r="B27" s="129">
        <v>72908793.5625</v>
      </c>
      <c r="C27" s="85">
        <v>59705699.342645526</v>
      </c>
      <c r="D27" s="85">
        <v>0</v>
      </c>
      <c r="E27" s="85">
        <v>59705699.342645526</v>
      </c>
      <c r="F27" s="86">
        <v>0.81890944048420833</v>
      </c>
      <c r="G27" s="85">
        <v>59705699.342645526</v>
      </c>
      <c r="H27" s="86">
        <v>0.81890944048420833</v>
      </c>
      <c r="I27" s="85">
        <v>2296373.0516402125</v>
      </c>
      <c r="J27" s="85" t="e">
        <v>#DIV/0!</v>
      </c>
      <c r="K27" s="85">
        <v>0</v>
      </c>
      <c r="M27">
        <v>36</v>
      </c>
      <c r="N27" s="12" t="s">
        <v>102</v>
      </c>
      <c r="O27" s="22">
        <v>0.6470588235294118</v>
      </c>
      <c r="P27" s="13">
        <v>68</v>
      </c>
      <c r="Q27" s="12">
        <v>31</v>
      </c>
      <c r="R27" s="13">
        <v>153</v>
      </c>
      <c r="S27" s="13">
        <v>99</v>
      </c>
      <c r="T27" s="17">
        <v>31.049999999999983</v>
      </c>
    </row>
    <row r="28" spans="1:20" ht="15.75" x14ac:dyDescent="0.25">
      <c r="A28" s="19" t="s">
        <v>102</v>
      </c>
      <c r="B28" s="129">
        <v>20300095.462500002</v>
      </c>
      <c r="C28" s="85">
        <v>7088486.5581214279</v>
      </c>
      <c r="D28" s="85">
        <v>0</v>
      </c>
      <c r="E28" s="85">
        <v>7088486.5581214279</v>
      </c>
      <c r="F28" s="86">
        <v>0.3491848878846831</v>
      </c>
      <c r="G28" s="85">
        <v>7088486.5581214279</v>
      </c>
      <c r="H28" s="86">
        <v>0.3491848878846831</v>
      </c>
      <c r="I28" s="85">
        <v>272634.09838928567</v>
      </c>
      <c r="J28" s="85" t="e">
        <v>#DIV/0!</v>
      </c>
      <c r="K28" s="85">
        <v>0</v>
      </c>
      <c r="M28">
        <v>9</v>
      </c>
      <c r="N28" s="12" t="s">
        <v>86</v>
      </c>
      <c r="O28" s="22">
        <v>0.71140939597315433</v>
      </c>
      <c r="P28" s="13">
        <v>80</v>
      </c>
      <c r="Q28" s="12">
        <v>26</v>
      </c>
      <c r="R28" s="13">
        <v>149</v>
      </c>
      <c r="S28" s="13">
        <v>106</v>
      </c>
      <c r="T28" s="17">
        <v>20.649999999999991</v>
      </c>
    </row>
    <row r="29" spans="1:20" ht="15.75" x14ac:dyDescent="0.25">
      <c r="A29" s="19" t="s">
        <v>86</v>
      </c>
      <c r="B29" s="129">
        <v>21701087.966249999</v>
      </c>
      <c r="C29" s="85">
        <v>11524508.445087066</v>
      </c>
      <c r="D29" s="85">
        <v>0</v>
      </c>
      <c r="E29" s="85">
        <v>11524508.445087066</v>
      </c>
      <c r="F29" s="86">
        <v>0.53105671305559565</v>
      </c>
      <c r="G29" s="85">
        <v>11524508.445087066</v>
      </c>
      <c r="H29" s="86">
        <v>0.53105671305559565</v>
      </c>
      <c r="I29" s="85">
        <v>443250.32481104101</v>
      </c>
      <c r="J29" s="85" t="e">
        <v>#DIV/0!</v>
      </c>
      <c r="K29" s="85">
        <v>0</v>
      </c>
      <c r="M29">
        <v>40</v>
      </c>
      <c r="N29" s="12" t="s">
        <v>104</v>
      </c>
      <c r="O29" s="22">
        <v>0.8666666666666667</v>
      </c>
      <c r="P29" s="13">
        <v>68</v>
      </c>
      <c r="Q29" s="12">
        <v>140</v>
      </c>
      <c r="R29" s="13">
        <v>240</v>
      </c>
      <c r="S29" s="13">
        <v>208</v>
      </c>
      <c r="T29" s="17">
        <v>-4</v>
      </c>
    </row>
    <row r="30" spans="1:20" ht="15.75" x14ac:dyDescent="0.25">
      <c r="A30" s="19" t="s">
        <v>104</v>
      </c>
      <c r="B30" s="129">
        <v>33166353.149999999</v>
      </c>
      <c r="C30" s="85">
        <v>32454209.159729112</v>
      </c>
      <c r="D30" s="85">
        <v>0</v>
      </c>
      <c r="E30" s="85">
        <v>32454209.159729112</v>
      </c>
      <c r="F30" s="86">
        <v>0.97852811893275982</v>
      </c>
      <c r="G30" s="85">
        <v>32454209.159729108</v>
      </c>
      <c r="H30" s="86">
        <v>0.97852811893275971</v>
      </c>
      <c r="I30" s="85">
        <v>1248238.813835735</v>
      </c>
      <c r="J30" s="85" t="e">
        <v>#DIV/0!</v>
      </c>
      <c r="K30" s="85">
        <v>0</v>
      </c>
      <c r="M30">
        <v>27</v>
      </c>
      <c r="N30" s="12" t="s">
        <v>98</v>
      </c>
      <c r="O30" s="22">
        <v>0.87769784172661869</v>
      </c>
      <c r="P30" s="13">
        <v>73</v>
      </c>
      <c r="Q30" s="12">
        <v>49</v>
      </c>
      <c r="R30" s="13">
        <v>139</v>
      </c>
      <c r="S30" s="13">
        <v>122</v>
      </c>
      <c r="T30" s="17">
        <v>-3.8500000000000085</v>
      </c>
    </row>
    <row r="31" spans="1:20" ht="15.75" x14ac:dyDescent="0.25">
      <c r="A31" s="19" t="s">
        <v>98</v>
      </c>
      <c r="B31" s="129">
        <v>21701087.966249999</v>
      </c>
      <c r="C31" s="85">
        <v>18178588.533045053</v>
      </c>
      <c r="D31" s="85">
        <v>0</v>
      </c>
      <c r="E31" s="85">
        <v>18178588.533045053</v>
      </c>
      <c r="F31" s="86">
        <v>0.83768097531869312</v>
      </c>
      <c r="G31" s="85">
        <v>18178588.533045053</v>
      </c>
      <c r="H31" s="86">
        <v>0.83768097531869312</v>
      </c>
      <c r="I31" s="85">
        <v>699176.48204019433</v>
      </c>
      <c r="J31" s="85" t="e">
        <v>#DIV/0!</v>
      </c>
      <c r="K31" s="85">
        <v>0</v>
      </c>
      <c r="M31">
        <v>10</v>
      </c>
      <c r="N31" s="12" t="s">
        <v>87</v>
      </c>
      <c r="O31" s="22">
        <v>0.79558011049723754</v>
      </c>
      <c r="P31" s="13">
        <v>40</v>
      </c>
      <c r="Q31" s="12">
        <v>104</v>
      </c>
      <c r="R31" s="13">
        <v>181</v>
      </c>
      <c r="S31" s="13">
        <v>144</v>
      </c>
      <c r="T31" s="17">
        <v>9.8499999999999943</v>
      </c>
    </row>
    <row r="32" spans="1:20" ht="15.75" x14ac:dyDescent="0.25">
      <c r="A32" s="19" t="s">
        <v>87</v>
      </c>
      <c r="B32" s="129">
        <v>21701087.966249999</v>
      </c>
      <c r="C32" s="85">
        <v>22255930.735474538</v>
      </c>
      <c r="D32" s="85">
        <v>0</v>
      </c>
      <c r="E32" s="85">
        <v>22255930.735474538</v>
      </c>
      <c r="F32" s="86">
        <v>1.0255675093381236</v>
      </c>
      <c r="G32" s="85">
        <v>22255930.735474538</v>
      </c>
      <c r="H32" s="86">
        <v>1.0255675093381236</v>
      </c>
      <c r="I32" s="85">
        <v>855997.33597978996</v>
      </c>
      <c r="J32" s="85" t="e">
        <v>#DIV/0!</v>
      </c>
      <c r="K32" s="85">
        <v>222559.3073547454</v>
      </c>
      <c r="M32">
        <v>28</v>
      </c>
      <c r="N32" s="12" t="s">
        <v>99</v>
      </c>
      <c r="O32" s="22">
        <v>0.87150837988826813</v>
      </c>
      <c r="P32" s="13">
        <v>67</v>
      </c>
      <c r="Q32" s="12">
        <v>89</v>
      </c>
      <c r="R32" s="13">
        <v>179</v>
      </c>
      <c r="S32" s="13">
        <v>156</v>
      </c>
      <c r="T32" s="17">
        <v>-3.8499999999999943</v>
      </c>
    </row>
    <row r="33" spans="1:20" ht="15.75" x14ac:dyDescent="0.25">
      <c r="A33" s="19" t="s">
        <v>99</v>
      </c>
      <c r="B33" s="129">
        <v>20586012.300000001</v>
      </c>
      <c r="C33" s="85">
        <v>21491454.209792644</v>
      </c>
      <c r="D33" s="85">
        <v>0</v>
      </c>
      <c r="E33" s="85">
        <v>21491454.209792644</v>
      </c>
      <c r="F33" s="86">
        <v>1.0439833561059635</v>
      </c>
      <c r="G33" s="85">
        <v>21491454.209792644</v>
      </c>
      <c r="H33" s="86">
        <v>1.0439833561059635</v>
      </c>
      <c r="I33" s="85">
        <v>826594.39268433244</v>
      </c>
      <c r="J33" s="85" t="e">
        <v>#DIV/0!</v>
      </c>
      <c r="K33" s="85">
        <v>268643.17762240808</v>
      </c>
      <c r="M33">
        <v>33</v>
      </c>
      <c r="N33" s="12" t="s">
        <v>138</v>
      </c>
      <c r="O33" s="22">
        <v>0.57926829268292679</v>
      </c>
      <c r="P33" s="13">
        <v>66</v>
      </c>
      <c r="Q33" s="12">
        <v>29</v>
      </c>
      <c r="R33" s="13">
        <v>164</v>
      </c>
      <c r="S33" s="13">
        <v>95</v>
      </c>
      <c r="T33" s="17">
        <v>44.400000000000006</v>
      </c>
    </row>
    <row r="34" spans="1:20" ht="15.75" x14ac:dyDescent="0.25">
      <c r="A34" s="19" t="s">
        <v>138</v>
      </c>
      <c r="B34" s="129">
        <v>21701087.966249999</v>
      </c>
      <c r="C34" s="85">
        <v>6604694.92388489</v>
      </c>
      <c r="D34" s="85">
        <v>0</v>
      </c>
      <c r="E34" s="85">
        <v>6604694.92388489</v>
      </c>
      <c r="F34" s="86">
        <v>0.30434856234658164</v>
      </c>
      <c r="G34" s="85">
        <v>6604694.92388489</v>
      </c>
      <c r="H34" s="86">
        <v>0.30434856234658164</v>
      </c>
      <c r="I34" s="85">
        <v>254026.72784172653</v>
      </c>
      <c r="J34" s="85" t="e">
        <v>#DIV/0!</v>
      </c>
      <c r="K34" s="85">
        <v>0</v>
      </c>
      <c r="M34">
        <v>37</v>
      </c>
      <c r="N34" s="12" t="s">
        <v>103</v>
      </c>
      <c r="O34" s="22">
        <v>0.69736842105263153</v>
      </c>
      <c r="P34" s="13">
        <v>82</v>
      </c>
      <c r="Q34" s="12">
        <v>24</v>
      </c>
      <c r="R34" s="13">
        <v>152</v>
      </c>
      <c r="S34" s="13">
        <v>106</v>
      </c>
      <c r="T34" s="17">
        <v>23.199999999999989</v>
      </c>
    </row>
    <row r="35" spans="1:20" ht="15.75" x14ac:dyDescent="0.25">
      <c r="A35" s="19" t="s">
        <v>103</v>
      </c>
      <c r="B35" s="129">
        <v>20586012.300000001</v>
      </c>
      <c r="C35" s="85">
        <v>10300686.076064574</v>
      </c>
      <c r="D35" s="85">
        <v>0</v>
      </c>
      <c r="E35" s="85">
        <v>10300686.076064574</v>
      </c>
      <c r="F35" s="86">
        <v>0.50037306526162784</v>
      </c>
      <c r="G35" s="85">
        <v>10300686.076064574</v>
      </c>
      <c r="H35" s="86">
        <v>0.50037306526162784</v>
      </c>
      <c r="I35" s="85">
        <v>396180.23369479127</v>
      </c>
      <c r="J35" s="85" t="e">
        <v>#DIV/0!</v>
      </c>
      <c r="K35" s="85">
        <v>0</v>
      </c>
      <c r="M35">
        <v>24</v>
      </c>
      <c r="N35" s="12" t="s">
        <v>112</v>
      </c>
      <c r="O35" s="22">
        <v>0.82954545454545459</v>
      </c>
      <c r="P35" s="13">
        <v>81</v>
      </c>
      <c r="Q35" s="12">
        <v>65</v>
      </c>
      <c r="R35" s="13">
        <v>176</v>
      </c>
      <c r="S35" s="13">
        <v>146</v>
      </c>
      <c r="T35" s="17">
        <v>3.5999999999999943</v>
      </c>
    </row>
    <row r="36" spans="1:20" ht="15.75" x14ac:dyDescent="0.25">
      <c r="A36" s="19" t="s">
        <v>112</v>
      </c>
      <c r="B36" s="129">
        <v>21729679.650000002</v>
      </c>
      <c r="C36" s="85">
        <v>17015924.868190646</v>
      </c>
      <c r="D36" s="85">
        <v>0</v>
      </c>
      <c r="E36" s="85">
        <v>17015924.868190646</v>
      </c>
      <c r="F36" s="86">
        <v>0.78307297402751375</v>
      </c>
      <c r="G36" s="85">
        <v>17015924.868190646</v>
      </c>
      <c r="H36" s="86">
        <v>0.78307297402751375</v>
      </c>
      <c r="I36" s="85">
        <v>654458.64877656335</v>
      </c>
      <c r="J36" s="85" t="e">
        <v>#DIV/0!</v>
      </c>
      <c r="K36" s="85">
        <v>0</v>
      </c>
      <c r="M36">
        <v>7</v>
      </c>
      <c r="N36" s="12" t="s">
        <v>110</v>
      </c>
      <c r="O36" s="22">
        <v>0.14414414414414414</v>
      </c>
      <c r="P36" s="13">
        <v>0</v>
      </c>
      <c r="Q36" s="12">
        <v>16</v>
      </c>
      <c r="R36" s="13">
        <v>111</v>
      </c>
      <c r="S36" s="13">
        <v>16</v>
      </c>
      <c r="T36" s="17">
        <v>78.349999999999994</v>
      </c>
    </row>
    <row r="37" spans="1:20" ht="15.75" x14ac:dyDescent="0.25">
      <c r="A37" s="19" t="s">
        <v>110</v>
      </c>
      <c r="B37" s="129">
        <v>102930061.49999999</v>
      </c>
      <c r="C37" s="85">
        <v>71043541.40915364</v>
      </c>
      <c r="D37" s="85">
        <v>0</v>
      </c>
      <c r="E37" s="85">
        <v>71043541.40915364</v>
      </c>
      <c r="F37" s="86">
        <v>0.6902117843304082</v>
      </c>
      <c r="G37" s="85">
        <v>71043541.40915364</v>
      </c>
      <c r="H37" s="86">
        <v>0.6902117843304082</v>
      </c>
      <c r="I37" s="85">
        <v>2732443.9003520631</v>
      </c>
      <c r="J37" s="85" t="e">
        <v>#DIV/0!</v>
      </c>
      <c r="K37" s="85">
        <v>0</v>
      </c>
      <c r="M37">
        <v>57</v>
      </c>
      <c r="N37" s="12" t="s">
        <v>109</v>
      </c>
      <c r="O37" s="22">
        <v>0.5</v>
      </c>
      <c r="P37" s="13">
        <v>17</v>
      </c>
      <c r="Q37" s="12">
        <v>35</v>
      </c>
      <c r="R37" s="13">
        <v>104</v>
      </c>
      <c r="S37" s="13">
        <v>52</v>
      </c>
      <c r="T37" s="17">
        <v>36.399999999999991</v>
      </c>
    </row>
    <row r="38" spans="1:20" ht="15.75" x14ac:dyDescent="0.25">
      <c r="A38" s="19" t="s">
        <v>109</v>
      </c>
      <c r="B38" s="129">
        <v>29964084.57</v>
      </c>
      <c r="C38" s="85">
        <v>34108717.03855706</v>
      </c>
      <c r="D38" s="85">
        <v>0</v>
      </c>
      <c r="E38" s="85">
        <v>34108717.03855706</v>
      </c>
      <c r="F38" s="86">
        <v>1.1383200097061086</v>
      </c>
      <c r="G38" s="85">
        <v>34108717.03855706</v>
      </c>
      <c r="H38" s="86">
        <v>1.1383200097061086</v>
      </c>
      <c r="I38" s="85">
        <v>1311873.7322521945</v>
      </c>
      <c r="J38" s="85" t="e">
        <v>#DIV/0!</v>
      </c>
      <c r="K38" s="85">
        <v>511630.75557835586</v>
      </c>
      <c r="M38">
        <v>1</v>
      </c>
      <c r="N38" s="12" t="s">
        <v>80</v>
      </c>
      <c r="O38" s="22">
        <v>0.87903225806451613</v>
      </c>
      <c r="P38" s="13">
        <v>60</v>
      </c>
      <c r="Q38" s="12">
        <v>49</v>
      </c>
      <c r="R38" s="13">
        <v>124</v>
      </c>
      <c r="S38" s="13">
        <v>109</v>
      </c>
      <c r="T38" s="17">
        <v>-3.6000000000000085</v>
      </c>
    </row>
    <row r="39" spans="1:20" ht="16.5" thickBot="1" x14ac:dyDescent="0.3">
      <c r="A39" s="19" t="s">
        <v>80</v>
      </c>
      <c r="B39" s="129">
        <v>32594519.474999998</v>
      </c>
      <c r="C39" s="85">
        <v>24484653.207060494</v>
      </c>
      <c r="D39" s="85">
        <v>0</v>
      </c>
      <c r="E39" s="85">
        <v>24484653.207060494</v>
      </c>
      <c r="F39" s="86">
        <v>0.75118926744234493</v>
      </c>
      <c r="G39" s="85">
        <v>24484653.207060494</v>
      </c>
      <c r="H39" s="86">
        <v>0.75118926744234493</v>
      </c>
      <c r="I39" s="85">
        <v>941717.43104078819</v>
      </c>
      <c r="J39" s="85" t="e">
        <v>#DIV/0!</v>
      </c>
      <c r="K39" s="85">
        <v>0</v>
      </c>
      <c r="N39" s="3" t="s">
        <v>222</v>
      </c>
      <c r="O39" s="23"/>
      <c r="P39" s="14"/>
      <c r="Q39" s="8">
        <v>683</v>
      </c>
      <c r="R39" s="8">
        <v>1927</v>
      </c>
      <c r="S39" s="8">
        <v>1405</v>
      </c>
      <c r="T39" s="8"/>
    </row>
    <row r="40" spans="1:20" ht="16.5" thickBot="1" x14ac:dyDescent="0.3">
      <c r="A40" s="3" t="s">
        <v>222</v>
      </c>
      <c r="B40" s="89">
        <v>441569963.83499998</v>
      </c>
      <c r="C40" s="89">
        <v>336257094.50680667</v>
      </c>
      <c r="D40" s="89">
        <v>0</v>
      </c>
      <c r="E40" s="89">
        <v>336257094.50680667</v>
      </c>
      <c r="F40" s="88">
        <v>0.76150354880671811</v>
      </c>
      <c r="G40" s="87">
        <v>336257094.50680667</v>
      </c>
      <c r="H40" s="88">
        <v>0.76150354880671811</v>
      </c>
      <c r="I40" s="87">
        <v>12932965.173338719</v>
      </c>
      <c r="J40" s="89" t="e">
        <v>#DIV/0!</v>
      </c>
      <c r="K40" s="89"/>
      <c r="N40" s="11" t="s">
        <v>42</v>
      </c>
      <c r="O40" s="24"/>
      <c r="P40" s="6"/>
      <c r="Q40" s="8">
        <v>2057</v>
      </c>
      <c r="R40" s="8">
        <v>5633</v>
      </c>
      <c r="S40" s="8">
        <v>4385</v>
      </c>
      <c r="T40" s="8"/>
    </row>
    <row r="41" spans="1:20" ht="15.75" x14ac:dyDescent="0.25">
      <c r="A41" s="93" t="s">
        <v>42</v>
      </c>
      <c r="B41" s="94">
        <v>1196913633.8701973</v>
      </c>
      <c r="C41" s="94">
        <v>972548334.78169894</v>
      </c>
      <c r="D41" s="94">
        <v>0</v>
      </c>
      <c r="E41" s="94">
        <v>972548334.78169894</v>
      </c>
      <c r="F41" s="95">
        <v>0.81254679306892219</v>
      </c>
      <c r="G41" s="94">
        <v>972548334.78169882</v>
      </c>
      <c r="H41" s="95">
        <v>0.81254679306892208</v>
      </c>
      <c r="I41" s="94">
        <v>37405705.183911495</v>
      </c>
      <c r="J41" s="94" t="e">
        <v>#DIV/0!</v>
      </c>
      <c r="K41" s="94"/>
    </row>
  </sheetData>
  <conditionalFormatting sqref="F2:F9 F11:F15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17:F25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27:F39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2:O14">
    <cfRule type="iconSet" priority="3">
      <iconSet iconSet="3Arrows">
        <cfvo type="percent" val="0"/>
        <cfvo type="percent" val="33"/>
        <cfvo type="percent" val="67"/>
      </iconSet>
    </cfRule>
  </conditionalFormatting>
  <conditionalFormatting sqref="O16:O24">
    <cfRule type="iconSet" priority="2">
      <iconSet iconSet="3Arrows">
        <cfvo type="percent" val="0"/>
        <cfvo type="percent" val="33"/>
        <cfvo type="percent" val="67"/>
      </iconSet>
    </cfRule>
  </conditionalFormatting>
  <conditionalFormatting sqref="O26:O38">
    <cfRule type="iconSet" priority="1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529C35-A792-4A37-9DB9-1487DAD4B0ED}">
  <sheetPr>
    <tabColor rgb="FFFFFF00"/>
  </sheetPr>
  <dimension ref="A1:T44"/>
  <sheetViews>
    <sheetView topLeftCell="H1" workbookViewId="0">
      <selection activeCell="M1" sqref="M1:T40"/>
    </sheetView>
  </sheetViews>
  <sheetFormatPr baseColWidth="10" defaultRowHeight="15" x14ac:dyDescent="0.25"/>
  <cols>
    <col min="1" max="1" width="47.85546875" bestFit="1" customWidth="1"/>
    <col min="2" max="2" width="17.85546875" bestFit="1" customWidth="1"/>
    <col min="3" max="4" width="32" bestFit="1" customWidth="1"/>
    <col min="5" max="5" width="26.85546875" bestFit="1" customWidth="1"/>
    <col min="6" max="6" width="24.42578125" bestFit="1" customWidth="1"/>
    <col min="7" max="7" width="17.7109375" bestFit="1" customWidth="1"/>
    <col min="8" max="8" width="34.140625" bestFit="1" customWidth="1"/>
    <col min="9" max="9" width="15.140625" bestFit="1" customWidth="1"/>
    <col min="10" max="10" width="21.85546875" bestFit="1" customWidth="1"/>
    <col min="11" max="11" width="12.5703125" bestFit="1" customWidth="1"/>
    <col min="14" max="14" width="34" bestFit="1" customWidth="1"/>
    <col min="16" max="16" width="13.28515625" bestFit="1" customWidth="1"/>
    <col min="17" max="17" width="19.42578125" bestFit="1" customWidth="1"/>
    <col min="20" max="20" width="17.5703125" bestFit="1" customWidth="1"/>
  </cols>
  <sheetData>
    <row r="1" spans="1:20" ht="15.75" thickBot="1" x14ac:dyDescent="0.3">
      <c r="A1" s="43" t="s">
        <v>30</v>
      </c>
      <c r="B1" s="43" t="s">
        <v>31</v>
      </c>
      <c r="C1" s="43" t="s">
        <v>32</v>
      </c>
      <c r="D1" s="43" t="s">
        <v>39</v>
      </c>
      <c r="E1" s="43" t="s">
        <v>33</v>
      </c>
      <c r="F1" s="82" t="s">
        <v>41</v>
      </c>
      <c r="G1" s="83" t="s">
        <v>45</v>
      </c>
      <c r="H1" s="82" t="s">
        <v>46</v>
      </c>
      <c r="I1" s="43" t="s">
        <v>35</v>
      </c>
      <c r="J1" s="43" t="s">
        <v>34</v>
      </c>
      <c r="K1" s="43" t="s">
        <v>53</v>
      </c>
      <c r="N1" s="7" t="s">
        <v>30</v>
      </c>
      <c r="O1" s="21" t="s">
        <v>43</v>
      </c>
      <c r="P1" s="15" t="s">
        <v>50</v>
      </c>
      <c r="Q1" s="7" t="s">
        <v>44</v>
      </c>
      <c r="R1" s="7" t="s">
        <v>48</v>
      </c>
      <c r="S1" s="7" t="s">
        <v>49</v>
      </c>
      <c r="T1" s="7" t="s">
        <v>54</v>
      </c>
    </row>
    <row r="2" spans="1:20" ht="15.75" x14ac:dyDescent="0.25">
      <c r="A2" s="19" t="s">
        <v>94</v>
      </c>
      <c r="B2" s="84">
        <v>28561320.900000002</v>
      </c>
      <c r="C2" s="85">
        <v>39721295.804930009</v>
      </c>
      <c r="D2" s="85">
        <v>39088385.959280692</v>
      </c>
      <c r="E2" s="85">
        <v>632909.84564931691</v>
      </c>
      <c r="F2" s="86">
        <v>1.3907373522395459</v>
      </c>
      <c r="G2" s="85">
        <v>39721295.804930009</v>
      </c>
      <c r="H2" s="86">
        <v>1.3907373522395459</v>
      </c>
      <c r="I2" s="85">
        <v>1727012.8610839134</v>
      </c>
      <c r="J2" s="85" t="e">
        <v>#DIV/0!</v>
      </c>
      <c r="K2" s="85">
        <v>794425.91609860025</v>
      </c>
      <c r="M2">
        <v>22</v>
      </c>
      <c r="N2" s="12" t="s">
        <v>96</v>
      </c>
      <c r="O2" s="22">
        <v>0.87142857142857144</v>
      </c>
      <c r="P2" s="13">
        <v>33</v>
      </c>
      <c r="Q2" s="12">
        <v>28</v>
      </c>
      <c r="R2" s="13">
        <v>70</v>
      </c>
      <c r="S2" s="13">
        <v>61</v>
      </c>
      <c r="T2" s="17">
        <v>-1.5</v>
      </c>
    </row>
    <row r="3" spans="1:20" ht="15.75" x14ac:dyDescent="0.25">
      <c r="A3" s="19" t="s">
        <v>93</v>
      </c>
      <c r="B3" s="84">
        <v>27414279.900000002</v>
      </c>
      <c r="C3" s="85">
        <v>29249180.313359585</v>
      </c>
      <c r="D3" s="85">
        <v>28088897.73557714</v>
      </c>
      <c r="E3" s="85">
        <v>1160282.5777824447</v>
      </c>
      <c r="F3" s="86">
        <v>1.0669322856574315</v>
      </c>
      <c r="G3" s="85">
        <v>29249180.313359588</v>
      </c>
      <c r="H3" s="86">
        <v>1.0669322856574317</v>
      </c>
      <c r="I3" s="85">
        <v>1271703.4918851994</v>
      </c>
      <c r="J3" s="85" t="e">
        <v>#DIV/0!</v>
      </c>
      <c r="K3" s="85">
        <v>365614.7539169949</v>
      </c>
      <c r="M3">
        <v>49</v>
      </c>
      <c r="N3" s="13" t="s">
        <v>106</v>
      </c>
      <c r="O3" s="22">
        <v>0.45064377682403434</v>
      </c>
      <c r="P3" s="13">
        <v>1</v>
      </c>
      <c r="Q3" s="12">
        <v>104</v>
      </c>
      <c r="R3" s="13">
        <v>233</v>
      </c>
      <c r="S3" s="13">
        <v>105</v>
      </c>
      <c r="T3" s="17">
        <v>93.049999999999983</v>
      </c>
    </row>
    <row r="4" spans="1:20" ht="15.75" x14ac:dyDescent="0.25">
      <c r="A4" s="19" t="s">
        <v>91</v>
      </c>
      <c r="B4" s="84">
        <v>25120197.900000002</v>
      </c>
      <c r="C4" s="85">
        <v>23167100.132401947</v>
      </c>
      <c r="D4" s="85">
        <v>21799243.674501382</v>
      </c>
      <c r="E4" s="85">
        <v>1367856.4579005651</v>
      </c>
      <c r="F4" s="86">
        <v>0.92224990522076833</v>
      </c>
      <c r="G4" s="85">
        <v>23167100.132401947</v>
      </c>
      <c r="H4" s="86">
        <v>0.92224990522076833</v>
      </c>
      <c r="I4" s="85">
        <v>1007265.2231479108</v>
      </c>
      <c r="J4" s="85" t="e">
        <v>#DIV/0!</v>
      </c>
      <c r="K4" s="85">
        <v>0</v>
      </c>
      <c r="M4">
        <v>20</v>
      </c>
      <c r="N4" s="13" t="s">
        <v>94</v>
      </c>
      <c r="O4" s="22">
        <v>0.94222222222222218</v>
      </c>
      <c r="P4" s="13">
        <v>126</v>
      </c>
      <c r="Q4" s="12">
        <v>86</v>
      </c>
      <c r="R4" s="13">
        <v>225</v>
      </c>
      <c r="S4" s="13">
        <v>212</v>
      </c>
      <c r="T4" s="17">
        <v>-20.75</v>
      </c>
    </row>
    <row r="5" spans="1:20" ht="15.75" x14ac:dyDescent="0.25">
      <c r="A5" s="19" t="s">
        <v>89</v>
      </c>
      <c r="B5" s="84">
        <v>25120197.900000002</v>
      </c>
      <c r="C5" s="85">
        <v>31630958.851832926</v>
      </c>
      <c r="D5" s="85">
        <v>30307629.482775476</v>
      </c>
      <c r="E5" s="85">
        <v>1323329.3690574504</v>
      </c>
      <c r="F5" s="86">
        <v>1.2591843017221183</v>
      </c>
      <c r="G5" s="85">
        <v>31630958.851832926</v>
      </c>
      <c r="H5" s="86">
        <v>1.2591843017221183</v>
      </c>
      <c r="I5" s="85">
        <v>1375259.080514475</v>
      </c>
      <c r="J5" s="85" t="e">
        <v>#DIV/0!</v>
      </c>
      <c r="K5" s="85">
        <v>632619.17703665851</v>
      </c>
      <c r="M5">
        <v>15</v>
      </c>
      <c r="N5" s="13" t="s">
        <v>90</v>
      </c>
      <c r="O5" s="22">
        <v>0.83076923076923082</v>
      </c>
      <c r="P5" s="13">
        <v>21</v>
      </c>
      <c r="Q5" s="12">
        <v>33</v>
      </c>
      <c r="R5" s="13">
        <v>65</v>
      </c>
      <c r="S5" s="13">
        <v>54</v>
      </c>
      <c r="T5" s="17">
        <v>1.25</v>
      </c>
    </row>
    <row r="6" spans="1:20" ht="15.75" x14ac:dyDescent="0.25">
      <c r="A6" s="19" t="s">
        <v>88</v>
      </c>
      <c r="B6" s="84">
        <v>20818794.149999999</v>
      </c>
      <c r="C6" s="85">
        <v>15488445.984929243</v>
      </c>
      <c r="D6" s="85">
        <v>15012989.485614467</v>
      </c>
      <c r="E6" s="85">
        <v>475456.49931477569</v>
      </c>
      <c r="F6" s="86">
        <v>0.7439646058909346</v>
      </c>
      <c r="G6" s="85">
        <v>15488445.984929241</v>
      </c>
      <c r="H6" s="86">
        <v>0.74396460589093449</v>
      </c>
      <c r="I6" s="85">
        <v>673410.69499692356</v>
      </c>
      <c r="J6" s="85" t="e">
        <v>#DIV/0!</v>
      </c>
      <c r="K6" s="85">
        <v>0</v>
      </c>
      <c r="M6">
        <v>19</v>
      </c>
      <c r="N6" s="13" t="s">
        <v>93</v>
      </c>
      <c r="O6" s="22">
        <v>0.89756097560975612</v>
      </c>
      <c r="P6" s="13">
        <v>100</v>
      </c>
      <c r="Q6" s="12">
        <v>84</v>
      </c>
      <c r="R6" s="13">
        <v>205</v>
      </c>
      <c r="S6" s="13">
        <v>184</v>
      </c>
      <c r="T6" s="17">
        <v>-9.75</v>
      </c>
    </row>
    <row r="7" spans="1:20" ht="15.75" x14ac:dyDescent="0.25">
      <c r="A7" s="19" t="s">
        <v>85</v>
      </c>
      <c r="B7" s="84">
        <v>24546677.400000002</v>
      </c>
      <c r="C7" s="85">
        <v>18088953.14564018</v>
      </c>
      <c r="D7" s="85">
        <v>17362470.332684334</v>
      </c>
      <c r="E7" s="85">
        <v>726482.81295584515</v>
      </c>
      <c r="F7" s="86">
        <v>0.73692063699179822</v>
      </c>
      <c r="G7" s="85">
        <v>18088953.14564018</v>
      </c>
      <c r="H7" s="86">
        <v>0.73692063699179822</v>
      </c>
      <c r="I7" s="85">
        <v>786476.22372348607</v>
      </c>
      <c r="J7" s="85" t="e">
        <v>#DIV/0!</v>
      </c>
      <c r="K7" s="85">
        <v>0</v>
      </c>
      <c r="M7">
        <v>16</v>
      </c>
      <c r="N7" s="13" t="s">
        <v>91</v>
      </c>
      <c r="O7" s="22">
        <v>0.90355329949238583</v>
      </c>
      <c r="P7" s="13">
        <v>81</v>
      </c>
      <c r="Q7" s="12">
        <v>97</v>
      </c>
      <c r="R7" s="13">
        <v>197</v>
      </c>
      <c r="S7" s="13">
        <v>178</v>
      </c>
      <c r="T7" s="17">
        <v>-10.550000000000011</v>
      </c>
    </row>
    <row r="8" spans="1:20" ht="15.75" x14ac:dyDescent="0.25">
      <c r="A8" s="19" t="s">
        <v>84</v>
      </c>
      <c r="B8" s="84">
        <v>31704213.240000002</v>
      </c>
      <c r="C8" s="85">
        <v>25692634.698936395</v>
      </c>
      <c r="D8" s="85">
        <v>25203128.493070193</v>
      </c>
      <c r="E8" s="85">
        <v>489506.20586620271</v>
      </c>
      <c r="F8" s="86">
        <v>0.81038550001048359</v>
      </c>
      <c r="G8" s="85">
        <v>25692634.698936392</v>
      </c>
      <c r="H8" s="86">
        <v>0.81038550001048348</v>
      </c>
      <c r="I8" s="85">
        <v>1117071.0738667997</v>
      </c>
      <c r="J8" s="85" t="e">
        <v>#DIV/0!</v>
      </c>
      <c r="K8" s="85">
        <v>0</v>
      </c>
      <c r="M8">
        <v>12</v>
      </c>
      <c r="N8" s="13" t="s">
        <v>89</v>
      </c>
      <c r="O8" s="22">
        <v>0.9</v>
      </c>
      <c r="P8" s="13">
        <v>89</v>
      </c>
      <c r="Q8" s="12">
        <v>100</v>
      </c>
      <c r="R8" s="13">
        <v>210</v>
      </c>
      <c r="S8" s="13">
        <v>189</v>
      </c>
      <c r="T8" s="17">
        <v>-10.5</v>
      </c>
    </row>
    <row r="9" spans="1:20" ht="15.75" x14ac:dyDescent="0.25">
      <c r="A9" s="19" t="s">
        <v>83</v>
      </c>
      <c r="B9" s="84">
        <v>31704213.240000002</v>
      </c>
      <c r="C9" s="85">
        <v>32620850.48761525</v>
      </c>
      <c r="D9" s="85">
        <v>30865958.704523828</v>
      </c>
      <c r="E9" s="85">
        <v>1754891.7830914222</v>
      </c>
      <c r="F9" s="86">
        <v>1.0289121587934174</v>
      </c>
      <c r="G9" s="85">
        <v>32620850.48761525</v>
      </c>
      <c r="H9" s="86">
        <v>1.0289121587934174</v>
      </c>
      <c r="I9" s="85">
        <v>1418297.8472876195</v>
      </c>
      <c r="J9" s="85" t="e">
        <v>#DIV/0!</v>
      </c>
      <c r="K9" s="85">
        <v>326208.5048761525</v>
      </c>
      <c r="M9">
        <v>11</v>
      </c>
      <c r="N9" s="30" t="s">
        <v>88</v>
      </c>
      <c r="O9" s="22">
        <v>0.84146341463414631</v>
      </c>
      <c r="P9" s="13">
        <v>92</v>
      </c>
      <c r="Q9" s="12">
        <v>46</v>
      </c>
      <c r="R9" s="13">
        <v>164</v>
      </c>
      <c r="S9" s="13">
        <v>138</v>
      </c>
      <c r="T9" s="17">
        <v>1.4000000000000057</v>
      </c>
    </row>
    <row r="10" spans="1:20" ht="15.75" x14ac:dyDescent="0.25">
      <c r="A10" s="18" t="s">
        <v>51</v>
      </c>
      <c r="B10" s="87">
        <v>214989894.63</v>
      </c>
      <c r="C10" s="87">
        <v>215659419.41964552</v>
      </c>
      <c r="D10" s="85">
        <v>207728703.86802754</v>
      </c>
      <c r="E10" s="87">
        <v>7930715.5516180228</v>
      </c>
      <c r="F10" s="88">
        <v>1.003114215162521</v>
      </c>
      <c r="G10" s="87">
        <v>215659419.41964555</v>
      </c>
      <c r="H10" s="88">
        <v>1.003114215162521</v>
      </c>
      <c r="I10" s="87">
        <v>9376496.4965063278</v>
      </c>
      <c r="J10" s="89" t="e">
        <v>#DIV/0!</v>
      </c>
      <c r="K10" s="89"/>
      <c r="M10">
        <v>8</v>
      </c>
      <c r="N10" s="13" t="s">
        <v>85</v>
      </c>
      <c r="O10" s="22">
        <v>0.86559139784946237</v>
      </c>
      <c r="P10" s="13">
        <v>64</v>
      </c>
      <c r="Q10" s="12">
        <v>97</v>
      </c>
      <c r="R10" s="13">
        <v>186</v>
      </c>
      <c r="S10" s="13">
        <v>161</v>
      </c>
      <c r="T10" s="17">
        <v>-2.9000000000000057</v>
      </c>
    </row>
    <row r="11" spans="1:20" ht="15.75" x14ac:dyDescent="0.25">
      <c r="A11" s="19" t="s">
        <v>96</v>
      </c>
      <c r="B11" s="84">
        <v>85803165</v>
      </c>
      <c r="C11" s="85">
        <v>74801914.352921605</v>
      </c>
      <c r="D11" s="85">
        <v>72706629.068820506</v>
      </c>
      <c r="E11" s="85">
        <v>2095285.2841010988</v>
      </c>
      <c r="F11" s="86">
        <v>0.87178502509693678</v>
      </c>
      <c r="G11" s="85">
        <v>74801914.352921605</v>
      </c>
      <c r="H11" s="86">
        <v>0.87178502509693678</v>
      </c>
      <c r="I11" s="85">
        <v>3252257.1457792004</v>
      </c>
      <c r="J11" s="85" t="e">
        <v>#DIV/0!</v>
      </c>
      <c r="K11" s="85">
        <v>0</v>
      </c>
      <c r="M11">
        <v>52</v>
      </c>
      <c r="N11" s="31" t="s">
        <v>111</v>
      </c>
      <c r="O11" s="32">
        <v>0.60576923076923073</v>
      </c>
      <c r="P11" s="31">
        <v>19</v>
      </c>
      <c r="Q11" s="33">
        <v>44</v>
      </c>
      <c r="R11" s="13">
        <v>104</v>
      </c>
      <c r="S11" s="13">
        <v>63</v>
      </c>
      <c r="T11" s="34">
        <v>25.399999999999991</v>
      </c>
    </row>
    <row r="12" spans="1:20" ht="15.75" x14ac:dyDescent="0.25">
      <c r="A12" s="19" t="s">
        <v>106</v>
      </c>
      <c r="B12" s="84">
        <v>27987800.400000002</v>
      </c>
      <c r="C12" s="85">
        <v>21624275.946476139</v>
      </c>
      <c r="D12" s="85">
        <v>21624275.946476139</v>
      </c>
      <c r="E12" s="85">
        <v>0</v>
      </c>
      <c r="F12" s="86">
        <v>0.77263220536888411</v>
      </c>
      <c r="G12" s="85">
        <v>21624275.946476139</v>
      </c>
      <c r="H12" s="86">
        <v>0.77263220536888411</v>
      </c>
      <c r="I12" s="85">
        <v>940185.91071635392</v>
      </c>
      <c r="J12" s="85" t="e">
        <v>#DIV/0!</v>
      </c>
      <c r="K12" s="85">
        <v>0</v>
      </c>
      <c r="M12">
        <v>53</v>
      </c>
      <c r="N12" s="31" t="s">
        <v>107</v>
      </c>
      <c r="O12" s="32">
        <v>0.54867256637168138</v>
      </c>
      <c r="P12" s="31">
        <v>24</v>
      </c>
      <c r="Q12" s="33">
        <v>38</v>
      </c>
      <c r="R12" s="13">
        <v>113</v>
      </c>
      <c r="S12" s="13">
        <v>62</v>
      </c>
      <c r="T12" s="34">
        <v>34.049999999999997</v>
      </c>
    </row>
    <row r="13" spans="1:20" ht="15.75" x14ac:dyDescent="0.25">
      <c r="A13" s="19" t="s">
        <v>90</v>
      </c>
      <c r="B13" s="84">
        <v>113579550</v>
      </c>
      <c r="C13" s="85">
        <v>110562899.82800557</v>
      </c>
      <c r="D13" s="85">
        <v>101026142.33835626</v>
      </c>
      <c r="E13" s="85">
        <v>9536757.4896493107</v>
      </c>
      <c r="F13" s="86">
        <v>0.97344019964866535</v>
      </c>
      <c r="G13" s="85">
        <v>110562899.82800557</v>
      </c>
      <c r="H13" s="86">
        <v>0.97344019964866535</v>
      </c>
      <c r="I13" s="85">
        <v>4807082.6012176331</v>
      </c>
      <c r="J13" s="85" t="e">
        <v>#DIV/0!</v>
      </c>
      <c r="K13" s="85">
        <v>0</v>
      </c>
      <c r="M13">
        <v>5</v>
      </c>
      <c r="N13" s="13" t="s">
        <v>84</v>
      </c>
      <c r="O13" s="22">
        <v>0.875</v>
      </c>
      <c r="P13" s="13">
        <v>144</v>
      </c>
      <c r="Q13" s="12">
        <v>80</v>
      </c>
      <c r="R13" s="13">
        <v>256</v>
      </c>
      <c r="S13" s="13">
        <v>224</v>
      </c>
      <c r="T13" s="17">
        <v>-6.4000000000000057</v>
      </c>
    </row>
    <row r="14" spans="1:20" ht="16.5" thickBot="1" x14ac:dyDescent="0.3">
      <c r="A14" s="19" t="s">
        <v>111</v>
      </c>
      <c r="B14" s="84">
        <v>37559970</v>
      </c>
      <c r="C14" s="85">
        <v>25974209.55841786</v>
      </c>
      <c r="D14" s="85">
        <v>25893547.49941786</v>
      </c>
      <c r="E14" s="85">
        <v>80662.059000000358</v>
      </c>
      <c r="F14" s="86">
        <v>0.69153967797146432</v>
      </c>
      <c r="G14" s="85">
        <v>25974209.55841786</v>
      </c>
      <c r="H14" s="86">
        <v>0.69153967797146432</v>
      </c>
      <c r="I14" s="85">
        <v>1129313.4590616461</v>
      </c>
      <c r="J14" s="85" t="e">
        <v>#DIV/0!</v>
      </c>
      <c r="K14" s="85">
        <v>0</v>
      </c>
      <c r="M14">
        <v>4</v>
      </c>
      <c r="N14" s="10" t="s">
        <v>83</v>
      </c>
      <c r="O14" s="22">
        <v>0.903954802259887</v>
      </c>
      <c r="P14" s="13">
        <v>85</v>
      </c>
      <c r="Q14" s="12">
        <v>75</v>
      </c>
      <c r="R14" s="13">
        <v>177</v>
      </c>
      <c r="S14" s="13">
        <v>160</v>
      </c>
      <c r="T14" s="17">
        <v>-9.5500000000000114</v>
      </c>
    </row>
    <row r="15" spans="1:20" ht="16.5" thickBot="1" x14ac:dyDescent="0.3">
      <c r="A15" s="19" t="s">
        <v>107</v>
      </c>
      <c r="B15" s="84">
        <v>37559970</v>
      </c>
      <c r="C15" s="85">
        <v>32322953.369331002</v>
      </c>
      <c r="D15" s="85">
        <v>32261497.488231003</v>
      </c>
      <c r="E15" s="85">
        <v>61455.881099998951</v>
      </c>
      <c r="F15" s="86">
        <v>0.86056920091605515</v>
      </c>
      <c r="G15" s="85">
        <v>32322953.369330999</v>
      </c>
      <c r="H15" s="86">
        <v>0.86056920091605504</v>
      </c>
      <c r="I15" s="85">
        <v>1405345.7986665652</v>
      </c>
      <c r="J15" s="85" t="e">
        <v>#DIV/0!</v>
      </c>
      <c r="K15" s="85">
        <v>0</v>
      </c>
      <c r="N15" s="9" t="s">
        <v>37</v>
      </c>
      <c r="O15" s="23"/>
      <c r="P15" s="14"/>
      <c r="Q15" s="16">
        <v>912</v>
      </c>
      <c r="R15" s="8">
        <v>2205</v>
      </c>
      <c r="S15" s="8">
        <v>1791</v>
      </c>
      <c r="T15" s="8"/>
    </row>
    <row r="16" spans="1:20" ht="15.75" x14ac:dyDescent="0.25">
      <c r="A16" s="18" t="s">
        <v>52</v>
      </c>
      <c r="B16" s="87">
        <v>302490455.39999998</v>
      </c>
      <c r="C16" s="87">
        <v>265286253.05515218</v>
      </c>
      <c r="D16" s="85">
        <v>253512092.34130177</v>
      </c>
      <c r="E16" s="87">
        <v>11774160.713850409</v>
      </c>
      <c r="F16" s="88">
        <v>0.87700702061606994</v>
      </c>
      <c r="G16" s="87">
        <v>265286253.05515218</v>
      </c>
      <c r="H16" s="88">
        <v>0.87700702061606994</v>
      </c>
      <c r="I16" s="87">
        <v>11534184.915441399</v>
      </c>
      <c r="J16" s="89" t="e">
        <v>#DIV/0!</v>
      </c>
      <c r="K16" s="89"/>
      <c r="M16">
        <v>31</v>
      </c>
      <c r="N16" s="12" t="s">
        <v>100</v>
      </c>
      <c r="O16" s="22">
        <v>0.85806451612903223</v>
      </c>
      <c r="P16" s="13">
        <v>90</v>
      </c>
      <c r="Q16" s="12">
        <v>43</v>
      </c>
      <c r="R16" s="13">
        <v>155</v>
      </c>
      <c r="S16" s="13">
        <v>133</v>
      </c>
      <c r="T16" s="17">
        <v>-1.25</v>
      </c>
    </row>
    <row r="17" spans="1:20" ht="15.75" x14ac:dyDescent="0.25">
      <c r="A17" s="19" t="s">
        <v>81</v>
      </c>
      <c r="B17" s="70">
        <v>25959000</v>
      </c>
      <c r="C17" s="85">
        <v>15605041.260327421</v>
      </c>
      <c r="D17" s="85">
        <v>15500623.615824336</v>
      </c>
      <c r="E17" s="85">
        <v>104417.64450308494</v>
      </c>
      <c r="F17" s="86">
        <v>0.60114184908229984</v>
      </c>
      <c r="G17" s="85">
        <v>15605041.260327421</v>
      </c>
      <c r="H17" s="86">
        <v>0.60114184908229984</v>
      </c>
      <c r="I17" s="85">
        <v>678480.05479684437</v>
      </c>
      <c r="J17" s="85" t="e">
        <v>#DIV/0!</v>
      </c>
      <c r="K17" s="85">
        <v>0</v>
      </c>
      <c r="M17">
        <v>54</v>
      </c>
      <c r="N17" s="13" t="s">
        <v>108</v>
      </c>
      <c r="O17" s="22">
        <v>0.82439024390243898</v>
      </c>
      <c r="P17" s="13">
        <v>92</v>
      </c>
      <c r="Q17" s="12">
        <v>77</v>
      </c>
      <c r="R17" s="13">
        <v>205</v>
      </c>
      <c r="S17" s="13">
        <v>169</v>
      </c>
      <c r="T17" s="17">
        <v>5.25</v>
      </c>
    </row>
    <row r="18" spans="1:20" ht="15.75" x14ac:dyDescent="0.25">
      <c r="A18" s="19" t="s">
        <v>82</v>
      </c>
      <c r="B18" s="70">
        <v>22878600</v>
      </c>
      <c r="C18" s="85">
        <v>17851342.96152376</v>
      </c>
      <c r="D18" s="85">
        <v>17014009.254922275</v>
      </c>
      <c r="E18" s="85">
        <v>837333.70660148561</v>
      </c>
      <c r="F18" s="86">
        <v>0.78026378194136703</v>
      </c>
      <c r="G18" s="85">
        <v>17851342.96152376</v>
      </c>
      <c r="H18" s="86">
        <v>0.78026378194136703</v>
      </c>
      <c r="I18" s="85">
        <v>776145.34615320701</v>
      </c>
      <c r="J18" s="85" t="e">
        <v>#DIV/0!</v>
      </c>
      <c r="K18" s="85">
        <v>0</v>
      </c>
      <c r="M18">
        <v>21</v>
      </c>
      <c r="N18" s="13" t="s">
        <v>95</v>
      </c>
      <c r="O18" s="22">
        <v>0.86419753086419748</v>
      </c>
      <c r="P18" s="13">
        <v>88</v>
      </c>
      <c r="Q18" s="12">
        <v>52</v>
      </c>
      <c r="R18" s="13">
        <v>162</v>
      </c>
      <c r="S18" s="13">
        <v>140</v>
      </c>
      <c r="T18" s="17">
        <v>-2.3000000000000114</v>
      </c>
    </row>
    <row r="19" spans="1:20" ht="15.75" x14ac:dyDescent="0.25">
      <c r="A19" s="19" t="s">
        <v>92</v>
      </c>
      <c r="B19" s="70">
        <v>22878600</v>
      </c>
      <c r="C19" s="85">
        <v>10599982.803041937</v>
      </c>
      <c r="D19" s="85">
        <v>10521737.597443596</v>
      </c>
      <c r="E19" s="85">
        <v>78245.205598341301</v>
      </c>
      <c r="F19" s="86">
        <v>0.46331431132332995</v>
      </c>
      <c r="G19" s="85">
        <v>10599982.803041937</v>
      </c>
      <c r="H19" s="86">
        <v>0.46331431132332995</v>
      </c>
      <c r="I19" s="85">
        <v>460868.81752356247</v>
      </c>
      <c r="J19" s="85" t="e">
        <v>#DIV/0!</v>
      </c>
      <c r="K19" s="85">
        <v>0</v>
      </c>
      <c r="M19">
        <v>23</v>
      </c>
      <c r="N19" s="13" t="s">
        <v>97</v>
      </c>
      <c r="O19" s="22">
        <v>0.84210526315789469</v>
      </c>
      <c r="P19" s="13">
        <v>95</v>
      </c>
      <c r="Q19" s="12">
        <v>33</v>
      </c>
      <c r="R19" s="13">
        <v>152</v>
      </c>
      <c r="S19" s="13">
        <v>128</v>
      </c>
      <c r="T19" s="17">
        <v>1.1999999999999886</v>
      </c>
    </row>
    <row r="20" spans="1:20" ht="15.75" x14ac:dyDescent="0.25">
      <c r="A20" s="19" t="s">
        <v>95</v>
      </c>
      <c r="B20" s="70">
        <v>29580000</v>
      </c>
      <c r="C20" s="85">
        <v>34177594.392626554</v>
      </c>
      <c r="D20" s="85">
        <v>33008585.287439648</v>
      </c>
      <c r="E20" s="85">
        <v>1169009.1051869057</v>
      </c>
      <c r="F20" s="86">
        <v>1.1554291545850761</v>
      </c>
      <c r="G20" s="85">
        <v>34177594.392626554</v>
      </c>
      <c r="H20" s="86">
        <v>1.1554291545850761</v>
      </c>
      <c r="I20" s="85">
        <v>1485982.3648968067</v>
      </c>
      <c r="J20" s="85" t="e">
        <v>#DIV/0!</v>
      </c>
      <c r="K20" s="85">
        <v>683551.88785253104</v>
      </c>
      <c r="M20">
        <v>18</v>
      </c>
      <c r="N20" s="13" t="s">
        <v>92</v>
      </c>
      <c r="O20" s="22">
        <v>0.73563218390804597</v>
      </c>
      <c r="P20" s="13">
        <v>83</v>
      </c>
      <c r="Q20" s="12">
        <v>45</v>
      </c>
      <c r="R20" s="13">
        <v>174</v>
      </c>
      <c r="S20" s="13">
        <v>128</v>
      </c>
      <c r="T20" s="17">
        <v>19.900000000000006</v>
      </c>
    </row>
    <row r="21" spans="1:20" ht="15.75" x14ac:dyDescent="0.25">
      <c r="A21" s="19" t="s">
        <v>97</v>
      </c>
      <c r="B21" s="70">
        <v>22440000</v>
      </c>
      <c r="C21" s="85">
        <v>12127167.111694176</v>
      </c>
      <c r="D21" s="85">
        <v>11481793.993264897</v>
      </c>
      <c r="E21" s="85">
        <v>645373.11842927895</v>
      </c>
      <c r="F21" s="86">
        <v>0.54042634187585459</v>
      </c>
      <c r="G21" s="85">
        <v>12127167.111694176</v>
      </c>
      <c r="H21" s="86">
        <v>0.54042634187585459</v>
      </c>
      <c r="I21" s="85">
        <v>527268.13529105112</v>
      </c>
      <c r="J21" s="85" t="e">
        <v>#DIV/0!</v>
      </c>
      <c r="K21" s="85">
        <v>0</v>
      </c>
      <c r="M21">
        <v>44</v>
      </c>
      <c r="N21" s="13" t="s">
        <v>160</v>
      </c>
      <c r="O21" s="22">
        <v>0.73837209302325579</v>
      </c>
      <c r="P21" s="13">
        <v>64</v>
      </c>
      <c r="Q21" s="12">
        <v>63</v>
      </c>
      <c r="R21" s="13">
        <v>172</v>
      </c>
      <c r="S21" s="13">
        <v>127</v>
      </c>
      <c r="T21" s="17">
        <v>19.199999999999989</v>
      </c>
    </row>
    <row r="22" spans="1:20" ht="15.75" x14ac:dyDescent="0.25">
      <c r="A22" s="19" t="s">
        <v>100</v>
      </c>
      <c r="B22" s="70">
        <v>28050000</v>
      </c>
      <c r="C22" s="85">
        <v>33728904.59836892</v>
      </c>
      <c r="D22" s="85">
        <v>33154329.616430718</v>
      </c>
      <c r="E22" s="85">
        <v>574574.98193820193</v>
      </c>
      <c r="F22" s="86">
        <v>1.2024564919204606</v>
      </c>
      <c r="G22" s="85">
        <v>33728904.59836892</v>
      </c>
      <c r="H22" s="86">
        <v>1.2024564919204606</v>
      </c>
      <c r="I22" s="85">
        <v>1466474.1129725617</v>
      </c>
      <c r="J22" s="85" t="e">
        <v>#DIV/0!</v>
      </c>
      <c r="K22" s="85">
        <v>674578.09196737839</v>
      </c>
      <c r="M22">
        <v>56</v>
      </c>
      <c r="N22" s="13" t="s">
        <v>139</v>
      </c>
      <c r="O22" s="22">
        <v>0.489247311827957</v>
      </c>
      <c r="P22" s="13">
        <v>66</v>
      </c>
      <c r="Q22" s="12">
        <v>25</v>
      </c>
      <c r="R22" s="13">
        <v>186</v>
      </c>
      <c r="S22" s="13">
        <v>91</v>
      </c>
      <c r="T22" s="17">
        <v>67.099999999999994</v>
      </c>
    </row>
    <row r="23" spans="1:20" ht="15.75" x14ac:dyDescent="0.25">
      <c r="A23" s="19" t="s">
        <v>160</v>
      </c>
      <c r="B23" s="70">
        <v>24276000</v>
      </c>
      <c r="C23" s="85">
        <v>12651685.240351029</v>
      </c>
      <c r="D23" s="85">
        <v>12317875.193543613</v>
      </c>
      <c r="E23" s="85">
        <v>333810.04680741578</v>
      </c>
      <c r="F23" s="86">
        <v>0.52116020927463458</v>
      </c>
      <c r="G23" s="85">
        <v>12651685.240351029</v>
      </c>
      <c r="H23" s="86">
        <v>0.52116020927463458</v>
      </c>
      <c r="I23" s="85">
        <v>550073.27131960995</v>
      </c>
      <c r="J23" s="85" t="e">
        <v>#DIV/0!</v>
      </c>
      <c r="K23" s="85">
        <v>0</v>
      </c>
      <c r="M23">
        <v>2</v>
      </c>
      <c r="N23" s="13" t="s">
        <v>81</v>
      </c>
      <c r="O23" s="22">
        <v>0.72340425531914898</v>
      </c>
      <c r="P23" s="13">
        <v>70</v>
      </c>
      <c r="Q23" s="12">
        <v>32</v>
      </c>
      <c r="R23" s="13">
        <v>141</v>
      </c>
      <c r="S23" s="13">
        <v>102</v>
      </c>
      <c r="T23" s="17">
        <v>17.849999999999994</v>
      </c>
    </row>
    <row r="24" spans="1:20" ht="16.5" thickBot="1" x14ac:dyDescent="0.3">
      <c r="A24" s="19" t="s">
        <v>108</v>
      </c>
      <c r="B24" s="70">
        <v>29070000</v>
      </c>
      <c r="C24" s="85">
        <v>38353470.654762641</v>
      </c>
      <c r="D24" s="85">
        <v>37139380.786093235</v>
      </c>
      <c r="E24" s="85">
        <v>1214089.8686694056</v>
      </c>
      <c r="F24" s="86">
        <v>1.3193488357331489</v>
      </c>
      <c r="G24" s="85">
        <v>38353470.654762641</v>
      </c>
      <c r="H24" s="86">
        <v>1.3193488357331489</v>
      </c>
      <c r="I24" s="85">
        <v>1667542.2023809843</v>
      </c>
      <c r="J24" s="85" t="e">
        <v>#DIV/0!</v>
      </c>
      <c r="K24" s="85">
        <v>767069.41309525282</v>
      </c>
      <c r="M24">
        <v>3</v>
      </c>
      <c r="N24" s="10" t="s">
        <v>82</v>
      </c>
      <c r="O24" s="22">
        <v>0.91095890410958902</v>
      </c>
      <c r="P24" s="13">
        <v>79</v>
      </c>
      <c r="Q24" s="12">
        <v>54</v>
      </c>
      <c r="R24" s="13">
        <v>146</v>
      </c>
      <c r="S24" s="13">
        <v>133</v>
      </c>
      <c r="T24" s="17">
        <v>-8.9000000000000057</v>
      </c>
    </row>
    <row r="25" spans="1:20" ht="16.5" thickBot="1" x14ac:dyDescent="0.3">
      <c r="A25" s="19" t="s">
        <v>139</v>
      </c>
      <c r="B25" s="70">
        <v>47838000</v>
      </c>
      <c r="C25" s="85">
        <v>31318621.314489596</v>
      </c>
      <c r="D25" s="85">
        <v>31103523.355648097</v>
      </c>
      <c r="E25" s="85">
        <v>215097.95884149894</v>
      </c>
      <c r="F25" s="86">
        <v>0.65468082517014914</v>
      </c>
      <c r="G25" s="85">
        <v>31318621.314489599</v>
      </c>
      <c r="H25" s="86">
        <v>0.65468082517014925</v>
      </c>
      <c r="I25" s="85">
        <v>1361679.1875865043</v>
      </c>
      <c r="J25" s="85" t="e">
        <v>#DIV/0!</v>
      </c>
      <c r="K25" s="85">
        <v>0</v>
      </c>
      <c r="N25" s="9" t="s">
        <v>38</v>
      </c>
      <c r="O25" s="23"/>
      <c r="P25" s="14"/>
      <c r="Q25" s="16">
        <v>424</v>
      </c>
      <c r="R25" s="8">
        <v>1493</v>
      </c>
      <c r="S25" s="8">
        <v>1151</v>
      </c>
      <c r="T25" s="8"/>
    </row>
    <row r="26" spans="1:20" ht="15.75" x14ac:dyDescent="0.25">
      <c r="A26" s="20" t="s">
        <v>38</v>
      </c>
      <c r="B26" s="89">
        <v>252970200</v>
      </c>
      <c r="C26" s="89">
        <v>206413810.33718604</v>
      </c>
      <c r="D26" s="85">
        <v>201241858.7006104</v>
      </c>
      <c r="E26" s="89">
        <v>5171951.6365756392</v>
      </c>
      <c r="F26" s="88">
        <v>0.8159609722298754</v>
      </c>
      <c r="G26" s="87">
        <v>206413810.33718604</v>
      </c>
      <c r="H26" s="88">
        <v>0.8159609722298754</v>
      </c>
      <c r="I26" s="87">
        <v>8974513.4929211326</v>
      </c>
      <c r="J26" s="89" t="e">
        <v>#DIV/0!</v>
      </c>
      <c r="K26" s="89"/>
      <c r="M26">
        <v>32</v>
      </c>
      <c r="N26" s="12" t="s">
        <v>101</v>
      </c>
      <c r="O26" s="22">
        <v>0.94230769230769229</v>
      </c>
      <c r="P26" s="13">
        <v>20</v>
      </c>
      <c r="Q26" s="12">
        <v>29</v>
      </c>
      <c r="R26" s="13">
        <v>52</v>
      </c>
      <c r="S26" s="13">
        <v>49</v>
      </c>
      <c r="T26" s="17">
        <v>-4.8000000000000043</v>
      </c>
    </row>
    <row r="27" spans="1:20" ht="15.75" x14ac:dyDescent="0.25">
      <c r="A27" s="90" t="s">
        <v>101</v>
      </c>
      <c r="B27" s="91">
        <v>74366969.433750004</v>
      </c>
      <c r="C27" s="85">
        <v>43313537.14189031</v>
      </c>
      <c r="D27" s="85">
        <v>41559348.464299306</v>
      </c>
      <c r="E27" s="85">
        <v>1754188.6775910035</v>
      </c>
      <c r="F27" s="86">
        <v>0.58242977321371525</v>
      </c>
      <c r="G27" s="85">
        <v>43313537.14189031</v>
      </c>
      <c r="H27" s="86">
        <v>0.58242977321371525</v>
      </c>
      <c r="I27" s="85">
        <v>1883197.267038709</v>
      </c>
      <c r="J27" s="85" t="e">
        <v>#DIV/0!</v>
      </c>
      <c r="K27" s="85">
        <v>0</v>
      </c>
      <c r="M27">
        <v>36</v>
      </c>
      <c r="N27" s="12" t="s">
        <v>221</v>
      </c>
      <c r="O27" s="22">
        <v>0.59872611464968151</v>
      </c>
      <c r="P27" s="13">
        <v>68</v>
      </c>
      <c r="Q27" s="12">
        <v>26</v>
      </c>
      <c r="R27" s="13">
        <v>157</v>
      </c>
      <c r="S27" s="13">
        <v>94</v>
      </c>
      <c r="T27" s="17">
        <v>39.449999999999989</v>
      </c>
    </row>
    <row r="28" spans="1:20" ht="15.75" x14ac:dyDescent="0.25">
      <c r="A28" s="19" t="s">
        <v>221</v>
      </c>
      <c r="B28" s="91">
        <v>20706097.371750001</v>
      </c>
      <c r="C28" s="85">
        <v>6453883.7615043065</v>
      </c>
      <c r="D28" s="85">
        <v>6050926.821155739</v>
      </c>
      <c r="E28" s="85">
        <v>402956.94034856744</v>
      </c>
      <c r="F28" s="86">
        <v>0.31169001312191014</v>
      </c>
      <c r="G28" s="85">
        <v>6453883.7615043065</v>
      </c>
      <c r="H28" s="86">
        <v>0.31169001312191014</v>
      </c>
      <c r="I28" s="85">
        <v>280603.64180453506</v>
      </c>
      <c r="J28" s="85" t="e">
        <v>#DIV/0!</v>
      </c>
      <c r="K28" s="85">
        <v>0</v>
      </c>
      <c r="M28">
        <v>9</v>
      </c>
      <c r="N28" s="12" t="s">
        <v>86</v>
      </c>
      <c r="O28" s="22">
        <v>0.88513513513513509</v>
      </c>
      <c r="P28" s="13">
        <v>80</v>
      </c>
      <c r="Q28" s="12">
        <v>51</v>
      </c>
      <c r="R28" s="13">
        <v>148</v>
      </c>
      <c r="S28" s="13">
        <v>131</v>
      </c>
      <c r="T28" s="17">
        <v>-5.2000000000000028</v>
      </c>
    </row>
    <row r="29" spans="1:20" ht="15.75" x14ac:dyDescent="0.25">
      <c r="A29" s="19" t="s">
        <v>86</v>
      </c>
      <c r="B29" s="91">
        <v>22135109.725575</v>
      </c>
      <c r="C29" s="85">
        <v>19608593.591750432</v>
      </c>
      <c r="D29" s="85">
        <v>19175936.90643641</v>
      </c>
      <c r="E29" s="85">
        <v>432656.685314022</v>
      </c>
      <c r="F29" s="86">
        <v>0.88585933545631257</v>
      </c>
      <c r="G29" s="85">
        <v>19608593.591750432</v>
      </c>
      <c r="H29" s="86">
        <v>0.88585933545631257</v>
      </c>
      <c r="I29" s="85">
        <v>852547.5474674101</v>
      </c>
      <c r="J29" s="85" t="e">
        <v>#DIV/0!</v>
      </c>
      <c r="K29" s="85">
        <v>0</v>
      </c>
      <c r="M29">
        <v>40</v>
      </c>
      <c r="N29" s="12" t="s">
        <v>104</v>
      </c>
      <c r="O29" s="22">
        <v>0.89387755102040811</v>
      </c>
      <c r="P29" s="13">
        <v>68</v>
      </c>
      <c r="Q29" s="12">
        <v>151</v>
      </c>
      <c r="R29" s="13">
        <v>245</v>
      </c>
      <c r="S29" s="13">
        <v>219</v>
      </c>
      <c r="T29" s="17">
        <v>-10.75</v>
      </c>
    </row>
    <row r="30" spans="1:20" ht="15.75" x14ac:dyDescent="0.25">
      <c r="A30" s="19" t="s">
        <v>104</v>
      </c>
      <c r="B30" s="91">
        <v>33829680.213</v>
      </c>
      <c r="C30" s="85">
        <v>33118968.899577077</v>
      </c>
      <c r="D30" s="85">
        <v>32872546.812199574</v>
      </c>
      <c r="E30" s="85">
        <v>246422.08737750351</v>
      </c>
      <c r="F30" s="86">
        <v>0.97899148590976592</v>
      </c>
      <c r="G30" s="85">
        <v>33118968.899577081</v>
      </c>
      <c r="H30" s="86">
        <v>0.97899148590976603</v>
      </c>
      <c r="I30" s="85">
        <v>1439955.1695468295</v>
      </c>
      <c r="J30" s="85" t="e">
        <v>#DIV/0!</v>
      </c>
      <c r="K30" s="85">
        <v>0</v>
      </c>
      <c r="M30">
        <v>27</v>
      </c>
      <c r="N30" s="12" t="s">
        <v>98</v>
      </c>
      <c r="O30" s="22">
        <v>0.92413793103448272</v>
      </c>
      <c r="P30" s="13">
        <v>73</v>
      </c>
      <c r="Q30" s="12">
        <v>61</v>
      </c>
      <c r="R30" s="13">
        <v>145</v>
      </c>
      <c r="S30" s="13">
        <v>134</v>
      </c>
      <c r="T30" s="17">
        <v>-10.75</v>
      </c>
    </row>
    <row r="31" spans="1:20" ht="15.75" x14ac:dyDescent="0.25">
      <c r="A31" s="19" t="s">
        <v>98</v>
      </c>
      <c r="B31" s="91">
        <v>22135109.725575</v>
      </c>
      <c r="C31" s="85">
        <v>19202946.352352865</v>
      </c>
      <c r="D31" s="85">
        <v>18440800.189399764</v>
      </c>
      <c r="E31" s="85">
        <v>762146.1629531011</v>
      </c>
      <c r="F31" s="86">
        <v>0.86753337075920156</v>
      </c>
      <c r="G31" s="85">
        <v>19202946.352352865</v>
      </c>
      <c r="H31" s="86">
        <v>0.86753337075920156</v>
      </c>
      <c r="I31" s="85">
        <v>834910.71097186371</v>
      </c>
      <c r="J31" s="85" t="e">
        <v>#DIV/0!</v>
      </c>
      <c r="K31" s="85">
        <v>0</v>
      </c>
      <c r="M31">
        <v>10</v>
      </c>
      <c r="N31" s="12" t="s">
        <v>87</v>
      </c>
      <c r="O31" s="22">
        <v>0.85227272727272729</v>
      </c>
      <c r="P31" s="13">
        <v>40</v>
      </c>
      <c r="Q31" s="12">
        <v>110</v>
      </c>
      <c r="R31" s="13">
        <v>176</v>
      </c>
      <c r="S31" s="13">
        <v>150</v>
      </c>
      <c r="T31" s="17">
        <v>-0.40000000000000568</v>
      </c>
    </row>
    <row r="32" spans="1:20" ht="15.75" x14ac:dyDescent="0.25">
      <c r="A32" s="19" t="s">
        <v>87</v>
      </c>
      <c r="B32" s="91">
        <v>22135109.725575</v>
      </c>
      <c r="C32" s="85">
        <v>20751171.897853132</v>
      </c>
      <c r="D32" s="85">
        <v>20370056.977541555</v>
      </c>
      <c r="E32" s="85">
        <v>381114.92031157762</v>
      </c>
      <c r="F32" s="86">
        <v>0.93747770646364315</v>
      </c>
      <c r="G32" s="85">
        <v>20751171.897853132</v>
      </c>
      <c r="H32" s="86">
        <v>0.93747770646364315</v>
      </c>
      <c r="I32" s="85">
        <v>902224.86512404925</v>
      </c>
      <c r="J32" s="85" t="e">
        <v>#DIV/0!</v>
      </c>
      <c r="K32" s="85">
        <v>0</v>
      </c>
      <c r="M32">
        <v>28</v>
      </c>
      <c r="N32" s="12" t="s">
        <v>99</v>
      </c>
      <c r="O32" s="22">
        <v>0.92485549132947975</v>
      </c>
      <c r="P32" s="13">
        <v>67</v>
      </c>
      <c r="Q32" s="12">
        <v>93</v>
      </c>
      <c r="R32" s="13">
        <v>173</v>
      </c>
      <c r="S32" s="13">
        <v>160</v>
      </c>
      <c r="T32" s="17">
        <v>-12.950000000000017</v>
      </c>
    </row>
    <row r="33" spans="1:20" ht="15.75" x14ac:dyDescent="0.25">
      <c r="A33" s="19" t="s">
        <v>99</v>
      </c>
      <c r="B33" s="91">
        <v>21997732.546</v>
      </c>
      <c r="C33" s="85">
        <v>11626466.4509042</v>
      </c>
      <c r="D33" s="85">
        <v>11510549.837186433</v>
      </c>
      <c r="E33" s="85">
        <v>115916.61371776648</v>
      </c>
      <c r="F33" s="86">
        <v>0.52853022131221072</v>
      </c>
      <c r="G33" s="85">
        <v>11626466.4509042</v>
      </c>
      <c r="H33" s="86">
        <v>0.52853022131221072</v>
      </c>
      <c r="I33" s="85">
        <v>505498.54134366085</v>
      </c>
      <c r="J33" s="85" t="e">
        <v>#DIV/0!</v>
      </c>
      <c r="K33" s="85">
        <v>0</v>
      </c>
      <c r="M33">
        <v>33</v>
      </c>
      <c r="N33" s="12" t="s">
        <v>138</v>
      </c>
      <c r="O33" s="22">
        <v>0.73170731707317072</v>
      </c>
      <c r="P33" s="13">
        <v>66</v>
      </c>
      <c r="Q33" s="12">
        <v>54</v>
      </c>
      <c r="R33" s="13">
        <v>164</v>
      </c>
      <c r="S33" s="13">
        <v>120</v>
      </c>
      <c r="T33" s="17">
        <v>19.400000000000006</v>
      </c>
    </row>
    <row r="34" spans="1:20" ht="15.75" x14ac:dyDescent="0.25">
      <c r="A34" s="19" t="s">
        <v>138</v>
      </c>
      <c r="B34" s="91">
        <v>21135109.725575</v>
      </c>
      <c r="C34" s="85">
        <v>8982720.9587669112</v>
      </c>
      <c r="D34" s="85">
        <v>8776556.043086078</v>
      </c>
      <c r="E34" s="85">
        <v>206164.91568083316</v>
      </c>
      <c r="F34" s="86">
        <v>0.42501416247189738</v>
      </c>
      <c r="G34" s="85">
        <v>8982720.9587669112</v>
      </c>
      <c r="H34" s="86">
        <v>0.42501416247189738</v>
      </c>
      <c r="I34" s="85">
        <v>390553.08516377874</v>
      </c>
      <c r="J34" s="85" t="e">
        <v>#DIV/0!</v>
      </c>
      <c r="K34" s="85">
        <v>0</v>
      </c>
      <c r="M34">
        <v>37</v>
      </c>
      <c r="N34" s="12" t="s">
        <v>103</v>
      </c>
      <c r="O34" s="22">
        <v>0.84671532846715325</v>
      </c>
      <c r="P34" s="13">
        <v>82</v>
      </c>
      <c r="Q34" s="12">
        <v>34</v>
      </c>
      <c r="R34" s="13">
        <v>137</v>
      </c>
      <c r="S34" s="13">
        <v>116</v>
      </c>
      <c r="T34" s="17">
        <v>0.45000000000000284</v>
      </c>
    </row>
    <row r="35" spans="1:20" ht="15.75" x14ac:dyDescent="0.25">
      <c r="A35" s="19" t="s">
        <v>103</v>
      </c>
      <c r="B35" s="91">
        <v>21343732.546</v>
      </c>
      <c r="C35" s="85">
        <v>12183134.330827992</v>
      </c>
      <c r="D35" s="85">
        <v>11763869.810356865</v>
      </c>
      <c r="E35" s="85">
        <v>419264.5204711277</v>
      </c>
      <c r="F35" s="86">
        <v>0.57080617481365592</v>
      </c>
      <c r="G35" s="85">
        <v>12183134.330827992</v>
      </c>
      <c r="H35" s="86">
        <v>0.57080617481365592</v>
      </c>
      <c r="I35" s="85">
        <v>529701.49264469533</v>
      </c>
      <c r="J35" s="85" t="e">
        <v>#DIV/0!</v>
      </c>
      <c r="K35" s="85">
        <v>0</v>
      </c>
      <c r="M35">
        <v>24</v>
      </c>
      <c r="N35" s="12" t="s">
        <v>112</v>
      </c>
      <c r="O35" s="22">
        <v>0.88690476190476186</v>
      </c>
      <c r="P35" s="13">
        <v>81</v>
      </c>
      <c r="Q35" s="12">
        <v>68</v>
      </c>
      <c r="R35" s="13">
        <v>168</v>
      </c>
      <c r="S35" s="13">
        <v>149</v>
      </c>
      <c r="T35" s="17">
        <v>-6.2000000000000171</v>
      </c>
    </row>
    <row r="36" spans="1:20" ht="15.75" x14ac:dyDescent="0.25">
      <c r="A36" s="19" t="s">
        <v>112</v>
      </c>
      <c r="B36" s="91">
        <v>22164273.243000004</v>
      </c>
      <c r="C36" s="85">
        <v>19501354.447575051</v>
      </c>
      <c r="D36" s="85">
        <v>19287420.138053946</v>
      </c>
      <c r="E36" s="85">
        <v>213934.30952110514</v>
      </c>
      <c r="F36" s="86">
        <v>0.87985535252025626</v>
      </c>
      <c r="G36" s="85">
        <v>19501354.447575051</v>
      </c>
      <c r="H36" s="86">
        <v>0.87985535252025626</v>
      </c>
      <c r="I36" s="85">
        <v>847884.97598152398</v>
      </c>
      <c r="J36" s="85" t="e">
        <v>#DIV/0!</v>
      </c>
      <c r="K36" s="85">
        <v>0</v>
      </c>
      <c r="M36">
        <v>7</v>
      </c>
      <c r="N36" s="12" t="s">
        <v>110</v>
      </c>
      <c r="O36" s="22">
        <v>0.12612612612612611</v>
      </c>
      <c r="P36" s="13">
        <v>0</v>
      </c>
      <c r="Q36" s="12">
        <v>14</v>
      </c>
      <c r="R36" s="13">
        <v>111</v>
      </c>
      <c r="S36" s="13">
        <v>14</v>
      </c>
      <c r="T36" s="17">
        <v>80.349999999999994</v>
      </c>
    </row>
    <row r="37" spans="1:20" ht="15.75" x14ac:dyDescent="0.25">
      <c r="A37" s="19" t="s">
        <v>110</v>
      </c>
      <c r="B37" s="91">
        <v>104988662.72999999</v>
      </c>
      <c r="C37" s="85">
        <v>66545844.062023886</v>
      </c>
      <c r="D37" s="85">
        <v>60977569.303423889</v>
      </c>
      <c r="E37" s="85">
        <v>5568274.7585999966</v>
      </c>
      <c r="F37" s="86">
        <v>0.63383838151325211</v>
      </c>
      <c r="G37" s="85">
        <v>66545844.062023893</v>
      </c>
      <c r="H37" s="86">
        <v>0.63383838151325222</v>
      </c>
      <c r="I37" s="85">
        <v>2893297.5679140822</v>
      </c>
      <c r="J37" s="85" t="e">
        <v>#DIV/0!</v>
      </c>
      <c r="K37" s="85">
        <v>0</v>
      </c>
      <c r="M37">
        <v>57</v>
      </c>
      <c r="N37" s="12" t="s">
        <v>109</v>
      </c>
      <c r="O37" s="22">
        <v>0.57843137254901966</v>
      </c>
      <c r="P37" s="13">
        <v>17</v>
      </c>
      <c r="Q37" s="12">
        <v>42</v>
      </c>
      <c r="R37" s="13">
        <v>102</v>
      </c>
      <c r="S37" s="13">
        <v>59</v>
      </c>
      <c r="T37" s="17">
        <v>27.700000000000003</v>
      </c>
    </row>
    <row r="38" spans="1:20" ht="15.75" x14ac:dyDescent="0.25">
      <c r="A38" s="19" t="s">
        <v>109</v>
      </c>
      <c r="B38" s="91">
        <v>30563366.261399999</v>
      </c>
      <c r="C38" s="85">
        <v>24829923.867717449</v>
      </c>
      <c r="D38" s="85">
        <v>22201832.933717448</v>
      </c>
      <c r="E38" s="85">
        <v>2628090.9340000004</v>
      </c>
      <c r="F38" s="86">
        <v>0.81240801995938516</v>
      </c>
      <c r="G38" s="85">
        <v>24829923.867717445</v>
      </c>
      <c r="H38" s="86">
        <v>0.81240801995938505</v>
      </c>
      <c r="I38" s="85">
        <v>1079561.9072920629</v>
      </c>
      <c r="J38" s="85" t="e">
        <v>#DIV/0!</v>
      </c>
      <c r="K38" s="85">
        <v>0</v>
      </c>
      <c r="M38">
        <v>1</v>
      </c>
      <c r="N38" s="12" t="s">
        <v>80</v>
      </c>
      <c r="O38" s="22">
        <v>0.82399999999999995</v>
      </c>
      <c r="P38" s="13">
        <v>60</v>
      </c>
      <c r="Q38" s="12">
        <v>43</v>
      </c>
      <c r="R38" s="13">
        <v>125</v>
      </c>
      <c r="S38" s="13">
        <v>103</v>
      </c>
      <c r="T38" s="17">
        <v>3.25</v>
      </c>
    </row>
    <row r="39" spans="1:20" ht="16.5" thickBot="1" x14ac:dyDescent="0.3">
      <c r="A39" s="19" t="s">
        <v>80</v>
      </c>
      <c r="B39" s="91">
        <v>32900000.864500001</v>
      </c>
      <c r="C39" s="85">
        <v>18657991.416046772</v>
      </c>
      <c r="D39" s="85">
        <v>18414643.724608365</v>
      </c>
      <c r="E39" s="85">
        <v>243347.69143840671</v>
      </c>
      <c r="F39" s="86">
        <v>0.56711218619386894</v>
      </c>
      <c r="G39" s="85">
        <v>18657991.416046772</v>
      </c>
      <c r="H39" s="86">
        <v>0.56711218619386894</v>
      </c>
      <c r="I39" s="85">
        <v>811217.01808899012</v>
      </c>
      <c r="J39" s="85" t="e">
        <v>#DIV/0!</v>
      </c>
      <c r="K39" s="85">
        <v>0</v>
      </c>
      <c r="N39" s="3" t="s">
        <v>222</v>
      </c>
      <c r="O39" s="23"/>
      <c r="P39" s="14"/>
      <c r="Q39" s="8">
        <v>776</v>
      </c>
      <c r="R39" s="8">
        <v>1903</v>
      </c>
      <c r="S39" s="8">
        <v>1498</v>
      </c>
      <c r="T39" s="8"/>
    </row>
    <row r="40" spans="1:20" ht="16.5" thickBot="1" x14ac:dyDescent="0.3">
      <c r="A40" s="3" t="s">
        <v>222</v>
      </c>
      <c r="B40" s="92">
        <v>450401363.1117</v>
      </c>
      <c r="C40" s="89">
        <v>304776537.17879039</v>
      </c>
      <c r="D40" s="85">
        <v>291402057.96146536</v>
      </c>
      <c r="E40" s="89">
        <v>13374479.217325032</v>
      </c>
      <c r="F40" s="88">
        <v>0.67667765273438019</v>
      </c>
      <c r="G40" s="87">
        <v>304776537.17879039</v>
      </c>
      <c r="H40" s="88">
        <v>0.67667765273438019</v>
      </c>
      <c r="I40" s="87">
        <v>13251153.790382192</v>
      </c>
      <c r="J40" s="89" t="e">
        <v>#DIV/0!</v>
      </c>
      <c r="K40" s="89"/>
      <c r="N40" s="11" t="s">
        <v>42</v>
      </c>
      <c r="O40" s="24"/>
      <c r="P40" s="6"/>
      <c r="Q40" s="8">
        <v>2112</v>
      </c>
      <c r="R40" s="8">
        <v>5601</v>
      </c>
      <c r="S40" s="8">
        <v>4440</v>
      </c>
      <c r="T40" s="8"/>
    </row>
    <row r="41" spans="1:20" ht="15.75" x14ac:dyDescent="0.25">
      <c r="A41" s="93" t="s">
        <v>42</v>
      </c>
      <c r="B41" s="94">
        <v>1220851906.5476012</v>
      </c>
      <c r="C41" s="94">
        <v>992136019.99077415</v>
      </c>
      <c r="D41" s="85">
        <v>953884712.87140512</v>
      </c>
      <c r="E41" s="94">
        <v>38251307.11936903</v>
      </c>
      <c r="F41" s="95">
        <v>0.81265877922605401</v>
      </c>
      <c r="G41" s="94">
        <v>992136019.99077415</v>
      </c>
      <c r="H41" s="95">
        <v>0.81265877922605401</v>
      </c>
      <c r="I41" s="94">
        <v>43136348.695251048</v>
      </c>
      <c r="J41" s="94" t="e">
        <v>#DIV/0!</v>
      </c>
      <c r="K41" s="94"/>
    </row>
    <row r="42" spans="1:20" x14ac:dyDescent="0.25">
      <c r="A42" s="43" t="s">
        <v>30</v>
      </c>
      <c r="B42" s="43" t="s">
        <v>31</v>
      </c>
      <c r="C42" s="43" t="s">
        <v>32</v>
      </c>
      <c r="D42" s="43" t="s">
        <v>32</v>
      </c>
      <c r="E42" s="43" t="s">
        <v>33</v>
      </c>
      <c r="F42" s="82" t="s">
        <v>41</v>
      </c>
      <c r="G42" s="83" t="s">
        <v>45</v>
      </c>
      <c r="H42" s="82" t="s">
        <v>46</v>
      </c>
      <c r="I42" s="43" t="s">
        <v>35</v>
      </c>
      <c r="J42" s="43" t="s">
        <v>34</v>
      </c>
      <c r="K42" s="43" t="s">
        <v>53</v>
      </c>
    </row>
    <row r="43" spans="1:20" ht="15.75" x14ac:dyDescent="0.25">
      <c r="A43" s="19" t="s">
        <v>144</v>
      </c>
      <c r="B43" s="96">
        <v>40000000</v>
      </c>
      <c r="C43" s="85">
        <v>10630405.111527519</v>
      </c>
      <c r="D43" s="85">
        <v>10303829.39647151</v>
      </c>
      <c r="E43" s="85">
        <v>326575.71505600959</v>
      </c>
      <c r="F43" s="86">
        <v>0.26576012778818797</v>
      </c>
      <c r="G43" s="85">
        <v>10630405.111527519</v>
      </c>
      <c r="H43" s="86">
        <v>0.26576012778818797</v>
      </c>
      <c r="I43" s="85">
        <v>462191.52658815304</v>
      </c>
      <c r="J43" s="85" t="e">
        <v>#DIV/0!</v>
      </c>
      <c r="K43" s="85">
        <v>0</v>
      </c>
    </row>
    <row r="44" spans="1:20" ht="15.75" x14ac:dyDescent="0.25">
      <c r="A44" s="19" t="s">
        <v>145</v>
      </c>
      <c r="B44" s="96">
        <v>30000000</v>
      </c>
      <c r="C44" s="85">
        <v>3919003.8076639166</v>
      </c>
      <c r="D44" s="85">
        <v>3713552.9338194197</v>
      </c>
      <c r="E44" s="85">
        <v>205450.87384449691</v>
      </c>
      <c r="F44" s="86">
        <v>0.13063346025546388</v>
      </c>
      <c r="G44" s="85">
        <v>3919003.8076639166</v>
      </c>
      <c r="H44" s="86">
        <v>0.13063346025546388</v>
      </c>
      <c r="I44" s="85">
        <v>170391.46989843115</v>
      </c>
      <c r="J44" s="85" t="e">
        <v>#DIV/0!</v>
      </c>
      <c r="K44" s="85">
        <v>0</v>
      </c>
    </row>
  </sheetData>
  <conditionalFormatting sqref="F2:F9 F11:F15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17:F25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27:F39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43:F44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2:O14">
    <cfRule type="iconSet" priority="3">
      <iconSet iconSet="3Arrows">
        <cfvo type="percent" val="0"/>
        <cfvo type="percent" val="33"/>
        <cfvo type="percent" val="67"/>
      </iconSet>
    </cfRule>
  </conditionalFormatting>
  <conditionalFormatting sqref="O16:O24">
    <cfRule type="iconSet" priority="2">
      <iconSet iconSet="3Arrows">
        <cfvo type="percent" val="0"/>
        <cfvo type="percent" val="33"/>
        <cfvo type="percent" val="67"/>
      </iconSet>
    </cfRule>
  </conditionalFormatting>
  <conditionalFormatting sqref="O26:O38">
    <cfRule type="iconSet" priority="1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6D6A87-44FA-4534-942D-04E8A7030DFD}">
  <dimension ref="A1:T44"/>
  <sheetViews>
    <sheetView workbookViewId="0">
      <selection activeCell="M1" sqref="M1:T42"/>
    </sheetView>
  </sheetViews>
  <sheetFormatPr baseColWidth="10" defaultRowHeight="15" x14ac:dyDescent="0.25"/>
  <cols>
    <col min="1" max="1" width="47.85546875" bestFit="1" customWidth="1"/>
    <col min="2" max="4" width="17.85546875" bestFit="1" customWidth="1"/>
    <col min="5" max="5" width="15.140625" bestFit="1" customWidth="1"/>
    <col min="6" max="6" width="10.140625" bestFit="1" customWidth="1"/>
    <col min="7" max="7" width="17.85546875" bestFit="1" customWidth="1"/>
    <col min="8" max="8" width="11.140625" bestFit="1" customWidth="1"/>
    <col min="9" max="9" width="15.140625" bestFit="1" customWidth="1"/>
    <col min="10" max="10" width="11.28515625" bestFit="1" customWidth="1"/>
    <col min="11" max="11" width="14.140625" bestFit="1" customWidth="1"/>
  </cols>
  <sheetData>
    <row r="1" spans="1:20" ht="15.75" thickBot="1" x14ac:dyDescent="0.3">
      <c r="A1" s="43" t="s">
        <v>30</v>
      </c>
      <c r="B1" s="43" t="s">
        <v>31</v>
      </c>
      <c r="C1" s="43" t="s">
        <v>32</v>
      </c>
      <c r="D1" s="43" t="s">
        <v>39</v>
      </c>
      <c r="E1" s="43" t="s">
        <v>33</v>
      </c>
      <c r="F1" s="82" t="s">
        <v>41</v>
      </c>
      <c r="G1" s="83" t="s">
        <v>45</v>
      </c>
      <c r="H1" s="82" t="s">
        <v>46</v>
      </c>
      <c r="I1" s="43" t="s">
        <v>35</v>
      </c>
      <c r="J1" s="43" t="s">
        <v>34</v>
      </c>
      <c r="K1" s="43" t="s">
        <v>53</v>
      </c>
      <c r="N1" s="7" t="s">
        <v>30</v>
      </c>
      <c r="O1" s="21" t="s">
        <v>43</v>
      </c>
      <c r="P1" s="15" t="s">
        <v>50</v>
      </c>
      <c r="Q1" s="7" t="s">
        <v>44</v>
      </c>
      <c r="R1" s="7" t="s">
        <v>48</v>
      </c>
      <c r="S1" s="7" t="s">
        <v>49</v>
      </c>
      <c r="T1" s="7" t="s">
        <v>54</v>
      </c>
    </row>
    <row r="2" spans="1:20" ht="15.75" x14ac:dyDescent="0.25">
      <c r="A2" s="19" t="s">
        <v>94</v>
      </c>
      <c r="B2" s="84">
        <v>29846580.340500001</v>
      </c>
      <c r="C2" s="85">
        <v>44992728.148662589</v>
      </c>
      <c r="D2" s="85">
        <v>43196156.75717549</v>
      </c>
      <c r="E2" s="85">
        <v>1796571.3914870992</v>
      </c>
      <c r="F2" s="86">
        <v>1.5074667729223969</v>
      </c>
      <c r="G2" s="85">
        <v>44992728.148662589</v>
      </c>
      <c r="H2" s="86">
        <v>1.5074667729223969</v>
      </c>
      <c r="I2" s="85">
        <v>1799709.1259465036</v>
      </c>
      <c r="J2" s="85" t="e">
        <v>#DIV/0!</v>
      </c>
      <c r="K2" s="85">
        <v>899854.5629732518</v>
      </c>
      <c r="M2">
        <v>22</v>
      </c>
      <c r="N2" s="12" t="s">
        <v>96</v>
      </c>
      <c r="O2" s="22">
        <v>0.87323943661971826</v>
      </c>
      <c r="P2" s="13">
        <v>33</v>
      </c>
      <c r="Q2" s="12">
        <v>29</v>
      </c>
      <c r="R2" s="13">
        <v>71</v>
      </c>
      <c r="S2" s="13">
        <v>62</v>
      </c>
      <c r="T2" s="17">
        <v>-1.6499999999999986</v>
      </c>
    </row>
    <row r="3" spans="1:20" ht="15.75" x14ac:dyDescent="0.25">
      <c r="A3" s="19" t="s">
        <v>93</v>
      </c>
      <c r="B3" s="84">
        <v>28647922.495500002</v>
      </c>
      <c r="C3" s="85">
        <v>31728460.186828334</v>
      </c>
      <c r="D3" s="85">
        <v>29580587.160731103</v>
      </c>
      <c r="E3" s="85">
        <v>2147873.0260972306</v>
      </c>
      <c r="F3" s="86">
        <v>1.1075309280040191</v>
      </c>
      <c r="G3" s="85">
        <v>31728460.186828334</v>
      </c>
      <c r="H3" s="86">
        <v>1.1075309280040191</v>
      </c>
      <c r="I3" s="85">
        <v>1269138.4074731334</v>
      </c>
      <c r="J3" s="85" t="e">
        <v>#DIV/0!</v>
      </c>
      <c r="K3" s="85">
        <v>475926.90280242497</v>
      </c>
      <c r="M3">
        <v>49</v>
      </c>
      <c r="N3" s="13" t="s">
        <v>106</v>
      </c>
      <c r="O3" s="22">
        <v>0.44491525423728812</v>
      </c>
      <c r="P3" s="13">
        <v>1</v>
      </c>
      <c r="Q3" s="12">
        <v>104</v>
      </c>
      <c r="R3" s="13">
        <v>236</v>
      </c>
      <c r="S3" s="13">
        <v>105</v>
      </c>
      <c r="T3" s="17">
        <v>95.6</v>
      </c>
    </row>
    <row r="4" spans="1:20" ht="15.75" x14ac:dyDescent="0.25">
      <c r="A4" s="19" t="s">
        <v>91</v>
      </c>
      <c r="B4" s="84">
        <v>26250606.805500001</v>
      </c>
      <c r="C4" s="85">
        <v>34522641.233895414</v>
      </c>
      <c r="D4" s="85">
        <v>33182283.28369379</v>
      </c>
      <c r="E4" s="85">
        <v>1340357.9502016231</v>
      </c>
      <c r="F4" s="86">
        <v>1.31511783669177</v>
      </c>
      <c r="G4" s="85">
        <v>34522641.233895414</v>
      </c>
      <c r="H4" s="86">
        <v>1.31511783669177</v>
      </c>
      <c r="I4" s="85">
        <v>1380905.6493558167</v>
      </c>
      <c r="J4" s="85" t="e">
        <v>#DIV/0!</v>
      </c>
      <c r="K4" s="85">
        <v>690452.82467790833</v>
      </c>
      <c r="M4">
        <v>20</v>
      </c>
      <c r="N4" s="13" t="s">
        <v>94</v>
      </c>
      <c r="O4" s="22">
        <v>0.92920353982300885</v>
      </c>
      <c r="P4" s="13">
        <v>126</v>
      </c>
      <c r="Q4" s="12">
        <v>84</v>
      </c>
      <c r="R4" s="13">
        <v>226</v>
      </c>
      <c r="S4" s="13">
        <v>210</v>
      </c>
      <c r="T4" s="17">
        <v>-17.900000000000006</v>
      </c>
    </row>
    <row r="5" spans="1:20" ht="15.75" x14ac:dyDescent="0.25">
      <c r="A5" s="19" t="s">
        <v>89</v>
      </c>
      <c r="B5" s="84">
        <v>26250606.805500001</v>
      </c>
      <c r="C5" s="85">
        <v>32158041.89763388</v>
      </c>
      <c r="D5" s="85">
        <v>31359846.504306898</v>
      </c>
      <c r="E5" s="85">
        <v>798195.39332698286</v>
      </c>
      <c r="F5" s="86">
        <v>1.2250399442536375</v>
      </c>
      <c r="G5" s="85">
        <v>32158041.89763388</v>
      </c>
      <c r="H5" s="86">
        <v>1.2250399442536375</v>
      </c>
      <c r="I5" s="85">
        <v>1286321.6759053553</v>
      </c>
      <c r="J5" s="85" t="e">
        <v>#DIV/0!</v>
      </c>
      <c r="K5" s="85">
        <v>643160.83795267763</v>
      </c>
      <c r="M5">
        <v>15</v>
      </c>
      <c r="N5" s="13" t="s">
        <v>90</v>
      </c>
      <c r="O5" s="22">
        <v>0.7846153846153846</v>
      </c>
      <c r="P5" s="13">
        <v>21</v>
      </c>
      <c r="Q5" s="12">
        <v>30</v>
      </c>
      <c r="R5" s="13">
        <v>65</v>
      </c>
      <c r="S5" s="13">
        <v>51</v>
      </c>
      <c r="T5" s="17">
        <v>4.25</v>
      </c>
    </row>
    <row r="6" spans="1:20" ht="15.75" x14ac:dyDescent="0.25">
      <c r="A6" s="19" t="s">
        <v>88</v>
      </c>
      <c r="B6" s="84">
        <v>21755639.886749998</v>
      </c>
      <c r="C6" s="85">
        <v>21881067.67146546</v>
      </c>
      <c r="D6" s="85">
        <v>20297608.90327448</v>
      </c>
      <c r="E6" s="85">
        <v>1583458.76819098</v>
      </c>
      <c r="F6" s="86">
        <v>1.0057652997277204</v>
      </c>
      <c r="G6" s="85">
        <v>21881067.67146546</v>
      </c>
      <c r="H6" s="86">
        <v>1.0057652997277204</v>
      </c>
      <c r="I6" s="85">
        <v>875242.70685861842</v>
      </c>
      <c r="J6" s="85" t="e">
        <v>#DIV/0!</v>
      </c>
      <c r="K6" s="85">
        <v>218810.6767146546</v>
      </c>
      <c r="M6">
        <v>19</v>
      </c>
      <c r="N6" s="13" t="s">
        <v>93</v>
      </c>
      <c r="O6" s="22">
        <v>0.85784313725490191</v>
      </c>
      <c r="P6" s="13">
        <v>100</v>
      </c>
      <c r="Q6" s="12">
        <v>75</v>
      </c>
      <c r="R6" s="13">
        <v>204</v>
      </c>
      <c r="S6" s="13">
        <v>175</v>
      </c>
      <c r="T6" s="17">
        <v>-1.5999999999999943</v>
      </c>
    </row>
    <row r="7" spans="1:20" ht="15.75" x14ac:dyDescent="0.25">
      <c r="A7" s="19" t="s">
        <v>85</v>
      </c>
      <c r="B7" s="84">
        <v>25651277.883000001</v>
      </c>
      <c r="C7" s="85">
        <v>26031710.328191068</v>
      </c>
      <c r="D7" s="85">
        <v>25004169.617499664</v>
      </c>
      <c r="E7" s="85">
        <v>1027540.7106914036</v>
      </c>
      <c r="F7" s="86">
        <v>1.0148309353992533</v>
      </c>
      <c r="G7" s="85">
        <v>26031710.328191068</v>
      </c>
      <c r="H7" s="86">
        <v>1.0148309353992533</v>
      </c>
      <c r="I7" s="85">
        <v>1041268.4131276427</v>
      </c>
      <c r="J7" s="85" t="e">
        <v>#DIV/0!</v>
      </c>
      <c r="K7" s="85">
        <v>260317.10328191068</v>
      </c>
      <c r="M7">
        <v>16</v>
      </c>
      <c r="N7" s="13" t="s">
        <v>91</v>
      </c>
      <c r="O7" s="22">
        <v>0.91414141414141414</v>
      </c>
      <c r="P7" s="13">
        <v>81</v>
      </c>
      <c r="Q7" s="12">
        <v>100</v>
      </c>
      <c r="R7" s="13">
        <v>198</v>
      </c>
      <c r="S7" s="13">
        <v>181</v>
      </c>
      <c r="T7" s="17">
        <v>-12.700000000000017</v>
      </c>
    </row>
    <row r="8" spans="1:20" ht="15.75" x14ac:dyDescent="0.25">
      <c r="A8" s="19" t="s">
        <v>84</v>
      </c>
      <c r="B8" s="84">
        <v>33130902.8358</v>
      </c>
      <c r="C8" s="85">
        <v>38828238.330632553</v>
      </c>
      <c r="D8" s="85">
        <v>36984925.46887406</v>
      </c>
      <c r="E8" s="85">
        <v>1843312.8617584929</v>
      </c>
      <c r="F8" s="86">
        <v>1.1719643899554777</v>
      </c>
      <c r="G8" s="85">
        <v>38828238.330632553</v>
      </c>
      <c r="H8" s="86">
        <v>1.1719643899554777</v>
      </c>
      <c r="I8" s="85">
        <v>1553129.5332253021</v>
      </c>
      <c r="J8" s="85" t="e">
        <v>#DIV/0!</v>
      </c>
      <c r="K8" s="85">
        <v>776564.76661265106</v>
      </c>
      <c r="M8">
        <v>12</v>
      </c>
      <c r="N8" s="13" t="s">
        <v>89</v>
      </c>
      <c r="O8" s="22">
        <v>0.86729857819905209</v>
      </c>
      <c r="P8" s="13">
        <v>89</v>
      </c>
      <c r="Q8" s="12">
        <v>94</v>
      </c>
      <c r="R8" s="13">
        <v>211</v>
      </c>
      <c r="S8" s="13">
        <v>183</v>
      </c>
      <c r="T8" s="17">
        <v>-3.6500000000000057</v>
      </c>
    </row>
    <row r="9" spans="1:20" ht="15.75" x14ac:dyDescent="0.25">
      <c r="A9" s="19" t="s">
        <v>83</v>
      </c>
      <c r="B9" s="84">
        <v>33130902.8358</v>
      </c>
      <c r="C9" s="85">
        <v>38657150.922049813</v>
      </c>
      <c r="D9" s="85">
        <v>37691401.765709355</v>
      </c>
      <c r="E9" s="85">
        <v>965749.1563404575</v>
      </c>
      <c r="F9" s="86">
        <v>1.1668004072704701</v>
      </c>
      <c r="G9" s="85">
        <v>38657150.922049813</v>
      </c>
      <c r="H9" s="86">
        <v>1.1668004072704701</v>
      </c>
      <c r="I9" s="85">
        <v>1546286.0368819926</v>
      </c>
      <c r="J9" s="85" t="e">
        <v>#DIV/0!</v>
      </c>
      <c r="K9" s="85">
        <v>773143.0184409963</v>
      </c>
      <c r="M9">
        <v>11</v>
      </c>
      <c r="N9" s="30" t="s">
        <v>88</v>
      </c>
      <c r="O9" s="22">
        <v>0.87058823529411766</v>
      </c>
      <c r="P9" s="13">
        <v>92</v>
      </c>
      <c r="Q9" s="12">
        <v>56</v>
      </c>
      <c r="R9" s="13">
        <v>170</v>
      </c>
      <c r="S9" s="13">
        <v>148</v>
      </c>
      <c r="T9" s="17">
        <v>-3.5</v>
      </c>
    </row>
    <row r="10" spans="1:20" ht="15.75" x14ac:dyDescent="0.25">
      <c r="A10" s="18" t="s">
        <v>51</v>
      </c>
      <c r="B10" s="87">
        <v>224664439.88834998</v>
      </c>
      <c r="C10" s="87">
        <v>268800038.7193591</v>
      </c>
      <c r="D10" s="85">
        <v>257296979.46126485</v>
      </c>
      <c r="E10" s="87">
        <v>11503059.25809427</v>
      </c>
      <c r="F10" s="88">
        <v>1.1964512000784053</v>
      </c>
      <c r="G10" s="87">
        <v>268800038.7193591</v>
      </c>
      <c r="H10" s="88">
        <v>1.1964512000784053</v>
      </c>
      <c r="I10" s="87">
        <v>10752001.548774363</v>
      </c>
      <c r="J10" s="89" t="e">
        <v>#DIV/0!</v>
      </c>
      <c r="K10" s="89"/>
      <c r="M10">
        <v>8</v>
      </c>
      <c r="N10" s="13" t="s">
        <v>85</v>
      </c>
      <c r="O10" s="22">
        <v>0.79365079365079361</v>
      </c>
      <c r="P10" s="13">
        <v>64</v>
      </c>
      <c r="Q10" s="12">
        <v>86</v>
      </c>
      <c r="R10" s="13">
        <v>189</v>
      </c>
      <c r="S10" s="13">
        <v>150</v>
      </c>
      <c r="T10" s="17">
        <v>10.650000000000006</v>
      </c>
    </row>
    <row r="11" spans="1:20" ht="15.75" x14ac:dyDescent="0.25">
      <c r="A11" s="19" t="s">
        <v>96</v>
      </c>
      <c r="B11" s="84">
        <v>89664307.424999997</v>
      </c>
      <c r="C11" s="85">
        <v>91610853.242948338</v>
      </c>
      <c r="D11" s="85">
        <v>87112277.601407588</v>
      </c>
      <c r="E11" s="85">
        <v>4498575.6415407509</v>
      </c>
      <c r="F11" s="86">
        <v>1.0217092606171807</v>
      </c>
      <c r="G11" s="85">
        <v>91610853.242948338</v>
      </c>
      <c r="H11" s="86">
        <v>1.0217092606171807</v>
      </c>
      <c r="I11" s="85">
        <v>3664434.1297179335</v>
      </c>
      <c r="J11" s="85" t="e">
        <v>#DIV/0!</v>
      </c>
      <c r="K11" s="85">
        <v>458054.26621474168</v>
      </c>
      <c r="M11">
        <v>52</v>
      </c>
      <c r="N11" s="31" t="s">
        <v>111</v>
      </c>
      <c r="O11" s="32">
        <v>0.56603773584905659</v>
      </c>
      <c r="P11" s="31">
        <v>19</v>
      </c>
      <c r="Q11" s="33">
        <v>41</v>
      </c>
      <c r="R11" s="13">
        <v>106</v>
      </c>
      <c r="S11" s="13">
        <v>60</v>
      </c>
      <c r="T11" s="34">
        <v>30.099999999999994</v>
      </c>
    </row>
    <row r="12" spans="1:20" ht="15.75" x14ac:dyDescent="0.25">
      <c r="A12" s="19" t="s">
        <v>106</v>
      </c>
      <c r="B12" s="84">
        <v>29247251.418000001</v>
      </c>
      <c r="C12" s="85">
        <v>31373237.738229495</v>
      </c>
      <c r="D12" s="85">
        <v>31383571.426629495</v>
      </c>
      <c r="E12" s="85">
        <v>-10333.688400000334</v>
      </c>
      <c r="F12" s="86">
        <v>1.0726901235895647</v>
      </c>
      <c r="G12" s="85">
        <v>31373237.738229498</v>
      </c>
      <c r="H12" s="86">
        <v>1.0726901235895649</v>
      </c>
      <c r="I12" s="85">
        <v>1254929.5095291799</v>
      </c>
      <c r="J12" s="85" t="e">
        <v>#DIV/0!</v>
      </c>
      <c r="K12" s="85">
        <v>392165.47172786877</v>
      </c>
      <c r="M12">
        <v>53</v>
      </c>
      <c r="N12" s="31" t="s">
        <v>107</v>
      </c>
      <c r="O12" s="32">
        <v>0.58407079646017701</v>
      </c>
      <c r="P12" s="31">
        <v>24</v>
      </c>
      <c r="Q12" s="33">
        <v>42</v>
      </c>
      <c r="R12" s="13">
        <v>113</v>
      </c>
      <c r="S12" s="13">
        <v>66</v>
      </c>
      <c r="T12" s="34">
        <v>30.049999999999997</v>
      </c>
    </row>
    <row r="13" spans="1:20" ht="15.75" x14ac:dyDescent="0.25">
      <c r="A13" s="19" t="s">
        <v>90</v>
      </c>
      <c r="B13" s="84">
        <v>118690629.74999999</v>
      </c>
      <c r="C13" s="85">
        <v>109777168.95247295</v>
      </c>
      <c r="D13" s="85">
        <v>93454146.738462254</v>
      </c>
      <c r="E13" s="85">
        <v>16323022.214010701</v>
      </c>
      <c r="F13" s="86">
        <v>0.92490173136412202</v>
      </c>
      <c r="G13" s="85">
        <v>109777168.95247295</v>
      </c>
      <c r="H13" s="86">
        <v>0.92490173136412202</v>
      </c>
      <c r="I13" s="85">
        <v>4391086.758098918</v>
      </c>
      <c r="J13" s="85" t="e">
        <v>#DIV/0!</v>
      </c>
      <c r="K13" s="85">
        <v>0</v>
      </c>
      <c r="M13">
        <v>5</v>
      </c>
      <c r="N13" s="13" t="s">
        <v>84</v>
      </c>
      <c r="O13" s="22">
        <v>0.9377431906614786</v>
      </c>
      <c r="P13" s="13">
        <v>144</v>
      </c>
      <c r="Q13" s="12">
        <v>97</v>
      </c>
      <c r="R13" s="13">
        <v>257</v>
      </c>
      <c r="S13" s="13">
        <v>241</v>
      </c>
      <c r="T13" s="17">
        <v>-22.550000000000011</v>
      </c>
    </row>
    <row r="14" spans="1:20" ht="16.5" thickBot="1" x14ac:dyDescent="0.3">
      <c r="A14" s="19" t="s">
        <v>111</v>
      </c>
      <c r="B14" s="84">
        <v>39250168.649999999</v>
      </c>
      <c r="C14" s="85">
        <v>27654392.255925596</v>
      </c>
      <c r="D14" s="85">
        <v>26877028.917045593</v>
      </c>
      <c r="E14" s="85">
        <v>777363.3388800025</v>
      </c>
      <c r="F14" s="86">
        <v>0.70456747593938296</v>
      </c>
      <c r="G14" s="85">
        <v>27654392.255925596</v>
      </c>
      <c r="H14" s="86">
        <v>0.70456747593938296</v>
      </c>
      <c r="I14" s="85">
        <v>1106175.6902370239</v>
      </c>
      <c r="J14" s="85" t="e">
        <v>#DIV/0!</v>
      </c>
      <c r="K14" s="85">
        <v>0</v>
      </c>
      <c r="M14">
        <v>4</v>
      </c>
      <c r="N14" s="10" t="s">
        <v>83</v>
      </c>
      <c r="O14" s="22">
        <v>0.88397790055248615</v>
      </c>
      <c r="P14" s="13">
        <v>85</v>
      </c>
      <c r="Q14" s="12">
        <v>75</v>
      </c>
      <c r="R14" s="13">
        <v>181</v>
      </c>
      <c r="S14" s="13">
        <v>160</v>
      </c>
      <c r="T14" s="17">
        <v>-6.1500000000000057</v>
      </c>
    </row>
    <row r="15" spans="1:20" ht="16.5" thickBot="1" x14ac:dyDescent="0.3">
      <c r="A15" s="19" t="s">
        <v>107</v>
      </c>
      <c r="B15" s="84">
        <v>39250168.649999999</v>
      </c>
      <c r="C15" s="85">
        <v>38224313.330693163</v>
      </c>
      <c r="D15" s="85">
        <v>34543335.888878584</v>
      </c>
      <c r="E15" s="85">
        <v>3680977.4418145791</v>
      </c>
      <c r="F15" s="86">
        <v>0.97386367104675264</v>
      </c>
      <c r="G15" s="85">
        <v>38224313.330693163</v>
      </c>
      <c r="H15" s="86">
        <v>0.97386367104675264</v>
      </c>
      <c r="I15" s="85">
        <v>1528972.5332277266</v>
      </c>
      <c r="J15" s="85" t="e">
        <v>#DIV/0!</v>
      </c>
      <c r="K15" s="85">
        <v>0</v>
      </c>
      <c r="N15" s="9" t="s">
        <v>37</v>
      </c>
      <c r="O15" s="23"/>
      <c r="P15" s="14"/>
      <c r="Q15" s="16">
        <v>913</v>
      </c>
      <c r="R15" s="8">
        <v>2227</v>
      </c>
      <c r="S15" s="8">
        <v>1792</v>
      </c>
      <c r="T15" s="8"/>
    </row>
    <row r="16" spans="1:20" ht="15.75" x14ac:dyDescent="0.25">
      <c r="A16" s="18" t="s">
        <v>52</v>
      </c>
      <c r="B16" s="87">
        <v>316102525.89299995</v>
      </c>
      <c r="C16" s="87">
        <v>298639965.52026957</v>
      </c>
      <c r="D16" s="85">
        <v>273370360.57242352</v>
      </c>
      <c r="E16" s="87">
        <v>25269604.947846055</v>
      </c>
      <c r="F16" s="88">
        <v>0.94475665664676967</v>
      </c>
      <c r="G16" s="87">
        <v>298639965.52026957</v>
      </c>
      <c r="H16" s="88">
        <v>0.94475665664676967</v>
      </c>
      <c r="I16" s="87">
        <v>11945598.620810783</v>
      </c>
      <c r="J16" s="89" t="e">
        <v>#DIV/0!</v>
      </c>
      <c r="K16" s="89"/>
      <c r="M16">
        <v>31</v>
      </c>
      <c r="N16" s="12" t="s">
        <v>100</v>
      </c>
      <c r="O16" s="22">
        <v>0.86184210526315785</v>
      </c>
      <c r="P16" s="13">
        <v>90</v>
      </c>
      <c r="Q16" s="12">
        <v>41</v>
      </c>
      <c r="R16" s="13">
        <v>152</v>
      </c>
      <c r="S16" s="13">
        <v>131</v>
      </c>
      <c r="T16" s="17">
        <v>-1.8000000000000114</v>
      </c>
    </row>
    <row r="17" spans="1:20" ht="15.75" x14ac:dyDescent="0.25">
      <c r="A17" s="19" t="s">
        <v>81</v>
      </c>
      <c r="B17" s="70">
        <v>27127155</v>
      </c>
      <c r="C17" s="85">
        <v>28722737.224970914</v>
      </c>
      <c r="D17" s="85">
        <v>27827593.972716652</v>
      </c>
      <c r="E17" s="85">
        <v>895143.25225426257</v>
      </c>
      <c r="F17" s="86">
        <v>1.0588186348686737</v>
      </c>
      <c r="G17" s="85">
        <v>28722737.224970914</v>
      </c>
      <c r="H17" s="86">
        <v>1.0588186348686737</v>
      </c>
      <c r="I17" s="85">
        <v>1148909.4889988366</v>
      </c>
      <c r="J17" s="85" t="e">
        <v>#DIV/0!</v>
      </c>
      <c r="K17" s="85">
        <v>359034.21531213645</v>
      </c>
      <c r="M17">
        <v>54</v>
      </c>
      <c r="N17" s="13" t="s">
        <v>108</v>
      </c>
      <c r="O17" s="22">
        <v>0.81</v>
      </c>
      <c r="P17" s="13">
        <v>92</v>
      </c>
      <c r="Q17" s="12">
        <v>70</v>
      </c>
      <c r="R17" s="13">
        <v>200</v>
      </c>
      <c r="S17" s="13">
        <v>162</v>
      </c>
      <c r="T17" s="17">
        <v>8</v>
      </c>
    </row>
    <row r="18" spans="1:20" ht="15.75" x14ac:dyDescent="0.25">
      <c r="A18" s="19" t="s">
        <v>82</v>
      </c>
      <c r="B18" s="70">
        <v>23078600</v>
      </c>
      <c r="C18" s="85">
        <v>23018518.361370903</v>
      </c>
      <c r="D18" s="85">
        <v>21612527.454155579</v>
      </c>
      <c r="E18" s="85">
        <v>1405990.9072153233</v>
      </c>
      <c r="F18" s="86">
        <v>0.99739665150272994</v>
      </c>
      <c r="G18" s="85">
        <v>23018518.361370903</v>
      </c>
      <c r="H18" s="86">
        <v>0.99739665150272994</v>
      </c>
      <c r="I18" s="85">
        <v>920740.73445483611</v>
      </c>
      <c r="J18" s="85" t="e">
        <v>#DIV/0!</v>
      </c>
      <c r="K18" s="85">
        <v>230185.18361370903</v>
      </c>
      <c r="M18">
        <v>21</v>
      </c>
      <c r="N18" s="13" t="s">
        <v>95</v>
      </c>
      <c r="O18" s="22">
        <v>0.8597560975609756</v>
      </c>
      <c r="P18" s="13">
        <v>88</v>
      </c>
      <c r="Q18" s="12">
        <v>53</v>
      </c>
      <c r="R18" s="13">
        <v>164</v>
      </c>
      <c r="S18" s="13">
        <v>141</v>
      </c>
      <c r="T18" s="17">
        <v>-1.5999999999999943</v>
      </c>
    </row>
    <row r="19" spans="1:20" ht="15.75" x14ac:dyDescent="0.25">
      <c r="A19" s="19" t="s">
        <v>92</v>
      </c>
      <c r="B19" s="70">
        <v>23908137</v>
      </c>
      <c r="C19" s="85">
        <v>24067202.723870337</v>
      </c>
      <c r="D19" s="85">
        <v>22895917.42486066</v>
      </c>
      <c r="E19" s="85">
        <v>1171285.299009677</v>
      </c>
      <c r="F19" s="86">
        <v>1.0066532044663428</v>
      </c>
      <c r="G19" s="85">
        <v>24067202.723870337</v>
      </c>
      <c r="H19" s="86">
        <v>1.0066532044663428</v>
      </c>
      <c r="I19" s="85">
        <v>962688.10895481345</v>
      </c>
      <c r="J19" s="85" t="e">
        <v>#DIV/0!</v>
      </c>
      <c r="K19" s="85">
        <v>240672.02723870336</v>
      </c>
      <c r="M19">
        <v>23</v>
      </c>
      <c r="N19" s="13" t="s">
        <v>97</v>
      </c>
      <c r="O19" s="22">
        <v>0.88888888888888884</v>
      </c>
      <c r="P19" s="13">
        <v>95</v>
      </c>
      <c r="Q19" s="12">
        <v>41</v>
      </c>
      <c r="R19" s="13">
        <v>153</v>
      </c>
      <c r="S19" s="13">
        <v>136</v>
      </c>
      <c r="T19" s="17">
        <v>-5.9500000000000171</v>
      </c>
    </row>
    <row r="20" spans="1:20" ht="15.75" x14ac:dyDescent="0.25">
      <c r="A20" s="19" t="s">
        <v>95</v>
      </c>
      <c r="B20" s="70">
        <v>31020000</v>
      </c>
      <c r="C20" s="85">
        <v>37294138.673980869</v>
      </c>
      <c r="D20" s="85">
        <v>33765356.894991159</v>
      </c>
      <c r="E20" s="85">
        <v>3528781.7789897099</v>
      </c>
      <c r="F20" s="86">
        <v>1.2022610791096346</v>
      </c>
      <c r="G20" s="85">
        <v>37294138.673980869</v>
      </c>
      <c r="H20" s="86">
        <v>1.2022610791096346</v>
      </c>
      <c r="I20" s="85">
        <v>1491765.5469592349</v>
      </c>
      <c r="J20" s="85" t="e">
        <v>#DIV/0!</v>
      </c>
      <c r="K20" s="85">
        <v>745882.77347961743</v>
      </c>
      <c r="M20">
        <v>18</v>
      </c>
      <c r="N20" s="13" t="s">
        <v>92</v>
      </c>
      <c r="O20" s="22">
        <v>0.88622754491017963</v>
      </c>
      <c r="P20" s="13">
        <v>83</v>
      </c>
      <c r="Q20" s="12">
        <v>65</v>
      </c>
      <c r="R20" s="13">
        <v>167</v>
      </c>
      <c r="S20" s="13">
        <v>148</v>
      </c>
      <c r="T20" s="17">
        <v>-6.0500000000000114</v>
      </c>
    </row>
    <row r="21" spans="1:20" ht="15.75" x14ac:dyDescent="0.25">
      <c r="A21" s="19" t="s">
        <v>97</v>
      </c>
      <c r="B21" s="70">
        <v>23540000</v>
      </c>
      <c r="C21" s="85">
        <v>21299626.308028236</v>
      </c>
      <c r="D21" s="85">
        <v>20077314.829677377</v>
      </c>
      <c r="E21" s="85">
        <v>1222311.4783508591</v>
      </c>
      <c r="F21" s="86">
        <v>0.90482694596551549</v>
      </c>
      <c r="G21" s="85">
        <v>21299626.308028236</v>
      </c>
      <c r="H21" s="86">
        <v>0.90482694596551549</v>
      </c>
      <c r="I21" s="85">
        <v>851985.05232112948</v>
      </c>
      <c r="J21" s="85" t="e">
        <v>#DIV/0!</v>
      </c>
      <c r="K21" s="85">
        <v>0</v>
      </c>
      <c r="M21">
        <v>44</v>
      </c>
      <c r="N21" s="13" t="s">
        <v>160</v>
      </c>
      <c r="O21" s="22">
        <v>0.8571428571428571</v>
      </c>
      <c r="P21" s="13">
        <v>64</v>
      </c>
      <c r="Q21" s="12">
        <v>80</v>
      </c>
      <c r="R21" s="13">
        <v>168</v>
      </c>
      <c r="S21" s="13">
        <v>144</v>
      </c>
      <c r="T21" s="17">
        <v>-1.2000000000000171</v>
      </c>
    </row>
    <row r="22" spans="1:20" ht="15.75" x14ac:dyDescent="0.25">
      <c r="A22" s="19" t="s">
        <v>100</v>
      </c>
      <c r="B22" s="70">
        <v>29350800</v>
      </c>
      <c r="C22" s="85">
        <v>35308921.719403759</v>
      </c>
      <c r="D22" s="85">
        <v>34647670.184300654</v>
      </c>
      <c r="E22" s="85">
        <v>661251.53510310501</v>
      </c>
      <c r="F22" s="86">
        <v>1.2029969104557203</v>
      </c>
      <c r="G22" s="85">
        <v>35308921.719403759</v>
      </c>
      <c r="H22" s="86">
        <v>1.2029969104557203</v>
      </c>
      <c r="I22" s="85">
        <v>1412356.8687761503</v>
      </c>
      <c r="J22" s="85" t="e">
        <v>#DIV/0!</v>
      </c>
      <c r="K22" s="85">
        <v>706178.43438807514</v>
      </c>
      <c r="M22">
        <v>56</v>
      </c>
      <c r="N22" s="13" t="s">
        <v>139</v>
      </c>
      <c r="O22" s="22">
        <v>0.55440414507772018</v>
      </c>
      <c r="P22" s="13">
        <v>66</v>
      </c>
      <c r="Q22" s="12">
        <v>41</v>
      </c>
      <c r="R22" s="13">
        <v>193</v>
      </c>
      <c r="S22" s="13">
        <v>107</v>
      </c>
      <c r="T22" s="17">
        <v>57.049999999999983</v>
      </c>
    </row>
    <row r="23" spans="1:20" ht="15.75" x14ac:dyDescent="0.25">
      <c r="A23" s="19" t="s">
        <v>160</v>
      </c>
      <c r="B23" s="70">
        <v>25368420</v>
      </c>
      <c r="C23" s="85">
        <v>26777939.430022314</v>
      </c>
      <c r="D23" s="85">
        <v>25902239.606673926</v>
      </c>
      <c r="E23" s="85">
        <v>875699.82334838808</v>
      </c>
      <c r="F23" s="86">
        <v>1.0555619715387208</v>
      </c>
      <c r="G23" s="85">
        <v>26777939.430022314</v>
      </c>
      <c r="H23" s="86">
        <v>1.0555619715387208</v>
      </c>
      <c r="I23" s="85">
        <v>1071117.5772008926</v>
      </c>
      <c r="J23" s="85" t="e">
        <v>#DIV/0!</v>
      </c>
      <c r="K23" s="85">
        <v>334724.24287527893</v>
      </c>
      <c r="M23">
        <v>2</v>
      </c>
      <c r="N23" s="13" t="s">
        <v>81</v>
      </c>
      <c r="O23" s="22">
        <v>0.86111111111111116</v>
      </c>
      <c r="P23" s="13">
        <v>70</v>
      </c>
      <c r="Q23" s="12">
        <v>54</v>
      </c>
      <c r="R23" s="13">
        <v>144</v>
      </c>
      <c r="S23" s="13">
        <v>124</v>
      </c>
      <c r="T23" s="17">
        <v>-1.6000000000000085</v>
      </c>
    </row>
    <row r="24" spans="1:20" ht="16.5" thickBot="1" x14ac:dyDescent="0.3">
      <c r="A24" s="19" t="s">
        <v>108</v>
      </c>
      <c r="B24" s="70">
        <v>30970000</v>
      </c>
      <c r="C24" s="85">
        <v>45619297.437876552</v>
      </c>
      <c r="D24" s="85">
        <v>42627280.626458116</v>
      </c>
      <c r="E24" s="85">
        <v>2992016.8114184365</v>
      </c>
      <c r="F24" s="86">
        <v>1.4730157390337923</v>
      </c>
      <c r="G24" s="85">
        <v>45619297.437876552</v>
      </c>
      <c r="H24" s="86">
        <v>1.4730157390337923</v>
      </c>
      <c r="I24" s="85">
        <v>1824771.897515062</v>
      </c>
      <c r="J24" s="85" t="e">
        <v>#DIV/0!</v>
      </c>
      <c r="K24" s="85">
        <v>912385.94875753112</v>
      </c>
      <c r="M24">
        <v>3</v>
      </c>
      <c r="N24" s="10" t="s">
        <v>82</v>
      </c>
      <c r="O24" s="22">
        <v>0.91946308724832215</v>
      </c>
      <c r="P24" s="13">
        <v>79</v>
      </c>
      <c r="Q24" s="12">
        <v>58</v>
      </c>
      <c r="R24" s="13">
        <v>149</v>
      </c>
      <c r="S24" s="13">
        <v>137</v>
      </c>
      <c r="T24" s="17">
        <v>-10.350000000000009</v>
      </c>
    </row>
    <row r="25" spans="1:20" ht="16.5" thickBot="1" x14ac:dyDescent="0.3">
      <c r="A25" s="19" t="s">
        <v>139</v>
      </c>
      <c r="B25" s="70">
        <v>49990710</v>
      </c>
      <c r="C25" s="85">
        <v>53077079.197368316</v>
      </c>
      <c r="D25" s="85">
        <v>53077079.197368316</v>
      </c>
      <c r="E25" s="85">
        <v>0</v>
      </c>
      <c r="F25" s="86">
        <v>1.0617388550266302</v>
      </c>
      <c r="G25" s="85">
        <v>53077079.197368316</v>
      </c>
      <c r="H25" s="86">
        <v>1.0617388550266302</v>
      </c>
      <c r="I25" s="85">
        <v>2123083.1678947327</v>
      </c>
      <c r="J25" s="85" t="e">
        <v>#DIV/0!</v>
      </c>
      <c r="K25" s="85">
        <v>663463.48996710405</v>
      </c>
      <c r="N25" s="9" t="s">
        <v>38</v>
      </c>
      <c r="O25" s="23"/>
      <c r="P25" s="14"/>
      <c r="Q25" s="16">
        <v>503</v>
      </c>
      <c r="R25" s="8">
        <v>1490</v>
      </c>
      <c r="S25" s="8">
        <v>1230</v>
      </c>
      <c r="T25" s="8"/>
    </row>
    <row r="26" spans="1:20" ht="15.75" x14ac:dyDescent="0.25">
      <c r="A26" s="20" t="s">
        <v>38</v>
      </c>
      <c r="B26" s="89">
        <v>264353822</v>
      </c>
      <c r="C26" s="89">
        <v>295185461.07689214</v>
      </c>
      <c r="D26" s="85">
        <v>282432980.1912024</v>
      </c>
      <c r="E26" s="89">
        <v>12752480.885689735</v>
      </c>
      <c r="F26" s="88">
        <v>1.1166301997967412</v>
      </c>
      <c r="G26" s="87">
        <v>295185461.07689214</v>
      </c>
      <c r="H26" s="88">
        <v>1.1166301997967412</v>
      </c>
      <c r="I26" s="87">
        <v>11807418.443075685</v>
      </c>
      <c r="J26" s="89" t="e">
        <v>#DIV/0!</v>
      </c>
      <c r="K26" s="89"/>
      <c r="M26">
        <v>32</v>
      </c>
      <c r="N26" s="12" t="s">
        <v>101</v>
      </c>
      <c r="O26" s="22">
        <v>0.87037037037037035</v>
      </c>
      <c r="P26" s="13">
        <v>20</v>
      </c>
      <c r="Q26" s="12">
        <v>27</v>
      </c>
      <c r="R26" s="13">
        <v>54</v>
      </c>
      <c r="S26" s="13">
        <v>47</v>
      </c>
      <c r="T26" s="17">
        <v>-1.1000000000000014</v>
      </c>
    </row>
    <row r="27" spans="1:20" ht="15.75" x14ac:dyDescent="0.25">
      <c r="A27" s="90" t="s">
        <v>101</v>
      </c>
      <c r="B27" s="96">
        <v>75800000</v>
      </c>
      <c r="C27" s="85">
        <v>82043239.698842674</v>
      </c>
      <c r="D27" s="85">
        <v>78542689.750818998</v>
      </c>
      <c r="E27" s="85">
        <v>3500549.9480236769</v>
      </c>
      <c r="F27" s="86">
        <v>1.0823646398264206</v>
      </c>
      <c r="G27" s="85">
        <v>82043239.698842674</v>
      </c>
      <c r="H27" s="86">
        <v>1.0823646398264206</v>
      </c>
      <c r="I27" s="85">
        <v>3281729.5879537072</v>
      </c>
      <c r="J27" s="85" t="e">
        <v>#DIV/0!</v>
      </c>
      <c r="K27" s="85">
        <v>615324.29774131998</v>
      </c>
      <c r="M27">
        <v>36</v>
      </c>
      <c r="N27" s="12" t="s">
        <v>221</v>
      </c>
      <c r="O27" s="22">
        <v>0.88961038961038963</v>
      </c>
      <c r="P27" s="13">
        <v>68</v>
      </c>
      <c r="Q27" s="12">
        <v>69</v>
      </c>
      <c r="R27" s="13">
        <v>154</v>
      </c>
      <c r="S27" s="13">
        <v>137</v>
      </c>
      <c r="T27" s="17">
        <v>-6.0999999999999943</v>
      </c>
    </row>
    <row r="28" spans="1:20" ht="15.75" x14ac:dyDescent="0.25">
      <c r="A28" s="19" t="s">
        <v>221</v>
      </c>
      <c r="B28" s="96">
        <v>20000000</v>
      </c>
      <c r="C28" s="85">
        <v>12939850.199293612</v>
      </c>
      <c r="D28" s="85">
        <v>12423643.784844864</v>
      </c>
      <c r="E28" s="85">
        <v>516206.41444874741</v>
      </c>
      <c r="F28" s="86">
        <v>0.64699250996468061</v>
      </c>
      <c r="G28" s="85">
        <v>12939850.199293612</v>
      </c>
      <c r="H28" s="86">
        <v>0.64699250996468061</v>
      </c>
      <c r="I28" s="85">
        <v>517594.00797174446</v>
      </c>
      <c r="J28" s="85" t="e">
        <v>#DIV/0!</v>
      </c>
      <c r="K28" s="85">
        <v>0</v>
      </c>
      <c r="M28">
        <v>9</v>
      </c>
      <c r="N28" s="12" t="s">
        <v>86</v>
      </c>
      <c r="O28" s="22">
        <v>0.86624203821656054</v>
      </c>
      <c r="P28" s="13">
        <v>80</v>
      </c>
      <c r="Q28" s="12">
        <v>56</v>
      </c>
      <c r="R28" s="13">
        <v>157</v>
      </c>
      <c r="S28" s="13">
        <v>136</v>
      </c>
      <c r="T28" s="17">
        <v>-2.5500000000000114</v>
      </c>
    </row>
    <row r="29" spans="1:20" ht="15.75" x14ac:dyDescent="0.25">
      <c r="A29" s="19" t="s">
        <v>86</v>
      </c>
      <c r="B29" s="96">
        <v>23800000</v>
      </c>
      <c r="C29" s="85">
        <v>19809268.744348615</v>
      </c>
      <c r="D29" s="85">
        <v>18819845.241651498</v>
      </c>
      <c r="E29" s="85">
        <v>989423.50269711763</v>
      </c>
      <c r="F29" s="86">
        <v>0.83232221614910151</v>
      </c>
      <c r="G29" s="85">
        <v>19809268.744348615</v>
      </c>
      <c r="H29" s="86">
        <v>0.83232221614910151</v>
      </c>
      <c r="I29" s="85">
        <v>792370.74977394461</v>
      </c>
      <c r="J29" s="85" t="e">
        <v>#DIV/0!</v>
      </c>
      <c r="K29" s="85">
        <v>0</v>
      </c>
      <c r="M29">
        <v>40</v>
      </c>
      <c r="N29" s="12" t="s">
        <v>104</v>
      </c>
      <c r="O29" s="22">
        <v>0.88259109311740891</v>
      </c>
      <c r="P29" s="13">
        <v>68</v>
      </c>
      <c r="Q29" s="12">
        <v>150</v>
      </c>
      <c r="R29" s="13">
        <v>247</v>
      </c>
      <c r="S29" s="13">
        <v>218</v>
      </c>
      <c r="T29" s="17">
        <v>-8.0500000000000114</v>
      </c>
    </row>
    <row r="30" spans="1:20" ht="15.75" x14ac:dyDescent="0.25">
      <c r="A30" s="19" t="s">
        <v>104</v>
      </c>
      <c r="B30" s="96">
        <v>35352015.822584994</v>
      </c>
      <c r="C30" s="85">
        <v>35366560.552370474</v>
      </c>
      <c r="D30" s="85">
        <v>33774258.58379899</v>
      </c>
      <c r="E30" s="85">
        <v>1592301.9685714841</v>
      </c>
      <c r="F30" s="86">
        <v>1.0004114257545729</v>
      </c>
      <c r="G30" s="85">
        <v>35366560.552370474</v>
      </c>
      <c r="H30" s="86">
        <v>1.0004114257545729</v>
      </c>
      <c r="I30" s="85">
        <v>1414662.4220948189</v>
      </c>
      <c r="J30" s="85" t="e">
        <v>#DIV/0!</v>
      </c>
      <c r="K30" s="85">
        <v>353665.60552370473</v>
      </c>
      <c r="M30">
        <v>27</v>
      </c>
      <c r="N30" s="12" t="s">
        <v>98</v>
      </c>
      <c r="O30" s="22">
        <v>0.89655172413793105</v>
      </c>
      <c r="P30" s="13">
        <v>73</v>
      </c>
      <c r="Q30" s="12">
        <v>57</v>
      </c>
      <c r="R30" s="13">
        <v>145</v>
      </c>
      <c r="S30" s="13">
        <v>130</v>
      </c>
      <c r="T30" s="17">
        <v>-6.75</v>
      </c>
    </row>
    <row r="31" spans="1:20" ht="15.75" x14ac:dyDescent="0.25">
      <c r="A31" s="19" t="s">
        <v>98</v>
      </c>
      <c r="B31" s="96">
        <v>23500000</v>
      </c>
      <c r="C31" s="85">
        <v>17421399.532723755</v>
      </c>
      <c r="D31" s="85">
        <v>16694855.93618655</v>
      </c>
      <c r="E31" s="85">
        <v>726543.59653720446</v>
      </c>
      <c r="F31" s="86">
        <v>0.7413361503286704</v>
      </c>
      <c r="G31" s="85">
        <v>17421399.532723755</v>
      </c>
      <c r="H31" s="86">
        <v>0.7413361503286704</v>
      </c>
      <c r="I31" s="85">
        <v>696855.98130895023</v>
      </c>
      <c r="J31" s="85" t="e">
        <v>#DIV/0!</v>
      </c>
      <c r="K31" s="85">
        <v>0</v>
      </c>
      <c r="M31">
        <v>10</v>
      </c>
      <c r="N31" s="12" t="s">
        <v>87</v>
      </c>
      <c r="O31" s="22">
        <v>0.87150837988826813</v>
      </c>
      <c r="P31" s="13">
        <v>40</v>
      </c>
      <c r="Q31" s="12">
        <v>116</v>
      </c>
      <c r="R31" s="13">
        <v>179</v>
      </c>
      <c r="S31" s="13">
        <v>156</v>
      </c>
      <c r="T31" s="17">
        <v>-3.8499999999999943</v>
      </c>
    </row>
    <row r="32" spans="1:20" ht="15.75" x14ac:dyDescent="0.25">
      <c r="A32" s="19" t="s">
        <v>87</v>
      </c>
      <c r="B32" s="96">
        <v>23800000</v>
      </c>
      <c r="C32" s="85">
        <v>30410217.836748093</v>
      </c>
      <c r="D32" s="85">
        <v>29155171.621185325</v>
      </c>
      <c r="E32" s="85">
        <v>1255046.2155627683</v>
      </c>
      <c r="F32" s="86">
        <v>1.2777402452415165</v>
      </c>
      <c r="G32" s="85">
        <v>30410217.836748093</v>
      </c>
      <c r="H32" s="86">
        <v>1.2777402452415165</v>
      </c>
      <c r="I32" s="85">
        <v>1216408.7134699237</v>
      </c>
      <c r="J32" s="85" t="e">
        <v>#DIV/0!</v>
      </c>
      <c r="K32" s="85">
        <v>608204.35673496185</v>
      </c>
      <c r="M32">
        <v>28</v>
      </c>
      <c r="N32" s="12" t="s">
        <v>99</v>
      </c>
      <c r="O32" s="22">
        <v>0.88505747126436785</v>
      </c>
      <c r="P32" s="13">
        <v>67</v>
      </c>
      <c r="Q32" s="12">
        <v>87</v>
      </c>
      <c r="R32" s="13">
        <v>174</v>
      </c>
      <c r="S32" s="13">
        <v>154</v>
      </c>
      <c r="T32" s="17">
        <v>-6.0999999999999943</v>
      </c>
    </row>
    <row r="33" spans="1:20" ht="15.75" x14ac:dyDescent="0.25">
      <c r="A33" s="19" t="s">
        <v>99</v>
      </c>
      <c r="B33" s="96">
        <v>24500000</v>
      </c>
      <c r="C33" s="85">
        <v>22241465.148322437</v>
      </c>
      <c r="D33" s="85">
        <v>21301181.85215893</v>
      </c>
      <c r="E33" s="85">
        <v>940283.29616350681</v>
      </c>
      <c r="F33" s="86">
        <v>0.90781490401316067</v>
      </c>
      <c r="G33" s="85">
        <v>22241465.148322437</v>
      </c>
      <c r="H33" s="86">
        <v>0.90781490401316067</v>
      </c>
      <c r="I33" s="85">
        <v>889658.60593289742</v>
      </c>
      <c r="J33" s="85" t="e">
        <v>#DIV/0!</v>
      </c>
      <c r="K33" s="85">
        <v>0</v>
      </c>
      <c r="M33">
        <v>33</v>
      </c>
      <c r="N33" s="12" t="s">
        <v>138</v>
      </c>
      <c r="O33" s="22">
        <v>0.86826347305389218</v>
      </c>
      <c r="P33" s="13">
        <v>66</v>
      </c>
      <c r="Q33" s="12">
        <v>79</v>
      </c>
      <c r="R33" s="13">
        <v>167</v>
      </c>
      <c r="S33" s="13">
        <v>145</v>
      </c>
      <c r="T33" s="17">
        <v>-3.0500000000000114</v>
      </c>
    </row>
    <row r="34" spans="1:20" ht="15.75" x14ac:dyDescent="0.25">
      <c r="A34" s="19" t="s">
        <v>138</v>
      </c>
      <c r="B34" s="96">
        <v>20000000</v>
      </c>
      <c r="C34" s="85">
        <v>11996898.850355042</v>
      </c>
      <c r="D34" s="85">
        <v>11340625.339748388</v>
      </c>
      <c r="E34" s="85">
        <v>656273.51060665399</v>
      </c>
      <c r="F34" s="86">
        <v>0.59984494251775211</v>
      </c>
      <c r="G34" s="85">
        <v>11996898.850355042</v>
      </c>
      <c r="H34" s="86">
        <v>0.59984494251775211</v>
      </c>
      <c r="I34" s="85">
        <v>479875.95401420171</v>
      </c>
      <c r="J34" s="85" t="e">
        <v>#DIV/0!</v>
      </c>
      <c r="K34" s="85">
        <v>0</v>
      </c>
      <c r="M34">
        <v>37</v>
      </c>
      <c r="N34" s="12" t="s">
        <v>103</v>
      </c>
      <c r="O34" s="22">
        <v>0.8920863309352518</v>
      </c>
      <c r="P34" s="13">
        <v>82</v>
      </c>
      <c r="Q34" s="12">
        <v>42</v>
      </c>
      <c r="R34" s="13">
        <v>139</v>
      </c>
      <c r="S34" s="13">
        <v>124</v>
      </c>
      <c r="T34" s="17">
        <v>-5.8500000000000085</v>
      </c>
    </row>
    <row r="35" spans="1:20" ht="15.75" x14ac:dyDescent="0.25">
      <c r="A35" s="19" t="s">
        <v>103</v>
      </c>
      <c r="B35" s="96">
        <v>22800000</v>
      </c>
      <c r="C35" s="85">
        <v>16045483.464407872</v>
      </c>
      <c r="D35" s="85">
        <v>15458927.638532573</v>
      </c>
      <c r="E35" s="85">
        <v>586555.82587529905</v>
      </c>
      <c r="F35" s="86">
        <v>0.70374927475473126</v>
      </c>
      <c r="G35" s="85">
        <v>16045483.464407871</v>
      </c>
      <c r="H35" s="86">
        <v>0.70374927475473115</v>
      </c>
      <c r="I35" s="85">
        <v>641819.33857631485</v>
      </c>
      <c r="J35" s="85" t="e">
        <v>#DIV/0!</v>
      </c>
      <c r="K35" s="85">
        <v>0</v>
      </c>
      <c r="M35">
        <v>24</v>
      </c>
      <c r="N35" s="12" t="s">
        <v>112</v>
      </c>
      <c r="O35" s="22">
        <v>0.85057471264367812</v>
      </c>
      <c r="P35" s="13">
        <v>81</v>
      </c>
      <c r="Q35" s="12">
        <v>67</v>
      </c>
      <c r="R35" s="13">
        <v>174</v>
      </c>
      <c r="S35" s="13">
        <v>148</v>
      </c>
      <c r="T35" s="17">
        <v>-9.9999999999994316E-2</v>
      </c>
    </row>
    <row r="36" spans="1:20" ht="15.75" x14ac:dyDescent="0.25">
      <c r="A36" s="19" t="s">
        <v>112</v>
      </c>
      <c r="B36" s="96">
        <v>24500000</v>
      </c>
      <c r="C36" s="85">
        <v>24813222.464656744</v>
      </c>
      <c r="D36" s="85">
        <v>24039548.18529366</v>
      </c>
      <c r="E36" s="85">
        <v>773674.27936308458</v>
      </c>
      <c r="F36" s="86">
        <v>1.0127845903941528</v>
      </c>
      <c r="G36" s="85">
        <v>24813222.464656744</v>
      </c>
      <c r="H36" s="86">
        <v>1.0127845903941528</v>
      </c>
      <c r="I36" s="85">
        <v>992528.89858626982</v>
      </c>
      <c r="J36" s="85" t="e">
        <v>#DIV/0!</v>
      </c>
      <c r="K36" s="85">
        <v>248132.22464656745</v>
      </c>
      <c r="M36">
        <v>7</v>
      </c>
      <c r="N36" s="12" t="s">
        <v>110</v>
      </c>
      <c r="O36" s="22">
        <v>0.22321428571428573</v>
      </c>
      <c r="P36" s="13">
        <v>0</v>
      </c>
      <c r="Q36" s="12">
        <v>25</v>
      </c>
      <c r="R36" s="13">
        <v>112</v>
      </c>
      <c r="S36" s="13">
        <v>25</v>
      </c>
      <c r="T36" s="17">
        <v>70.2</v>
      </c>
    </row>
    <row r="37" spans="1:20" ht="15.75" x14ac:dyDescent="0.25">
      <c r="A37" s="19" t="s">
        <v>110</v>
      </c>
      <c r="B37" s="96">
        <v>109713152.55284998</v>
      </c>
      <c r="C37" s="85">
        <v>121409568.83007464</v>
      </c>
      <c r="D37" s="85">
        <v>121409568.83007464</v>
      </c>
      <c r="E37" s="85">
        <v>0</v>
      </c>
      <c r="F37" s="86">
        <v>1.1066090619498914</v>
      </c>
      <c r="G37" s="85">
        <v>121409568.83007465</v>
      </c>
      <c r="H37" s="86">
        <v>1.1066090619498914</v>
      </c>
      <c r="I37" s="85">
        <v>4856382.753202986</v>
      </c>
      <c r="J37" s="85" t="e">
        <v>#DIV/0!</v>
      </c>
      <c r="K37" s="85">
        <v>1214095.6883007465</v>
      </c>
      <c r="M37">
        <v>57</v>
      </c>
      <c r="N37" s="12" t="s">
        <v>109</v>
      </c>
      <c r="O37" s="22">
        <v>0.62135922330097082</v>
      </c>
      <c r="P37" s="13">
        <v>17</v>
      </c>
      <c r="Q37" s="12">
        <v>47</v>
      </c>
      <c r="R37" s="13">
        <v>103</v>
      </c>
      <c r="S37" s="13">
        <v>64</v>
      </c>
      <c r="T37" s="17">
        <v>23.549999999999997</v>
      </c>
    </row>
    <row r="38" spans="1:20" ht="15.75" x14ac:dyDescent="0.25">
      <c r="A38" s="19" t="s">
        <v>109</v>
      </c>
      <c r="B38" s="96">
        <v>32904256.07</v>
      </c>
      <c r="C38" s="85">
        <v>22457150.025485538</v>
      </c>
      <c r="D38" s="85">
        <v>19451113.784705538</v>
      </c>
      <c r="E38" s="85">
        <v>3006036.2407799996</v>
      </c>
      <c r="F38" s="86">
        <v>0.68249985587610762</v>
      </c>
      <c r="G38" s="85">
        <v>22457150.025485538</v>
      </c>
      <c r="H38" s="86">
        <v>0.68249985587610762</v>
      </c>
      <c r="I38" s="85">
        <v>898286.0010194215</v>
      </c>
      <c r="J38" s="85" t="e">
        <v>#DIV/0!</v>
      </c>
      <c r="K38" s="85">
        <v>0</v>
      </c>
      <c r="M38">
        <v>1</v>
      </c>
      <c r="N38" s="12" t="s">
        <v>80</v>
      </c>
      <c r="O38" s="22">
        <v>0.91269841269841268</v>
      </c>
      <c r="P38" s="13">
        <v>60</v>
      </c>
      <c r="Q38" s="12">
        <v>55</v>
      </c>
      <c r="R38" s="13">
        <v>126</v>
      </c>
      <c r="S38" s="13">
        <v>115</v>
      </c>
      <c r="T38" s="17">
        <v>-7.9000000000000057</v>
      </c>
    </row>
    <row r="39" spans="1:20" ht="16.5" thickBot="1" x14ac:dyDescent="0.3">
      <c r="A39" s="19" t="s">
        <v>80</v>
      </c>
      <c r="B39" s="96">
        <v>34000000</v>
      </c>
      <c r="C39" s="85">
        <v>37284573.35936065</v>
      </c>
      <c r="D39" s="85">
        <v>36534725.979826093</v>
      </c>
      <c r="E39" s="85">
        <v>749847.37953455746</v>
      </c>
      <c r="F39" s="86">
        <v>1.0966050988047249</v>
      </c>
      <c r="G39" s="85">
        <v>37284573.35936065</v>
      </c>
      <c r="H39" s="86">
        <v>1.0966050988047249</v>
      </c>
      <c r="I39" s="85">
        <v>1491382.934374426</v>
      </c>
      <c r="J39" s="85" t="e">
        <v>#DIV/0!</v>
      </c>
      <c r="K39" s="85">
        <v>559268.6003904097</v>
      </c>
      <c r="N39" s="3" t="s">
        <v>222</v>
      </c>
      <c r="O39" s="23"/>
      <c r="P39" s="14"/>
      <c r="Q39" s="8">
        <v>877</v>
      </c>
      <c r="R39" s="8">
        <v>1931</v>
      </c>
      <c r="S39" s="8">
        <v>1599</v>
      </c>
      <c r="T39" s="8"/>
    </row>
    <row r="40" spans="1:20" ht="16.5" thickBot="1" x14ac:dyDescent="0.3">
      <c r="A40" s="3" t="s">
        <v>222</v>
      </c>
      <c r="B40" s="92">
        <v>470669424.45172644</v>
      </c>
      <c r="C40" s="89">
        <v>454238898.70699006</v>
      </c>
      <c r="D40" s="85">
        <v>438946156.528826</v>
      </c>
      <c r="E40" s="89">
        <v>15292742.178164065</v>
      </c>
      <c r="F40" s="88">
        <v>0.96509115550924951</v>
      </c>
      <c r="G40" s="87">
        <v>454238898.70699012</v>
      </c>
      <c r="H40" s="88">
        <v>0.96509115550924962</v>
      </c>
      <c r="I40" s="87">
        <v>18169555.948279604</v>
      </c>
      <c r="J40" s="89" t="e">
        <v>#DIV/0!</v>
      </c>
      <c r="K40" s="89"/>
      <c r="N40" s="11" t="s">
        <v>42</v>
      </c>
      <c r="O40" s="24"/>
      <c r="P40" s="6"/>
      <c r="Q40" s="8">
        <v>2293</v>
      </c>
      <c r="R40" s="8">
        <v>5648</v>
      </c>
      <c r="S40" s="8">
        <v>4621</v>
      </c>
      <c r="T40" s="8"/>
    </row>
    <row r="41" spans="1:20" ht="15.75" x14ac:dyDescent="0.25">
      <c r="A41" s="93" t="s">
        <v>42</v>
      </c>
      <c r="B41" s="94">
        <v>1275790242.3422432</v>
      </c>
      <c r="C41" s="94">
        <v>1316864364.0235109</v>
      </c>
      <c r="D41" s="85">
        <v>1252046476.7537167</v>
      </c>
      <c r="E41" s="94">
        <v>64817887.269794226</v>
      </c>
      <c r="F41" s="95">
        <v>1.032195042976547</v>
      </c>
      <c r="G41" s="94">
        <v>1316864364.0235109</v>
      </c>
      <c r="H41" s="95">
        <v>1.032195042976547</v>
      </c>
      <c r="I41" s="94">
        <v>52674574.560940437</v>
      </c>
      <c r="J41" s="94" t="e">
        <v>#DIV/0!</v>
      </c>
      <c r="K41" s="94"/>
      <c r="M41">
        <v>58</v>
      </c>
      <c r="N41" s="13" t="s">
        <v>144</v>
      </c>
      <c r="O41" s="22">
        <v>0.330188679245283</v>
      </c>
      <c r="P41" s="13">
        <v>60</v>
      </c>
      <c r="Q41" s="12">
        <v>-25</v>
      </c>
      <c r="R41" s="13">
        <v>106</v>
      </c>
      <c r="S41" s="13">
        <v>35</v>
      </c>
      <c r="T41" s="17">
        <v>55.099999999999994</v>
      </c>
    </row>
    <row r="42" spans="1:20" x14ac:dyDescent="0.25">
      <c r="A42" s="43" t="s">
        <v>30</v>
      </c>
      <c r="B42" s="43" t="s">
        <v>31</v>
      </c>
      <c r="C42" s="43" t="s">
        <v>32</v>
      </c>
      <c r="D42" s="43" t="s">
        <v>32</v>
      </c>
      <c r="E42" s="43" t="s">
        <v>33</v>
      </c>
      <c r="F42" s="82" t="s">
        <v>41</v>
      </c>
      <c r="G42" s="83" t="s">
        <v>45</v>
      </c>
      <c r="H42" s="82" t="s">
        <v>46</v>
      </c>
      <c r="I42" s="43" t="s">
        <v>35</v>
      </c>
      <c r="J42" s="43" t="s">
        <v>34</v>
      </c>
      <c r="K42" s="43" t="s">
        <v>53</v>
      </c>
      <c r="M42">
        <v>59</v>
      </c>
      <c r="N42" s="13" t="s">
        <v>145</v>
      </c>
      <c r="O42" s="22">
        <v>0.56310679611650483</v>
      </c>
      <c r="P42" s="13">
        <v>60</v>
      </c>
      <c r="Q42" s="12">
        <v>-2</v>
      </c>
      <c r="R42" s="13">
        <v>103</v>
      </c>
      <c r="S42" s="13">
        <v>58</v>
      </c>
      <c r="T42" s="17">
        <v>29.549999999999997</v>
      </c>
    </row>
    <row r="43" spans="1:20" ht="15.75" x14ac:dyDescent="0.25">
      <c r="A43" s="19" t="s">
        <v>144</v>
      </c>
      <c r="B43" s="96">
        <v>40000000</v>
      </c>
      <c r="C43" s="85">
        <v>16160703.587675566</v>
      </c>
      <c r="D43" s="85">
        <v>16160703.587675566</v>
      </c>
      <c r="E43" s="85">
        <v>0</v>
      </c>
      <c r="F43" s="86">
        <v>0.40401758969188917</v>
      </c>
      <c r="G43" s="85">
        <v>16160703.587675566</v>
      </c>
      <c r="H43" s="86">
        <v>0.40401758969188917</v>
      </c>
      <c r="I43" s="85">
        <v>646428.14350702264</v>
      </c>
      <c r="J43" s="85" t="e">
        <v>#DIV/0!</v>
      </c>
      <c r="K43" s="85">
        <v>0</v>
      </c>
    </row>
    <row r="44" spans="1:20" ht="15.75" x14ac:dyDescent="0.25">
      <c r="A44" s="19" t="s">
        <v>145</v>
      </c>
      <c r="B44" s="96">
        <v>30000000</v>
      </c>
      <c r="C44" s="85">
        <v>7660108.9048522357</v>
      </c>
      <c r="D44" s="85">
        <v>7691698.2686022352</v>
      </c>
      <c r="E44" s="85">
        <v>-31589.363749999553</v>
      </c>
      <c r="F44" s="86">
        <v>0.25533696349507451</v>
      </c>
      <c r="G44" s="85">
        <v>7660108.9048522348</v>
      </c>
      <c r="H44" s="86">
        <v>0.25533696349507451</v>
      </c>
      <c r="I44" s="85">
        <v>306404.3561940894</v>
      </c>
      <c r="J44" s="85" t="e">
        <v>#DIV/0!</v>
      </c>
      <c r="K44" s="85">
        <v>0</v>
      </c>
    </row>
  </sheetData>
  <conditionalFormatting sqref="F2:F9 F11:F15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17:F25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27:F39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43:F44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2:O14">
    <cfRule type="iconSet" priority="4">
      <iconSet iconSet="3Arrows">
        <cfvo type="percent" val="0"/>
        <cfvo type="percent" val="33"/>
        <cfvo type="percent" val="67"/>
      </iconSet>
    </cfRule>
  </conditionalFormatting>
  <conditionalFormatting sqref="O16:O24">
    <cfRule type="iconSet" priority="3">
      <iconSet iconSet="3Arrows">
        <cfvo type="percent" val="0"/>
        <cfvo type="percent" val="33"/>
        <cfvo type="percent" val="67"/>
      </iconSet>
    </cfRule>
  </conditionalFormatting>
  <conditionalFormatting sqref="O26:O38">
    <cfRule type="iconSet" priority="2">
      <iconSet iconSet="3Arrows">
        <cfvo type="percent" val="0"/>
        <cfvo type="percent" val="33"/>
        <cfvo type="percent" val="67"/>
      </iconSet>
    </cfRule>
  </conditionalFormatting>
  <conditionalFormatting sqref="O41:O42">
    <cfRule type="iconSet" priority="1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1FB6C8-C67E-46B3-B3DD-771B0AE98C8F}">
  <dimension ref="A1:T44"/>
  <sheetViews>
    <sheetView topLeftCell="B1" workbookViewId="0">
      <selection activeCell="H22" sqref="H22:L24"/>
    </sheetView>
  </sheetViews>
  <sheetFormatPr baseColWidth="10" defaultRowHeight="15" x14ac:dyDescent="0.25"/>
  <cols>
    <col min="1" max="1" width="47.85546875" bestFit="1" customWidth="1"/>
    <col min="2" max="2" width="17.85546875" bestFit="1" customWidth="1"/>
    <col min="3" max="4" width="32" bestFit="1" customWidth="1"/>
    <col min="5" max="5" width="26.85546875" bestFit="1" customWidth="1"/>
    <col min="6" max="6" width="24.42578125" bestFit="1" customWidth="1"/>
    <col min="7" max="7" width="17.85546875" bestFit="1" customWidth="1"/>
    <col min="8" max="8" width="34.140625" bestFit="1" customWidth="1"/>
    <col min="9" max="9" width="15.140625" bestFit="1" customWidth="1"/>
    <col min="10" max="10" width="21.85546875" bestFit="1" customWidth="1"/>
    <col min="11" max="11" width="12.5703125" bestFit="1" customWidth="1"/>
  </cols>
  <sheetData>
    <row r="1" spans="1:20" ht="15.75" thickBot="1" x14ac:dyDescent="0.3">
      <c r="A1" s="43" t="s">
        <v>30</v>
      </c>
      <c r="B1" s="43" t="s">
        <v>31</v>
      </c>
      <c r="C1" s="43" t="s">
        <v>32</v>
      </c>
      <c r="D1" s="43" t="s">
        <v>39</v>
      </c>
      <c r="E1" s="43" t="s">
        <v>33</v>
      </c>
      <c r="F1" s="82" t="s">
        <v>41</v>
      </c>
      <c r="G1" s="83" t="s">
        <v>45</v>
      </c>
      <c r="H1" s="82" t="s">
        <v>46</v>
      </c>
      <c r="I1" s="43" t="s">
        <v>35</v>
      </c>
      <c r="J1" s="43" t="s">
        <v>34</v>
      </c>
      <c r="K1" s="43" t="s">
        <v>53</v>
      </c>
      <c r="N1" s="7" t="s">
        <v>30</v>
      </c>
      <c r="O1" s="21" t="s">
        <v>43</v>
      </c>
      <c r="P1" s="15" t="s">
        <v>50</v>
      </c>
      <c r="Q1" s="7" t="s">
        <v>44</v>
      </c>
      <c r="R1" s="7" t="s">
        <v>48</v>
      </c>
      <c r="S1" s="7" t="s">
        <v>49</v>
      </c>
      <c r="T1" s="7" t="s">
        <v>54</v>
      </c>
    </row>
    <row r="2" spans="1:20" ht="15.75" x14ac:dyDescent="0.25">
      <c r="A2" s="19" t="s">
        <v>94</v>
      </c>
      <c r="B2" s="84">
        <v>30741977.750715002</v>
      </c>
      <c r="C2" s="85">
        <v>39818671.535286605</v>
      </c>
      <c r="D2" s="85">
        <v>38382152.426511236</v>
      </c>
      <c r="E2" s="85">
        <v>1436519.1087753698</v>
      </c>
      <c r="F2" s="86">
        <v>1.2952540613415966</v>
      </c>
      <c r="G2" s="85">
        <v>39818671.535286605</v>
      </c>
      <c r="H2" s="86">
        <v>1.2952540613415966</v>
      </c>
      <c r="I2" s="85">
        <v>1659111.3139702752</v>
      </c>
      <c r="J2" s="85" t="e">
        <v>#DIV/0!</v>
      </c>
      <c r="K2" s="85">
        <v>796373.43070573208</v>
      </c>
      <c r="M2">
        <v>22</v>
      </c>
      <c r="N2" s="12" t="s">
        <v>96</v>
      </c>
      <c r="O2" s="22">
        <v>0.88732394366197187</v>
      </c>
      <c r="P2" s="13">
        <v>33</v>
      </c>
      <c r="Q2" s="12">
        <v>30</v>
      </c>
      <c r="R2" s="13">
        <v>71</v>
      </c>
      <c r="S2" s="13">
        <v>63</v>
      </c>
      <c r="T2" s="17">
        <v>-2.6499999999999986</v>
      </c>
    </row>
    <row r="3" spans="1:20" ht="15.75" x14ac:dyDescent="0.25">
      <c r="A3" s="19" t="s">
        <v>93</v>
      </c>
      <c r="B3" s="84">
        <v>29507360.170365002</v>
      </c>
      <c r="C3" s="85">
        <v>34425294.911571734</v>
      </c>
      <c r="D3" s="85">
        <v>32492713.315706059</v>
      </c>
      <c r="E3" s="85">
        <v>1932581.5958656743</v>
      </c>
      <c r="F3" s="86">
        <v>1.1666680690109967</v>
      </c>
      <c r="G3" s="85">
        <v>34425294.911571734</v>
      </c>
      <c r="H3" s="86">
        <v>1.1666680690109967</v>
      </c>
      <c r="I3" s="85">
        <v>1434387.2879821556</v>
      </c>
      <c r="J3" s="85" t="e">
        <v>#DIV/0!</v>
      </c>
      <c r="K3" s="85">
        <v>688505.89823143464</v>
      </c>
      <c r="M3">
        <v>49</v>
      </c>
      <c r="N3" s="13" t="s">
        <v>106</v>
      </c>
      <c r="O3" s="22">
        <v>0.45338983050847459</v>
      </c>
      <c r="P3" s="13">
        <v>1</v>
      </c>
      <c r="Q3" s="12">
        <v>106</v>
      </c>
      <c r="R3" s="13">
        <v>236</v>
      </c>
      <c r="S3" s="13">
        <v>107</v>
      </c>
      <c r="T3" s="17">
        <v>93.6</v>
      </c>
    </row>
    <row r="4" spans="1:20" ht="15.75" x14ac:dyDescent="0.25">
      <c r="A4" s="19" t="s">
        <v>91</v>
      </c>
      <c r="B4" s="84">
        <v>27038125.009665001</v>
      </c>
      <c r="C4" s="85">
        <v>30983085.948290985</v>
      </c>
      <c r="D4" s="85">
        <v>29980996.852587178</v>
      </c>
      <c r="E4" s="85">
        <v>1002089.0957038067</v>
      </c>
      <c r="F4" s="86">
        <v>1.1459036429935814</v>
      </c>
      <c r="G4" s="85">
        <v>30983085.948290985</v>
      </c>
      <c r="H4" s="86">
        <v>1.1459036429935814</v>
      </c>
      <c r="I4" s="85">
        <v>1290961.9145121244</v>
      </c>
      <c r="J4" s="85" t="e">
        <v>#DIV/0!</v>
      </c>
      <c r="K4" s="85">
        <v>619661.71896581969</v>
      </c>
      <c r="M4">
        <v>20</v>
      </c>
      <c r="N4" s="13" t="s">
        <v>94</v>
      </c>
      <c r="O4" s="22">
        <v>0.9151785714285714</v>
      </c>
      <c r="P4" s="13">
        <v>126</v>
      </c>
      <c r="Q4" s="12">
        <v>79</v>
      </c>
      <c r="R4" s="13">
        <v>224</v>
      </c>
      <c r="S4" s="13">
        <v>205</v>
      </c>
      <c r="T4" s="17">
        <v>-14.599999999999994</v>
      </c>
    </row>
    <row r="5" spans="1:20" ht="15.75" x14ac:dyDescent="0.25">
      <c r="A5" s="19" t="s">
        <v>89</v>
      </c>
      <c r="B5" s="84">
        <v>27038125.009665001</v>
      </c>
      <c r="C5" s="85">
        <v>31442511.170989752</v>
      </c>
      <c r="D5" s="85">
        <v>30971581.519086085</v>
      </c>
      <c r="E5" s="85">
        <v>470929.65190366656</v>
      </c>
      <c r="F5" s="86">
        <v>1.1628953989875543</v>
      </c>
      <c r="G5" s="85">
        <v>31442511.170989752</v>
      </c>
      <c r="H5" s="86">
        <v>1.1628953989875543</v>
      </c>
      <c r="I5" s="85">
        <v>1310104.632124573</v>
      </c>
      <c r="J5" s="85" t="e">
        <v>#DIV/0!</v>
      </c>
      <c r="K5" s="85">
        <v>628850.22341979505</v>
      </c>
      <c r="M5">
        <v>15</v>
      </c>
      <c r="N5" s="13" t="s">
        <v>90</v>
      </c>
      <c r="O5" s="22">
        <v>0.75384615384615383</v>
      </c>
      <c r="P5" s="13">
        <v>21</v>
      </c>
      <c r="Q5" s="12">
        <v>28</v>
      </c>
      <c r="R5" s="13">
        <v>65</v>
      </c>
      <c r="S5" s="13">
        <v>49</v>
      </c>
      <c r="T5" s="17">
        <v>6.25</v>
      </c>
    </row>
    <row r="6" spans="1:20" ht="15.75" x14ac:dyDescent="0.25">
      <c r="A6" s="19" t="s">
        <v>88</v>
      </c>
      <c r="B6" s="84">
        <v>22408309.083352499</v>
      </c>
      <c r="C6" s="85">
        <v>15712937.795380671</v>
      </c>
      <c r="D6" s="85">
        <v>15370350.500321532</v>
      </c>
      <c r="E6" s="85">
        <v>342587.29505913891</v>
      </c>
      <c r="F6" s="86">
        <v>0.70121032947791984</v>
      </c>
      <c r="G6" s="85">
        <v>15712937.795380671</v>
      </c>
      <c r="H6" s="86">
        <v>0.70121032947791984</v>
      </c>
      <c r="I6" s="85">
        <v>654705.74147419457</v>
      </c>
      <c r="J6" s="85" t="e">
        <v>#DIV/0!</v>
      </c>
      <c r="K6" s="85">
        <v>0</v>
      </c>
      <c r="M6">
        <v>19</v>
      </c>
      <c r="N6" s="13" t="s">
        <v>93</v>
      </c>
      <c r="O6" s="22">
        <v>0.87378640776699024</v>
      </c>
      <c r="P6" s="13">
        <v>100</v>
      </c>
      <c r="Q6" s="12">
        <v>80</v>
      </c>
      <c r="R6" s="13">
        <v>206</v>
      </c>
      <c r="S6" s="13">
        <v>180</v>
      </c>
      <c r="T6" s="17">
        <v>-4.9000000000000057</v>
      </c>
    </row>
    <row r="7" spans="1:20" ht="15.75" x14ac:dyDescent="0.25">
      <c r="A7" s="19" t="s">
        <v>85</v>
      </c>
      <c r="B7" s="84">
        <v>26420816.219490003</v>
      </c>
      <c r="C7" s="85">
        <v>21037673.697775695</v>
      </c>
      <c r="D7" s="85">
        <v>20409246.732949637</v>
      </c>
      <c r="E7" s="85">
        <v>628426.9648260586</v>
      </c>
      <c r="F7" s="86">
        <v>0.79625373883251604</v>
      </c>
      <c r="G7" s="85">
        <v>21037673.697775695</v>
      </c>
      <c r="H7" s="86">
        <v>0.79625373883251604</v>
      </c>
      <c r="I7" s="85">
        <v>876569.73740732064</v>
      </c>
      <c r="J7" s="85" t="e">
        <v>#DIV/0!</v>
      </c>
      <c r="K7" s="85">
        <v>0</v>
      </c>
      <c r="M7">
        <v>16</v>
      </c>
      <c r="N7" s="13" t="s">
        <v>91</v>
      </c>
      <c r="O7" s="22">
        <v>0.86363636363636365</v>
      </c>
      <c r="P7" s="13">
        <v>81</v>
      </c>
      <c r="Q7" s="12">
        <v>90</v>
      </c>
      <c r="R7" s="13">
        <v>198</v>
      </c>
      <c r="S7" s="13">
        <v>171</v>
      </c>
      <c r="T7" s="17">
        <v>-2.7000000000000171</v>
      </c>
    </row>
    <row r="8" spans="1:20" ht="15.75" x14ac:dyDescent="0.25">
      <c r="A8" s="19" t="s">
        <v>84</v>
      </c>
      <c r="B8" s="84">
        <v>34124829.920874</v>
      </c>
      <c r="C8" s="85">
        <v>36321844.916340284</v>
      </c>
      <c r="D8" s="85">
        <v>34680470.683944441</v>
      </c>
      <c r="E8" s="85">
        <v>1641374.2323958427</v>
      </c>
      <c r="F8" s="86">
        <v>1.0643817126872295</v>
      </c>
      <c r="G8" s="85">
        <v>36321844.916340284</v>
      </c>
      <c r="H8" s="86">
        <v>1.0643817126872295</v>
      </c>
      <c r="I8" s="85">
        <v>1513410.2048475118</v>
      </c>
      <c r="J8" s="85" t="e">
        <v>#DIV/0!</v>
      </c>
      <c r="K8" s="85">
        <v>454023.06145425356</v>
      </c>
      <c r="M8">
        <v>12</v>
      </c>
      <c r="N8" s="13" t="s">
        <v>89</v>
      </c>
      <c r="O8" s="22">
        <v>0.88207547169811318</v>
      </c>
      <c r="P8" s="13">
        <v>89</v>
      </c>
      <c r="Q8" s="12">
        <v>98</v>
      </c>
      <c r="R8" s="13">
        <v>212</v>
      </c>
      <c r="S8" s="13">
        <v>187</v>
      </c>
      <c r="T8" s="17">
        <v>-6.8000000000000114</v>
      </c>
    </row>
    <row r="9" spans="1:20" ht="15.75" x14ac:dyDescent="0.25">
      <c r="A9" s="19" t="s">
        <v>83</v>
      </c>
      <c r="B9" s="84">
        <v>34124829.920874</v>
      </c>
      <c r="C9" s="85">
        <v>39634220.308995903</v>
      </c>
      <c r="D9" s="85">
        <v>38178336.801874101</v>
      </c>
      <c r="E9" s="85">
        <v>1455883.5071218014</v>
      </c>
      <c r="F9" s="86">
        <v>1.1614481420389977</v>
      </c>
      <c r="G9" s="85">
        <v>39634220.308995903</v>
      </c>
      <c r="H9" s="86">
        <v>1.1614481420389977</v>
      </c>
      <c r="I9" s="85">
        <v>1651425.8462081626</v>
      </c>
      <c r="J9" s="85" t="e">
        <v>#DIV/0!</v>
      </c>
      <c r="K9" s="85">
        <v>792684.40617991809</v>
      </c>
      <c r="M9">
        <v>11</v>
      </c>
      <c r="N9" s="30" t="s">
        <v>88</v>
      </c>
      <c r="O9" s="22">
        <v>0.86470588235294121</v>
      </c>
      <c r="P9" s="13">
        <v>92</v>
      </c>
      <c r="Q9" s="12">
        <v>55</v>
      </c>
      <c r="R9" s="13">
        <v>170</v>
      </c>
      <c r="S9" s="13">
        <v>147</v>
      </c>
      <c r="T9" s="17">
        <v>-2.5</v>
      </c>
    </row>
    <row r="10" spans="1:20" ht="15.75" x14ac:dyDescent="0.25">
      <c r="A10" s="18" t="s">
        <v>51</v>
      </c>
      <c r="B10" s="87">
        <v>231404373.08500049</v>
      </c>
      <c r="C10" s="87">
        <v>249376240.28463167</v>
      </c>
      <c r="D10" s="85">
        <v>240465848.83298028</v>
      </c>
      <c r="E10" s="87">
        <v>8910391.451651359</v>
      </c>
      <c r="F10" s="88">
        <v>1.0776643369355412</v>
      </c>
      <c r="G10" s="87">
        <v>249376240.28463167</v>
      </c>
      <c r="H10" s="88">
        <v>1.0776643369355412</v>
      </c>
      <c r="I10" s="87">
        <v>10390676.67852632</v>
      </c>
      <c r="J10" s="89" t="e">
        <v>#DIV/0!</v>
      </c>
      <c r="K10" s="89"/>
      <c r="M10">
        <v>8</v>
      </c>
      <c r="N10" s="13" t="s">
        <v>85</v>
      </c>
      <c r="O10" s="22">
        <v>0.82631578947368423</v>
      </c>
      <c r="P10" s="13">
        <v>64</v>
      </c>
      <c r="Q10" s="12">
        <v>93</v>
      </c>
      <c r="R10" s="13">
        <v>190</v>
      </c>
      <c r="S10" s="13">
        <v>157</v>
      </c>
      <c r="T10" s="17">
        <v>4.5</v>
      </c>
    </row>
    <row r="11" spans="1:20" ht="15.75" x14ac:dyDescent="0.25">
      <c r="A11" s="19" t="s">
        <v>96</v>
      </c>
      <c r="B11" s="84">
        <v>92354236.647750005</v>
      </c>
      <c r="C11" s="85">
        <v>91382684.446631193</v>
      </c>
      <c r="D11" s="85">
        <v>78998182.076838285</v>
      </c>
      <c r="E11" s="85">
        <v>12384502.369792908</v>
      </c>
      <c r="F11" s="86">
        <v>0.98948015557938696</v>
      </c>
      <c r="G11" s="85">
        <v>91382684.446631193</v>
      </c>
      <c r="H11" s="86">
        <v>0.98948015557938696</v>
      </c>
      <c r="I11" s="85">
        <v>3807611.8519429662</v>
      </c>
      <c r="J11" s="85" t="e">
        <v>#DIV/0!</v>
      </c>
      <c r="K11" s="85">
        <v>0</v>
      </c>
      <c r="M11">
        <v>52</v>
      </c>
      <c r="N11" s="31" t="s">
        <v>111</v>
      </c>
      <c r="O11" s="32">
        <v>0.6767676767676768</v>
      </c>
      <c r="P11" s="31">
        <v>19</v>
      </c>
      <c r="Q11" s="33">
        <v>48</v>
      </c>
      <c r="R11" s="13">
        <v>99</v>
      </c>
      <c r="S11" s="13">
        <v>67</v>
      </c>
      <c r="T11" s="34">
        <v>17.149999999999991</v>
      </c>
    </row>
    <row r="12" spans="1:20" ht="15.75" x14ac:dyDescent="0.25">
      <c r="A12" s="19" t="s">
        <v>106</v>
      </c>
      <c r="B12" s="84">
        <v>30124668.960540004</v>
      </c>
      <c r="C12" s="85">
        <v>20951634.077469252</v>
      </c>
      <c r="D12" s="85">
        <v>20951634.077469252</v>
      </c>
      <c r="E12" s="85">
        <v>0</v>
      </c>
      <c r="F12" s="86">
        <v>0.69549757060944251</v>
      </c>
      <c r="G12" s="85">
        <v>20951634.077469252</v>
      </c>
      <c r="H12" s="86">
        <v>0.69549757060944251</v>
      </c>
      <c r="I12" s="85">
        <v>872984.75322788546</v>
      </c>
      <c r="J12" s="85" t="e">
        <v>#DIV/0!</v>
      </c>
      <c r="K12" s="85">
        <v>0</v>
      </c>
      <c r="M12">
        <v>53</v>
      </c>
      <c r="N12" s="31" t="s">
        <v>107</v>
      </c>
      <c r="O12" s="32">
        <v>0.64150943396226412</v>
      </c>
      <c r="P12" s="31">
        <v>24</v>
      </c>
      <c r="Q12" s="33">
        <v>44</v>
      </c>
      <c r="R12" s="13">
        <v>106</v>
      </c>
      <c r="S12" s="13">
        <v>68</v>
      </c>
      <c r="T12" s="34">
        <v>22.099999999999994</v>
      </c>
    </row>
    <row r="13" spans="1:20" ht="15.75" x14ac:dyDescent="0.25">
      <c r="A13" s="19" t="s">
        <v>90</v>
      </c>
      <c r="B13" s="84">
        <v>122251348.64249998</v>
      </c>
      <c r="C13" s="85">
        <v>81078998.773096651</v>
      </c>
      <c r="D13" s="85">
        <v>78531862.457030341</v>
      </c>
      <c r="E13" s="85">
        <v>2547136.3160663098</v>
      </c>
      <c r="F13" s="86">
        <v>0.66321557736100101</v>
      </c>
      <c r="G13" s="85">
        <v>81078998.773096651</v>
      </c>
      <c r="H13" s="86">
        <v>0.66321557736100101</v>
      </c>
      <c r="I13" s="85">
        <v>3378291.6155456938</v>
      </c>
      <c r="J13" s="85" t="e">
        <v>#DIV/0!</v>
      </c>
      <c r="K13" s="85">
        <v>0</v>
      </c>
      <c r="M13">
        <v>5</v>
      </c>
      <c r="N13" s="13" t="s">
        <v>84</v>
      </c>
      <c r="O13" s="22">
        <v>0.9031007751937985</v>
      </c>
      <c r="P13" s="13">
        <v>144</v>
      </c>
      <c r="Q13" s="12">
        <v>89</v>
      </c>
      <c r="R13" s="13">
        <v>258</v>
      </c>
      <c r="S13" s="13">
        <v>233</v>
      </c>
      <c r="T13" s="17">
        <v>-13.700000000000017</v>
      </c>
    </row>
    <row r="14" spans="1:20" ht="16.5" thickBot="1" x14ac:dyDescent="0.3">
      <c r="A14" s="19" t="s">
        <v>111</v>
      </c>
      <c r="B14" s="84">
        <v>40427673.7095</v>
      </c>
      <c r="C14" s="85">
        <v>39036663.42616079</v>
      </c>
      <c r="D14" s="85">
        <v>37851538.414763339</v>
      </c>
      <c r="E14" s="85">
        <v>1185125.0113974512</v>
      </c>
      <c r="F14" s="86">
        <v>0.9655926211996626</v>
      </c>
      <c r="G14" s="85">
        <v>39036663.42616079</v>
      </c>
      <c r="H14" s="86">
        <v>0.9655926211996626</v>
      </c>
      <c r="I14" s="85">
        <v>1626527.6427566996</v>
      </c>
      <c r="J14" s="85" t="e">
        <v>#DIV/0!</v>
      </c>
      <c r="K14" s="85">
        <v>0</v>
      </c>
      <c r="M14">
        <v>4</v>
      </c>
      <c r="N14" s="10" t="s">
        <v>83</v>
      </c>
      <c r="O14" s="22">
        <v>0.92265193370165743</v>
      </c>
      <c r="P14" s="13">
        <v>85</v>
      </c>
      <c r="Q14" s="12">
        <v>82</v>
      </c>
      <c r="R14" s="13">
        <v>181</v>
      </c>
      <c r="S14" s="13">
        <v>167</v>
      </c>
      <c r="T14" s="17">
        <v>-13.150000000000006</v>
      </c>
    </row>
    <row r="15" spans="1:20" ht="16.5" thickBot="1" x14ac:dyDescent="0.3">
      <c r="A15" s="19" t="s">
        <v>107</v>
      </c>
      <c r="B15" s="84">
        <v>40427673.7095</v>
      </c>
      <c r="C15" s="85">
        <v>46508428.539753534</v>
      </c>
      <c r="D15" s="85">
        <v>45915996.103353538</v>
      </c>
      <c r="E15" s="85">
        <v>592432.43639999628</v>
      </c>
      <c r="F15" s="86">
        <v>1.1504107031719866</v>
      </c>
      <c r="G15" s="85">
        <v>46508428.539753534</v>
      </c>
      <c r="H15" s="86">
        <v>1.1504107031719866</v>
      </c>
      <c r="I15" s="85">
        <v>1937851.1891563972</v>
      </c>
      <c r="J15" s="85" t="e">
        <v>#DIV/0!</v>
      </c>
      <c r="K15" s="85">
        <v>697626.42809630302</v>
      </c>
      <c r="N15" s="9" t="s">
        <v>37</v>
      </c>
      <c r="O15" s="23"/>
      <c r="P15" s="14"/>
      <c r="Q15" s="16">
        <v>922</v>
      </c>
      <c r="R15" s="8">
        <v>2216</v>
      </c>
      <c r="S15" s="8">
        <v>1801</v>
      </c>
      <c r="T15" s="8"/>
    </row>
    <row r="16" spans="1:20" ht="15.75" x14ac:dyDescent="0.25">
      <c r="A16" s="18" t="s">
        <v>52</v>
      </c>
      <c r="B16" s="87">
        <v>325585601.66978997</v>
      </c>
      <c r="C16" s="87">
        <v>278958409.26311141</v>
      </c>
      <c r="D16" s="85">
        <v>262249213.12945476</v>
      </c>
      <c r="E16" s="87">
        <v>16709196.133656651</v>
      </c>
      <c r="F16" s="88">
        <v>0.85678975922907052</v>
      </c>
      <c r="G16" s="87">
        <v>278958409.26311141</v>
      </c>
      <c r="H16" s="88">
        <v>0.85678975922907052</v>
      </c>
      <c r="I16" s="87">
        <v>11623267.052629642</v>
      </c>
      <c r="J16" s="89" t="e">
        <v>#DIV/0!</v>
      </c>
      <c r="K16" s="89"/>
      <c r="M16">
        <v>31</v>
      </c>
      <c r="N16" s="12" t="s">
        <v>100</v>
      </c>
      <c r="O16" s="22">
        <v>0.86928104575163401</v>
      </c>
      <c r="P16" s="13">
        <v>90</v>
      </c>
      <c r="Q16" s="12">
        <v>43</v>
      </c>
      <c r="R16" s="13">
        <v>153</v>
      </c>
      <c r="S16" s="13">
        <v>133</v>
      </c>
      <c r="T16" s="17">
        <v>-2.9500000000000171</v>
      </c>
    </row>
    <row r="17" spans="1:20" ht="15.75" x14ac:dyDescent="0.25">
      <c r="A17" s="19" t="s">
        <v>81</v>
      </c>
      <c r="B17" s="70">
        <v>27940969.650000002</v>
      </c>
      <c r="C17" s="85">
        <v>19539554.67881345</v>
      </c>
      <c r="D17" s="85">
        <v>18511481.821642894</v>
      </c>
      <c r="E17" s="85">
        <v>1028072.8571705557</v>
      </c>
      <c r="F17" s="86">
        <v>0.69931555431231962</v>
      </c>
      <c r="G17" s="85">
        <v>19539554.67881345</v>
      </c>
      <c r="H17" s="86">
        <v>0.69931555431231962</v>
      </c>
      <c r="I17" s="85">
        <v>814148.11161722708</v>
      </c>
      <c r="J17" s="85" t="e">
        <v>#DIV/0!</v>
      </c>
      <c r="K17" s="85">
        <v>0</v>
      </c>
      <c r="M17">
        <v>54</v>
      </c>
      <c r="N17" s="13" t="s">
        <v>108</v>
      </c>
      <c r="O17" s="22">
        <v>0.80597014925373134</v>
      </c>
      <c r="P17" s="13">
        <v>92</v>
      </c>
      <c r="Q17" s="12">
        <v>70</v>
      </c>
      <c r="R17" s="13">
        <v>201</v>
      </c>
      <c r="S17" s="13">
        <v>162</v>
      </c>
      <c r="T17" s="17">
        <v>8.8499999999999943</v>
      </c>
    </row>
    <row r="18" spans="1:20" ht="15.75" x14ac:dyDescent="0.25">
      <c r="A18" s="19" t="s">
        <v>82</v>
      </c>
      <c r="B18" s="70">
        <v>23770958</v>
      </c>
      <c r="C18" s="85">
        <v>18010273.76547106</v>
      </c>
      <c r="D18" s="85">
        <v>17637911.696073696</v>
      </c>
      <c r="E18" s="85">
        <v>372362.06939736381</v>
      </c>
      <c r="F18" s="86">
        <v>0.75765872647922139</v>
      </c>
      <c r="G18" s="85">
        <v>18010273.76547106</v>
      </c>
      <c r="H18" s="86">
        <v>0.75765872647922139</v>
      </c>
      <c r="I18" s="85">
        <v>750428.07356129412</v>
      </c>
      <c r="J18" s="85" t="e">
        <v>#DIV/0!</v>
      </c>
      <c r="K18" s="85">
        <v>0</v>
      </c>
      <c r="M18">
        <v>21</v>
      </c>
      <c r="N18" s="13" t="s">
        <v>95</v>
      </c>
      <c r="O18" s="22">
        <v>0.8493975903614458</v>
      </c>
      <c r="P18" s="13">
        <v>88</v>
      </c>
      <c r="Q18" s="12">
        <v>53</v>
      </c>
      <c r="R18" s="13">
        <v>166</v>
      </c>
      <c r="S18" s="13">
        <v>141</v>
      </c>
      <c r="T18" s="17">
        <v>9.9999999999994316E-2</v>
      </c>
    </row>
    <row r="19" spans="1:20" ht="15.75" x14ac:dyDescent="0.25">
      <c r="A19" s="19" t="s">
        <v>92</v>
      </c>
      <c r="B19" s="70">
        <v>24625381.109999999</v>
      </c>
      <c r="C19" s="85">
        <v>20256320.790835518</v>
      </c>
      <c r="D19" s="85">
        <v>19942352.806676645</v>
      </c>
      <c r="E19" s="85">
        <v>313967.98415887356</v>
      </c>
      <c r="F19" s="86">
        <v>0.82257897655885326</v>
      </c>
      <c r="G19" s="85">
        <v>20256320.790835518</v>
      </c>
      <c r="H19" s="86">
        <v>0.82257897655885326</v>
      </c>
      <c r="I19" s="85">
        <v>844013.36628481327</v>
      </c>
      <c r="J19" s="85" t="e">
        <v>#DIV/0!</v>
      </c>
      <c r="K19" s="85">
        <v>0</v>
      </c>
      <c r="M19">
        <v>23</v>
      </c>
      <c r="N19" s="13" t="s">
        <v>97</v>
      </c>
      <c r="O19" s="22">
        <v>0.87898089171974525</v>
      </c>
      <c r="P19" s="13">
        <v>95</v>
      </c>
      <c r="Q19" s="12">
        <v>43</v>
      </c>
      <c r="R19" s="13">
        <v>157</v>
      </c>
      <c r="S19" s="13">
        <v>138</v>
      </c>
      <c r="T19" s="17">
        <v>-4.5500000000000114</v>
      </c>
    </row>
    <row r="20" spans="1:20" ht="15.75" x14ac:dyDescent="0.25">
      <c r="A20" s="19" t="s">
        <v>95</v>
      </c>
      <c r="B20" s="70">
        <v>31950600</v>
      </c>
      <c r="C20" s="85">
        <v>32603870.30427184</v>
      </c>
      <c r="D20" s="85">
        <v>30464977.149072044</v>
      </c>
      <c r="E20" s="85">
        <v>2138893.155199796</v>
      </c>
      <c r="F20" s="86">
        <v>1.0204462609237961</v>
      </c>
      <c r="G20" s="85">
        <v>32603870.30427184</v>
      </c>
      <c r="H20" s="86">
        <v>1.0204462609237961</v>
      </c>
      <c r="I20" s="85">
        <v>1358494.5960113266</v>
      </c>
      <c r="J20" s="85" t="e">
        <v>#DIV/0!</v>
      </c>
      <c r="K20" s="85">
        <v>326038.70304271841</v>
      </c>
      <c r="M20">
        <v>18</v>
      </c>
      <c r="N20" s="13" t="s">
        <v>92</v>
      </c>
      <c r="O20" s="22">
        <v>0.86549707602339176</v>
      </c>
      <c r="P20" s="13">
        <v>83</v>
      </c>
      <c r="Q20" s="12">
        <v>65</v>
      </c>
      <c r="R20" s="13">
        <v>171</v>
      </c>
      <c r="S20" s="13">
        <v>148</v>
      </c>
      <c r="T20" s="17">
        <v>-2.6500000000000057</v>
      </c>
    </row>
    <row r="21" spans="1:20" ht="15.75" x14ac:dyDescent="0.25">
      <c r="A21" s="19" t="s">
        <v>97</v>
      </c>
      <c r="B21" s="70">
        <v>24246200</v>
      </c>
      <c r="C21" s="85">
        <v>21254078.570695039</v>
      </c>
      <c r="D21" s="85">
        <v>20863297.783106934</v>
      </c>
      <c r="E21" s="85">
        <v>390780.78758810461</v>
      </c>
      <c r="F21" s="86">
        <v>0.87659421149273031</v>
      </c>
      <c r="G21" s="85">
        <v>21254078.570695039</v>
      </c>
      <c r="H21" s="86">
        <v>0.87659421149273031</v>
      </c>
      <c r="I21" s="85">
        <v>885586.60711229325</v>
      </c>
      <c r="J21" s="85" t="e">
        <v>#DIV/0!</v>
      </c>
      <c r="K21" s="85">
        <v>0</v>
      </c>
      <c r="M21">
        <v>44</v>
      </c>
      <c r="N21" s="13" t="s">
        <v>160</v>
      </c>
      <c r="O21" s="22">
        <v>0.89221556886227549</v>
      </c>
      <c r="P21" s="13">
        <v>64</v>
      </c>
      <c r="Q21" s="12">
        <v>85</v>
      </c>
      <c r="R21" s="13">
        <v>167</v>
      </c>
      <c r="S21" s="13">
        <v>149</v>
      </c>
      <c r="T21" s="17">
        <v>-7.0500000000000114</v>
      </c>
    </row>
    <row r="22" spans="1:20" ht="15.75" x14ac:dyDescent="0.25">
      <c r="A22" s="19" t="s">
        <v>100</v>
      </c>
      <c r="B22" s="70">
        <v>30231324</v>
      </c>
      <c r="C22" s="85">
        <v>28200822.57017931</v>
      </c>
      <c r="D22" s="85">
        <v>27252487.000636328</v>
      </c>
      <c r="E22" s="85">
        <v>948335.56954298168</v>
      </c>
      <c r="F22" s="86">
        <v>0.93283451859995647</v>
      </c>
      <c r="G22" s="85">
        <v>28200822.57017931</v>
      </c>
      <c r="H22" s="86">
        <v>0.93283451859995647</v>
      </c>
      <c r="I22" s="85">
        <v>1175034.2737574712</v>
      </c>
      <c r="J22" s="85" t="e">
        <v>#DIV/0!</v>
      </c>
      <c r="K22" s="85">
        <v>0</v>
      </c>
      <c r="M22">
        <v>56</v>
      </c>
      <c r="N22" s="13" t="s">
        <v>139</v>
      </c>
      <c r="O22" s="22">
        <v>0.54404145077720212</v>
      </c>
      <c r="P22" s="13">
        <v>66</v>
      </c>
      <c r="Q22" s="12">
        <v>39</v>
      </c>
      <c r="R22" s="13">
        <v>193</v>
      </c>
      <c r="S22" s="13">
        <v>105</v>
      </c>
      <c r="T22" s="17">
        <v>59.049999999999983</v>
      </c>
    </row>
    <row r="23" spans="1:20" ht="15.75" x14ac:dyDescent="0.25">
      <c r="A23" s="19" t="s">
        <v>160</v>
      </c>
      <c r="B23" s="70">
        <v>26129472.600000001</v>
      </c>
      <c r="C23" s="85">
        <v>20127157.755923368</v>
      </c>
      <c r="D23" s="85">
        <v>19392227.644457728</v>
      </c>
      <c r="E23" s="85">
        <v>734930.11146564037</v>
      </c>
      <c r="F23" s="86">
        <v>0.77028564885474826</v>
      </c>
      <c r="G23" s="85">
        <v>20127157.755923368</v>
      </c>
      <c r="H23" s="86">
        <v>0.77028564885474826</v>
      </c>
      <c r="I23" s="85">
        <v>838631.57316347363</v>
      </c>
      <c r="J23" s="85" t="e">
        <v>#DIV/0!</v>
      </c>
      <c r="K23" s="85">
        <v>0</v>
      </c>
      <c r="M23">
        <v>2</v>
      </c>
      <c r="N23" s="13" t="s">
        <v>81</v>
      </c>
      <c r="O23" s="22">
        <v>0.8188405797101449</v>
      </c>
      <c r="P23" s="13">
        <v>70</v>
      </c>
      <c r="Q23" s="12">
        <v>43</v>
      </c>
      <c r="R23" s="13">
        <v>138</v>
      </c>
      <c r="S23" s="13">
        <v>113</v>
      </c>
      <c r="T23" s="17">
        <v>4.2999999999999972</v>
      </c>
    </row>
    <row r="24" spans="1:20" ht="16.5" thickBot="1" x14ac:dyDescent="0.3">
      <c r="A24" s="19" t="s">
        <v>108</v>
      </c>
      <c r="B24" s="70">
        <v>31899100</v>
      </c>
      <c r="C24" s="85">
        <v>37191738.050137773</v>
      </c>
      <c r="D24" s="85">
        <v>37037499.180309229</v>
      </c>
      <c r="E24" s="85">
        <v>154238.86982854456</v>
      </c>
      <c r="F24" s="86">
        <v>1.1659180995745264</v>
      </c>
      <c r="G24" s="85">
        <v>37191738.050137773</v>
      </c>
      <c r="H24" s="86">
        <v>1.1659180995745264</v>
      </c>
      <c r="I24" s="85">
        <v>1549655.7520890739</v>
      </c>
      <c r="J24" s="85" t="e">
        <v>#DIV/0!</v>
      </c>
      <c r="K24" s="85">
        <v>743834.76100275549</v>
      </c>
      <c r="M24">
        <v>3</v>
      </c>
      <c r="N24" s="10" t="s">
        <v>82</v>
      </c>
      <c r="O24" s="22">
        <v>0.88095238095238093</v>
      </c>
      <c r="P24" s="13">
        <v>79</v>
      </c>
      <c r="Q24" s="12">
        <v>69</v>
      </c>
      <c r="R24" s="13">
        <v>168</v>
      </c>
      <c r="S24" s="13">
        <v>148</v>
      </c>
      <c r="T24" s="17">
        <v>-5.2000000000000171</v>
      </c>
    </row>
    <row r="25" spans="1:20" ht="16.5" thickBot="1" x14ac:dyDescent="0.3">
      <c r="A25" s="19" t="s">
        <v>139</v>
      </c>
      <c r="B25" s="70">
        <v>51490431.300000004</v>
      </c>
      <c r="C25" s="85">
        <v>61158235.968446337</v>
      </c>
      <c r="D25" s="85">
        <v>62845721.087741278</v>
      </c>
      <c r="E25" s="85">
        <v>-1687485.1192949414</v>
      </c>
      <c r="F25" s="86">
        <v>1.1877592481624122</v>
      </c>
      <c r="G25" s="85">
        <v>61158235.968446344</v>
      </c>
      <c r="H25" s="86">
        <v>1.1877592481624122</v>
      </c>
      <c r="I25" s="85">
        <v>2548259.8320185975</v>
      </c>
      <c r="J25" s="85" t="e">
        <v>#DIV/0!</v>
      </c>
      <c r="K25" s="85">
        <v>917373.53952669515</v>
      </c>
      <c r="N25" s="9" t="s">
        <v>38</v>
      </c>
      <c r="O25" s="23"/>
      <c r="P25" s="14"/>
      <c r="Q25" s="16">
        <v>510</v>
      </c>
      <c r="R25" s="8">
        <v>1514</v>
      </c>
      <c r="S25" s="8">
        <v>1237</v>
      </c>
      <c r="T25" s="8"/>
    </row>
    <row r="26" spans="1:20" ht="15.75" x14ac:dyDescent="0.25">
      <c r="A26" s="20" t="s">
        <v>38</v>
      </c>
      <c r="B26" s="89">
        <v>272284436.66000003</v>
      </c>
      <c r="C26" s="89">
        <v>258342052.45477369</v>
      </c>
      <c r="D26" s="85">
        <v>253947956.16971678</v>
      </c>
      <c r="E26" s="89">
        <v>4394096.2850569189</v>
      </c>
      <c r="F26" s="88">
        <v>0.94879478101557413</v>
      </c>
      <c r="G26" s="87">
        <v>258342052.45477372</v>
      </c>
      <c r="H26" s="88">
        <v>0.94879478101557424</v>
      </c>
      <c r="I26" s="87">
        <v>10764252.185615571</v>
      </c>
      <c r="J26" s="89" t="e">
        <v>#DIV/0!</v>
      </c>
      <c r="K26" s="89"/>
      <c r="M26">
        <v>32</v>
      </c>
      <c r="N26" s="12" t="s">
        <v>101</v>
      </c>
      <c r="O26" s="22">
        <v>0.94545454545454544</v>
      </c>
      <c r="P26" s="13">
        <v>20</v>
      </c>
      <c r="Q26" s="12">
        <v>32</v>
      </c>
      <c r="R26" s="13">
        <v>55</v>
      </c>
      <c r="S26" s="13">
        <v>52</v>
      </c>
      <c r="T26" s="17">
        <v>-5.25</v>
      </c>
    </row>
    <row r="27" spans="1:20" ht="15.75" x14ac:dyDescent="0.25">
      <c r="A27" s="90" t="s">
        <v>101</v>
      </c>
      <c r="B27" s="96">
        <v>78074000</v>
      </c>
      <c r="C27" s="85">
        <v>77072215.391178802</v>
      </c>
      <c r="D27" s="85">
        <v>75226365.361191273</v>
      </c>
      <c r="E27" s="85">
        <v>1845850.0299875289</v>
      </c>
      <c r="F27" s="86">
        <v>0.98716878078718651</v>
      </c>
      <c r="G27" s="85">
        <v>77072215.391178802</v>
      </c>
      <c r="H27" s="86">
        <v>0.98716878078718651</v>
      </c>
      <c r="I27" s="85">
        <v>3211342.3079657834</v>
      </c>
      <c r="J27" s="85" t="e">
        <v>#DIV/0!</v>
      </c>
      <c r="K27" s="85">
        <v>0</v>
      </c>
      <c r="M27">
        <v>36</v>
      </c>
      <c r="N27" s="12" t="s">
        <v>223</v>
      </c>
      <c r="O27" s="22">
        <v>0.80645161290322576</v>
      </c>
      <c r="P27" s="13">
        <v>68</v>
      </c>
      <c r="Q27" s="12">
        <v>57</v>
      </c>
      <c r="R27" s="13">
        <v>155</v>
      </c>
      <c r="S27" s="13">
        <v>125</v>
      </c>
      <c r="T27" s="17">
        <v>6.75</v>
      </c>
    </row>
    <row r="28" spans="1:20" ht="15.75" x14ac:dyDescent="0.25">
      <c r="A28" s="19" t="s">
        <v>223</v>
      </c>
      <c r="B28" s="96">
        <v>21000000</v>
      </c>
      <c r="C28" s="85">
        <v>9485511.4323376957</v>
      </c>
      <c r="D28" s="85">
        <v>9320573.7666386589</v>
      </c>
      <c r="E28" s="85">
        <v>164937.66569903679</v>
      </c>
      <c r="F28" s="86">
        <v>0.45169102058750932</v>
      </c>
      <c r="G28" s="85">
        <v>9485511.4323376957</v>
      </c>
      <c r="H28" s="86">
        <v>0.45169102058750932</v>
      </c>
      <c r="I28" s="85">
        <v>395229.64301407064</v>
      </c>
      <c r="J28" s="85" t="e">
        <v>#DIV/0!</v>
      </c>
      <c r="K28" s="85">
        <v>0</v>
      </c>
      <c r="M28">
        <v>9</v>
      </c>
      <c r="N28" s="12" t="s">
        <v>86</v>
      </c>
      <c r="O28" s="22">
        <v>0.86163522012578619</v>
      </c>
      <c r="P28" s="13">
        <v>80</v>
      </c>
      <c r="Q28" s="12">
        <v>57</v>
      </c>
      <c r="R28" s="13">
        <v>159</v>
      </c>
      <c r="S28" s="13">
        <v>137</v>
      </c>
      <c r="T28" s="17">
        <v>-1.8499999999999943</v>
      </c>
    </row>
    <row r="29" spans="1:20" ht="15.75" x14ac:dyDescent="0.25">
      <c r="A29" s="19" t="s">
        <v>86</v>
      </c>
      <c r="B29" s="96">
        <v>24514000</v>
      </c>
      <c r="C29" s="85">
        <v>18129971.027611572</v>
      </c>
      <c r="D29" s="85">
        <v>17592967.566130582</v>
      </c>
      <c r="E29" s="85">
        <v>537003.46148099005</v>
      </c>
      <c r="F29" s="86">
        <v>0.73957620248068745</v>
      </c>
      <c r="G29" s="85">
        <v>18129971.027611572</v>
      </c>
      <c r="H29" s="86">
        <v>0.73957620248068745</v>
      </c>
      <c r="I29" s="85">
        <v>755415.45948381547</v>
      </c>
      <c r="J29" s="85" t="e">
        <v>#DIV/0!</v>
      </c>
      <c r="K29" s="85">
        <v>0</v>
      </c>
      <c r="M29">
        <v>40</v>
      </c>
      <c r="N29" s="12" t="s">
        <v>104</v>
      </c>
      <c r="O29" s="22">
        <v>0.57894736842105265</v>
      </c>
      <c r="P29" s="13">
        <v>68</v>
      </c>
      <c r="Q29" s="12">
        <v>75</v>
      </c>
      <c r="R29" s="13">
        <v>247</v>
      </c>
      <c r="S29" s="13">
        <v>143</v>
      </c>
      <c r="T29" s="17">
        <v>66.949999999999989</v>
      </c>
    </row>
    <row r="30" spans="1:20" ht="15.75" x14ac:dyDescent="0.25">
      <c r="A30" s="19" t="s">
        <v>104</v>
      </c>
      <c r="B30" s="96">
        <v>36412576.297262542</v>
      </c>
      <c r="C30" s="85">
        <v>17544543.519893952</v>
      </c>
      <c r="D30" s="85">
        <v>17464454.603893951</v>
      </c>
      <c r="E30" s="85">
        <v>80088.916000001132</v>
      </c>
      <c r="F30" s="86">
        <v>0.48182648150641655</v>
      </c>
      <c r="G30" s="85">
        <v>17544543.519893952</v>
      </c>
      <c r="H30" s="86">
        <v>0.48182648150641655</v>
      </c>
      <c r="I30" s="85">
        <v>731022.64666224795</v>
      </c>
      <c r="J30" s="85" t="e">
        <v>#DIV/0!</v>
      </c>
      <c r="K30" s="85">
        <v>0</v>
      </c>
      <c r="M30">
        <v>27</v>
      </c>
      <c r="N30" s="12" t="s">
        <v>98</v>
      </c>
      <c r="O30" s="22">
        <v>0.92907801418439717</v>
      </c>
      <c r="P30" s="13">
        <v>73</v>
      </c>
      <c r="Q30" s="12">
        <v>58</v>
      </c>
      <c r="R30" s="13">
        <v>141</v>
      </c>
      <c r="S30" s="13">
        <v>131</v>
      </c>
      <c r="T30" s="17">
        <v>-11.150000000000006</v>
      </c>
    </row>
    <row r="31" spans="1:20" ht="15.75" x14ac:dyDescent="0.25">
      <c r="A31" s="19" t="s">
        <v>98</v>
      </c>
      <c r="B31" s="96">
        <v>24205000</v>
      </c>
      <c r="C31" s="85">
        <v>21583379.530833326</v>
      </c>
      <c r="D31" s="85">
        <v>20925002.007663183</v>
      </c>
      <c r="E31" s="85">
        <v>658377.52317014337</v>
      </c>
      <c r="F31" s="86">
        <v>0.89169095355642747</v>
      </c>
      <c r="G31" s="85">
        <v>21583379.530833326</v>
      </c>
      <c r="H31" s="86">
        <v>0.89169095355642747</v>
      </c>
      <c r="I31" s="85">
        <v>899307.48045138863</v>
      </c>
      <c r="J31" s="85" t="e">
        <v>#DIV/0!</v>
      </c>
      <c r="K31" s="85">
        <v>0</v>
      </c>
      <c r="M31">
        <v>10</v>
      </c>
      <c r="N31" s="12" t="s">
        <v>224</v>
      </c>
      <c r="O31" s="22">
        <v>0.67777777777777781</v>
      </c>
      <c r="P31" s="13">
        <v>40</v>
      </c>
      <c r="Q31" s="12">
        <v>82</v>
      </c>
      <c r="R31" s="13">
        <v>180</v>
      </c>
      <c r="S31" s="13">
        <v>122</v>
      </c>
      <c r="T31" s="17">
        <v>31</v>
      </c>
    </row>
    <row r="32" spans="1:20" ht="15.75" x14ac:dyDescent="0.25">
      <c r="A32" s="19" t="s">
        <v>224</v>
      </c>
      <c r="B32" s="96">
        <v>24000000</v>
      </c>
      <c r="C32" s="85">
        <v>16088796.362979436</v>
      </c>
      <c r="D32" s="85">
        <v>15428148.704640051</v>
      </c>
      <c r="E32" s="85">
        <v>660647.65833938494</v>
      </c>
      <c r="F32" s="86">
        <v>0.67036651512414314</v>
      </c>
      <c r="G32" s="85">
        <v>16088796.362979438</v>
      </c>
      <c r="H32" s="86">
        <v>0.67036651512414325</v>
      </c>
      <c r="I32" s="85">
        <v>670366.51512414322</v>
      </c>
      <c r="J32" s="85" t="e">
        <v>#DIV/0!</v>
      </c>
      <c r="K32" s="85">
        <v>0</v>
      </c>
      <c r="M32">
        <v>28</v>
      </c>
      <c r="N32" s="12" t="s">
        <v>99</v>
      </c>
      <c r="O32" s="22">
        <v>0.88095238095238093</v>
      </c>
      <c r="P32" s="13">
        <v>67</v>
      </c>
      <c r="Q32" s="12">
        <v>81</v>
      </c>
      <c r="R32" s="13">
        <v>168</v>
      </c>
      <c r="S32" s="13">
        <v>148</v>
      </c>
      <c r="T32" s="17">
        <v>-5.2000000000000171</v>
      </c>
    </row>
    <row r="33" spans="1:20" ht="15.75" x14ac:dyDescent="0.25">
      <c r="A33" s="19" t="s">
        <v>99</v>
      </c>
      <c r="B33" s="96">
        <v>25235000</v>
      </c>
      <c r="C33" s="85">
        <v>16147931.300912788</v>
      </c>
      <c r="D33" s="85">
        <v>15774950.664548337</v>
      </c>
      <c r="E33" s="85">
        <v>372980.63636445068</v>
      </c>
      <c r="F33" s="86">
        <v>0.63990217162325291</v>
      </c>
      <c r="G33" s="85">
        <v>16147931.30091279</v>
      </c>
      <c r="H33" s="86">
        <v>0.63990217162325302</v>
      </c>
      <c r="I33" s="85">
        <v>672830.47087136621</v>
      </c>
      <c r="J33" s="85" t="e">
        <v>#DIV/0!</v>
      </c>
      <c r="K33" s="85">
        <v>0</v>
      </c>
      <c r="M33">
        <v>33</v>
      </c>
      <c r="N33" s="12" t="s">
        <v>138</v>
      </c>
      <c r="O33" s="22">
        <v>0.8294117647058824</v>
      </c>
      <c r="P33" s="13">
        <v>66</v>
      </c>
      <c r="Q33" s="12">
        <v>75</v>
      </c>
      <c r="R33" s="13">
        <v>170</v>
      </c>
      <c r="S33" s="13">
        <v>141</v>
      </c>
      <c r="T33" s="17">
        <v>3.5</v>
      </c>
    </row>
    <row r="34" spans="1:20" ht="15.75" x14ac:dyDescent="0.25">
      <c r="A34" s="19" t="s">
        <v>138</v>
      </c>
      <c r="B34" s="96">
        <v>21000000</v>
      </c>
      <c r="C34" s="85">
        <v>10182739.196154164</v>
      </c>
      <c r="D34" s="85">
        <v>9826903.0216558874</v>
      </c>
      <c r="E34" s="85">
        <v>355836.17449827679</v>
      </c>
      <c r="F34" s="86">
        <v>0.48489234267400783</v>
      </c>
      <c r="G34" s="85">
        <v>10182739.196154164</v>
      </c>
      <c r="H34" s="86">
        <v>0.48489234267400783</v>
      </c>
      <c r="I34" s="85">
        <v>424280.79983975686</v>
      </c>
      <c r="J34" s="85" t="e">
        <v>#DIV/0!</v>
      </c>
      <c r="K34" s="85">
        <v>0</v>
      </c>
      <c r="M34">
        <v>37</v>
      </c>
      <c r="N34" s="12" t="s">
        <v>103</v>
      </c>
      <c r="O34" s="22">
        <v>0.76595744680851063</v>
      </c>
      <c r="P34" s="13">
        <v>82</v>
      </c>
      <c r="Q34" s="12">
        <v>26</v>
      </c>
      <c r="R34" s="13">
        <v>141</v>
      </c>
      <c r="S34" s="13">
        <v>108</v>
      </c>
      <c r="T34" s="17">
        <v>11.849999999999994</v>
      </c>
    </row>
    <row r="35" spans="1:20" ht="15.75" x14ac:dyDescent="0.25">
      <c r="A35" s="19" t="s">
        <v>103</v>
      </c>
      <c r="B35" s="96">
        <v>23484000</v>
      </c>
      <c r="C35" s="85">
        <v>12199626.288747994</v>
      </c>
      <c r="D35" s="85">
        <v>11962084.295876404</v>
      </c>
      <c r="E35" s="85">
        <v>237541.99287158996</v>
      </c>
      <c r="F35" s="86">
        <v>0.51948672665423246</v>
      </c>
      <c r="G35" s="85">
        <v>12199626.288747994</v>
      </c>
      <c r="H35" s="86">
        <v>0.51948672665423246</v>
      </c>
      <c r="I35" s="85">
        <v>508317.76203116641</v>
      </c>
      <c r="J35" s="85" t="e">
        <v>#DIV/0!</v>
      </c>
      <c r="K35" s="85">
        <v>0</v>
      </c>
      <c r="M35">
        <v>24</v>
      </c>
      <c r="N35" s="12" t="s">
        <v>204</v>
      </c>
      <c r="O35" s="22">
        <v>0.74011299435028244</v>
      </c>
      <c r="P35" s="13">
        <v>81</v>
      </c>
      <c r="Q35" s="12">
        <v>50</v>
      </c>
      <c r="R35" s="13">
        <v>177</v>
      </c>
      <c r="S35" s="13">
        <v>131</v>
      </c>
      <c r="T35" s="17">
        <v>19.449999999999989</v>
      </c>
    </row>
    <row r="36" spans="1:20" ht="15.75" x14ac:dyDescent="0.25">
      <c r="A36" s="19" t="s">
        <v>204</v>
      </c>
      <c r="B36" s="96">
        <v>25235000</v>
      </c>
      <c r="C36" s="85">
        <v>15341981.696633715</v>
      </c>
      <c r="D36" s="85">
        <v>14125312.527919717</v>
      </c>
      <c r="E36" s="85">
        <v>1216669.168713998</v>
      </c>
      <c r="F36" s="86">
        <v>0.60796440248201766</v>
      </c>
      <c r="G36" s="85">
        <v>15341981.696633715</v>
      </c>
      <c r="H36" s="86">
        <v>0.60796440248201766</v>
      </c>
      <c r="I36" s="85">
        <v>639249.23735973809</v>
      </c>
      <c r="J36" s="85" t="e">
        <v>#DIV/0!</v>
      </c>
      <c r="K36" s="85">
        <v>0</v>
      </c>
      <c r="M36">
        <v>7</v>
      </c>
      <c r="N36" s="12" t="s">
        <v>110</v>
      </c>
      <c r="O36" s="22">
        <v>0.10619469026548672</v>
      </c>
      <c r="P36" s="13">
        <v>0</v>
      </c>
      <c r="Q36" s="12">
        <v>12</v>
      </c>
      <c r="R36" s="13">
        <v>113</v>
      </c>
      <c r="S36" s="13">
        <v>12</v>
      </c>
      <c r="T36" s="17">
        <v>84.05</v>
      </c>
    </row>
    <row r="37" spans="1:20" ht="15.75" x14ac:dyDescent="0.25">
      <c r="A37" s="19" t="s">
        <v>110</v>
      </c>
      <c r="B37" s="96">
        <v>114000000</v>
      </c>
      <c r="C37" s="85">
        <v>60310074.301579997</v>
      </c>
      <c r="D37" s="85">
        <v>63084633.19438</v>
      </c>
      <c r="E37" s="85">
        <v>-2774558.8928000033</v>
      </c>
      <c r="F37" s="86">
        <v>0.52903573948754379</v>
      </c>
      <c r="G37" s="85">
        <v>60310074.301579997</v>
      </c>
      <c r="H37" s="86">
        <v>0.52903573948754379</v>
      </c>
      <c r="I37" s="85">
        <v>2512919.7625658331</v>
      </c>
      <c r="J37" s="85" t="e">
        <v>#DIV/0!</v>
      </c>
      <c r="K37" s="85">
        <v>0</v>
      </c>
      <c r="M37">
        <v>57</v>
      </c>
      <c r="N37" s="12" t="s">
        <v>225</v>
      </c>
      <c r="O37" s="22">
        <v>0.25242718446601942</v>
      </c>
      <c r="P37" s="13">
        <v>17</v>
      </c>
      <c r="Q37" s="12">
        <v>9</v>
      </c>
      <c r="R37" s="13">
        <v>103</v>
      </c>
      <c r="S37" s="13">
        <v>26</v>
      </c>
      <c r="T37" s="17">
        <v>61.55</v>
      </c>
    </row>
    <row r="38" spans="1:20" ht="15.75" x14ac:dyDescent="0.25">
      <c r="A38" s="19" t="s">
        <v>225</v>
      </c>
      <c r="B38" s="96">
        <v>33000000</v>
      </c>
      <c r="C38" s="85">
        <v>8530829.1755289156</v>
      </c>
      <c r="D38" s="85">
        <v>8075916.3275289154</v>
      </c>
      <c r="E38" s="85">
        <v>454912.84800000023</v>
      </c>
      <c r="F38" s="86">
        <v>0.25850997501602774</v>
      </c>
      <c r="G38" s="85">
        <v>8530829.1755289156</v>
      </c>
      <c r="H38" s="86">
        <v>0.25850997501602774</v>
      </c>
      <c r="I38" s="85">
        <v>355451.21564703813</v>
      </c>
      <c r="J38" s="85" t="e">
        <v>#DIV/0!</v>
      </c>
      <c r="K38" s="85">
        <v>0</v>
      </c>
      <c r="M38">
        <v>1</v>
      </c>
      <c r="N38" s="12" t="s">
        <v>80</v>
      </c>
      <c r="O38" s="22">
        <v>0.88888888888888884</v>
      </c>
      <c r="P38" s="13">
        <v>60</v>
      </c>
      <c r="Q38" s="12">
        <v>52</v>
      </c>
      <c r="R38" s="13">
        <v>126</v>
      </c>
      <c r="S38" s="13">
        <v>112</v>
      </c>
      <c r="T38" s="17">
        <v>-4.9000000000000057</v>
      </c>
    </row>
    <row r="39" spans="1:20" ht="16.5" thickBot="1" x14ac:dyDescent="0.3">
      <c r="A39" s="19" t="s">
        <v>80</v>
      </c>
      <c r="B39" s="96">
        <v>34629931.18</v>
      </c>
      <c r="C39" s="85">
        <v>30911208.95904449</v>
      </c>
      <c r="D39" s="85">
        <v>29484602.898633268</v>
      </c>
      <c r="E39" s="85">
        <v>1426606.0604112223</v>
      </c>
      <c r="F39" s="86">
        <v>0.89261537363079713</v>
      </c>
      <c r="G39" s="85">
        <v>30911208.959044494</v>
      </c>
      <c r="H39" s="86">
        <v>0.89261537363079724</v>
      </c>
      <c r="I39" s="85">
        <v>1287967.0399601872</v>
      </c>
      <c r="J39" s="85" t="e">
        <v>#DIV/0!</v>
      </c>
      <c r="K39" s="85">
        <v>0</v>
      </c>
      <c r="N39" s="3" t="s">
        <v>222</v>
      </c>
      <c r="O39" s="23"/>
      <c r="P39" s="14"/>
      <c r="Q39" s="8">
        <v>666</v>
      </c>
      <c r="R39" s="8">
        <v>1935</v>
      </c>
      <c r="S39" s="8">
        <v>1388</v>
      </c>
      <c r="T39" s="8"/>
    </row>
    <row r="40" spans="1:20" ht="16.5" thickBot="1" x14ac:dyDescent="0.3">
      <c r="A40" s="3" t="s">
        <v>222</v>
      </c>
      <c r="B40" s="92">
        <v>484789507.47726256</v>
      </c>
      <c r="C40" s="89">
        <v>313528808.18343693</v>
      </c>
      <c r="D40" s="85">
        <v>308291914.94070017</v>
      </c>
      <c r="E40" s="89">
        <v>5236893.2427367568</v>
      </c>
      <c r="F40" s="88">
        <v>0.64673183587444283</v>
      </c>
      <c r="G40" s="87">
        <v>313528808.18343693</v>
      </c>
      <c r="H40" s="88">
        <v>0.64673183587444283</v>
      </c>
      <c r="I40" s="87">
        <v>13063700.340976538</v>
      </c>
      <c r="J40" s="89" t="e">
        <v>#DIV/0!</v>
      </c>
      <c r="K40" s="89"/>
      <c r="N40" s="11" t="s">
        <v>42</v>
      </c>
      <c r="O40" s="24"/>
      <c r="P40" s="6"/>
      <c r="Q40" s="8">
        <v>2098</v>
      </c>
      <c r="R40" s="8">
        <v>5665</v>
      </c>
      <c r="S40" s="8">
        <v>4426</v>
      </c>
      <c r="T40" s="8"/>
    </row>
    <row r="41" spans="1:20" ht="15.75" x14ac:dyDescent="0.25">
      <c r="A41" s="93" t="s">
        <v>42</v>
      </c>
      <c r="B41" s="94">
        <v>1314063949.6125104</v>
      </c>
      <c r="C41" s="94">
        <v>1100205510.1859536</v>
      </c>
      <c r="D41" s="85">
        <v>1064954933.0728519</v>
      </c>
      <c r="E41" s="94">
        <v>35250577.113101721</v>
      </c>
      <c r="F41" s="95">
        <v>0.83725416142066822</v>
      </c>
      <c r="G41" s="94">
        <v>1100205510.1859536</v>
      </c>
      <c r="H41" s="95">
        <v>0.83725416142066822</v>
      </c>
      <c r="I41" s="94">
        <v>45841896.257748067</v>
      </c>
      <c r="J41" s="94" t="e">
        <v>#DIV/0!</v>
      </c>
      <c r="K41" s="94"/>
      <c r="M41">
        <v>58</v>
      </c>
      <c r="N41" s="13" t="s">
        <v>144</v>
      </c>
      <c r="O41" s="22">
        <v>0.33628318584070799</v>
      </c>
      <c r="P41" s="13">
        <v>60</v>
      </c>
      <c r="Q41" s="12">
        <v>-22</v>
      </c>
      <c r="R41" s="13">
        <v>113</v>
      </c>
      <c r="S41" s="13">
        <v>38</v>
      </c>
      <c r="T41" s="17">
        <v>58.05</v>
      </c>
    </row>
    <row r="42" spans="1:20" x14ac:dyDescent="0.25">
      <c r="A42" s="43" t="s">
        <v>30</v>
      </c>
      <c r="B42" s="43" t="s">
        <v>31</v>
      </c>
      <c r="C42" s="43" t="s">
        <v>32</v>
      </c>
      <c r="D42" s="43" t="s">
        <v>32</v>
      </c>
      <c r="E42" s="43" t="s">
        <v>33</v>
      </c>
      <c r="F42" s="82" t="s">
        <v>41</v>
      </c>
      <c r="G42" s="83" t="s">
        <v>45</v>
      </c>
      <c r="H42" s="82" t="s">
        <v>46</v>
      </c>
      <c r="I42" s="43" t="s">
        <v>35</v>
      </c>
      <c r="J42" s="43" t="s">
        <v>34</v>
      </c>
      <c r="K42" s="43" t="s">
        <v>53</v>
      </c>
      <c r="M42">
        <v>59</v>
      </c>
      <c r="N42" s="13" t="s">
        <v>145</v>
      </c>
      <c r="O42" s="22">
        <v>0.5663716814159292</v>
      </c>
      <c r="P42" s="13">
        <v>60</v>
      </c>
      <c r="Q42" s="12">
        <v>4</v>
      </c>
      <c r="R42" s="13">
        <v>113</v>
      </c>
      <c r="S42" s="13">
        <v>64</v>
      </c>
      <c r="T42" s="17">
        <v>32.049999999999997</v>
      </c>
    </row>
    <row r="43" spans="1:20" ht="15.75" x14ac:dyDescent="0.25">
      <c r="A43" s="19" t="s">
        <v>144</v>
      </c>
      <c r="B43" s="96">
        <v>40000000</v>
      </c>
      <c r="C43" s="85">
        <v>19702264.930524979</v>
      </c>
      <c r="D43" s="85">
        <v>19702264.930524979</v>
      </c>
      <c r="E43" s="85">
        <v>0</v>
      </c>
      <c r="F43" s="86">
        <v>0.49255662326312449</v>
      </c>
      <c r="G43" s="85">
        <v>19702264.930524979</v>
      </c>
      <c r="H43" s="86">
        <v>0.49255662326312449</v>
      </c>
      <c r="I43" s="85">
        <v>820927.70543854078</v>
      </c>
      <c r="J43" s="85" t="e">
        <v>#DIV/0!</v>
      </c>
      <c r="K43" s="85">
        <v>0</v>
      </c>
    </row>
    <row r="44" spans="1:20" ht="15.75" x14ac:dyDescent="0.25">
      <c r="A44" s="19" t="s">
        <v>145</v>
      </c>
      <c r="B44" s="96">
        <v>30000000</v>
      </c>
      <c r="C44" s="85">
        <v>7943645.3323342865</v>
      </c>
      <c r="D44" s="85">
        <v>7943645.3323342865</v>
      </c>
      <c r="E44" s="85">
        <v>0</v>
      </c>
      <c r="F44" s="86">
        <v>0.26478817774447622</v>
      </c>
      <c r="G44" s="85">
        <v>7943645.3323342865</v>
      </c>
      <c r="H44" s="86">
        <v>0.26478817774447622</v>
      </c>
      <c r="I44" s="85">
        <v>330985.22218059527</v>
      </c>
      <c r="J44" s="85" t="e">
        <v>#DIV/0!</v>
      </c>
      <c r="K44" s="85">
        <v>0</v>
      </c>
    </row>
  </sheetData>
  <conditionalFormatting sqref="F2:F9 F11:F15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17:F25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27:F39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43:F44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2:O14">
    <cfRule type="iconSet" priority="4">
      <iconSet iconSet="3Arrows">
        <cfvo type="percent" val="0"/>
        <cfvo type="percent" val="33"/>
        <cfvo type="percent" val="67"/>
      </iconSet>
    </cfRule>
  </conditionalFormatting>
  <conditionalFormatting sqref="O16:O24">
    <cfRule type="iconSet" priority="3">
      <iconSet iconSet="3Arrows">
        <cfvo type="percent" val="0"/>
        <cfvo type="percent" val="33"/>
        <cfvo type="percent" val="67"/>
      </iconSet>
    </cfRule>
  </conditionalFormatting>
  <conditionalFormatting sqref="O26:O38">
    <cfRule type="iconSet" priority="2">
      <iconSet iconSet="3Arrows">
        <cfvo type="percent" val="0"/>
        <cfvo type="percent" val="33"/>
        <cfvo type="percent" val="67"/>
      </iconSet>
    </cfRule>
  </conditionalFormatting>
  <conditionalFormatting sqref="O41:O42">
    <cfRule type="iconSet" priority="1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507CA9-99F9-4CEF-80C7-E4107E25939D}">
  <dimension ref="A1:V44"/>
  <sheetViews>
    <sheetView workbookViewId="0">
      <selection activeCell="E25" sqref="A25:E26"/>
    </sheetView>
  </sheetViews>
  <sheetFormatPr baseColWidth="10" defaultRowHeight="15" x14ac:dyDescent="0.25"/>
  <cols>
    <col min="1" max="1" width="24.85546875" bestFit="1" customWidth="1"/>
    <col min="2" max="2" width="47.85546875" bestFit="1" customWidth="1"/>
    <col min="3" max="3" width="17.85546875" bestFit="1" customWidth="1"/>
    <col min="4" max="5" width="32" bestFit="1" customWidth="1"/>
    <col min="6" max="6" width="26.85546875" bestFit="1" customWidth="1"/>
    <col min="7" max="7" width="24.42578125" bestFit="1" customWidth="1"/>
    <col min="8" max="8" width="17.7109375" bestFit="1" customWidth="1"/>
    <col min="9" max="9" width="34.140625" bestFit="1" customWidth="1"/>
    <col min="10" max="10" width="15" bestFit="1" customWidth="1"/>
    <col min="11" max="11" width="21.85546875" bestFit="1" customWidth="1"/>
    <col min="12" max="12" width="14.140625" bestFit="1" customWidth="1"/>
  </cols>
  <sheetData>
    <row r="1" spans="1:22" ht="15.75" thickBot="1" x14ac:dyDescent="0.3">
      <c r="A1" s="97" t="s">
        <v>205</v>
      </c>
      <c r="B1" s="97" t="s">
        <v>75</v>
      </c>
      <c r="C1" s="97" t="s">
        <v>31</v>
      </c>
      <c r="D1" s="97" t="s">
        <v>32</v>
      </c>
      <c r="E1" s="97" t="s">
        <v>39</v>
      </c>
      <c r="F1" s="97" t="s">
        <v>33</v>
      </c>
      <c r="G1" s="98" t="s">
        <v>41</v>
      </c>
      <c r="H1" s="99" t="s">
        <v>45</v>
      </c>
      <c r="I1" s="98" t="s">
        <v>46</v>
      </c>
      <c r="J1" s="97" t="s">
        <v>35</v>
      </c>
      <c r="K1" s="97" t="s">
        <v>34</v>
      </c>
      <c r="L1" s="97" t="s">
        <v>53</v>
      </c>
      <c r="N1" s="80" t="s">
        <v>205</v>
      </c>
      <c r="P1" s="81" t="s">
        <v>75</v>
      </c>
      <c r="Q1" s="21" t="s">
        <v>43</v>
      </c>
      <c r="R1" s="15" t="s">
        <v>50</v>
      </c>
      <c r="S1" s="7" t="s">
        <v>44</v>
      </c>
      <c r="T1" s="7" t="s">
        <v>48</v>
      </c>
      <c r="U1" s="7" t="s">
        <v>49</v>
      </c>
      <c r="V1" s="7" t="s">
        <v>54</v>
      </c>
    </row>
    <row r="2" spans="1:22" ht="15.75" x14ac:dyDescent="0.25">
      <c r="A2" s="123" t="s">
        <v>206</v>
      </c>
      <c r="B2" s="68" t="s">
        <v>94</v>
      </c>
      <c r="C2" s="100">
        <v>30741977.750715002</v>
      </c>
      <c r="D2" s="101">
        <v>45393596.318009116</v>
      </c>
      <c r="E2" s="101">
        <v>44565213.776346438</v>
      </c>
      <c r="F2" s="101">
        <v>828382.54166267812</v>
      </c>
      <c r="G2" s="102">
        <v>1.4765997388360397</v>
      </c>
      <c r="H2" s="101">
        <v>45393596.318009116</v>
      </c>
      <c r="I2" s="102">
        <v>1.4765997388360397</v>
      </c>
      <c r="J2" s="101">
        <v>1891399.8465837131</v>
      </c>
      <c r="K2" s="101" t="e">
        <v>#DIV/0!</v>
      </c>
      <c r="L2" s="103">
        <v>907871.92636018235</v>
      </c>
      <c r="N2" s="150" t="s">
        <v>37</v>
      </c>
      <c r="O2">
        <v>22</v>
      </c>
      <c r="P2" s="12" t="s">
        <v>96</v>
      </c>
      <c r="Q2" s="22">
        <v>0.84722222222222221</v>
      </c>
      <c r="R2" s="13">
        <v>33</v>
      </c>
      <c r="S2" s="12">
        <v>28</v>
      </c>
      <c r="T2" s="13">
        <v>72</v>
      </c>
      <c r="U2" s="13">
        <v>61</v>
      </c>
      <c r="V2" s="17">
        <v>0.19999999999999574</v>
      </c>
    </row>
    <row r="3" spans="1:22" ht="15.75" x14ac:dyDescent="0.25">
      <c r="A3" s="124"/>
      <c r="B3" s="19" t="s">
        <v>93</v>
      </c>
      <c r="C3" s="104">
        <v>29507360.170365002</v>
      </c>
      <c r="D3" s="85">
        <v>35395968.509754337</v>
      </c>
      <c r="E3" s="85">
        <v>34367103.860738821</v>
      </c>
      <c r="F3" s="85">
        <v>1028864.649015516</v>
      </c>
      <c r="G3" s="86">
        <v>1.1995640513211145</v>
      </c>
      <c r="H3" s="85">
        <v>35395968.509754337</v>
      </c>
      <c r="I3" s="86">
        <v>1.1995640513211145</v>
      </c>
      <c r="J3" s="85">
        <v>1474832.0212397641</v>
      </c>
      <c r="K3" s="85" t="e">
        <v>#DIV/0!</v>
      </c>
      <c r="L3" s="105">
        <v>707919.37019508681</v>
      </c>
      <c r="N3" s="150"/>
      <c r="O3">
        <v>49</v>
      </c>
      <c r="P3" s="13" t="s">
        <v>106</v>
      </c>
      <c r="Q3" s="22">
        <v>0.42259414225941422</v>
      </c>
      <c r="R3" s="13">
        <v>1</v>
      </c>
      <c r="S3" s="12">
        <v>100</v>
      </c>
      <c r="T3" s="13">
        <v>239</v>
      </c>
      <c r="U3" s="13">
        <v>101</v>
      </c>
      <c r="V3" s="17">
        <v>102.15</v>
      </c>
    </row>
    <row r="4" spans="1:22" ht="15.75" x14ac:dyDescent="0.25">
      <c r="A4" s="124"/>
      <c r="B4" s="19" t="s">
        <v>91</v>
      </c>
      <c r="C4" s="104">
        <v>27038125.009665001</v>
      </c>
      <c r="D4" s="85">
        <v>27694208.38973878</v>
      </c>
      <c r="E4" s="85">
        <v>27411105.047851767</v>
      </c>
      <c r="F4" s="85">
        <v>283103.34188701212</v>
      </c>
      <c r="G4" s="86">
        <v>1.0242651211886644</v>
      </c>
      <c r="H4" s="85">
        <v>27694208.389738783</v>
      </c>
      <c r="I4" s="86">
        <v>1.0242651211886644</v>
      </c>
      <c r="J4" s="85">
        <v>1153925.3495724492</v>
      </c>
      <c r="K4" s="85" t="e">
        <v>#DIV/0!</v>
      </c>
      <c r="L4" s="105">
        <v>276942.08389738784</v>
      </c>
      <c r="N4" s="150"/>
      <c r="O4">
        <v>20</v>
      </c>
      <c r="P4" s="13" t="s">
        <v>94</v>
      </c>
      <c r="Q4" s="22">
        <v>0.92920353982300885</v>
      </c>
      <c r="R4" s="13">
        <v>126</v>
      </c>
      <c r="S4" s="12">
        <v>84</v>
      </c>
      <c r="T4" s="13">
        <v>226</v>
      </c>
      <c r="U4" s="13">
        <v>210</v>
      </c>
      <c r="V4" s="17">
        <v>-17.900000000000006</v>
      </c>
    </row>
    <row r="5" spans="1:22" ht="15.75" x14ac:dyDescent="0.25">
      <c r="A5" s="124"/>
      <c r="B5" s="19" t="s">
        <v>89</v>
      </c>
      <c r="C5" s="104">
        <v>27038125.009665001</v>
      </c>
      <c r="D5" s="85">
        <v>34958252.60867209</v>
      </c>
      <c r="E5" s="85">
        <v>33251965.370231558</v>
      </c>
      <c r="F5" s="85">
        <v>1706287.2384405322</v>
      </c>
      <c r="G5" s="86">
        <v>1.2929244389607628</v>
      </c>
      <c r="H5" s="85">
        <v>34958252.60867209</v>
      </c>
      <c r="I5" s="86">
        <v>1.2929244389607628</v>
      </c>
      <c r="J5" s="85">
        <v>1456593.8586946705</v>
      </c>
      <c r="K5" s="85" t="e">
        <v>#DIV/0!</v>
      </c>
      <c r="L5" s="105">
        <v>699165.05217344186</v>
      </c>
      <c r="N5" s="150"/>
      <c r="O5">
        <v>15</v>
      </c>
      <c r="P5" s="13" t="s">
        <v>90</v>
      </c>
      <c r="Q5" s="22">
        <v>0.81538461538461537</v>
      </c>
      <c r="R5" s="13">
        <v>21</v>
      </c>
      <c r="S5" s="12">
        <v>32</v>
      </c>
      <c r="T5" s="13">
        <v>65</v>
      </c>
      <c r="U5" s="13">
        <v>53</v>
      </c>
      <c r="V5" s="17">
        <v>2.25</v>
      </c>
    </row>
    <row r="6" spans="1:22" ht="15.75" x14ac:dyDescent="0.25">
      <c r="A6" s="124"/>
      <c r="B6" s="19" t="s">
        <v>209</v>
      </c>
      <c r="C6" s="104">
        <v>22408309.083352499</v>
      </c>
      <c r="D6" s="85">
        <v>17283627.579417564</v>
      </c>
      <c r="E6" s="85">
        <v>16972113.7561673</v>
      </c>
      <c r="F6" s="85">
        <v>311513.82325026393</v>
      </c>
      <c r="G6" s="86">
        <v>0.77130440833921976</v>
      </c>
      <c r="H6" s="85">
        <v>17283627.579417564</v>
      </c>
      <c r="I6" s="86">
        <v>0.77130440833921976</v>
      </c>
      <c r="J6" s="85">
        <v>720151.1491423985</v>
      </c>
      <c r="K6" s="85" t="e">
        <v>#DIV/0!</v>
      </c>
      <c r="L6" s="105">
        <v>0</v>
      </c>
      <c r="N6" s="150"/>
      <c r="O6">
        <v>19</v>
      </c>
      <c r="P6" s="13" t="s">
        <v>93</v>
      </c>
      <c r="Q6" s="22">
        <v>0.88405797101449279</v>
      </c>
      <c r="R6" s="13">
        <v>100</v>
      </c>
      <c r="S6" s="12">
        <v>83</v>
      </c>
      <c r="T6" s="13">
        <v>207</v>
      </c>
      <c r="U6" s="13">
        <v>183</v>
      </c>
      <c r="V6" s="17">
        <v>-7.0500000000000114</v>
      </c>
    </row>
    <row r="7" spans="1:22" ht="15.75" x14ac:dyDescent="0.25">
      <c r="A7" s="124"/>
      <c r="B7" s="19" t="s">
        <v>85</v>
      </c>
      <c r="C7" s="104">
        <v>26420816.219490003</v>
      </c>
      <c r="D7" s="85">
        <v>26532043.464193381</v>
      </c>
      <c r="E7" s="85">
        <v>24547361.284495667</v>
      </c>
      <c r="F7" s="85">
        <v>1984682.1796977147</v>
      </c>
      <c r="G7" s="86">
        <v>1.0042098337833079</v>
      </c>
      <c r="H7" s="85">
        <v>26532043.464193381</v>
      </c>
      <c r="I7" s="86">
        <v>1.0042098337833079</v>
      </c>
      <c r="J7" s="85">
        <v>1105501.8110080576</v>
      </c>
      <c r="K7" s="85" t="e">
        <v>#DIV/0!</v>
      </c>
      <c r="L7" s="105">
        <v>265320.43464193383</v>
      </c>
      <c r="N7" s="150"/>
      <c r="O7">
        <v>16</v>
      </c>
      <c r="P7" s="13" t="s">
        <v>91</v>
      </c>
      <c r="Q7" s="22">
        <v>0.86363636363636365</v>
      </c>
      <c r="R7" s="13">
        <v>81</v>
      </c>
      <c r="S7" s="12">
        <v>90</v>
      </c>
      <c r="T7" s="13">
        <v>198</v>
      </c>
      <c r="U7" s="13">
        <v>171</v>
      </c>
      <c r="V7" s="17">
        <v>-2.7000000000000171</v>
      </c>
    </row>
    <row r="8" spans="1:22" ht="15.75" x14ac:dyDescent="0.25">
      <c r="A8" s="124"/>
      <c r="B8" s="19" t="s">
        <v>84</v>
      </c>
      <c r="C8" s="104">
        <v>34124829.920874</v>
      </c>
      <c r="D8" s="85">
        <v>36334954.893270783</v>
      </c>
      <c r="E8" s="85">
        <v>35445411.591822572</v>
      </c>
      <c r="F8" s="85">
        <v>889543.30144821107</v>
      </c>
      <c r="G8" s="86">
        <v>1.064765889750116</v>
      </c>
      <c r="H8" s="85">
        <v>36334954.893270783</v>
      </c>
      <c r="I8" s="86">
        <v>1.064765889750116</v>
      </c>
      <c r="J8" s="85">
        <v>1513956.4538862826</v>
      </c>
      <c r="K8" s="85" t="e">
        <v>#DIV/0!</v>
      </c>
      <c r="L8" s="105">
        <v>454186.93616588484</v>
      </c>
      <c r="N8" s="150"/>
      <c r="O8">
        <v>12</v>
      </c>
      <c r="P8" s="13" t="s">
        <v>89</v>
      </c>
      <c r="Q8" s="22">
        <v>0.85915492957746475</v>
      </c>
      <c r="R8" s="13">
        <v>89</v>
      </c>
      <c r="S8" s="12">
        <v>94</v>
      </c>
      <c r="T8" s="13">
        <v>213</v>
      </c>
      <c r="U8" s="13">
        <v>183</v>
      </c>
      <c r="V8" s="17">
        <v>-1.9500000000000171</v>
      </c>
    </row>
    <row r="9" spans="1:22" ht="15.75" x14ac:dyDescent="0.25">
      <c r="A9" s="124"/>
      <c r="B9" s="19" t="s">
        <v>83</v>
      </c>
      <c r="C9" s="104">
        <v>34124829.920874</v>
      </c>
      <c r="D9" s="85">
        <v>40070884.359823771</v>
      </c>
      <c r="E9" s="85">
        <v>39408089.840277895</v>
      </c>
      <c r="F9" s="85">
        <v>662794.51954587549</v>
      </c>
      <c r="G9" s="86">
        <v>1.1742442219561833</v>
      </c>
      <c r="H9" s="85">
        <v>40070884.359823771</v>
      </c>
      <c r="I9" s="86">
        <v>1.1742442219561833</v>
      </c>
      <c r="J9" s="85">
        <v>1669620.1816593239</v>
      </c>
      <c r="K9" s="85" t="e">
        <v>#DIV/0!</v>
      </c>
      <c r="L9" s="105">
        <v>801417.68719647545</v>
      </c>
      <c r="N9" s="150"/>
      <c r="O9">
        <v>11</v>
      </c>
      <c r="P9" s="30" t="s">
        <v>209</v>
      </c>
      <c r="Q9" s="22">
        <v>0.74691358024691357</v>
      </c>
      <c r="R9" s="13">
        <v>92</v>
      </c>
      <c r="S9" s="12">
        <v>29</v>
      </c>
      <c r="T9" s="13">
        <v>162</v>
      </c>
      <c r="U9" s="13">
        <v>121</v>
      </c>
      <c r="V9" s="17">
        <v>16.699999999999989</v>
      </c>
    </row>
    <row r="10" spans="1:22" ht="16.5" thickBot="1" x14ac:dyDescent="0.3">
      <c r="A10" s="125"/>
      <c r="B10" s="3"/>
      <c r="C10" s="106">
        <v>231404373.08500049</v>
      </c>
      <c r="D10" s="106">
        <v>263663536.1228798</v>
      </c>
      <c r="E10" s="107">
        <v>255968364.52793205</v>
      </c>
      <c r="F10" s="106">
        <v>7695171.5949478038</v>
      </c>
      <c r="G10" s="108">
        <v>1.1394060216227191</v>
      </c>
      <c r="H10" s="106">
        <v>263663536.1228798</v>
      </c>
      <c r="I10" s="108">
        <v>1.1394060216227191</v>
      </c>
      <c r="J10" s="106">
        <v>10985980.671786658</v>
      </c>
      <c r="K10" s="109" t="e">
        <v>#DIV/0!</v>
      </c>
      <c r="L10" s="110"/>
      <c r="N10" s="150"/>
      <c r="O10">
        <v>8</v>
      </c>
      <c r="P10" s="13" t="s">
        <v>85</v>
      </c>
      <c r="Q10" s="22">
        <v>0.87113402061855671</v>
      </c>
      <c r="R10" s="13">
        <v>64</v>
      </c>
      <c r="S10" s="12">
        <v>105</v>
      </c>
      <c r="T10" s="13">
        <v>194</v>
      </c>
      <c r="U10" s="13">
        <v>169</v>
      </c>
      <c r="V10" s="17">
        <v>-4.0999999999999943</v>
      </c>
    </row>
    <row r="11" spans="1:22" ht="15.75" x14ac:dyDescent="0.25">
      <c r="A11" s="123" t="s">
        <v>207</v>
      </c>
      <c r="B11" s="68" t="s">
        <v>96</v>
      </c>
      <c r="C11" s="100">
        <v>92354236.647750005</v>
      </c>
      <c r="D11" s="101">
        <v>94799866.546719819</v>
      </c>
      <c r="E11" s="101">
        <v>93863435.05905427</v>
      </c>
      <c r="F11" s="101">
        <v>936431.48766554892</v>
      </c>
      <c r="G11" s="102">
        <v>1.0264809713960144</v>
      </c>
      <c r="H11" s="101">
        <v>94799866.546719819</v>
      </c>
      <c r="I11" s="102">
        <v>1.0264809713960144</v>
      </c>
      <c r="J11" s="101">
        <v>3949994.4394466593</v>
      </c>
      <c r="K11" s="101" t="e">
        <v>#DIV/0!</v>
      </c>
      <c r="L11" s="103">
        <v>473999.33273359912</v>
      </c>
      <c r="N11" s="150"/>
      <c r="O11">
        <v>52</v>
      </c>
      <c r="P11" s="31" t="s">
        <v>111</v>
      </c>
      <c r="Q11" s="32">
        <v>0.57425742574257421</v>
      </c>
      <c r="R11" s="31">
        <v>19</v>
      </c>
      <c r="S11" s="33">
        <v>39</v>
      </c>
      <c r="T11" s="13">
        <v>101</v>
      </c>
      <c r="U11" s="13">
        <v>58</v>
      </c>
      <c r="V11" s="34">
        <v>27.849999999999994</v>
      </c>
    </row>
    <row r="12" spans="1:22" ht="15.75" x14ac:dyDescent="0.25">
      <c r="A12" s="124"/>
      <c r="B12" s="19" t="s">
        <v>106</v>
      </c>
      <c r="C12" s="104">
        <v>30124668.960540004</v>
      </c>
      <c r="D12" s="85">
        <v>22603163.745717153</v>
      </c>
      <c r="E12" s="85">
        <v>22603163.745717153</v>
      </c>
      <c r="F12" s="85">
        <v>0</v>
      </c>
      <c r="G12" s="86">
        <v>0.75032073465520255</v>
      </c>
      <c r="H12" s="85">
        <v>22603163.745717153</v>
      </c>
      <c r="I12" s="86">
        <v>0.75032073465520255</v>
      </c>
      <c r="J12" s="85">
        <v>941798.48940488137</v>
      </c>
      <c r="K12" s="85" t="e">
        <v>#DIV/0!</v>
      </c>
      <c r="L12" s="105">
        <v>0</v>
      </c>
      <c r="N12" s="150"/>
      <c r="O12">
        <v>53</v>
      </c>
      <c r="P12" s="31" t="s">
        <v>107</v>
      </c>
      <c r="Q12" s="32">
        <v>0.65714285714285714</v>
      </c>
      <c r="R12" s="31">
        <v>24</v>
      </c>
      <c r="S12" s="33">
        <v>45</v>
      </c>
      <c r="T12" s="13">
        <v>105</v>
      </c>
      <c r="U12" s="13">
        <v>69</v>
      </c>
      <c r="V12" s="34">
        <v>20.25</v>
      </c>
    </row>
    <row r="13" spans="1:22" ht="15.75" x14ac:dyDescent="0.25">
      <c r="A13" s="124"/>
      <c r="B13" s="19" t="s">
        <v>90</v>
      </c>
      <c r="C13" s="104">
        <v>122251348.64249998</v>
      </c>
      <c r="D13" s="85">
        <v>141940010.40242097</v>
      </c>
      <c r="E13" s="85">
        <v>127305877.76156662</v>
      </c>
      <c r="F13" s="85">
        <v>14634132.640854344</v>
      </c>
      <c r="G13" s="86">
        <v>1.161050671248598</v>
      </c>
      <c r="H13" s="85">
        <v>141940010.40242097</v>
      </c>
      <c r="I13" s="86">
        <v>1.161050671248598</v>
      </c>
      <c r="J13" s="85">
        <v>5914167.100100874</v>
      </c>
      <c r="K13" s="85" t="e">
        <v>#DIV/0!</v>
      </c>
      <c r="L13" s="105">
        <v>1774250.1300302623</v>
      </c>
      <c r="N13" s="150"/>
      <c r="O13">
        <v>5</v>
      </c>
      <c r="P13" s="13" t="s">
        <v>84</v>
      </c>
      <c r="Q13" s="22">
        <v>0.90769230769230769</v>
      </c>
      <c r="R13" s="13">
        <v>144</v>
      </c>
      <c r="S13" s="12">
        <v>92</v>
      </c>
      <c r="T13" s="13">
        <v>260</v>
      </c>
      <c r="U13" s="13">
        <v>236</v>
      </c>
      <c r="V13" s="17">
        <v>-15</v>
      </c>
    </row>
    <row r="14" spans="1:22" ht="16.5" thickBot="1" x14ac:dyDescent="0.3">
      <c r="A14" s="124"/>
      <c r="B14" s="19" t="s">
        <v>111</v>
      </c>
      <c r="C14" s="104">
        <v>40427673.7095</v>
      </c>
      <c r="D14" s="85">
        <v>45912073.796316572</v>
      </c>
      <c r="E14" s="85">
        <v>45568237.209316574</v>
      </c>
      <c r="F14" s="85">
        <v>343836.5869999975</v>
      </c>
      <c r="G14" s="86">
        <v>1.1356595515790908</v>
      </c>
      <c r="H14" s="85">
        <v>45912073.796316572</v>
      </c>
      <c r="I14" s="86">
        <v>1.1356595515790908</v>
      </c>
      <c r="J14" s="85">
        <v>1913003.0748465238</v>
      </c>
      <c r="K14" s="85" t="e">
        <v>#DIV/0!</v>
      </c>
      <c r="L14" s="105">
        <v>688681.10694474855</v>
      </c>
      <c r="N14" s="150"/>
      <c r="O14">
        <v>4</v>
      </c>
      <c r="P14" s="10" t="s">
        <v>83</v>
      </c>
      <c r="Q14" s="22">
        <v>0.87912087912087911</v>
      </c>
      <c r="R14" s="13">
        <v>85</v>
      </c>
      <c r="S14" s="12">
        <v>75</v>
      </c>
      <c r="T14" s="13">
        <v>182</v>
      </c>
      <c r="U14" s="13">
        <v>160</v>
      </c>
      <c r="V14" s="17">
        <v>-5.3000000000000114</v>
      </c>
    </row>
    <row r="15" spans="1:22" ht="16.5" thickBot="1" x14ac:dyDescent="0.3">
      <c r="A15" s="124"/>
      <c r="B15" s="19" t="s">
        <v>107</v>
      </c>
      <c r="C15" s="104">
        <v>40427673.7095</v>
      </c>
      <c r="D15" s="85">
        <v>43411568.362539537</v>
      </c>
      <c r="E15" s="85">
        <v>38423938.748043507</v>
      </c>
      <c r="F15" s="85">
        <v>4987629.6144960299</v>
      </c>
      <c r="G15" s="86">
        <v>1.0738082204403059</v>
      </c>
      <c r="H15" s="85">
        <v>43411568.362539537</v>
      </c>
      <c r="I15" s="86">
        <v>1.0738082204403059</v>
      </c>
      <c r="J15" s="85">
        <v>1808815.3484391475</v>
      </c>
      <c r="K15" s="85" t="e">
        <v>#DIV/0!</v>
      </c>
      <c r="L15" s="105">
        <v>542644.60453174426</v>
      </c>
      <c r="N15" s="151"/>
      <c r="P15" s="9"/>
      <c r="Q15" s="23"/>
      <c r="R15" s="14"/>
      <c r="S15" s="16">
        <v>896</v>
      </c>
      <c r="T15" s="8">
        <v>2224</v>
      </c>
      <c r="U15" s="8">
        <v>1775</v>
      </c>
      <c r="V15" s="8"/>
    </row>
    <row r="16" spans="1:22" ht="16.5" thickBot="1" x14ac:dyDescent="0.3">
      <c r="A16" s="125"/>
      <c r="B16" s="3"/>
      <c r="C16" s="106">
        <v>325585601.66978997</v>
      </c>
      <c r="D16" s="106">
        <v>348666682.85371405</v>
      </c>
      <c r="E16" s="107">
        <v>327764652.52369809</v>
      </c>
      <c r="F16" s="106">
        <v>20902030.330015957</v>
      </c>
      <c r="G16" s="108">
        <v>1.0708909763378696</v>
      </c>
      <c r="H16" s="106">
        <v>348666682.85371405</v>
      </c>
      <c r="I16" s="108">
        <v>1.0708909763378696</v>
      </c>
      <c r="J16" s="106">
        <v>14527778.452238085</v>
      </c>
      <c r="K16" s="109" t="e">
        <v>#DIV/0!</v>
      </c>
      <c r="L16" s="110"/>
      <c r="N16" s="149" t="s">
        <v>38</v>
      </c>
      <c r="O16">
        <v>31</v>
      </c>
      <c r="P16" s="12" t="s">
        <v>100</v>
      </c>
      <c r="Q16" s="22">
        <v>0.87577639751552794</v>
      </c>
      <c r="R16" s="13">
        <v>90</v>
      </c>
      <c r="S16" s="12">
        <v>51</v>
      </c>
      <c r="T16" s="13">
        <v>161</v>
      </c>
      <c r="U16" s="13">
        <v>141</v>
      </c>
      <c r="V16" s="17">
        <v>-4.1500000000000057</v>
      </c>
    </row>
    <row r="17" spans="1:22" ht="15.75" x14ac:dyDescent="0.25">
      <c r="A17" s="126" t="s">
        <v>208</v>
      </c>
      <c r="B17" s="68" t="s">
        <v>81</v>
      </c>
      <c r="C17" s="69">
        <v>27940969.650000002</v>
      </c>
      <c r="D17" s="101">
        <v>23008075.675733715</v>
      </c>
      <c r="E17" s="101">
        <v>21141017.51366502</v>
      </c>
      <c r="F17" s="101">
        <v>1867058.1620686948</v>
      </c>
      <c r="G17" s="102">
        <v>0.82345301412020655</v>
      </c>
      <c r="H17" s="101">
        <v>23008075.675733715</v>
      </c>
      <c r="I17" s="102">
        <v>0.82345301412020655</v>
      </c>
      <c r="J17" s="101">
        <v>958669.81982223818</v>
      </c>
      <c r="K17" s="101" t="e">
        <v>#DIV/0!</v>
      </c>
      <c r="L17" s="103">
        <v>0</v>
      </c>
      <c r="N17" s="150"/>
      <c r="O17">
        <v>54</v>
      </c>
      <c r="P17" s="13" t="s">
        <v>108</v>
      </c>
      <c r="Q17" s="22">
        <v>0.75742574257425743</v>
      </c>
      <c r="R17" s="13">
        <v>92</v>
      </c>
      <c r="S17" s="12">
        <v>61</v>
      </c>
      <c r="T17" s="13">
        <v>202</v>
      </c>
      <c r="U17" s="13">
        <v>153</v>
      </c>
      <c r="V17" s="17">
        <v>18.699999999999989</v>
      </c>
    </row>
    <row r="18" spans="1:22" ht="15.75" x14ac:dyDescent="0.25">
      <c r="A18" s="127"/>
      <c r="B18" s="19" t="s">
        <v>82</v>
      </c>
      <c r="C18" s="70">
        <v>23770958</v>
      </c>
      <c r="D18" s="85">
        <v>21347280.195745856</v>
      </c>
      <c r="E18" s="85">
        <v>20795973.727495987</v>
      </c>
      <c r="F18" s="85">
        <v>551306.4682498686</v>
      </c>
      <c r="G18" s="86">
        <v>0.89804038170215339</v>
      </c>
      <c r="H18" s="85">
        <v>21347280.195745856</v>
      </c>
      <c r="I18" s="86">
        <v>0.89804038170215339</v>
      </c>
      <c r="J18" s="85">
        <v>889470.00815607735</v>
      </c>
      <c r="K18" s="85" t="e">
        <v>#DIV/0!</v>
      </c>
      <c r="L18" s="105">
        <v>0</v>
      </c>
      <c r="N18" s="150"/>
      <c r="O18">
        <v>21</v>
      </c>
      <c r="P18" s="13" t="s">
        <v>95</v>
      </c>
      <c r="Q18" s="22">
        <v>0.88165680473372776</v>
      </c>
      <c r="R18" s="13">
        <v>88</v>
      </c>
      <c r="S18" s="12">
        <v>61</v>
      </c>
      <c r="T18" s="13">
        <v>169</v>
      </c>
      <c r="U18" s="13">
        <v>149</v>
      </c>
      <c r="V18" s="17">
        <v>-5.3499999999999943</v>
      </c>
    </row>
    <row r="19" spans="1:22" ht="15.75" x14ac:dyDescent="0.25">
      <c r="A19" s="127"/>
      <c r="B19" s="19" t="s">
        <v>92</v>
      </c>
      <c r="C19" s="70">
        <v>24625381.109999999</v>
      </c>
      <c r="D19" s="85">
        <v>20914182.851266399</v>
      </c>
      <c r="E19" s="85">
        <v>20409449.258921277</v>
      </c>
      <c r="F19" s="85">
        <v>504733.59234512225</v>
      </c>
      <c r="G19" s="86">
        <v>0.84929377368188064</v>
      </c>
      <c r="H19" s="85">
        <v>20914182.851266399</v>
      </c>
      <c r="I19" s="86">
        <v>0.84929377368188064</v>
      </c>
      <c r="J19" s="85">
        <v>871424.28546943329</v>
      </c>
      <c r="K19" s="85" t="e">
        <v>#DIV/0!</v>
      </c>
      <c r="L19" s="105">
        <v>0</v>
      </c>
      <c r="N19" s="150"/>
      <c r="O19">
        <v>23</v>
      </c>
      <c r="P19" s="13" t="s">
        <v>97</v>
      </c>
      <c r="Q19" s="22">
        <v>0.86875000000000002</v>
      </c>
      <c r="R19" s="13">
        <v>95</v>
      </c>
      <c r="S19" s="12">
        <v>44</v>
      </c>
      <c r="T19" s="13">
        <v>160</v>
      </c>
      <c r="U19" s="13">
        <v>139</v>
      </c>
      <c r="V19" s="17">
        <v>-3</v>
      </c>
    </row>
    <row r="20" spans="1:22" ht="15.75" x14ac:dyDescent="0.25">
      <c r="A20" s="127"/>
      <c r="B20" s="19" t="s">
        <v>95</v>
      </c>
      <c r="C20" s="70">
        <v>31950600</v>
      </c>
      <c r="D20" s="85">
        <v>35530749.500093952</v>
      </c>
      <c r="E20" s="85">
        <v>34626618.946611986</v>
      </c>
      <c r="F20" s="85">
        <v>904130.55348196626</v>
      </c>
      <c r="G20" s="86">
        <v>1.1120526531612538</v>
      </c>
      <c r="H20" s="85">
        <v>35530749.500093952</v>
      </c>
      <c r="I20" s="86">
        <v>1.1120526531612538</v>
      </c>
      <c r="J20" s="85">
        <v>1480447.8958372481</v>
      </c>
      <c r="K20" s="85" t="e">
        <v>#DIV/0!</v>
      </c>
      <c r="L20" s="105">
        <v>532961.24250140926</v>
      </c>
      <c r="N20" s="150"/>
      <c r="O20">
        <v>18</v>
      </c>
      <c r="P20" s="13" t="s">
        <v>92</v>
      </c>
      <c r="Q20" s="22">
        <v>0.90340909090909094</v>
      </c>
      <c r="R20" s="13">
        <v>83</v>
      </c>
      <c r="S20" s="12">
        <v>76</v>
      </c>
      <c r="T20" s="13">
        <v>176</v>
      </c>
      <c r="U20" s="13">
        <v>159</v>
      </c>
      <c r="V20" s="17">
        <v>-9.4000000000000057</v>
      </c>
    </row>
    <row r="21" spans="1:22" ht="15.75" x14ac:dyDescent="0.25">
      <c r="A21" s="127"/>
      <c r="B21" s="19" t="s">
        <v>97</v>
      </c>
      <c r="C21" s="70">
        <v>24246200</v>
      </c>
      <c r="D21" s="85">
        <v>24311433.850570053</v>
      </c>
      <c r="E21" s="85">
        <v>23897306.933388211</v>
      </c>
      <c r="F21" s="85">
        <v>414126.91718184203</v>
      </c>
      <c r="G21" s="86">
        <v>1.002690477294176</v>
      </c>
      <c r="H21" s="85">
        <v>24311433.850570053</v>
      </c>
      <c r="I21" s="86">
        <v>1.002690477294176</v>
      </c>
      <c r="J21" s="85">
        <v>1012976.4104404189</v>
      </c>
      <c r="K21" s="85" t="e">
        <v>#DIV/0!</v>
      </c>
      <c r="L21" s="105">
        <v>243114.33850570052</v>
      </c>
      <c r="N21" s="150"/>
      <c r="O21">
        <v>44</v>
      </c>
      <c r="P21" s="13" t="s">
        <v>160</v>
      </c>
      <c r="Q21" s="22">
        <v>0.85798816568047342</v>
      </c>
      <c r="R21" s="13">
        <v>64</v>
      </c>
      <c r="S21" s="12">
        <v>81</v>
      </c>
      <c r="T21" s="13">
        <v>169</v>
      </c>
      <c r="U21" s="13">
        <v>145</v>
      </c>
      <c r="V21" s="17">
        <v>-1.3499999999999943</v>
      </c>
    </row>
    <row r="22" spans="1:22" ht="15.75" x14ac:dyDescent="0.25">
      <c r="A22" s="127"/>
      <c r="B22" s="19" t="s">
        <v>100</v>
      </c>
      <c r="C22" s="70">
        <v>30231324</v>
      </c>
      <c r="D22" s="85">
        <v>31990809.200218577</v>
      </c>
      <c r="E22" s="85">
        <v>31311977.261892878</v>
      </c>
      <c r="F22" s="85">
        <v>678831.93832569942</v>
      </c>
      <c r="G22" s="86">
        <v>1.0582007324660534</v>
      </c>
      <c r="H22" s="85">
        <v>31990809.200218577</v>
      </c>
      <c r="I22" s="86">
        <v>1.0582007324660534</v>
      </c>
      <c r="J22" s="85">
        <v>1332950.3833424407</v>
      </c>
      <c r="K22" s="85" t="e">
        <v>#DIV/0!</v>
      </c>
      <c r="L22" s="105">
        <v>399885.11500273226</v>
      </c>
      <c r="N22" s="150"/>
      <c r="O22">
        <v>56</v>
      </c>
      <c r="P22" s="13" t="s">
        <v>139</v>
      </c>
      <c r="Q22" s="22">
        <v>0.51515151515151514</v>
      </c>
      <c r="R22" s="13">
        <v>66</v>
      </c>
      <c r="S22" s="12">
        <v>36</v>
      </c>
      <c r="T22" s="13">
        <v>198</v>
      </c>
      <c r="U22" s="13">
        <v>102</v>
      </c>
      <c r="V22" s="17">
        <v>66.299999999999983</v>
      </c>
    </row>
    <row r="23" spans="1:22" ht="15.75" x14ac:dyDescent="0.25">
      <c r="A23" s="127"/>
      <c r="B23" s="19" t="s">
        <v>160</v>
      </c>
      <c r="C23" s="70">
        <v>26129472.600000001</v>
      </c>
      <c r="D23" s="85">
        <v>23951255.389476955</v>
      </c>
      <c r="E23" s="85">
        <v>23685597.93476541</v>
      </c>
      <c r="F23" s="85">
        <v>265657.45471154526</v>
      </c>
      <c r="G23" s="86">
        <v>0.9166375363227558</v>
      </c>
      <c r="H23" s="85">
        <v>23951255.389476955</v>
      </c>
      <c r="I23" s="86">
        <v>0.9166375363227558</v>
      </c>
      <c r="J23" s="85">
        <v>997968.97456153983</v>
      </c>
      <c r="K23" s="85" t="e">
        <v>#DIV/0!</v>
      </c>
      <c r="L23" s="105">
        <v>0</v>
      </c>
      <c r="N23" s="150"/>
      <c r="O23">
        <v>2</v>
      </c>
      <c r="P23" s="13" t="s">
        <v>81</v>
      </c>
      <c r="Q23" s="22">
        <v>0.88405797101449279</v>
      </c>
      <c r="R23" s="13">
        <v>70</v>
      </c>
      <c r="S23" s="12">
        <v>52</v>
      </c>
      <c r="T23" s="13">
        <v>138</v>
      </c>
      <c r="U23" s="13">
        <v>122</v>
      </c>
      <c r="V23" s="17">
        <v>-4.7000000000000028</v>
      </c>
    </row>
    <row r="24" spans="1:22" ht="16.5" thickBot="1" x14ac:dyDescent="0.3">
      <c r="A24" s="127"/>
      <c r="B24" s="19" t="s">
        <v>108</v>
      </c>
      <c r="C24" s="70">
        <v>31899100</v>
      </c>
      <c r="D24" s="85">
        <v>35498698.652202927</v>
      </c>
      <c r="E24" s="85">
        <v>34270013.917461805</v>
      </c>
      <c r="F24" s="85">
        <v>1228684.7347411215</v>
      </c>
      <c r="G24" s="86">
        <v>1.1128432668069923</v>
      </c>
      <c r="H24" s="85">
        <v>35498698.652202927</v>
      </c>
      <c r="I24" s="86">
        <v>1.1128432668069923</v>
      </c>
      <c r="J24" s="85">
        <v>1479112.4438417887</v>
      </c>
      <c r="K24" s="85" t="e">
        <v>#DIV/0!</v>
      </c>
      <c r="L24" s="105">
        <v>532480.47978304385</v>
      </c>
      <c r="N24" s="150"/>
      <c r="O24">
        <v>3</v>
      </c>
      <c r="P24" s="10" t="s">
        <v>82</v>
      </c>
      <c r="Q24" s="22">
        <v>0.91176470588235292</v>
      </c>
      <c r="R24" s="13">
        <v>79</v>
      </c>
      <c r="S24" s="12">
        <v>76</v>
      </c>
      <c r="T24" s="13">
        <v>170</v>
      </c>
      <c r="U24" s="13">
        <v>155</v>
      </c>
      <c r="V24" s="17">
        <v>-10.5</v>
      </c>
    </row>
    <row r="25" spans="1:22" ht="16.5" thickBot="1" x14ac:dyDescent="0.3">
      <c r="A25" s="127"/>
      <c r="B25" s="19" t="s">
        <v>139</v>
      </c>
      <c r="C25" s="70">
        <v>51490431.300000004</v>
      </c>
      <c r="D25" s="85">
        <v>57026560.142817684</v>
      </c>
      <c r="E25" s="85">
        <v>54103973.955256805</v>
      </c>
      <c r="F25" s="85">
        <v>2922586.1875608787</v>
      </c>
      <c r="G25" s="86">
        <v>1.1075176242079308</v>
      </c>
      <c r="H25" s="85">
        <v>57026560.142817676</v>
      </c>
      <c r="I25" s="86">
        <v>1.1075176242079308</v>
      </c>
      <c r="J25" s="85">
        <v>2376106.6726174033</v>
      </c>
      <c r="K25" s="85" t="e">
        <v>#DIV/0!</v>
      </c>
      <c r="L25" s="105">
        <v>855398.40214226511</v>
      </c>
      <c r="N25" s="151"/>
      <c r="P25" s="9"/>
      <c r="Q25" s="23"/>
      <c r="R25" s="14"/>
      <c r="S25" s="16">
        <v>538</v>
      </c>
      <c r="T25" s="8">
        <v>1543</v>
      </c>
      <c r="U25" s="8">
        <v>1265</v>
      </c>
      <c r="V25" s="8"/>
    </row>
    <row r="26" spans="1:22" ht="16.5" thickBot="1" x14ac:dyDescent="0.3">
      <c r="A26" s="128"/>
      <c r="B26" s="71"/>
      <c r="C26" s="109">
        <v>272284436.66000003</v>
      </c>
      <c r="D26" s="109">
        <v>273579045.45812613</v>
      </c>
      <c r="E26" s="107">
        <v>264241929.44945937</v>
      </c>
      <c r="F26" s="109">
        <v>9337116.0086667538</v>
      </c>
      <c r="G26" s="108">
        <v>1.0047546191549048</v>
      </c>
      <c r="H26" s="106">
        <v>273579045.45812613</v>
      </c>
      <c r="I26" s="108">
        <v>1.0047546191549048</v>
      </c>
      <c r="J26" s="106">
        <v>11399126.894088589</v>
      </c>
      <c r="K26" s="109" t="e">
        <v>#DIV/0!</v>
      </c>
      <c r="L26" s="110"/>
      <c r="N26" s="149" t="s">
        <v>222</v>
      </c>
      <c r="O26">
        <v>32</v>
      </c>
      <c r="P26" s="12" t="s">
        <v>211</v>
      </c>
      <c r="Q26" s="22">
        <v>0.8928571428571429</v>
      </c>
      <c r="R26" s="13">
        <v>20</v>
      </c>
      <c r="S26" s="12">
        <v>30</v>
      </c>
      <c r="T26" s="13">
        <v>56</v>
      </c>
      <c r="U26" s="13">
        <v>50</v>
      </c>
      <c r="V26" s="17">
        <v>-2.3999999999999986</v>
      </c>
    </row>
    <row r="27" spans="1:22" ht="15.75" x14ac:dyDescent="0.25">
      <c r="A27" s="123" t="s">
        <v>226</v>
      </c>
      <c r="B27" s="68" t="s">
        <v>211</v>
      </c>
      <c r="C27" s="111">
        <v>78074000</v>
      </c>
      <c r="D27" s="101">
        <v>63653251.999823965</v>
      </c>
      <c r="E27" s="101">
        <v>60993697.249844171</v>
      </c>
      <c r="F27" s="101">
        <v>2659554.749979794</v>
      </c>
      <c r="G27" s="102">
        <v>0.81529384942264982</v>
      </c>
      <c r="H27" s="101">
        <v>63653251.999823958</v>
      </c>
      <c r="I27" s="102">
        <v>0.81529384942264982</v>
      </c>
      <c r="J27" s="101">
        <v>2652218.8333259984</v>
      </c>
      <c r="K27" s="101" t="e">
        <v>#DIV/0!</v>
      </c>
      <c r="L27" s="103">
        <v>0</v>
      </c>
      <c r="N27" s="150"/>
      <c r="O27">
        <v>36</v>
      </c>
      <c r="P27" s="12" t="s">
        <v>213</v>
      </c>
      <c r="Q27" s="22">
        <v>0.59615384615384615</v>
      </c>
      <c r="R27" s="13">
        <v>68</v>
      </c>
      <c r="S27" s="12">
        <v>25</v>
      </c>
      <c r="T27" s="13">
        <v>156</v>
      </c>
      <c r="U27" s="13">
        <v>93</v>
      </c>
      <c r="V27" s="17">
        <v>39.599999999999994</v>
      </c>
    </row>
    <row r="28" spans="1:22" ht="15.75" x14ac:dyDescent="0.25">
      <c r="A28" s="124"/>
      <c r="B28" s="19" t="s">
        <v>213</v>
      </c>
      <c r="C28" s="112">
        <v>21000000</v>
      </c>
      <c r="D28" s="85">
        <v>6100258.9696078347</v>
      </c>
      <c r="E28" s="85">
        <v>5732153.5467419727</v>
      </c>
      <c r="F28" s="85">
        <v>368105.42286586203</v>
      </c>
      <c r="G28" s="86">
        <v>0.29048852236227785</v>
      </c>
      <c r="H28" s="85">
        <v>6100258.9696078347</v>
      </c>
      <c r="I28" s="86">
        <v>0.29048852236227785</v>
      </c>
      <c r="J28" s="85">
        <v>254177.45706699311</v>
      </c>
      <c r="K28" s="85" t="e">
        <v>#DIV/0!</v>
      </c>
      <c r="L28" s="105">
        <v>0</v>
      </c>
      <c r="N28" s="150"/>
      <c r="O28">
        <v>9</v>
      </c>
      <c r="P28" s="12" t="s">
        <v>86</v>
      </c>
      <c r="Q28" s="22">
        <v>0.86335403726708071</v>
      </c>
      <c r="R28" s="13">
        <v>80</v>
      </c>
      <c r="S28" s="12">
        <v>59</v>
      </c>
      <c r="T28" s="13">
        <v>161</v>
      </c>
      <c r="U28" s="13">
        <v>139</v>
      </c>
      <c r="V28" s="17">
        <v>-2.1500000000000057</v>
      </c>
    </row>
    <row r="29" spans="1:22" ht="15.75" x14ac:dyDescent="0.25">
      <c r="A29" s="124"/>
      <c r="B29" s="19" t="s">
        <v>86</v>
      </c>
      <c r="C29" s="112">
        <v>24514000</v>
      </c>
      <c r="D29" s="85">
        <v>19492468.816566739</v>
      </c>
      <c r="E29" s="85">
        <v>19123999.889380991</v>
      </c>
      <c r="F29" s="85">
        <v>368468.92718574777</v>
      </c>
      <c r="G29" s="86">
        <v>0.79515659690653251</v>
      </c>
      <c r="H29" s="85">
        <v>19492468.816566739</v>
      </c>
      <c r="I29" s="86">
        <v>0.79515659690653251</v>
      </c>
      <c r="J29" s="85">
        <v>812186.20069028076</v>
      </c>
      <c r="K29" s="85" t="e">
        <v>#DIV/0!</v>
      </c>
      <c r="L29" s="105">
        <v>0</v>
      </c>
      <c r="N29" s="150"/>
      <c r="O29">
        <v>40</v>
      </c>
      <c r="P29" s="12" t="s">
        <v>212</v>
      </c>
      <c r="Q29" s="22">
        <v>0.50602409638554213</v>
      </c>
      <c r="R29" s="13">
        <v>68</v>
      </c>
      <c r="S29" s="12">
        <v>58</v>
      </c>
      <c r="T29" s="13">
        <v>249</v>
      </c>
      <c r="U29" s="13">
        <v>126</v>
      </c>
      <c r="V29" s="17">
        <v>85.65</v>
      </c>
    </row>
    <row r="30" spans="1:22" ht="15.75" x14ac:dyDescent="0.25">
      <c r="A30" s="124"/>
      <c r="B30" s="19" t="s">
        <v>212</v>
      </c>
      <c r="C30" s="112">
        <v>36412576.297262542</v>
      </c>
      <c r="D30" s="85">
        <v>16503922.715982895</v>
      </c>
      <c r="E30" s="85">
        <v>16440938.962380162</v>
      </c>
      <c r="F30" s="85">
        <v>62983.753602733836</v>
      </c>
      <c r="G30" s="86">
        <v>0.45324787186847976</v>
      </c>
      <c r="H30" s="85">
        <v>16503922.715982895</v>
      </c>
      <c r="I30" s="86">
        <v>0.45324787186847976</v>
      </c>
      <c r="J30" s="85">
        <v>687663.44649928727</v>
      </c>
      <c r="K30" s="85" t="e">
        <v>#DIV/0!</v>
      </c>
      <c r="L30" s="105">
        <v>0</v>
      </c>
      <c r="N30" s="150"/>
      <c r="O30">
        <v>27</v>
      </c>
      <c r="P30" s="12" t="s">
        <v>98</v>
      </c>
      <c r="Q30" s="22">
        <v>0.8928571428571429</v>
      </c>
      <c r="R30" s="13">
        <v>73</v>
      </c>
      <c r="S30" s="12">
        <v>52</v>
      </c>
      <c r="T30" s="13">
        <v>140</v>
      </c>
      <c r="U30" s="13">
        <v>125</v>
      </c>
      <c r="V30" s="17">
        <v>-6</v>
      </c>
    </row>
    <row r="31" spans="1:22" ht="15.75" x14ac:dyDescent="0.25">
      <c r="A31" s="124"/>
      <c r="B31" s="19" t="s">
        <v>98</v>
      </c>
      <c r="C31" s="112">
        <v>24205000</v>
      </c>
      <c r="D31" s="85">
        <v>24517374.682820804</v>
      </c>
      <c r="E31" s="85">
        <v>23357151.213069141</v>
      </c>
      <c r="F31" s="85">
        <v>1160223.4697516635</v>
      </c>
      <c r="G31" s="86">
        <v>1.012905378344177</v>
      </c>
      <c r="H31" s="85">
        <v>24517374.682820804</v>
      </c>
      <c r="I31" s="86">
        <v>1.012905378344177</v>
      </c>
      <c r="J31" s="85">
        <v>1021557.2784508668</v>
      </c>
      <c r="K31" s="85" t="e">
        <v>#DIV/0!</v>
      </c>
      <c r="L31" s="105">
        <v>245173.74682820804</v>
      </c>
      <c r="N31" s="150"/>
      <c r="O31">
        <v>10</v>
      </c>
      <c r="P31" s="12" t="s">
        <v>210</v>
      </c>
      <c r="Q31" s="22">
        <v>0.72928176795580113</v>
      </c>
      <c r="R31" s="13">
        <v>40</v>
      </c>
      <c r="S31" s="12">
        <v>92</v>
      </c>
      <c r="T31" s="13">
        <v>181</v>
      </c>
      <c r="U31" s="13">
        <v>132</v>
      </c>
      <c r="V31" s="17">
        <v>21.849999999999994</v>
      </c>
    </row>
    <row r="32" spans="1:22" ht="15.75" x14ac:dyDescent="0.25">
      <c r="A32" s="124"/>
      <c r="B32" s="19" t="s">
        <v>210</v>
      </c>
      <c r="C32" s="112">
        <v>24000000</v>
      </c>
      <c r="D32" s="85">
        <v>17154799.836579047</v>
      </c>
      <c r="E32" s="85">
        <v>16908593.902502269</v>
      </c>
      <c r="F32" s="85">
        <v>246205.93407677859</v>
      </c>
      <c r="G32" s="86">
        <v>0.71478332652412702</v>
      </c>
      <c r="H32" s="85">
        <v>17154799.836579047</v>
      </c>
      <c r="I32" s="86">
        <v>0.71478332652412702</v>
      </c>
      <c r="J32" s="85">
        <v>714783.32652412693</v>
      </c>
      <c r="K32" s="85" t="e">
        <v>#DIV/0!</v>
      </c>
      <c r="L32" s="105">
        <v>0</v>
      </c>
      <c r="N32" s="150"/>
      <c r="O32">
        <v>28</v>
      </c>
      <c r="P32" s="12" t="s">
        <v>99</v>
      </c>
      <c r="Q32" s="22">
        <v>0.875</v>
      </c>
      <c r="R32" s="13">
        <v>67</v>
      </c>
      <c r="S32" s="12">
        <v>80</v>
      </c>
      <c r="T32" s="13">
        <v>168</v>
      </c>
      <c r="U32" s="13">
        <v>147</v>
      </c>
      <c r="V32" s="17">
        <v>-4.2000000000000171</v>
      </c>
    </row>
    <row r="33" spans="1:22" ht="15.75" x14ac:dyDescent="0.25">
      <c r="A33" s="124"/>
      <c r="B33" s="19" t="s">
        <v>99</v>
      </c>
      <c r="C33" s="112">
        <v>25235000</v>
      </c>
      <c r="D33" s="85">
        <v>17519075.335839655</v>
      </c>
      <c r="E33" s="85">
        <v>17369561.614148464</v>
      </c>
      <c r="F33" s="85">
        <v>149513.7216911912</v>
      </c>
      <c r="G33" s="86">
        <v>0.69423718390488032</v>
      </c>
      <c r="H33" s="85">
        <v>17519075.335839655</v>
      </c>
      <c r="I33" s="86">
        <v>0.69423718390488032</v>
      </c>
      <c r="J33" s="85">
        <v>729961.47232665226</v>
      </c>
      <c r="K33" s="85" t="e">
        <v>#DIV/0!</v>
      </c>
      <c r="L33" s="105">
        <v>0</v>
      </c>
      <c r="N33" s="150"/>
      <c r="O33">
        <v>33</v>
      </c>
      <c r="P33" s="12" t="s">
        <v>138</v>
      </c>
      <c r="Q33" s="22">
        <v>0.81395348837209303</v>
      </c>
      <c r="R33" s="13">
        <v>66</v>
      </c>
      <c r="S33" s="12">
        <v>74</v>
      </c>
      <c r="T33" s="13">
        <v>172</v>
      </c>
      <c r="U33" s="13">
        <v>140</v>
      </c>
      <c r="V33" s="17">
        <v>6.1999999999999886</v>
      </c>
    </row>
    <row r="34" spans="1:22" ht="15.75" x14ac:dyDescent="0.25">
      <c r="A34" s="124"/>
      <c r="B34" s="19" t="s">
        <v>138</v>
      </c>
      <c r="C34" s="112">
        <v>21000000</v>
      </c>
      <c r="D34" s="85">
        <v>11197769.09014947</v>
      </c>
      <c r="E34" s="85">
        <v>10993267.219244162</v>
      </c>
      <c r="F34" s="85">
        <v>204501.87090530805</v>
      </c>
      <c r="G34" s="86">
        <v>0.53322709953092717</v>
      </c>
      <c r="H34" s="85">
        <v>11197769.09014947</v>
      </c>
      <c r="I34" s="86">
        <v>0.53322709953092717</v>
      </c>
      <c r="J34" s="85">
        <v>466573.71208956122</v>
      </c>
      <c r="K34" s="85" t="e">
        <v>#DIV/0!</v>
      </c>
      <c r="L34" s="105">
        <v>0</v>
      </c>
      <c r="N34" s="150"/>
      <c r="O34">
        <v>37</v>
      </c>
      <c r="P34" s="12" t="s">
        <v>103</v>
      </c>
      <c r="Q34" s="22">
        <v>0.72340425531914898</v>
      </c>
      <c r="R34" s="13">
        <v>82</v>
      </c>
      <c r="S34" s="12">
        <v>20</v>
      </c>
      <c r="T34" s="13">
        <v>141</v>
      </c>
      <c r="U34" s="13">
        <v>102</v>
      </c>
      <c r="V34" s="17">
        <v>17.849999999999994</v>
      </c>
    </row>
    <row r="35" spans="1:22" ht="15.75" x14ac:dyDescent="0.25">
      <c r="A35" s="124"/>
      <c r="B35" s="19" t="s">
        <v>103</v>
      </c>
      <c r="C35" s="112">
        <v>23484000</v>
      </c>
      <c r="D35" s="85">
        <v>10613494.78936974</v>
      </c>
      <c r="E35" s="85">
        <v>10509964.217061797</v>
      </c>
      <c r="F35" s="85">
        <v>103530.57230794244</v>
      </c>
      <c r="G35" s="86">
        <v>0.45194578391116247</v>
      </c>
      <c r="H35" s="85">
        <v>10613494.78936974</v>
      </c>
      <c r="I35" s="86">
        <v>0.45194578391116247</v>
      </c>
      <c r="J35" s="85">
        <v>442228.94955707248</v>
      </c>
      <c r="K35" s="85" t="e">
        <v>#DIV/0!</v>
      </c>
      <c r="L35" s="105">
        <v>0</v>
      </c>
      <c r="N35" s="150"/>
      <c r="O35">
        <v>24</v>
      </c>
      <c r="P35" s="12" t="s">
        <v>204</v>
      </c>
      <c r="Q35" s="22">
        <v>0.7191011235955056</v>
      </c>
      <c r="R35" s="13">
        <v>81</v>
      </c>
      <c r="S35" s="12">
        <v>47</v>
      </c>
      <c r="T35" s="13">
        <v>178</v>
      </c>
      <c r="U35" s="13">
        <v>128</v>
      </c>
      <c r="V35" s="17">
        <v>23.299999999999983</v>
      </c>
    </row>
    <row r="36" spans="1:22" ht="15.75" x14ac:dyDescent="0.25">
      <c r="A36" s="124"/>
      <c r="B36" s="19" t="s">
        <v>204</v>
      </c>
      <c r="C36" s="112">
        <v>25235000</v>
      </c>
      <c r="D36" s="85">
        <v>13926527.261858521</v>
      </c>
      <c r="E36" s="85">
        <v>13690253.038083088</v>
      </c>
      <c r="F36" s="85">
        <v>236274.22377543338</v>
      </c>
      <c r="G36" s="86">
        <v>0.55187347976455403</v>
      </c>
      <c r="H36" s="85">
        <v>13926527.261858521</v>
      </c>
      <c r="I36" s="86">
        <v>0.55187347976455403</v>
      </c>
      <c r="J36" s="85">
        <v>580271.96924410504</v>
      </c>
      <c r="K36" s="85" t="e">
        <v>#DIV/0!</v>
      </c>
      <c r="L36" s="105">
        <v>0</v>
      </c>
      <c r="N36" s="150"/>
      <c r="O36">
        <v>7</v>
      </c>
      <c r="P36" s="12" t="s">
        <v>110</v>
      </c>
      <c r="Q36" s="22">
        <v>0.27433628318584069</v>
      </c>
      <c r="R36" s="13">
        <v>0</v>
      </c>
      <c r="S36" s="12">
        <v>31</v>
      </c>
      <c r="T36" s="13">
        <v>113</v>
      </c>
      <c r="U36" s="13">
        <v>31</v>
      </c>
      <c r="V36" s="17">
        <v>65.05</v>
      </c>
    </row>
    <row r="37" spans="1:22" ht="15.75" x14ac:dyDescent="0.25">
      <c r="A37" s="124"/>
      <c r="B37" s="19" t="s">
        <v>110</v>
      </c>
      <c r="C37" s="112">
        <v>114000000</v>
      </c>
      <c r="D37" s="85">
        <v>101537604.46397878</v>
      </c>
      <c r="E37" s="85">
        <v>92863269.600187495</v>
      </c>
      <c r="F37" s="85">
        <v>8674334.8637912869</v>
      </c>
      <c r="G37" s="86">
        <v>0.89068074091209459</v>
      </c>
      <c r="H37" s="85">
        <v>101537604.46397877</v>
      </c>
      <c r="I37" s="86">
        <v>0.89068074091209448</v>
      </c>
      <c r="J37" s="85">
        <v>4230733.519332449</v>
      </c>
      <c r="K37" s="85" t="e">
        <v>#DIV/0!</v>
      </c>
      <c r="L37" s="105">
        <v>0</v>
      </c>
      <c r="N37" s="150"/>
      <c r="O37">
        <v>57</v>
      </c>
      <c r="P37" s="12" t="s">
        <v>214</v>
      </c>
      <c r="Q37" s="22">
        <v>0.22330097087378642</v>
      </c>
      <c r="R37" s="13">
        <v>17</v>
      </c>
      <c r="S37" s="12">
        <v>6</v>
      </c>
      <c r="T37" s="13">
        <v>103</v>
      </c>
      <c r="U37" s="13">
        <v>23</v>
      </c>
      <c r="V37" s="17">
        <v>64.55</v>
      </c>
    </row>
    <row r="38" spans="1:22" ht="16.5" thickBot="1" x14ac:dyDescent="0.3">
      <c r="A38" s="124"/>
      <c r="B38" s="19" t="s">
        <v>214</v>
      </c>
      <c r="C38" s="112">
        <v>33000000</v>
      </c>
      <c r="D38" s="85">
        <v>9981301.8801112529</v>
      </c>
      <c r="E38" s="85">
        <v>9981301.8801112529</v>
      </c>
      <c r="F38" s="85">
        <v>0</v>
      </c>
      <c r="G38" s="86">
        <v>0.30246369333670464</v>
      </c>
      <c r="H38" s="85">
        <v>9981301.8801112529</v>
      </c>
      <c r="I38" s="86">
        <v>0.30246369333670464</v>
      </c>
      <c r="J38" s="85">
        <v>415887.57833796885</v>
      </c>
      <c r="K38" s="85" t="e">
        <v>#DIV/0!</v>
      </c>
      <c r="L38" s="105">
        <v>0</v>
      </c>
      <c r="N38" s="150"/>
      <c r="O38">
        <v>1</v>
      </c>
      <c r="P38" s="12" t="s">
        <v>80</v>
      </c>
      <c r="Q38" s="22">
        <v>0.88976377952755903</v>
      </c>
      <c r="R38" s="13">
        <v>60</v>
      </c>
      <c r="S38" s="12">
        <v>53</v>
      </c>
      <c r="T38" s="13">
        <v>127</v>
      </c>
      <c r="U38" s="13">
        <v>113</v>
      </c>
      <c r="V38" s="17">
        <v>-5.0499999999999972</v>
      </c>
    </row>
    <row r="39" spans="1:22" ht="16.5" thickBot="1" x14ac:dyDescent="0.3">
      <c r="A39" s="124"/>
      <c r="B39" s="19" t="s">
        <v>80</v>
      </c>
      <c r="C39" s="112">
        <v>34629931.18</v>
      </c>
      <c r="D39" s="85">
        <v>26579488.905197218</v>
      </c>
      <c r="E39" s="85">
        <v>25810750.454407562</v>
      </c>
      <c r="F39" s="85">
        <v>768738.45078965649</v>
      </c>
      <c r="G39" s="86">
        <v>0.76752935970452651</v>
      </c>
      <c r="H39" s="85">
        <v>26579488.905197218</v>
      </c>
      <c r="I39" s="86">
        <v>0.76752935970452651</v>
      </c>
      <c r="J39" s="85">
        <v>1107478.7043832175</v>
      </c>
      <c r="K39" s="85" t="e">
        <v>#DIV/0!</v>
      </c>
      <c r="L39" s="105">
        <v>0</v>
      </c>
      <c r="N39" s="151"/>
      <c r="P39" s="9"/>
      <c r="Q39" s="23"/>
      <c r="R39" s="14"/>
      <c r="S39" s="8">
        <v>627</v>
      </c>
      <c r="T39" s="8">
        <v>1945</v>
      </c>
      <c r="U39" s="8">
        <v>1349</v>
      </c>
      <c r="V39" s="8"/>
    </row>
    <row r="40" spans="1:22" ht="16.5" thickBot="1" x14ac:dyDescent="0.3">
      <c r="A40" s="125"/>
      <c r="B40" s="3"/>
      <c r="C40" s="113">
        <v>484789507.47726256</v>
      </c>
      <c r="D40" s="109">
        <v>338777338.74788594</v>
      </c>
      <c r="E40" s="107">
        <v>323774902.78716254</v>
      </c>
      <c r="F40" s="109">
        <v>15002435.9607234</v>
      </c>
      <c r="G40" s="108">
        <v>0.69881326539183641</v>
      </c>
      <c r="H40" s="106">
        <v>338777338.74788594</v>
      </c>
      <c r="I40" s="108">
        <v>0.69881326539183641</v>
      </c>
      <c r="J40" s="106">
        <v>14115722.447828582</v>
      </c>
      <c r="K40" s="109" t="e">
        <v>#DIV/0!</v>
      </c>
      <c r="L40" s="110"/>
      <c r="N40" s="11" t="s">
        <v>42</v>
      </c>
      <c r="P40" s="11"/>
      <c r="Q40" s="24"/>
      <c r="R40" s="6"/>
      <c r="S40" s="8">
        <v>2061</v>
      </c>
      <c r="T40" s="8">
        <v>5712</v>
      </c>
      <c r="U40" s="8">
        <v>4389</v>
      </c>
      <c r="V40" s="8"/>
    </row>
    <row r="41" spans="1:22" ht="16.5" thickBot="1" x14ac:dyDescent="0.3">
      <c r="A41" s="114" t="s">
        <v>42</v>
      </c>
      <c r="B41" s="115"/>
      <c r="C41" s="116">
        <v>1314063949.6125104</v>
      </c>
      <c r="D41" s="116">
        <v>1224686603.1826057</v>
      </c>
      <c r="E41" s="117">
        <v>1171749849.2882519</v>
      </c>
      <c r="F41" s="116">
        <v>52936753.894353867</v>
      </c>
      <c r="G41" s="118">
        <v>0.93198402067398611</v>
      </c>
      <c r="H41" s="116">
        <v>1224686603.1826057</v>
      </c>
      <c r="I41" s="118">
        <v>0.93198402067398611</v>
      </c>
      <c r="J41" s="116">
        <v>51028608.465941906</v>
      </c>
      <c r="K41" s="116" t="e">
        <v>#DIV/0!</v>
      </c>
      <c r="L41" s="119"/>
      <c r="O41">
        <v>58</v>
      </c>
      <c r="P41" s="13" t="s">
        <v>144</v>
      </c>
      <c r="Q41" s="22">
        <v>0.32773109243697479</v>
      </c>
      <c r="R41" s="13">
        <v>60</v>
      </c>
      <c r="S41" s="12">
        <v>-21</v>
      </c>
      <c r="T41" s="13">
        <v>119</v>
      </c>
      <c r="U41" s="13">
        <v>39</v>
      </c>
      <c r="V41" s="17">
        <v>62.149999999999991</v>
      </c>
    </row>
    <row r="42" spans="1:22" x14ac:dyDescent="0.25">
      <c r="B42" s="120" t="s">
        <v>30</v>
      </c>
      <c r="C42" s="120" t="s">
        <v>31</v>
      </c>
      <c r="D42" s="120" t="s">
        <v>32</v>
      </c>
      <c r="E42" s="120" t="s">
        <v>32</v>
      </c>
      <c r="F42" s="120" t="s">
        <v>33</v>
      </c>
      <c r="G42" s="121" t="s">
        <v>41</v>
      </c>
      <c r="H42" s="122" t="s">
        <v>45</v>
      </c>
      <c r="I42" s="121" t="s">
        <v>46</v>
      </c>
      <c r="J42" s="120" t="s">
        <v>35</v>
      </c>
      <c r="K42" s="120" t="s">
        <v>34</v>
      </c>
      <c r="L42" s="120" t="s">
        <v>53</v>
      </c>
      <c r="O42">
        <v>59</v>
      </c>
      <c r="P42" s="13" t="s">
        <v>145</v>
      </c>
      <c r="Q42" s="22">
        <v>0.55462184873949583</v>
      </c>
      <c r="R42" s="13">
        <v>60</v>
      </c>
      <c r="S42" s="12">
        <v>6</v>
      </c>
      <c r="T42" s="13">
        <v>119</v>
      </c>
      <c r="U42" s="13">
        <v>66</v>
      </c>
      <c r="V42" s="17">
        <v>35.149999999999991</v>
      </c>
    </row>
    <row r="43" spans="1:22" ht="15.75" x14ac:dyDescent="0.25">
      <c r="B43" s="19" t="s">
        <v>144</v>
      </c>
      <c r="C43" s="96">
        <v>40000000</v>
      </c>
      <c r="D43" s="85">
        <v>25646776.862735603</v>
      </c>
      <c r="E43" s="85">
        <v>22657877.380181327</v>
      </c>
      <c r="F43" s="85">
        <v>2988899.4825542755</v>
      </c>
      <c r="G43" s="86">
        <v>0.64116942156839007</v>
      </c>
      <c r="H43" s="85">
        <v>25646776.862735607</v>
      </c>
      <c r="I43" s="86">
        <v>0.64116942156839019</v>
      </c>
      <c r="J43" s="85">
        <v>1068615.7026139835</v>
      </c>
      <c r="K43" s="85" t="e">
        <v>#DIV/0!</v>
      </c>
      <c r="L43" s="85">
        <v>0</v>
      </c>
    </row>
    <row r="44" spans="1:22" ht="15.75" x14ac:dyDescent="0.25">
      <c r="B44" s="19" t="s">
        <v>145</v>
      </c>
      <c r="C44" s="96">
        <v>30000000</v>
      </c>
      <c r="D44" s="85">
        <v>17009020.678149343</v>
      </c>
      <c r="E44" s="85">
        <v>16555407.699089281</v>
      </c>
      <c r="F44" s="85">
        <v>453612.97906006128</v>
      </c>
      <c r="G44" s="86">
        <v>0.56696735593831138</v>
      </c>
      <c r="H44" s="85">
        <v>17009020.678149343</v>
      </c>
      <c r="I44" s="86">
        <v>0.56696735593831138</v>
      </c>
      <c r="J44" s="85">
        <v>708709.19492288923</v>
      </c>
      <c r="K44" s="85" t="e">
        <v>#DIV/0!</v>
      </c>
      <c r="L44" s="85">
        <v>0</v>
      </c>
    </row>
  </sheetData>
  <mergeCells count="3">
    <mergeCell ref="N2:N15"/>
    <mergeCell ref="N16:N25"/>
    <mergeCell ref="N26:N39"/>
  </mergeCells>
  <conditionalFormatting sqref="G2:G9 G11:G15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17:G25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27:G39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43:G44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2:Q14">
    <cfRule type="iconSet" priority="4">
      <iconSet iconSet="3Arrows">
        <cfvo type="percent" val="0"/>
        <cfvo type="percent" val="33"/>
        <cfvo type="percent" val="67"/>
      </iconSet>
    </cfRule>
  </conditionalFormatting>
  <conditionalFormatting sqref="Q16:Q24">
    <cfRule type="iconSet" priority="3">
      <iconSet iconSet="3Arrows">
        <cfvo type="percent" val="0"/>
        <cfvo type="percent" val="33"/>
        <cfvo type="percent" val="67"/>
      </iconSet>
    </cfRule>
  </conditionalFormatting>
  <conditionalFormatting sqref="Q26:Q38">
    <cfRule type="iconSet" priority="2">
      <iconSet iconSet="3Arrows">
        <cfvo type="percent" val="0"/>
        <cfvo type="percent" val="33"/>
        <cfvo type="percent" val="67"/>
      </iconSet>
    </cfRule>
  </conditionalFormatting>
  <conditionalFormatting sqref="Q41:Q42">
    <cfRule type="iconSet" priority="1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4CDE3-E2BE-4C39-9673-53495179EDD0}">
  <dimension ref="A1:L44"/>
  <sheetViews>
    <sheetView topLeftCell="A12" workbookViewId="0">
      <selection activeCell="D30" sqref="D30"/>
    </sheetView>
  </sheetViews>
  <sheetFormatPr baseColWidth="10" defaultRowHeight="15" x14ac:dyDescent="0.25"/>
  <cols>
    <col min="1" max="1" width="24.85546875" bestFit="1" customWidth="1"/>
    <col min="2" max="2" width="47.85546875" bestFit="1" customWidth="1"/>
    <col min="3" max="3" width="17.85546875" bestFit="1" customWidth="1"/>
    <col min="4" max="5" width="32" bestFit="1" customWidth="1"/>
    <col min="6" max="6" width="26.85546875" bestFit="1" customWidth="1"/>
    <col min="7" max="7" width="24.42578125" bestFit="1" customWidth="1"/>
    <col min="8" max="8" width="17.85546875" bestFit="1" customWidth="1"/>
    <col min="9" max="9" width="34.140625" bestFit="1" customWidth="1"/>
    <col min="10" max="10" width="15.140625" bestFit="1" customWidth="1"/>
    <col min="11" max="11" width="21.85546875" bestFit="1" customWidth="1"/>
    <col min="12" max="12" width="14.140625" bestFit="1" customWidth="1"/>
  </cols>
  <sheetData>
    <row r="1" spans="1:12" ht="15.75" thickBot="1" x14ac:dyDescent="0.3">
      <c r="A1" s="97" t="s">
        <v>205</v>
      </c>
      <c r="B1" s="97" t="s">
        <v>75</v>
      </c>
      <c r="C1" s="97" t="s">
        <v>31</v>
      </c>
      <c r="D1" s="97" t="s">
        <v>32</v>
      </c>
      <c r="E1" s="97" t="s">
        <v>39</v>
      </c>
      <c r="F1" s="97" t="s">
        <v>33</v>
      </c>
      <c r="G1" s="98" t="s">
        <v>41</v>
      </c>
      <c r="H1" s="99" t="s">
        <v>45</v>
      </c>
      <c r="I1" s="98" t="s">
        <v>46</v>
      </c>
      <c r="J1" s="97" t="s">
        <v>35</v>
      </c>
      <c r="K1" s="97" t="s">
        <v>34</v>
      </c>
      <c r="L1" s="97" t="s">
        <v>53</v>
      </c>
    </row>
    <row r="2" spans="1:12" ht="15.75" x14ac:dyDescent="0.25">
      <c r="A2" s="123" t="s">
        <v>206</v>
      </c>
      <c r="B2" s="68" t="s">
        <v>94</v>
      </c>
      <c r="C2" s="100">
        <v>32279076.638250753</v>
      </c>
      <c r="D2" s="101">
        <v>46789531.022179514</v>
      </c>
      <c r="E2" s="101">
        <v>45597042.635797866</v>
      </c>
      <c r="F2" s="101">
        <v>1192488.3863816485</v>
      </c>
      <c r="G2" s="102">
        <v>1.4495312721161873</v>
      </c>
      <c r="H2" s="101">
        <v>46789531.022179514</v>
      </c>
      <c r="I2" s="102">
        <v>1.4495312721161873</v>
      </c>
      <c r="J2" s="101">
        <v>1949563.792590813</v>
      </c>
      <c r="K2" s="101" t="e">
        <v>#DIV/0!</v>
      </c>
      <c r="L2" s="103">
        <v>935790.62044359033</v>
      </c>
    </row>
    <row r="3" spans="1:12" ht="15.75" x14ac:dyDescent="0.25">
      <c r="A3" s="124"/>
      <c r="B3" s="19" t="s">
        <v>93</v>
      </c>
      <c r="C3" s="104">
        <v>30982728.178883255</v>
      </c>
      <c r="D3" s="85">
        <v>38817126.106857061</v>
      </c>
      <c r="E3" s="85">
        <v>37990396.607466161</v>
      </c>
      <c r="F3" s="85">
        <v>826729.49939090014</v>
      </c>
      <c r="G3" s="86">
        <v>1.2528633980436061</v>
      </c>
      <c r="H3" s="85">
        <v>38817126.106857061</v>
      </c>
      <c r="I3" s="86">
        <v>1.2528633980436061</v>
      </c>
      <c r="J3" s="85">
        <v>1617380.2544523776</v>
      </c>
      <c r="K3" s="85" t="e">
        <v>#DIV/0!</v>
      </c>
      <c r="L3" s="105">
        <v>776342.5221371412</v>
      </c>
    </row>
    <row r="4" spans="1:12" ht="15.75" x14ac:dyDescent="0.25">
      <c r="A4" s="124"/>
      <c r="B4" s="19" t="s">
        <v>91</v>
      </c>
      <c r="C4" s="104">
        <v>28390031.260148253</v>
      </c>
      <c r="D4" s="85">
        <v>33436278.446677495</v>
      </c>
      <c r="E4" s="85">
        <v>32127304.163806073</v>
      </c>
      <c r="F4" s="85">
        <v>1308974.2828714214</v>
      </c>
      <c r="G4" s="86">
        <v>1.1777471514662534</v>
      </c>
      <c r="H4" s="85">
        <v>33436278.446677491</v>
      </c>
      <c r="I4" s="86">
        <v>1.1777471514662532</v>
      </c>
      <c r="J4" s="85">
        <v>1393178.2686115622</v>
      </c>
      <c r="K4" s="85" t="e">
        <v>#DIV/0!</v>
      </c>
      <c r="L4" s="105">
        <v>668725.5689335498</v>
      </c>
    </row>
    <row r="5" spans="1:12" ht="15.75" x14ac:dyDescent="0.25">
      <c r="A5" s="124"/>
      <c r="B5" s="19" t="s">
        <v>89</v>
      </c>
      <c r="C5" s="104">
        <v>28390031.260148253</v>
      </c>
      <c r="D5" s="85">
        <v>35139863.288381539</v>
      </c>
      <c r="E5" s="85">
        <v>34257637.396055132</v>
      </c>
      <c r="F5" s="85">
        <v>882225.89232640713</v>
      </c>
      <c r="G5" s="86">
        <v>1.23775359619657</v>
      </c>
      <c r="H5" s="85">
        <v>35139863.288381539</v>
      </c>
      <c r="I5" s="86">
        <v>1.23775359619657</v>
      </c>
      <c r="J5" s="85">
        <v>1464160.9703492308</v>
      </c>
      <c r="K5" s="85" t="e">
        <v>#DIV/0!</v>
      </c>
      <c r="L5" s="105">
        <v>702797.26576763077</v>
      </c>
    </row>
    <row r="6" spans="1:12" ht="15.75" x14ac:dyDescent="0.25">
      <c r="A6" s="124"/>
      <c r="B6" s="19" t="s">
        <v>209</v>
      </c>
      <c r="C6" s="104">
        <v>23528724.537520126</v>
      </c>
      <c r="D6" s="85">
        <v>26856361.149994925</v>
      </c>
      <c r="E6" s="85">
        <v>25015491.549096961</v>
      </c>
      <c r="F6" s="85">
        <v>1840869.6008979641</v>
      </c>
      <c r="G6" s="86">
        <v>1.1414286867598105</v>
      </c>
      <c r="H6" s="85">
        <v>26856361.149994925</v>
      </c>
      <c r="I6" s="86">
        <v>1.1414286867598105</v>
      </c>
      <c r="J6" s="85">
        <v>1119015.0479164552</v>
      </c>
      <c r="K6" s="85" t="e">
        <v>#DIV/0!</v>
      </c>
      <c r="L6" s="105">
        <v>537127.22299989848</v>
      </c>
    </row>
    <row r="7" spans="1:12" ht="15.75" x14ac:dyDescent="0.25">
      <c r="A7" s="124"/>
      <c r="B7" s="19" t="s">
        <v>85</v>
      </c>
      <c r="C7" s="104">
        <v>27741857.030464504</v>
      </c>
      <c r="D7" s="85">
        <v>21935047.685194649</v>
      </c>
      <c r="E7" s="85">
        <v>21605185.998899002</v>
      </c>
      <c r="F7" s="85">
        <v>329861.68629564717</v>
      </c>
      <c r="G7" s="86">
        <v>0.79068418747551206</v>
      </c>
      <c r="H7" s="85">
        <v>21935047.685194649</v>
      </c>
      <c r="I7" s="86">
        <v>0.79068418747551206</v>
      </c>
      <c r="J7" s="85">
        <v>913960.32021644374</v>
      </c>
      <c r="K7" s="85" t="e">
        <v>#DIV/0!</v>
      </c>
      <c r="L7" s="105">
        <v>0</v>
      </c>
    </row>
    <row r="8" spans="1:12" ht="15.75" x14ac:dyDescent="0.25">
      <c r="A8" s="124"/>
      <c r="B8" s="19" t="s">
        <v>84</v>
      </c>
      <c r="C8" s="104">
        <v>35831071.416917704</v>
      </c>
      <c r="D8" s="85">
        <v>40520335.94111871</v>
      </c>
      <c r="E8" s="85">
        <v>38810951.591422051</v>
      </c>
      <c r="F8" s="85">
        <v>1709384.3496966586</v>
      </c>
      <c r="G8" s="86">
        <v>1.1308714570557596</v>
      </c>
      <c r="H8" s="85">
        <v>40520335.94111871</v>
      </c>
      <c r="I8" s="86">
        <v>1.1308714570557596</v>
      </c>
      <c r="J8" s="85">
        <v>1688347.3308799462</v>
      </c>
      <c r="K8" s="85" t="e">
        <v>#DIV/0!</v>
      </c>
      <c r="L8" s="105">
        <v>607805.03911678062</v>
      </c>
    </row>
    <row r="9" spans="1:12" ht="15.75" x14ac:dyDescent="0.25">
      <c r="A9" s="124"/>
      <c r="B9" s="19" t="s">
        <v>83</v>
      </c>
      <c r="C9" s="104">
        <v>35831071.416917704</v>
      </c>
      <c r="D9" s="85">
        <v>41738637.969319664</v>
      </c>
      <c r="E9" s="85">
        <v>39990211.496653654</v>
      </c>
      <c r="F9" s="85">
        <v>1748426.4726660103</v>
      </c>
      <c r="G9" s="86">
        <v>1.164872729694951</v>
      </c>
      <c r="H9" s="85">
        <v>41738637.969319664</v>
      </c>
      <c r="I9" s="86">
        <v>1.164872729694951</v>
      </c>
      <c r="J9" s="85">
        <v>1739109.9153883194</v>
      </c>
      <c r="K9" s="85" t="e">
        <v>#DIV/0!</v>
      </c>
      <c r="L9" s="105">
        <v>834772.75938639324</v>
      </c>
    </row>
    <row r="10" spans="1:12" ht="16.5" thickBot="1" x14ac:dyDescent="0.3">
      <c r="A10" s="125"/>
      <c r="B10" s="3"/>
      <c r="C10" s="106">
        <v>242974591.73925051</v>
      </c>
      <c r="D10" s="106">
        <v>285233181.60972357</v>
      </c>
      <c r="E10" s="107">
        <v>275394221.43919694</v>
      </c>
      <c r="F10" s="106">
        <v>9838960.1705266573</v>
      </c>
      <c r="G10" s="108">
        <v>1.1739218474161408</v>
      </c>
      <c r="H10" s="106">
        <v>285233181.60972357</v>
      </c>
      <c r="I10" s="108">
        <v>1.1739218474161408</v>
      </c>
      <c r="J10" s="106">
        <v>11884715.900405148</v>
      </c>
      <c r="K10" s="109" t="e">
        <v>#DIV/0!</v>
      </c>
      <c r="L10" s="110"/>
    </row>
    <row r="11" spans="1:12" ht="15.75" x14ac:dyDescent="0.25">
      <c r="A11" s="123" t="s">
        <v>207</v>
      </c>
      <c r="B11" s="68" t="s">
        <v>96</v>
      </c>
      <c r="C11" s="100">
        <v>96971948.480137512</v>
      </c>
      <c r="D11" s="101">
        <v>109506883.40895881</v>
      </c>
      <c r="E11" s="101">
        <v>107046963.46643755</v>
      </c>
      <c r="F11" s="101">
        <v>2459919.9425212592</v>
      </c>
      <c r="G11" s="102">
        <v>1.1292635151225077</v>
      </c>
      <c r="H11" s="101">
        <v>109506883.40895881</v>
      </c>
      <c r="I11" s="102">
        <v>1.1292635151225077</v>
      </c>
      <c r="J11" s="101">
        <v>4562786.808706617</v>
      </c>
      <c r="K11" s="101" t="e">
        <v>#DIV/0!</v>
      </c>
      <c r="L11" s="103">
        <v>1095068.8340895881</v>
      </c>
    </row>
    <row r="12" spans="1:12" ht="15.75" x14ac:dyDescent="0.25">
      <c r="A12" s="124"/>
      <c r="B12" s="19" t="s">
        <v>106</v>
      </c>
      <c r="C12" s="104">
        <v>31630902.408567004</v>
      </c>
      <c r="D12" s="85">
        <v>37819097.976955846</v>
      </c>
      <c r="E12" s="85">
        <v>37507204.335448697</v>
      </c>
      <c r="F12" s="85">
        <v>311893.64150714874</v>
      </c>
      <c r="G12" s="86">
        <v>1.1956376548622532</v>
      </c>
      <c r="H12" s="85">
        <v>37819097.976955846</v>
      </c>
      <c r="I12" s="86">
        <v>1.1956376548622532</v>
      </c>
      <c r="J12" s="85">
        <v>1575795.7490398269</v>
      </c>
      <c r="K12" s="85" t="e">
        <v>#DIV/0!</v>
      </c>
      <c r="L12" s="105">
        <v>756381.95953911694</v>
      </c>
    </row>
    <row r="13" spans="1:12" ht="15.75" x14ac:dyDescent="0.25">
      <c r="A13" s="124"/>
      <c r="B13" s="19" t="s">
        <v>90</v>
      </c>
      <c r="C13" s="104">
        <v>128363916.07462499</v>
      </c>
      <c r="D13" s="85">
        <v>128539493.63379455</v>
      </c>
      <c r="E13" s="85">
        <v>107458900.02742086</v>
      </c>
      <c r="F13" s="85">
        <v>21080593.606373683</v>
      </c>
      <c r="G13" s="86">
        <v>1.0013678108656914</v>
      </c>
      <c r="H13" s="85">
        <v>128539493.63379455</v>
      </c>
      <c r="I13" s="86">
        <v>1.0013678108656914</v>
      </c>
      <c r="J13" s="85">
        <v>5355812.2347414391</v>
      </c>
      <c r="K13" s="85" t="e">
        <v>#DIV/0!</v>
      </c>
      <c r="L13" s="105">
        <v>642697.46816897276</v>
      </c>
    </row>
    <row r="14" spans="1:12" ht="15.75" x14ac:dyDescent="0.25">
      <c r="A14" s="124"/>
      <c r="B14" s="19" t="s">
        <v>111</v>
      </c>
      <c r="C14" s="104">
        <v>42449057.394974999</v>
      </c>
      <c r="D14" s="85">
        <v>39140279.651432775</v>
      </c>
      <c r="E14" s="85">
        <v>38089399.671858914</v>
      </c>
      <c r="F14" s="85">
        <v>1050879.9795738608</v>
      </c>
      <c r="G14" s="86">
        <v>0.92205297486926274</v>
      </c>
      <c r="H14" s="85">
        <v>39140279.651432775</v>
      </c>
      <c r="I14" s="86">
        <v>0.92205297486926274</v>
      </c>
      <c r="J14" s="85">
        <v>1630844.9854763655</v>
      </c>
      <c r="K14" s="85" t="e">
        <v>#DIV/0!</v>
      </c>
      <c r="L14" s="105">
        <v>0</v>
      </c>
    </row>
    <row r="15" spans="1:12" ht="15.75" x14ac:dyDescent="0.25">
      <c r="A15" s="124"/>
      <c r="B15" s="19" t="s">
        <v>107</v>
      </c>
      <c r="C15" s="104">
        <v>42449057.394974999</v>
      </c>
      <c r="D15" s="85">
        <v>51508469.291534513</v>
      </c>
      <c r="E15" s="85">
        <v>45407233.8525308</v>
      </c>
      <c r="F15" s="85">
        <v>6101235.4390037134</v>
      </c>
      <c r="G15" s="86">
        <v>1.2134184467811515</v>
      </c>
      <c r="H15" s="85">
        <v>51508469.291534513</v>
      </c>
      <c r="I15" s="86">
        <v>1.2134184467811515</v>
      </c>
      <c r="J15" s="85">
        <v>2146186.2204806046</v>
      </c>
      <c r="K15" s="85" t="e">
        <v>#DIV/0!</v>
      </c>
      <c r="L15" s="105">
        <v>772627.03937301761</v>
      </c>
    </row>
    <row r="16" spans="1:12" ht="16.5" thickBot="1" x14ac:dyDescent="0.3">
      <c r="A16" s="125"/>
      <c r="B16" s="3"/>
      <c r="C16" s="106">
        <v>341864881.75327951</v>
      </c>
      <c r="D16" s="106">
        <v>366514223.96267653</v>
      </c>
      <c r="E16" s="107">
        <v>335509701.35369682</v>
      </c>
      <c r="F16" s="106">
        <v>31004522.608979702</v>
      </c>
      <c r="G16" s="108">
        <v>1.0721025865042968</v>
      </c>
      <c r="H16" s="106">
        <v>366514223.96267653</v>
      </c>
      <c r="I16" s="108">
        <v>1.0721025865042968</v>
      </c>
      <c r="J16" s="106">
        <v>15271425.998444855</v>
      </c>
      <c r="K16" s="109" t="e">
        <v>#DIV/0!</v>
      </c>
      <c r="L16" s="110"/>
    </row>
    <row r="17" spans="1:12" ht="15.75" x14ac:dyDescent="0.25">
      <c r="A17" s="126" t="s">
        <v>208</v>
      </c>
      <c r="B17" s="68" t="s">
        <v>81</v>
      </c>
      <c r="C17" s="69">
        <v>29338018.132500004</v>
      </c>
      <c r="D17" s="101">
        <v>19719555.307688124</v>
      </c>
      <c r="E17" s="101">
        <v>18802479.760139175</v>
      </c>
      <c r="F17" s="101">
        <v>917075.54754894972</v>
      </c>
      <c r="G17" s="102">
        <v>0.67215021882624171</v>
      </c>
      <c r="H17" s="101">
        <v>19719555.307688124</v>
      </c>
      <c r="I17" s="102">
        <v>0.67215021882624171</v>
      </c>
      <c r="J17" s="101">
        <v>821648.13782033848</v>
      </c>
      <c r="K17" s="101" t="e">
        <v>#DIV/0!</v>
      </c>
      <c r="L17" s="103">
        <v>0</v>
      </c>
    </row>
    <row r="18" spans="1:12" ht="15.75" x14ac:dyDescent="0.25">
      <c r="A18" s="127"/>
      <c r="B18" s="19" t="s">
        <v>82</v>
      </c>
      <c r="C18" s="70">
        <v>24959505.900000002</v>
      </c>
      <c r="D18" s="85">
        <v>21983568.342330094</v>
      </c>
      <c r="E18" s="85">
        <v>20717753.349515107</v>
      </c>
      <c r="F18" s="85">
        <v>1265814.9928149879</v>
      </c>
      <c r="G18" s="86">
        <v>0.88076937221461959</v>
      </c>
      <c r="H18" s="85">
        <v>21983568.342330094</v>
      </c>
      <c r="I18" s="86">
        <v>0.88076937221461959</v>
      </c>
      <c r="J18" s="85">
        <v>915982.0142637539</v>
      </c>
      <c r="K18" s="85" t="e">
        <v>#DIV/0!</v>
      </c>
      <c r="L18" s="105">
        <v>0</v>
      </c>
    </row>
    <row r="19" spans="1:12" ht="15.75" x14ac:dyDescent="0.25">
      <c r="A19" s="127"/>
      <c r="B19" s="19" t="s">
        <v>92</v>
      </c>
      <c r="C19" s="70">
        <v>25856650.1655</v>
      </c>
      <c r="D19" s="85">
        <v>21823999.631053858</v>
      </c>
      <c r="E19" s="85">
        <v>21195317.753972314</v>
      </c>
      <c r="F19" s="85">
        <v>628681.87708154321</v>
      </c>
      <c r="G19" s="86">
        <v>0.84403816779689333</v>
      </c>
      <c r="H19" s="85">
        <v>21823999.631053858</v>
      </c>
      <c r="I19" s="86">
        <v>0.84403816779689333</v>
      </c>
      <c r="J19" s="85">
        <v>909333.31796057743</v>
      </c>
      <c r="K19" s="85" t="e">
        <v>#DIV/0!</v>
      </c>
      <c r="L19" s="105">
        <v>0</v>
      </c>
    </row>
    <row r="20" spans="1:12" ht="15.75" x14ac:dyDescent="0.25">
      <c r="A20" s="127"/>
      <c r="B20" s="19" t="s">
        <v>95</v>
      </c>
      <c r="C20" s="70">
        <v>33548130</v>
      </c>
      <c r="D20" s="85">
        <v>46880747.882440269</v>
      </c>
      <c r="E20" s="85">
        <v>45288523.133737519</v>
      </c>
      <c r="F20" s="85">
        <v>1592224.7487027496</v>
      </c>
      <c r="G20" s="86">
        <v>1.3974176170904389</v>
      </c>
      <c r="H20" s="85">
        <v>46880747.882440269</v>
      </c>
      <c r="I20" s="86">
        <v>1.3974176170904389</v>
      </c>
      <c r="J20" s="85">
        <v>1953364.495101678</v>
      </c>
      <c r="K20" s="85" t="e">
        <v>#DIV/0!</v>
      </c>
      <c r="L20" s="105">
        <v>937614.95764880534</v>
      </c>
    </row>
    <row r="21" spans="1:12" ht="15.75" x14ac:dyDescent="0.25">
      <c r="A21" s="127"/>
      <c r="B21" s="19" t="s">
        <v>97</v>
      </c>
      <c r="C21" s="70">
        <v>25458510</v>
      </c>
      <c r="D21" s="85">
        <v>26026854.067610081</v>
      </c>
      <c r="E21" s="85">
        <v>24833322.870954808</v>
      </c>
      <c r="F21" s="85">
        <v>1193531.1966552734</v>
      </c>
      <c r="G21" s="86">
        <v>1.0223243256423915</v>
      </c>
      <c r="H21" s="85">
        <v>26026854.067610078</v>
      </c>
      <c r="I21" s="86">
        <v>1.0223243256423913</v>
      </c>
      <c r="J21" s="85">
        <v>1084452.2528170866</v>
      </c>
      <c r="K21" s="85" t="e">
        <v>#DIV/0!</v>
      </c>
      <c r="L21" s="105">
        <v>260268.54067610079</v>
      </c>
    </row>
    <row r="22" spans="1:12" ht="15.75" x14ac:dyDescent="0.25">
      <c r="A22" s="127"/>
      <c r="B22" s="19" t="s">
        <v>219</v>
      </c>
      <c r="C22" s="70">
        <v>31742890.200000003</v>
      </c>
      <c r="D22" s="85">
        <v>32141338.909916095</v>
      </c>
      <c r="E22" s="85">
        <v>29990683.655022953</v>
      </c>
      <c r="F22" s="85">
        <v>2150655.2548931427</v>
      </c>
      <c r="G22" s="86">
        <v>1.0125523765292201</v>
      </c>
      <c r="H22" s="85">
        <v>32141338.909916095</v>
      </c>
      <c r="I22" s="86">
        <v>1.0125523765292201</v>
      </c>
      <c r="J22" s="85">
        <v>1339222.4545798374</v>
      </c>
      <c r="K22" s="85" t="e">
        <v>#DIV/0!</v>
      </c>
      <c r="L22" s="105">
        <v>321413.38909916097</v>
      </c>
    </row>
    <row r="23" spans="1:12" ht="15.75" x14ac:dyDescent="0.25">
      <c r="A23" s="127"/>
      <c r="B23" s="19" t="s">
        <v>160</v>
      </c>
      <c r="C23" s="70">
        <v>27435946.230000004</v>
      </c>
      <c r="D23" s="85">
        <v>25710568.579956032</v>
      </c>
      <c r="E23" s="85">
        <v>25061497.754885402</v>
      </c>
      <c r="F23" s="85">
        <v>649070.82507063076</v>
      </c>
      <c r="G23" s="86">
        <v>0.93711251525353456</v>
      </c>
      <c r="H23" s="85">
        <v>25710568.579956032</v>
      </c>
      <c r="I23" s="86">
        <v>0.93711251525353456</v>
      </c>
      <c r="J23" s="85">
        <v>1071273.6908315013</v>
      </c>
      <c r="K23" s="85" t="e">
        <v>#DIV/0!</v>
      </c>
      <c r="L23" s="105">
        <v>0</v>
      </c>
    </row>
    <row r="24" spans="1:12" ht="15.75" x14ac:dyDescent="0.25">
      <c r="A24" s="127"/>
      <c r="B24" s="19" t="s">
        <v>220</v>
      </c>
      <c r="C24" s="70">
        <v>33494055</v>
      </c>
      <c r="D24" s="85">
        <v>40082800.76103171</v>
      </c>
      <c r="E24" s="85">
        <v>38511020.179810099</v>
      </c>
      <c r="F24" s="85">
        <v>1571780.5812216103</v>
      </c>
      <c r="G24" s="86">
        <v>1.1967138873161733</v>
      </c>
      <c r="H24" s="85">
        <v>40082800.76103171</v>
      </c>
      <c r="I24" s="86">
        <v>1.1967138873161733</v>
      </c>
      <c r="J24" s="85">
        <v>1670116.6983763212</v>
      </c>
      <c r="K24" s="85" t="e">
        <v>#DIV/0!</v>
      </c>
      <c r="L24" s="105">
        <v>801656.01522063417</v>
      </c>
    </row>
    <row r="25" spans="1:12" ht="15.75" x14ac:dyDescent="0.25">
      <c r="A25" s="127"/>
      <c r="B25" s="19" t="s">
        <v>139</v>
      </c>
      <c r="C25" s="70">
        <v>54064952.86500001</v>
      </c>
      <c r="D25" s="85">
        <v>52746975.667182915</v>
      </c>
      <c r="E25" s="85">
        <v>53020207.657182917</v>
      </c>
      <c r="F25" s="85">
        <v>-273231.99000000209</v>
      </c>
      <c r="G25" s="86">
        <v>0.97562233705986801</v>
      </c>
      <c r="H25" s="85">
        <v>52746975.667182922</v>
      </c>
      <c r="I25" s="86">
        <v>0.97562233705986812</v>
      </c>
      <c r="J25" s="85">
        <v>2197790.6527992883</v>
      </c>
      <c r="K25" s="85" t="e">
        <v>#DIV/0!</v>
      </c>
      <c r="L25" s="105">
        <v>0</v>
      </c>
    </row>
    <row r="26" spans="1:12" ht="16.5" thickBot="1" x14ac:dyDescent="0.3">
      <c r="A26" s="128"/>
      <c r="B26" s="71"/>
      <c r="C26" s="109">
        <v>285898658.49300003</v>
      </c>
      <c r="D26" s="109">
        <v>287116409.1492092</v>
      </c>
      <c r="E26" s="107">
        <v>277420806.11522031</v>
      </c>
      <c r="F26" s="109">
        <v>9695603.033988893</v>
      </c>
      <c r="G26" s="108">
        <v>1.0042593786995295</v>
      </c>
      <c r="H26" s="106">
        <v>287116409.1492092</v>
      </c>
      <c r="I26" s="108">
        <v>1.0042593786995295</v>
      </c>
      <c r="J26" s="106">
        <v>11963183.714550383</v>
      </c>
      <c r="K26" s="109" t="e">
        <v>#DIV/0!</v>
      </c>
      <c r="L26" s="110"/>
    </row>
    <row r="27" spans="1:12" ht="15.75" x14ac:dyDescent="0.25">
      <c r="A27" s="123" t="s">
        <v>216</v>
      </c>
      <c r="B27" s="68" t="s">
        <v>211</v>
      </c>
      <c r="C27" s="111">
        <v>81977700</v>
      </c>
      <c r="D27" s="101">
        <v>82008915.323856413</v>
      </c>
      <c r="E27" s="101">
        <v>79349932.648902804</v>
      </c>
      <c r="F27" s="101">
        <v>2658982.6749536097</v>
      </c>
      <c r="G27" s="102">
        <v>1.0003807782342808</v>
      </c>
      <c r="H27" s="101">
        <v>82008915.323856413</v>
      </c>
      <c r="I27" s="102">
        <v>1.0003807782342808</v>
      </c>
      <c r="J27" s="101">
        <v>3417038.1384940171</v>
      </c>
      <c r="K27" s="101" t="e">
        <v>#DIV/0!</v>
      </c>
      <c r="L27" s="103">
        <v>410044.57661928207</v>
      </c>
    </row>
    <row r="28" spans="1:12" ht="15.75" x14ac:dyDescent="0.25">
      <c r="A28" s="124"/>
      <c r="B28" s="19" t="s">
        <v>213</v>
      </c>
      <c r="C28" s="112">
        <v>21000000</v>
      </c>
      <c r="D28" s="85">
        <v>13952963.300386658</v>
      </c>
      <c r="E28" s="85">
        <v>13582204.364812182</v>
      </c>
      <c r="F28" s="85">
        <v>370758.93557447568</v>
      </c>
      <c r="G28" s="86">
        <v>0.66442682382793605</v>
      </c>
      <c r="H28" s="85">
        <v>13952963.300386656</v>
      </c>
      <c r="I28" s="86">
        <v>0.66442682382793605</v>
      </c>
      <c r="J28" s="85">
        <v>581373.47084944404</v>
      </c>
      <c r="K28" s="85" t="e">
        <v>#DIV/0!</v>
      </c>
      <c r="L28" s="105">
        <v>0</v>
      </c>
    </row>
    <row r="29" spans="1:12" ht="15.75" x14ac:dyDescent="0.25">
      <c r="A29" s="124"/>
      <c r="B29" s="19" t="s">
        <v>86</v>
      </c>
      <c r="C29" s="112">
        <v>25739700</v>
      </c>
      <c r="D29" s="85">
        <v>21961957.090655975</v>
      </c>
      <c r="E29" s="85">
        <v>21103395.521965481</v>
      </c>
      <c r="F29" s="85">
        <v>858561.5686904937</v>
      </c>
      <c r="G29" s="86">
        <v>0.85323283063345634</v>
      </c>
      <c r="H29" s="85">
        <v>21961957.090655975</v>
      </c>
      <c r="I29" s="86">
        <v>0.85323283063345634</v>
      </c>
      <c r="J29" s="85">
        <v>915081.545443999</v>
      </c>
      <c r="K29" s="85" t="e">
        <v>#DIV/0!</v>
      </c>
      <c r="L29" s="105">
        <v>0</v>
      </c>
    </row>
    <row r="30" spans="1:12" ht="15.75" x14ac:dyDescent="0.25">
      <c r="A30" s="124"/>
      <c r="B30" s="19" t="s">
        <v>212</v>
      </c>
      <c r="C30" s="112">
        <v>38233205.112125672</v>
      </c>
      <c r="D30" s="85">
        <v>21863190.112295818</v>
      </c>
      <c r="E30" s="85">
        <v>21279417.512409199</v>
      </c>
      <c r="F30" s="85">
        <v>583772.59988661855</v>
      </c>
      <c r="G30" s="86">
        <v>0.57183775328744024</v>
      </c>
      <c r="H30" s="85">
        <v>21863190.112295818</v>
      </c>
      <c r="I30" s="86">
        <v>0.57183775328744024</v>
      </c>
      <c r="J30" s="85">
        <v>910966.25467899244</v>
      </c>
      <c r="K30" s="85" t="e">
        <v>#DIV/0!</v>
      </c>
      <c r="L30" s="105">
        <v>0</v>
      </c>
    </row>
    <row r="31" spans="1:12" ht="15.75" x14ac:dyDescent="0.25">
      <c r="A31" s="124"/>
      <c r="B31" s="19" t="s">
        <v>98</v>
      </c>
      <c r="C31" s="112">
        <v>25415250</v>
      </c>
      <c r="D31" s="85">
        <v>26313436.609832209</v>
      </c>
      <c r="E31" s="85">
        <v>25866298.235398188</v>
      </c>
      <c r="F31" s="85">
        <v>447138.37443402037</v>
      </c>
      <c r="G31" s="86">
        <v>1.0353404593632645</v>
      </c>
      <c r="H31" s="85">
        <v>26313436.609832205</v>
      </c>
      <c r="I31" s="86">
        <v>1.0353404593632645</v>
      </c>
      <c r="J31" s="85">
        <v>1096393.1920763419</v>
      </c>
      <c r="K31" s="85" t="e">
        <v>#DIV/0!</v>
      </c>
      <c r="L31" s="105">
        <v>263134.36609832203</v>
      </c>
    </row>
    <row r="32" spans="1:12" ht="15.75" x14ac:dyDescent="0.25">
      <c r="A32" s="124"/>
      <c r="B32" s="19" t="s">
        <v>210</v>
      </c>
      <c r="C32" s="112">
        <v>25200000</v>
      </c>
      <c r="D32" s="85">
        <v>18151384.413142633</v>
      </c>
      <c r="E32" s="85">
        <v>17244550.074721541</v>
      </c>
      <c r="F32" s="85">
        <v>906834.33842109144</v>
      </c>
      <c r="G32" s="86">
        <v>0.7202930322675648</v>
      </c>
      <c r="H32" s="85">
        <v>18151384.413142633</v>
      </c>
      <c r="I32" s="86">
        <v>0.7202930322675648</v>
      </c>
      <c r="J32" s="85">
        <v>756307.68388094299</v>
      </c>
      <c r="K32" s="85" t="e">
        <v>#DIV/0!</v>
      </c>
      <c r="L32" s="105">
        <v>0</v>
      </c>
    </row>
    <row r="33" spans="1:12" ht="15.75" x14ac:dyDescent="0.25">
      <c r="A33" s="124"/>
      <c r="B33" s="19" t="s">
        <v>99</v>
      </c>
      <c r="C33" s="112">
        <v>26496750</v>
      </c>
      <c r="D33" s="85">
        <v>20837293.557389762</v>
      </c>
      <c r="E33" s="85">
        <v>20072218.044281825</v>
      </c>
      <c r="F33" s="85">
        <v>765075.51310793683</v>
      </c>
      <c r="G33" s="86">
        <v>0.78640941086698413</v>
      </c>
      <c r="H33" s="85">
        <v>20837293.557389762</v>
      </c>
      <c r="I33" s="86">
        <v>0.78640941086698413</v>
      </c>
      <c r="J33" s="85">
        <v>868220.56489124009</v>
      </c>
      <c r="K33" s="85" t="e">
        <v>#DIV/0!</v>
      </c>
      <c r="L33" s="105">
        <v>0</v>
      </c>
    </row>
    <row r="34" spans="1:12" ht="15.75" x14ac:dyDescent="0.25">
      <c r="A34" s="124"/>
      <c r="B34" s="19" t="s">
        <v>138</v>
      </c>
      <c r="C34" s="112">
        <v>21000000</v>
      </c>
      <c r="D34" s="85">
        <v>13727467.509959595</v>
      </c>
      <c r="E34" s="85">
        <v>13039481.563812835</v>
      </c>
      <c r="F34" s="85">
        <v>687985.94614676014</v>
      </c>
      <c r="G34" s="86">
        <v>0.65368892904569498</v>
      </c>
      <c r="H34" s="85">
        <v>13727467.509959595</v>
      </c>
      <c r="I34" s="86">
        <v>0.65368892904569498</v>
      </c>
      <c r="J34" s="85">
        <v>571977.81291498314</v>
      </c>
      <c r="K34" s="85" t="e">
        <v>#DIV/0!</v>
      </c>
      <c r="L34" s="105">
        <v>0</v>
      </c>
    </row>
    <row r="35" spans="1:12" ht="15.75" x14ac:dyDescent="0.25">
      <c r="A35" s="124"/>
      <c r="B35" s="19" t="s">
        <v>103</v>
      </c>
      <c r="C35" s="112">
        <v>24658200</v>
      </c>
      <c r="D35" s="85">
        <v>7728017.7449721582</v>
      </c>
      <c r="E35" s="85">
        <v>7427038.0634731874</v>
      </c>
      <c r="F35" s="85">
        <v>300979.68149897084</v>
      </c>
      <c r="G35" s="86">
        <v>0.31340559103957943</v>
      </c>
      <c r="H35" s="85">
        <v>7728017.7449721582</v>
      </c>
      <c r="I35" s="86">
        <v>0.31340559103957943</v>
      </c>
      <c r="J35" s="85">
        <v>322000.73937383993</v>
      </c>
      <c r="K35" s="85" t="e">
        <v>#DIV/0!</v>
      </c>
      <c r="L35" s="105">
        <v>0</v>
      </c>
    </row>
    <row r="36" spans="1:12" ht="15.75" x14ac:dyDescent="0.25">
      <c r="A36" s="124"/>
      <c r="B36" s="19" t="s">
        <v>204</v>
      </c>
      <c r="C36" s="112">
        <v>25235000</v>
      </c>
      <c r="D36" s="85">
        <v>14092423.235800521</v>
      </c>
      <c r="E36" s="85">
        <v>13787711.752287488</v>
      </c>
      <c r="F36" s="85">
        <v>304711.48351303302</v>
      </c>
      <c r="G36" s="86">
        <v>0.55844752271846732</v>
      </c>
      <c r="H36" s="85">
        <v>14092423.23580052</v>
      </c>
      <c r="I36" s="86">
        <v>0.5584475227184672</v>
      </c>
      <c r="J36" s="85">
        <v>587184.30149168835</v>
      </c>
      <c r="K36" s="85" t="e">
        <v>#DIV/0!</v>
      </c>
      <c r="L36" s="105">
        <v>0</v>
      </c>
    </row>
    <row r="37" spans="1:12" ht="15.75" x14ac:dyDescent="0.25">
      <c r="A37" s="124"/>
      <c r="B37" s="19" t="s">
        <v>110</v>
      </c>
      <c r="C37" s="112">
        <v>122011750</v>
      </c>
      <c r="D37" s="85">
        <v>65662670.917833798</v>
      </c>
      <c r="E37" s="85">
        <v>59403378.702583797</v>
      </c>
      <c r="F37" s="85">
        <v>6259292.2152500004</v>
      </c>
      <c r="G37" s="86">
        <v>0.53816678244377114</v>
      </c>
      <c r="H37" s="85">
        <v>65662670.917833805</v>
      </c>
      <c r="I37" s="86">
        <v>0.53816678244377125</v>
      </c>
      <c r="J37" s="85">
        <v>2735944.6215764084</v>
      </c>
      <c r="K37" s="85" t="e">
        <v>#DIV/0!</v>
      </c>
      <c r="L37" s="105">
        <v>0</v>
      </c>
    </row>
    <row r="38" spans="1:12" ht="15.75" x14ac:dyDescent="0.25">
      <c r="A38" s="124"/>
      <c r="B38" s="19" t="s">
        <v>214</v>
      </c>
      <c r="C38" s="112">
        <v>35700000</v>
      </c>
      <c r="D38" s="85">
        <v>16480410.572651757</v>
      </c>
      <c r="E38" s="85">
        <v>17136087.737651758</v>
      </c>
      <c r="F38" s="85">
        <v>-655677.16500000097</v>
      </c>
      <c r="G38" s="86">
        <v>0.46163615049444695</v>
      </c>
      <c r="H38" s="85">
        <v>16480410.572651755</v>
      </c>
      <c r="I38" s="86">
        <v>0.4616361504944469</v>
      </c>
      <c r="J38" s="85">
        <v>686683.77386048983</v>
      </c>
      <c r="K38" s="85" t="e">
        <v>#DIV/0!</v>
      </c>
      <c r="L38" s="105">
        <v>0</v>
      </c>
    </row>
    <row r="39" spans="1:12" ht="15.75" x14ac:dyDescent="0.25">
      <c r="A39" s="124"/>
      <c r="B39" s="19" t="s">
        <v>80</v>
      </c>
      <c r="C39" s="112">
        <v>36361427.739</v>
      </c>
      <c r="D39" s="85">
        <v>25054842.418592516</v>
      </c>
      <c r="E39" s="85">
        <v>24470367.165487725</v>
      </c>
      <c r="F39" s="85">
        <v>584475.25310479105</v>
      </c>
      <c r="G39" s="86">
        <v>0.68905001746451133</v>
      </c>
      <c r="H39" s="85">
        <v>25054842.418592516</v>
      </c>
      <c r="I39" s="86">
        <v>0.68905001746451133</v>
      </c>
      <c r="J39" s="85">
        <v>1043951.7674413548</v>
      </c>
      <c r="K39" s="85" t="e">
        <v>#DIV/0!</v>
      </c>
      <c r="L39" s="105">
        <v>0</v>
      </c>
    </row>
    <row r="40" spans="1:12" ht="16.5" thickBot="1" x14ac:dyDescent="0.3">
      <c r="A40" s="125"/>
      <c r="B40" s="3"/>
      <c r="C40" s="113">
        <v>509028982.85112572</v>
      </c>
      <c r="D40" s="109">
        <v>347834972.80736977</v>
      </c>
      <c r="E40" s="107">
        <v>333762081.387788</v>
      </c>
      <c r="F40" s="109">
        <v>14072891.419581771</v>
      </c>
      <c r="G40" s="108">
        <v>0.68333038888887809</v>
      </c>
      <c r="H40" s="106">
        <v>347834972.80736977</v>
      </c>
      <c r="I40" s="108">
        <v>0.68333038888887809</v>
      </c>
      <c r="J40" s="106">
        <v>14493123.866973741</v>
      </c>
      <c r="K40" s="109" t="e">
        <v>#DIV/0!</v>
      </c>
      <c r="L40" s="110"/>
    </row>
    <row r="41" spans="1:12" ht="16.5" thickBot="1" x14ac:dyDescent="0.3">
      <c r="A41" s="114" t="s">
        <v>42</v>
      </c>
      <c r="B41" s="115"/>
      <c r="C41" s="116">
        <v>1379767147.0931361</v>
      </c>
      <c r="D41" s="116">
        <v>1286698787.5289791</v>
      </c>
      <c r="E41" s="117">
        <v>1222086810.2959023</v>
      </c>
      <c r="F41" s="116">
        <v>64611977.233076811</v>
      </c>
      <c r="G41" s="118">
        <v>0.93254777825357604</v>
      </c>
      <c r="H41" s="116">
        <v>1286698787.5289791</v>
      </c>
      <c r="I41" s="139">
        <v>0.93254777825357604</v>
      </c>
      <c r="J41" s="116">
        <v>53612449.480374128</v>
      </c>
      <c r="K41" s="116" t="e">
        <v>#DIV/0!</v>
      </c>
      <c r="L41" s="119"/>
    </row>
    <row r="42" spans="1:12" x14ac:dyDescent="0.25">
      <c r="B42" s="120" t="s">
        <v>30</v>
      </c>
      <c r="C42" s="120" t="s">
        <v>31</v>
      </c>
      <c r="D42" s="120" t="s">
        <v>32</v>
      </c>
      <c r="E42" s="120" t="s">
        <v>32</v>
      </c>
      <c r="F42" s="120" t="s">
        <v>33</v>
      </c>
      <c r="G42" s="121" t="s">
        <v>41</v>
      </c>
      <c r="H42" s="122" t="s">
        <v>45</v>
      </c>
      <c r="I42" s="121" t="s">
        <v>46</v>
      </c>
      <c r="J42" s="120" t="s">
        <v>35</v>
      </c>
      <c r="K42" s="120" t="s">
        <v>34</v>
      </c>
      <c r="L42" s="120" t="s">
        <v>53</v>
      </c>
    </row>
    <row r="43" spans="1:12" ht="15.75" x14ac:dyDescent="0.25">
      <c r="B43" s="19" t="s">
        <v>144</v>
      </c>
      <c r="C43" s="96">
        <v>40000000</v>
      </c>
      <c r="D43" s="85">
        <v>31200035.617086809</v>
      </c>
      <c r="E43" s="85">
        <v>31230263.361085694</v>
      </c>
      <c r="F43" s="85">
        <v>-30227.743998885155</v>
      </c>
      <c r="G43" s="86">
        <v>0.78000089042717025</v>
      </c>
      <c r="H43" s="85">
        <v>31200035.617086805</v>
      </c>
      <c r="I43" s="86">
        <v>0.78000089042717013</v>
      </c>
      <c r="J43" s="85">
        <v>1300001.4840452836</v>
      </c>
      <c r="K43" s="85" t="e">
        <v>#DIV/0!</v>
      </c>
      <c r="L43" s="85">
        <v>0</v>
      </c>
    </row>
    <row r="44" spans="1:12" ht="15.75" x14ac:dyDescent="0.25">
      <c r="B44" s="19" t="s">
        <v>145</v>
      </c>
      <c r="C44" s="96">
        <v>30000000</v>
      </c>
      <c r="D44" s="85">
        <v>24332681.799774844</v>
      </c>
      <c r="E44" s="85">
        <v>24332681.799774844</v>
      </c>
      <c r="F44" s="85">
        <v>0</v>
      </c>
      <c r="G44" s="86">
        <v>0.81108939332582819</v>
      </c>
      <c r="H44" s="85">
        <v>24332681.799774844</v>
      </c>
      <c r="I44" s="86">
        <v>0.81108939332582819</v>
      </c>
      <c r="J44" s="85">
        <v>1013861.7416572851</v>
      </c>
      <c r="K44" s="85" t="e">
        <v>#DIV/0!</v>
      </c>
      <c r="L44" s="85">
        <v>0</v>
      </c>
    </row>
  </sheetData>
  <conditionalFormatting sqref="G2:G9 G11:G15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17:G25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27:G39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43:G44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13</vt:i4>
      </vt:variant>
    </vt:vector>
  </HeadingPairs>
  <TitlesOfParts>
    <vt:vector size="13" baseType="lpstr">
      <vt:lpstr>COMISIONES</vt:lpstr>
      <vt:lpstr>AVANCE</vt:lpstr>
      <vt:lpstr>COBERTURA</vt:lpstr>
      <vt:lpstr>Venta C</vt:lpstr>
      <vt:lpstr>Base Cobertura</vt:lpstr>
      <vt:lpstr>Base venta C</vt:lpstr>
      <vt:lpstr>Promedio Horas</vt:lpstr>
      <vt:lpstr>Historico Enero</vt:lpstr>
      <vt:lpstr>Historico Febrero</vt:lpstr>
      <vt:lpstr>Historico Marzo</vt:lpstr>
      <vt:lpstr>Historico Abril</vt:lpstr>
      <vt:lpstr>Historico Mayo</vt:lpstr>
      <vt:lpstr>Historico Junio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Cesar Brixner</cp:lastModifiedBy>
  <dcterms:created xsi:type="dcterms:W3CDTF">2025-06-05T14:03:20Z</dcterms:created>
  <dcterms:modified xsi:type="dcterms:W3CDTF">2026-07-30T18:20:12Z</dcterms:modified>
</cp:coreProperties>
</file>