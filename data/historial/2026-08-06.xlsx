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AC8D405F-05F5-4288-A2D3-5CFCCCB805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  <sheet name="Historico Junio" sheetId="19" r:id="rId13"/>
    <sheet name="Historico Julio" sheetId="20" r:id="rId14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U11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<sst xmlns="http://schemas.openxmlformats.org/spreadsheetml/2006/main" count="1616" uniqueCount="287">
  <si>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</si>
  <si>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</si>
  <si>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</si>
  <si>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</si>
  <si>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</si>
  <si>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</si>
  <si>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</si>
  <si>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</si>
  <si>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</si>
  <si>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</si>
  <si>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</si>
  <si>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</si>
  <si>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</si>
  <si>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</si>
  <si>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</si>
  <si>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</si>
  <si>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</si>
  <si>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</si>
  <si>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</si>
  <si>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</si>
  <si>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</si>
  <si>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</si>
  <si>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</si>
  <si>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</si>
  <si>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</si>
  <si>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</si>
  <si>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</si>
  <si>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</si>
  <si>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</si>
  <si>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</si>
  <si>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</si>
  <si>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</si>
  <si>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</si>
  <si>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</si>
  <si>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</si>
  <si>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</si>
  <si>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</si>
  <si>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</si>
  <si>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</si>
  <si>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</si>
  <si>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</si>
  <si>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</si>
  <si>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</si>
  <si>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</si>
  <si>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</si>
  <si>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</si>
  <si>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</si>
  <si>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</si>
  <si>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</si>
  <si>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</si>
  <si>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</si>
  <si>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</si>
  <si>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</si>
  <si>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</si>
  <si>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</si>
  <si>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</si>
  <si>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</si>
  <si>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</si>
  <si>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</si>
  <si>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</si>
  <si>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</si>
  <si>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</si>
  <si>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</si>
  <si>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</si>
  <si>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</si>
  <si>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</si>
  <si>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</si>
  <si>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</si>
  <si>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</si>
  <si>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</si>
  <si>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</si>
  <si>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</si>
  <si>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</si>
  <si>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</si>
  <si>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</si>
  <si>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</si>
  <si>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</si>
  <si>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</si>
  <si>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</si>
  <si>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</si>
  <si>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</si>
  <si>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</si>
  <si>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</si>
  <si>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</si>
  <si>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</si>
  <si>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</si>
  <si>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</si>
  <si>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</si>
  <si>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</si>
  <si>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</si>
  <si>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</si>
  <si>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</si>
  <si>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</si>
  <si>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</si>
  <si>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</si>
  <si>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</si>
  <si>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</si>
  <si>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</si>
  <si>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</si>
  <si>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</si>
  <si>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</si>
  <si>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</si>
  <si>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</si>
  <si>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</si>
  <si>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</si>
  <si>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</si>
  <si>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</si>
  <si>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</si>
  <si>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</si>
  <si>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</si>
  <si>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</si>
  <si>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</si>
  <si>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</si>
  <si>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</si>
  <si>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</si>
  <si>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</si>
  <si>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</si>
  <si>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</si>
  <si>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</si>
  <si>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</si>
  <si>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</si>
  <si>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</si>
  <si>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</si>
  <si>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</si>
  <si>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</si>
  <si>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</si>
  <si>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</si>
  <si>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</si>
  <si>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</si>
  <si>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</si>
  <si>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</si>
  <si>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</si>
  <si>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</si>
  <si>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</si>
  <si>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</si>
  <si>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</si>
  <si>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</si>
  <si>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</si>
  <si>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</si>
  <si>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</si>
  <si>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</si>
  <si>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</si>
  <si>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</si>
  <si>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</si>
  <si>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</si>
  <si>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</si>
  <si>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</si>
  <si>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</si>
  <si>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</si>
  <si>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</si>
  <si>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</si>
  <si>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</si>
  <si>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</si>
  <si>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</si>
  <si>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</si>
  <si>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</si>
  <si>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</si>
  <si>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</si>
  <si>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</si>
  <si>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</si>
  <si>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</si>
  <si>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</si>
  <si>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</si>
  <si>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</si>
  <si>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</si>
  <si>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</si>
  <si>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</si>
  <si>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</si>
  <si>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</si>
  <si>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</si>
  <si>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</si>
  <si>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</si>
  <si>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</si>
  <si>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</si>
  <si>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</si>
  <si>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</si>
  <si>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</si>
  <si>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</si>
  <si>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</si>
  <si>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</si>
  <si>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</si>
  <si>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</si>
  <si>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</si>
  <si>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</si>
  <si>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</si>
  <si>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</si>
  <si>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</si>
  <si>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</si>
  <si>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</si>
  <si>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</si>
  <si>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</si>
  <si>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</si>
  <si>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</si>
  <si>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</si>
  <si>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</si>
  <si>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</si>
  <si>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</si>
  <si>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</si>
  <si>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</si>
  <si>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</si>
  <si>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</si>
  <si>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</si>
  <si>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</si>
  <si>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</si>
  <si>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</si>
  <si>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</si>
  <si>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</si>
  <si>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</si>
  <si>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</si>
  <si>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</si>
  <si>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</si>
  <si>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</si>
  <si>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</si>
  <si>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</si>
  <si>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</si>
  <si>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</si>
  <si>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</si>
  <si>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</si>
  <si>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</si>
  <si>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</si>
  <si>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</si>
  <si>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</si>
  <si>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</si>
  <si>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</si>
  <si>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</si>
  <si>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</si>
  <si>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</si>
  <si>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</si>
  <si>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</si>
  <si>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</si>
  <si>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</si>
  <si>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</si>
  <si>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</si>
  <si>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</si>
  <si>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</si>
  <si>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</si>
  <si>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</si>
  <si>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</si>
  <si>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</si>
  <si>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</si>
  <si>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</si>
  <si>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</si>
  <si>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</si>
  <si>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</si>
  <si>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</si>
  <si>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</si>
  <si>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</si>
  <si>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</si>
  <si>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</si>
  <si>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</si>
  <si>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</si>
  <si>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</si>
  <si>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</si>
  <si>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</si>
  <si>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</si>
  <si>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</si>
  <si>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</si>
  <si>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</si>
  <si>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</si>
  <si>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</si>
  <si>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</si>
  <si>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</si>
  <si>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</si>
  <si>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</si>
  <si>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</si>
  <si>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</si>
  <si>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</si>
  <si>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</si>
  <si>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</si>
  <si>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</si>
  <si>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</si>
  <si>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</si>
  <si>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</si>
  <si>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</si>
  <si>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</si>
  <si>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</si>
  <si>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</si>
  <si>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140 - ALMACEN</t>
  </si>
  <si>
    <t>140 - Articulos Sin Asociar Agrupacion</t>
  </si>
  <si>
    <t>140 - BEBIDAS</t>
  </si>
  <si>
    <t>140 - CHOCOLATE</t>
  </si>
  <si>
    <t>140 - GALLETITAS</t>
  </si>
  <si>
    <t>140 - GOLOSINAS</t>
  </si>
  <si>
    <t>140 - MASCOTAS</t>
  </si>
  <si>
    <t>140 - NO PERECEDEROS</t>
  </si>
  <si>
    <t>140 - PILAS</t>
  </si>
  <si>
    <t>42 - ROMERO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</si>
</sst>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2" t="s">
        <v>75</v>
      </c>
      <c r="B1" s="152" t="s">
        <v>146</v>
      </c>
      <c r="C1" s="152" t="s">
        <v>147</v>
      </c>
      <c r="D1" s="152" t="s">
        <v>148</v>
      </c>
      <c r="E1" s="152" t="s">
        <v>149</v>
      </c>
      <c r="F1" s="152" t="s">
        <v>150</v>
      </c>
      <c r="G1" s="152" t="s">
        <v>151</v>
      </c>
      <c r="H1" s="152" t="s">
        <v>152</v>
      </c>
    </row>
    <row r="2" spans="1:8" x14ac:dyDescent="0.25">
      <c r="A2" s="151" t="s">
        <v>153</v>
      </c>
      <c r="B2" s="151">
        <v>0</v>
      </c>
      <c r="C2" s="151">
        <v>18300.874974199101</v>
      </c>
      <c r="D2" s="151">
        <v>74882.943459934599</v>
      </c>
      <c r="E2" s="151">
        <v>327748190.79373866</v>
      </c>
      <c r="F2" s="151">
        <v>0</v>
      </c>
      <c r="G2" s="151">
        <v>177763.24494619831</v>
      </c>
      <c r="H2" s="151">
        <v>177763.35</v>
      </c>
    </row>
    <row r="3" spans="1:8" x14ac:dyDescent="0.25">
      <c r="A3" s="151" t="s">
        <v>80</v>
      </c>
      <c r="B3" s="151">
        <v>1</v>
      </c>
      <c r="C3" s="151">
        <v>246.79548611019999</v>
      </c>
      <c r="D3" s="151">
        <v>418.06220982280001</v>
      </c>
      <c r="E3" s="151">
        <v>5925441.4982066099</v>
      </c>
      <c r="F3" s="151">
        <v>0</v>
      </c>
      <c r="G3" s="151">
        <v>177763.24494619831</v>
      </c>
      <c r="H3" s="151">
        <v>177763.35</v>
      </c>
    </row>
    <row r="4" spans="1:8" x14ac:dyDescent="0.25">
      <c r="A4" s="151" t="s">
        <v>81</v>
      </c>
      <c r="B4" s="151">
        <v>1</v>
      </c>
      <c r="C4" s="151">
        <v>189.50148809539999</v>
      </c>
      <c r="D4" s="151">
        <v>230.12000000570001</v>
      </c>
      <c r="E4" s="151">
        <v>3675327.4791989652</v>
      </c>
      <c r="F4" s="151">
        <v>0</v>
      </c>
      <c r="G4" s="151">
        <v>0</v>
      </c>
      <c r="H4" s="151">
        <v>0</v>
      </c>
    </row>
    <row r="5" spans="1:8" x14ac:dyDescent="0.25">
      <c r="A5" s="151" t="s">
        <v>82</v>
      </c>
      <c r="B5" s="151">
        <v>1</v>
      </c>
      <c r="C5" s="151">
        <v>205.45773809400001</v>
      </c>
      <c r="D5" s="151">
        <v>523.07267856980002</v>
      </c>
      <c r="E5" s="151">
        <v>5305650.9699002542</v>
      </c>
      <c r="F5" s="151">
        <v>0</v>
      </c>
      <c r="G5" s="151">
        <v>0</v>
      </c>
      <c r="H5" s="151">
        <v>0</v>
      </c>
    </row>
    <row r="6" spans="1:8" x14ac:dyDescent="0.25">
      <c r="A6" s="151" t="s">
        <v>83</v>
      </c>
      <c r="B6" s="151">
        <v>1</v>
      </c>
      <c r="C6" s="151">
        <v>553.30218253980001</v>
      </c>
      <c r="D6" s="151">
        <v>952.22285715329997</v>
      </c>
      <c r="E6" s="151">
        <v>10130849.212965416</v>
      </c>
      <c r="F6" s="151">
        <v>0</v>
      </c>
      <c r="G6" s="151">
        <v>0</v>
      </c>
      <c r="H6" s="151">
        <v>0</v>
      </c>
    </row>
    <row r="7" spans="1:8" x14ac:dyDescent="0.25">
      <c r="A7" s="151" t="s">
        <v>84</v>
      </c>
      <c r="B7" s="151">
        <v>1</v>
      </c>
      <c r="C7" s="151">
        <v>292.0205952375</v>
      </c>
      <c r="D7" s="151">
        <v>818.35958335350006</v>
      </c>
      <c r="E7" s="151">
        <v>6960618.20798383</v>
      </c>
      <c r="F7" s="151">
        <v>0</v>
      </c>
      <c r="G7" s="151">
        <v>0</v>
      </c>
      <c r="H7" s="151">
        <v>0</v>
      </c>
    </row>
    <row r="8" spans="1:8" x14ac:dyDescent="0.25">
      <c r="A8" s="151" t="s">
        <v>110</v>
      </c>
      <c r="B8" s="151">
        <v>1</v>
      </c>
      <c r="C8" s="151">
        <v>417.9166666667</v>
      </c>
      <c r="D8" s="151">
        <v>1344.2700000003999</v>
      </c>
      <c r="E8" s="151">
        <v>13846941.29303805</v>
      </c>
      <c r="F8" s="151">
        <v>0</v>
      </c>
      <c r="G8" s="151">
        <v>0</v>
      </c>
      <c r="H8" s="151">
        <v>0</v>
      </c>
    </row>
    <row r="9" spans="1:8" x14ac:dyDescent="0.25">
      <c r="A9" s="151" t="s">
        <v>269</v>
      </c>
      <c r="B9" s="151">
        <v>1</v>
      </c>
      <c r="C9" s="151">
        <v>161.5961507934</v>
      </c>
      <c r="D9" s="151">
        <v>452.16208333690003</v>
      </c>
      <c r="E9" s="151">
        <v>3720772.3216259582</v>
      </c>
      <c r="F9" s="151">
        <v>0</v>
      </c>
      <c r="G9" s="151">
        <v>0</v>
      </c>
      <c r="H9" s="151">
        <v>0</v>
      </c>
    </row>
    <row r="10" spans="1:8" x14ac:dyDescent="0.25">
      <c r="A10" s="151" t="s">
        <v>86</v>
      </c>
      <c r="B10" s="151">
        <v>1</v>
      </c>
      <c r="C10" s="151">
        <v>286.89736111129997</v>
      </c>
      <c r="D10" s="151">
        <v>245.98882143809999</v>
      </c>
      <c r="E10" s="151">
        <v>4107436.4995406736</v>
      </c>
      <c r="F10" s="151">
        <v>0</v>
      </c>
      <c r="G10" s="151">
        <v>0</v>
      </c>
      <c r="H10" s="151">
        <v>0</v>
      </c>
    </row>
    <row r="11" spans="1:8" x14ac:dyDescent="0.25">
      <c r="A11" s="151" t="s">
        <v>210</v>
      </c>
      <c r="B11" s="151">
        <v>1</v>
      </c>
      <c r="C11" s="151">
        <v>203.76617063489999</v>
      </c>
      <c r="D11" s="151">
        <v>214.3147619097</v>
      </c>
      <c r="E11" s="151">
        <v>3847309.251726571</v>
      </c>
      <c r="F11" s="151">
        <v>0</v>
      </c>
      <c r="G11" s="151">
        <v>0</v>
      </c>
      <c r="H11" s="151">
        <v>0</v>
      </c>
    </row>
    <row r="12" spans="1:8" x14ac:dyDescent="0.25">
      <c r="A12" s="151" t="s">
        <v>209</v>
      </c>
      <c r="B12" s="151">
        <v>1</v>
      </c>
      <c r="C12" s="151">
        <v>222.38269841300001</v>
      </c>
      <c r="D12" s="151">
        <v>525.01000000639999</v>
      </c>
      <c r="E12" s="151">
        <v>4050664.9086568942</v>
      </c>
      <c r="F12" s="151">
        <v>0</v>
      </c>
      <c r="G12" s="151">
        <v>0</v>
      </c>
      <c r="H12" s="151">
        <v>0</v>
      </c>
    </row>
    <row r="13" spans="1:8" x14ac:dyDescent="0.25">
      <c r="A13" s="151" t="s">
        <v>89</v>
      </c>
      <c r="B13" s="151">
        <v>1</v>
      </c>
      <c r="C13" s="151">
        <v>212.69359126929999</v>
      </c>
      <c r="D13" s="151">
        <v>735.8941071452</v>
      </c>
      <c r="E13" s="151">
        <v>5480744.3340822924</v>
      </c>
      <c r="F13" s="151">
        <v>0</v>
      </c>
      <c r="G13" s="151">
        <v>0</v>
      </c>
      <c r="H13" s="151">
        <v>0</v>
      </c>
    </row>
    <row r="14" spans="1:8" x14ac:dyDescent="0.25">
      <c r="A14" s="151" t="s">
        <v>90</v>
      </c>
      <c r="B14" s="151">
        <v>1</v>
      </c>
      <c r="C14" s="151">
        <v>1013.9589285716</v>
      </c>
      <c r="D14" s="151">
        <v>3420.3317857128</v>
      </c>
      <c r="E14" s="151">
        <v>15999619.66315648</v>
      </c>
      <c r="F14" s="151">
        <v>0</v>
      </c>
      <c r="G14" s="151">
        <v>0</v>
      </c>
      <c r="H14" s="151">
        <v>0</v>
      </c>
    </row>
    <row r="15" spans="1:8" x14ac:dyDescent="0.25">
      <c r="A15" s="151" t="s">
        <v>91</v>
      </c>
      <c r="B15" s="151">
        <v>1</v>
      </c>
      <c r="C15" s="151">
        <v>172.2940317465</v>
      </c>
      <c r="D15" s="151">
        <v>409.58666666729999</v>
      </c>
      <c r="E15" s="151">
        <v>3587324.1155101573</v>
      </c>
      <c r="F15" s="151">
        <v>0</v>
      </c>
      <c r="G15" s="151">
        <v>0</v>
      </c>
      <c r="H15" s="151">
        <v>0</v>
      </c>
    </row>
    <row r="16" spans="1:8" x14ac:dyDescent="0.25">
      <c r="A16" s="151" t="s">
        <v>92</v>
      </c>
      <c r="B16" s="151">
        <v>1</v>
      </c>
      <c r="C16" s="151">
        <v>193.42307539629999</v>
      </c>
      <c r="D16" s="151">
        <v>588.86000000440004</v>
      </c>
      <c r="E16" s="151">
        <v>4856905.1520684771</v>
      </c>
      <c r="F16" s="151">
        <v>0</v>
      </c>
      <c r="G16" s="151">
        <v>0</v>
      </c>
      <c r="H16" s="151">
        <v>0</v>
      </c>
    </row>
    <row r="17" spans="1:8" x14ac:dyDescent="0.25">
      <c r="A17" s="151" t="s">
        <v>93</v>
      </c>
      <c r="B17" s="151">
        <v>1</v>
      </c>
      <c r="C17" s="151">
        <v>332.16115079309998</v>
      </c>
      <c r="D17" s="151">
        <v>917.89651191400003</v>
      </c>
      <c r="E17" s="151">
        <v>6900291.9730804898</v>
      </c>
      <c r="F17" s="151">
        <v>0</v>
      </c>
      <c r="G17" s="151">
        <v>0</v>
      </c>
      <c r="H17" s="151">
        <v>0</v>
      </c>
    </row>
    <row r="18" spans="1:8" x14ac:dyDescent="0.25">
      <c r="A18" s="151" t="s">
        <v>94</v>
      </c>
      <c r="B18" s="151">
        <v>1</v>
      </c>
      <c r="C18" s="151">
        <v>513.41831349189999</v>
      </c>
      <c r="D18" s="151">
        <v>1224.5054166635</v>
      </c>
      <c r="E18" s="151">
        <v>10103618.241287045</v>
      </c>
      <c r="F18" s="151">
        <v>0</v>
      </c>
      <c r="G18" s="151">
        <v>0</v>
      </c>
      <c r="H18" s="151">
        <v>0</v>
      </c>
    </row>
    <row r="19" spans="1:8" x14ac:dyDescent="0.25">
      <c r="A19" s="151" t="s">
        <v>95</v>
      </c>
      <c r="B19" s="151">
        <v>1</v>
      </c>
      <c r="C19" s="151">
        <v>326.10413359799998</v>
      </c>
      <c r="D19" s="151">
        <v>821.58000000180004</v>
      </c>
      <c r="E19" s="151">
        <v>7060623.6691102851</v>
      </c>
      <c r="F19" s="151">
        <v>0</v>
      </c>
      <c r="G19" s="151">
        <v>0</v>
      </c>
      <c r="H19" s="151">
        <v>0</v>
      </c>
    </row>
    <row r="20" spans="1:8" x14ac:dyDescent="0.25">
      <c r="A20" s="151" t="s">
        <v>96</v>
      </c>
      <c r="B20" s="151">
        <v>1</v>
      </c>
      <c r="C20" s="151">
        <v>1699.0162698409999</v>
      </c>
      <c r="D20" s="151">
        <v>3069.0647619009001</v>
      </c>
      <c r="E20" s="151">
        <v>22526297.340046089</v>
      </c>
      <c r="F20" s="151">
        <v>0</v>
      </c>
      <c r="G20" s="151">
        <v>0</v>
      </c>
      <c r="H20" s="151">
        <v>0</v>
      </c>
    </row>
    <row r="21" spans="1:8" x14ac:dyDescent="0.25">
      <c r="A21" s="151" t="s">
        <v>97</v>
      </c>
      <c r="B21" s="151">
        <v>1</v>
      </c>
      <c r="C21" s="151">
        <v>215.0363293648</v>
      </c>
      <c r="D21" s="151">
        <v>647.45183334410001</v>
      </c>
      <c r="E21" s="151">
        <v>4472863.6810909919</v>
      </c>
      <c r="F21" s="151">
        <v>0</v>
      </c>
      <c r="G21" s="151">
        <v>0</v>
      </c>
      <c r="H21" s="151">
        <v>0</v>
      </c>
    </row>
    <row r="22" spans="1:8" x14ac:dyDescent="0.25">
      <c r="A22" s="151" t="s">
        <v>274</v>
      </c>
      <c r="B22" s="151">
        <v>1</v>
      </c>
      <c r="C22" s="151">
        <v>147.35656746000001</v>
      </c>
      <c r="D22" s="151">
        <v>309.42125000030001</v>
      </c>
      <c r="E22" s="151">
        <v>3575832.1338656968</v>
      </c>
      <c r="F22" s="151">
        <v>0</v>
      </c>
      <c r="G22" s="151">
        <v>0</v>
      </c>
      <c r="H22" s="151">
        <v>0</v>
      </c>
    </row>
    <row r="23" spans="1:8" x14ac:dyDescent="0.25">
      <c r="A23" s="151" t="s">
        <v>266</v>
      </c>
      <c r="B23" s="151">
        <v>1</v>
      </c>
      <c r="C23" s="151">
        <v>807.16238095189999</v>
      </c>
      <c r="D23" s="151">
        <v>3514.8878333347998</v>
      </c>
      <c r="E23" s="151">
        <v>17446662.507754244</v>
      </c>
      <c r="F23" s="151">
        <v>0</v>
      </c>
      <c r="G23" s="151">
        <v>0</v>
      </c>
      <c r="H23" s="151">
        <v>0</v>
      </c>
    </row>
    <row r="24" spans="1:8" x14ac:dyDescent="0.25">
      <c r="A24" s="151" t="s">
        <v>265</v>
      </c>
      <c r="B24" s="151">
        <v>1</v>
      </c>
      <c r="C24" s="151">
        <v>1185.1819444446</v>
      </c>
      <c r="D24" s="151">
        <v>9803.5355238135999</v>
      </c>
      <c r="E24" s="151">
        <v>24078346.695974931</v>
      </c>
      <c r="F24" s="151">
        <v>0</v>
      </c>
      <c r="G24" s="151">
        <v>0</v>
      </c>
      <c r="H24" s="151">
        <v>0</v>
      </c>
    </row>
    <row r="25" spans="1:8" x14ac:dyDescent="0.25">
      <c r="A25" s="151" t="s">
        <v>98</v>
      </c>
      <c r="B25" s="151">
        <v>1</v>
      </c>
      <c r="C25" s="151">
        <v>125.6804761903</v>
      </c>
      <c r="D25" s="151">
        <v>526.96458333989995</v>
      </c>
      <c r="E25" s="151">
        <v>2986365.8611278832</v>
      </c>
      <c r="F25" s="151">
        <v>0</v>
      </c>
      <c r="G25" s="151">
        <v>0</v>
      </c>
      <c r="H25" s="151">
        <v>0</v>
      </c>
    </row>
    <row r="26" spans="1:8" x14ac:dyDescent="0.25">
      <c r="A26" s="151" t="s">
        <v>99</v>
      </c>
      <c r="B26" s="151">
        <v>1</v>
      </c>
      <c r="C26" s="151">
        <v>156.703373016</v>
      </c>
      <c r="D26" s="151">
        <v>209.13066666360001</v>
      </c>
      <c r="E26" s="151">
        <v>2933946.0112025654</v>
      </c>
      <c r="F26" s="151">
        <v>0</v>
      </c>
      <c r="G26" s="151">
        <v>0</v>
      </c>
      <c r="H26" s="151">
        <v>0</v>
      </c>
    </row>
    <row r="27" spans="1:8" x14ac:dyDescent="0.25">
      <c r="A27" s="151" t="s">
        <v>276</v>
      </c>
      <c r="B27" s="151">
        <v>1</v>
      </c>
      <c r="C27" s="151">
        <v>329.2916666667</v>
      </c>
      <c r="D27" s="151">
        <v>2898.94</v>
      </c>
      <c r="E27" s="151">
        <v>5512726.2555622831</v>
      </c>
      <c r="F27" s="151">
        <v>0</v>
      </c>
      <c r="G27" s="151">
        <v>0</v>
      </c>
      <c r="H27" s="151">
        <v>0</v>
      </c>
    </row>
    <row r="28" spans="1:8" x14ac:dyDescent="0.25">
      <c r="A28" s="151" t="s">
        <v>218</v>
      </c>
      <c r="B28" s="151">
        <v>1</v>
      </c>
      <c r="C28" s="151">
        <v>244.18061507900001</v>
      </c>
      <c r="D28" s="151">
        <v>722.24285714220002</v>
      </c>
      <c r="E28" s="151">
        <v>5361527.1412280397</v>
      </c>
      <c r="F28" s="151">
        <v>0</v>
      </c>
      <c r="G28" s="151">
        <v>0</v>
      </c>
      <c r="H28" s="151">
        <v>0</v>
      </c>
    </row>
    <row r="29" spans="1:8" x14ac:dyDescent="0.25">
      <c r="A29" s="151" t="s">
        <v>211</v>
      </c>
      <c r="B29" s="151">
        <v>1</v>
      </c>
      <c r="C29" s="151">
        <v>938.50013227479997</v>
      </c>
      <c r="D29" s="151">
        <v>1552.6128571408999</v>
      </c>
      <c r="E29" s="151">
        <v>12578589.875915315</v>
      </c>
      <c r="F29" s="151">
        <v>0</v>
      </c>
      <c r="G29" s="151">
        <v>0</v>
      </c>
      <c r="H29" s="151">
        <v>0</v>
      </c>
    </row>
    <row r="30" spans="1:8" x14ac:dyDescent="0.25">
      <c r="A30" s="151" t="s">
        <v>138</v>
      </c>
      <c r="B30" s="151">
        <v>1</v>
      </c>
      <c r="C30" s="151">
        <v>154.1361111105</v>
      </c>
      <c r="D30" s="151">
        <v>265.631666666</v>
      </c>
      <c r="E30" s="151">
        <v>3130903.0966461082</v>
      </c>
      <c r="F30" s="151">
        <v>0</v>
      </c>
      <c r="G30" s="151">
        <v>0</v>
      </c>
      <c r="H30" s="151">
        <v>0</v>
      </c>
    </row>
    <row r="31" spans="1:8" x14ac:dyDescent="0.25">
      <c r="A31" s="151" t="s">
        <v>213</v>
      </c>
      <c r="B31" s="151">
        <v>1</v>
      </c>
      <c r="C31" s="151">
        <v>203.73313491959999</v>
      </c>
      <c r="D31" s="151">
        <v>330.91208333610001</v>
      </c>
      <c r="E31" s="151">
        <v>3481191.6430541179</v>
      </c>
      <c r="F31" s="151">
        <v>0</v>
      </c>
      <c r="G31" s="151">
        <v>0</v>
      </c>
      <c r="H31" s="151">
        <v>0</v>
      </c>
    </row>
    <row r="32" spans="1:8" x14ac:dyDescent="0.25">
      <c r="A32" s="151" t="s">
        <v>272</v>
      </c>
      <c r="B32" s="151">
        <v>1</v>
      </c>
      <c r="C32" s="151">
        <v>187.77658730120001</v>
      </c>
      <c r="D32" s="151">
        <v>102.20708333429999</v>
      </c>
      <c r="E32" s="151">
        <v>3321067.5419834545</v>
      </c>
      <c r="F32" s="151">
        <v>0</v>
      </c>
      <c r="G32" s="151">
        <v>0</v>
      </c>
      <c r="H32" s="151">
        <v>0</v>
      </c>
    </row>
    <row r="33" spans="1:8" x14ac:dyDescent="0.25">
      <c r="A33" s="151" t="s">
        <v>212</v>
      </c>
      <c r="B33" s="151">
        <v>1</v>
      </c>
      <c r="C33" s="151">
        <v>637.89150793689998</v>
      </c>
      <c r="D33" s="151">
        <v>1057.4291666685999</v>
      </c>
      <c r="E33" s="151">
        <v>6695121.2149646338</v>
      </c>
      <c r="F33" s="151">
        <v>0</v>
      </c>
      <c r="G33" s="151">
        <v>0</v>
      </c>
      <c r="H33" s="151">
        <v>0</v>
      </c>
    </row>
    <row r="34" spans="1:8" x14ac:dyDescent="0.25">
      <c r="A34" s="151" t="s">
        <v>286</v>
      </c>
      <c r="B34" s="151">
        <v>1</v>
      </c>
      <c r="C34" s="151">
        <v>40.444444444600002</v>
      </c>
      <c r="D34" s="151">
        <v>491.54500000119998</v>
      </c>
      <c r="E34" s="151">
        <v>1387424.8136635737</v>
      </c>
      <c r="F34" s="151">
        <v>0</v>
      </c>
      <c r="G34" s="151">
        <v>0</v>
      </c>
      <c r="H34" s="151">
        <v>0</v>
      </c>
    </row>
    <row r="35" spans="1:8" x14ac:dyDescent="0.25">
      <c r="A35" s="151" t="s">
        <v>267</v>
      </c>
      <c r="B35" s="151">
        <v>1</v>
      </c>
      <c r="C35" s="151">
        <v>208.45833333339999</v>
      </c>
      <c r="D35" s="151">
        <v>1299.8599999999999</v>
      </c>
      <c r="E35" s="151">
        <v>3242995.6574940565</v>
      </c>
      <c r="F35" s="151">
        <v>0</v>
      </c>
      <c r="G35" s="151">
        <v>0</v>
      </c>
      <c r="H35" s="151">
        <v>0</v>
      </c>
    </row>
    <row r="36" spans="1:8" x14ac:dyDescent="0.25">
      <c r="A36" s="151" t="s">
        <v>160</v>
      </c>
      <c r="B36" s="151">
        <v>1</v>
      </c>
      <c r="C36" s="151">
        <v>125.8026785709</v>
      </c>
      <c r="D36" s="151">
        <v>368.10125000689999</v>
      </c>
      <c r="E36" s="151">
        <v>3295319.778383642</v>
      </c>
      <c r="F36" s="151">
        <v>0</v>
      </c>
      <c r="G36" s="151">
        <v>0</v>
      </c>
      <c r="H36" s="151">
        <v>0</v>
      </c>
    </row>
    <row r="37" spans="1:8" x14ac:dyDescent="0.25">
      <c r="A37" s="151" t="s">
        <v>106</v>
      </c>
      <c r="B37" s="151">
        <v>1</v>
      </c>
      <c r="C37" s="151">
        <v>366.04799603200001</v>
      </c>
      <c r="D37" s="151">
        <v>1960.6685833337001</v>
      </c>
      <c r="E37" s="151">
        <v>10375630.87772402</v>
      </c>
      <c r="F37" s="151">
        <v>0</v>
      </c>
      <c r="G37" s="151">
        <v>0</v>
      </c>
      <c r="H37" s="151">
        <v>0</v>
      </c>
    </row>
    <row r="38" spans="1:8" x14ac:dyDescent="0.25">
      <c r="A38" s="151" t="s">
        <v>270</v>
      </c>
      <c r="B38" s="151">
        <v>1</v>
      </c>
      <c r="C38" s="151">
        <v>491.70833333320002</v>
      </c>
      <c r="D38" s="151">
        <v>5951.9199999989996</v>
      </c>
      <c r="E38" s="151">
        <v>12229010.85889094</v>
      </c>
      <c r="F38" s="151">
        <v>0</v>
      </c>
      <c r="G38" s="151">
        <v>0</v>
      </c>
      <c r="H38" s="151">
        <v>0</v>
      </c>
    </row>
    <row r="39" spans="1:8" x14ac:dyDescent="0.25">
      <c r="A39" s="151" t="s">
        <v>107</v>
      </c>
      <c r="B39" s="151">
        <v>1</v>
      </c>
      <c r="C39" s="151">
        <v>348.49999999990001</v>
      </c>
      <c r="D39" s="151">
        <v>4393.3999999981997</v>
      </c>
      <c r="E39" s="151">
        <v>8546506.3377286028</v>
      </c>
      <c r="F39" s="151">
        <v>0</v>
      </c>
      <c r="G39" s="151">
        <v>0</v>
      </c>
      <c r="H39" s="151">
        <v>0</v>
      </c>
    </row>
    <row r="40" spans="1:8" x14ac:dyDescent="0.25">
      <c r="A40" s="151" t="s">
        <v>219</v>
      </c>
      <c r="B40" s="151">
        <v>1</v>
      </c>
      <c r="C40" s="151">
        <v>195.38001984089999</v>
      </c>
      <c r="D40" s="151">
        <v>490.53589286250002</v>
      </c>
      <c r="E40" s="151">
        <v>5171312.8251119982</v>
      </c>
      <c r="F40" s="151">
        <v>0</v>
      </c>
      <c r="G40" s="151">
        <v>0</v>
      </c>
      <c r="H40" s="151">
        <v>0</v>
      </c>
    </row>
    <row r="41" spans="1:8" x14ac:dyDescent="0.25">
      <c r="A41" s="151" t="s">
        <v>139</v>
      </c>
      <c r="B41" s="151">
        <v>1</v>
      </c>
      <c r="C41" s="151">
        <v>2618.9859126983001</v>
      </c>
      <c r="D41" s="151">
        <v>10191.0116666666</v>
      </c>
      <c r="E41" s="151">
        <v>21404421.763024561</v>
      </c>
      <c r="F41" s="151">
        <v>0</v>
      </c>
      <c r="G41" s="151">
        <v>0</v>
      </c>
      <c r="H41" s="151">
        <v>0</v>
      </c>
    </row>
    <row r="42" spans="1:8" x14ac:dyDescent="0.25">
      <c r="A42" s="151" t="s">
        <v>275</v>
      </c>
      <c r="B42" s="151">
        <v>1</v>
      </c>
      <c r="C42" s="151">
        <v>484.24999999980002</v>
      </c>
      <c r="D42" s="151">
        <v>5776.9399999981997</v>
      </c>
      <c r="E42" s="151">
        <v>12037879.102990467</v>
      </c>
      <c r="F42" s="151">
        <v>0</v>
      </c>
      <c r="G42" s="151">
        <v>0</v>
      </c>
      <c r="H42" s="151">
        <v>0</v>
      </c>
    </row>
    <row r="43" spans="1:8" x14ac:dyDescent="0.25">
      <c r="A43" s="151" t="s">
        <v>144</v>
      </c>
      <c r="B43" s="151">
        <v>1</v>
      </c>
      <c r="C43" s="151">
        <v>127.9555555556</v>
      </c>
      <c r="D43" s="151">
        <v>615.17583333410005</v>
      </c>
      <c r="E43" s="151">
        <v>2847535.638590497</v>
      </c>
      <c r="F43" s="151">
        <v>0</v>
      </c>
      <c r="G43" s="151">
        <v>0</v>
      </c>
      <c r="H43" s="151">
        <v>0</v>
      </c>
    </row>
    <row r="44" spans="1:8" x14ac:dyDescent="0.25">
      <c r="A44" s="151" t="s">
        <v>145</v>
      </c>
      <c r="B44" s="151">
        <v>1</v>
      </c>
      <c r="C44" s="151">
        <v>-2.4583333333000001</v>
      </c>
      <c r="D44" s="151">
        <v>0</v>
      </c>
      <c r="E44" s="151">
        <v>-80990.517827873206</v>
      </c>
      <c r="F44" s="151">
        <v>0</v>
      </c>
      <c r="G44" s="151">
        <v>0</v>
      </c>
      <c r="H44" s="151">
        <v>0</v>
      </c>
    </row>
    <row r="45" spans="1:8" x14ac:dyDescent="0.25">
      <c r="A45" s="151" t="s">
        <v>273</v>
      </c>
      <c r="B45" s="151">
        <v>1</v>
      </c>
      <c r="C45" s="151">
        <v>366.83511904739998</v>
      </c>
      <c r="D45" s="151">
        <v>804.91058333449996</v>
      </c>
      <c r="E45" s="151">
        <v>7255773.0248500444</v>
      </c>
      <c r="F45" s="151">
        <v>0</v>
      </c>
      <c r="G45" s="151">
        <v>0</v>
      </c>
      <c r="H45" s="151">
        <v>0</v>
      </c>
    </row>
    <row r="46" spans="1:8" x14ac:dyDescent="0.25">
      <c r="A46" s="151" t="s">
        <v>154</v>
      </c>
      <c r="B46" s="151">
        <v>1</v>
      </c>
      <c r="C46" s="151">
        <v>110.3141666673</v>
      </c>
      <c r="D46" s="151">
        <v>781.20500000879997</v>
      </c>
      <c r="E46" s="151">
        <v>2547971.8582534902</v>
      </c>
      <c r="F46" s="151">
        <v>0</v>
      </c>
      <c r="G46" s="151">
        <v>0</v>
      </c>
      <c r="H46" s="151">
        <v>0</v>
      </c>
    </row>
    <row r="47" spans="1:8" x14ac:dyDescent="0.25">
      <c r="A47" s="151" t="s">
        <v>217</v>
      </c>
      <c r="B47" s="151">
        <v>1</v>
      </c>
      <c r="C47" s="151">
        <v>243.31388888890001</v>
      </c>
      <c r="D47" s="151">
        <v>2905</v>
      </c>
      <c r="E47" s="151">
        <v>3825818.9833058524</v>
      </c>
      <c r="F47" s="151">
        <v>0</v>
      </c>
      <c r="G47" s="151">
        <v>0</v>
      </c>
      <c r="H47" s="1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42" t="s">
        <v>206</v>
      </c>
      <c r="B2" s="57" t="s">
        <v>94</v>
      </c>
      <c r="C2" s="58">
        <v>32924658.171015769</v>
      </c>
      <c r="D2" s="59">
        <f>IFERROR(+VLOOKUP(B2,COMISIONES!A:E,5,FALSE),"0")*1</f>
        <v>10103618.241287045</v>
      </c>
      <c r="E2" s="59">
        <v>8033782.2496290058</v>
      </c>
      <c r="F2" s="59">
        <f t="shared" ref="F2:F9" si="0">+D2-E2</f>
        <v>2069835.9916580394</v>
      </c>
      <c r="G2" s="60">
        <f t="shared" ref="G2:G47" si="1">+D2/C2</f>
        <v>0.30687086222147814</v>
      </c>
      <c r="H2" s="59">
        <f>+D2/$N$3*$N$4</f>
        <v>50518091.206435226</v>
      </c>
      <c r="I2" s="60">
        <f t="shared" ref="I2:I48" si="2">+H2/C2</f>
        <v>1.5343543111073907</v>
      </c>
      <c r="J2" s="59">
        <f>+D2/$N$3</f>
        <v>2020723.648257409</v>
      </c>
      <c r="K2" s="59">
        <f t="shared" ref="K2:K38" si="3">+(C2-D2)/$N$2</f>
        <v>1141051.9964864361</v>
      </c>
      <c r="L2" s="61" cm="1">
        <f t="array" ref="L2">+_xlfn.IFS(I2&gt;114%,H2*0.02,I2&gt;109%,H2*0.015,I2&gt;104%,H2*0.0125,I2&gt;99%,H2*0.01,I2&lt;99%,H2*0)</f>
        <v>1010361.8241287045</v>
      </c>
      <c r="M2" s="53" t="s">
        <v>36</v>
      </c>
      <c r="N2">
        <v>20</v>
      </c>
    </row>
    <row r="3" spans="1:16" ht="16.5" thickBot="1" x14ac:dyDescent="0.3">
      <c r="A3" s="143"/>
      <c r="B3" s="36" t="s">
        <v>93</v>
      </c>
      <c r="C3" s="62">
        <v>31602382.742460921</v>
      </c>
      <c r="D3" s="4">
        <f>IFERROR(+VLOOKUP(B3,COMISIONES!A:E,5,FALSE),"0")*1</f>
        <v>6900291.9730804898</v>
      </c>
      <c r="E3" s="4">
        <v>5484537.3014732655</v>
      </c>
      <c r="F3" s="59">
        <f t="shared" si="0"/>
        <v>1415754.6716072243</v>
      </c>
      <c r="G3" s="5">
        <f t="shared" si="1"/>
        <v>0.21834720594688786</v>
      </c>
      <c r="H3" s="4">
        <f t="shared" ref="H3:H38" si="4">+D3/$N$3*$N$4</f>
        <v>34501459.865402445</v>
      </c>
      <c r="I3" s="5">
        <f t="shared" si="2"/>
        <v>1.0917360297344392</v>
      </c>
      <c r="J3" s="4">
        <f t="shared" ref="J3:J38" si="5">+D3/$N$3</f>
        <v>1380058.3946160979</v>
      </c>
      <c r="K3" s="4">
        <f t="shared" si="3"/>
        <v>1235104.5384690217</v>
      </c>
      <c r="L3" s="63" cm="1">
        <f t="array" ref="L3">+_xlfn.IFS(I3&gt;114%,H3*0.02,I3&gt;109%,H3*0.015,I3&gt;104%,H3*0.0125,I3&gt;99%,H3*0.01,I3&lt;99%,H3*0)</f>
        <v>517521.89798103669</v>
      </c>
      <c r="M3" s="53" t="s">
        <v>40</v>
      </c>
      <c r="N3">
        <f>N4-N2</f>
        <v>5</v>
      </c>
    </row>
    <row r="4" spans="1:16" ht="16.5" thickBot="1" x14ac:dyDescent="0.3">
      <c r="A4" s="143"/>
      <c r="B4" s="36" t="s">
        <v>91</v>
      </c>
      <c r="C4" s="62">
        <v>28957831.885351218</v>
      </c>
      <c r="D4" s="4">
        <f>IFERROR(+VLOOKUP(B4,COMISIONES!A:E,5,FALSE),"0")*1</f>
        <v>3587324.1155101573</v>
      </c>
      <c r="E4" s="4">
        <v>3228302.1331991754</v>
      </c>
      <c r="F4" s="59">
        <f t="shared" si="0"/>
        <v>359021.98231098196</v>
      </c>
      <c r="G4" s="5">
        <f t="shared" si="1"/>
        <v>0.12388096352354551</v>
      </c>
      <c r="H4" s="4">
        <f t="shared" si="4"/>
        <v>17936620.577550787</v>
      </c>
      <c r="I4" s="5">
        <f t="shared" si="2"/>
        <v>0.61940481761772759</v>
      </c>
      <c r="J4" s="4">
        <f t="shared" si="5"/>
        <v>717464.82310203149</v>
      </c>
      <c r="K4" s="4">
        <f t="shared" si="3"/>
        <v>1268525.3884920529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43"/>
      <c r="B5" s="36" t="s">
        <v>89</v>
      </c>
      <c r="C5" s="62">
        <v>28957831.885351218</v>
      </c>
      <c r="D5" s="4">
        <f>IFERROR(+VLOOKUP(B5,COMISIONES!A:E,5,FALSE),"0")*1</f>
        <v>5480744.3340822924</v>
      </c>
      <c r="E5" s="4">
        <v>3837107.6640388942</v>
      </c>
      <c r="F5" s="59">
        <f t="shared" si="0"/>
        <v>1643636.6700433982</v>
      </c>
      <c r="G5" s="5">
        <f t="shared" si="1"/>
        <v>0.18926639106758592</v>
      </c>
      <c r="H5" s="4">
        <f t="shared" si="4"/>
        <v>27403721.670411464</v>
      </c>
      <c r="I5" s="5">
        <f t="shared" si="2"/>
        <v>0.94633195533792969</v>
      </c>
      <c r="J5" s="4">
        <f t="shared" si="5"/>
        <v>1096148.8668164585</v>
      </c>
      <c r="K5" s="4">
        <f t="shared" si="3"/>
        <v>1173854.3775634463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43"/>
      <c r="B6" s="36" t="s">
        <v>209</v>
      </c>
      <c r="C6" s="62">
        <v>23999299.028270528</v>
      </c>
      <c r="D6" s="4">
        <f>IFERROR(+VLOOKUP(B6,COMISIONES!A:E,5,FALSE),"0")*1</f>
        <v>4050664.9086568942</v>
      </c>
      <c r="E6" s="4">
        <v>3238435.7546853684</v>
      </c>
      <c r="F6" s="59">
        <f t="shared" si="0"/>
        <v>812229.15397152584</v>
      </c>
      <c r="G6" s="5">
        <f t="shared" si="1"/>
        <v>0.16878263418799525</v>
      </c>
      <c r="H6" s="4">
        <f t="shared" si="4"/>
        <v>20253324.543284472</v>
      </c>
      <c r="I6" s="5">
        <f t="shared" si="2"/>
        <v>0.84391317093997631</v>
      </c>
      <c r="J6" s="4">
        <f t="shared" si="5"/>
        <v>810132.98173137882</v>
      </c>
      <c r="K6" s="4">
        <f t="shared" si="3"/>
        <v>997431.70598068158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43"/>
      <c r="B7" s="36" t="s">
        <v>269</v>
      </c>
      <c r="C7" s="62">
        <v>28296694.171073794</v>
      </c>
      <c r="D7" s="4">
        <f>IFERROR(+VLOOKUP(B7,COMISIONES!A:E,5,FALSE),"0")*1</f>
        <v>3720772.3216259582</v>
      </c>
      <c r="E7" s="4">
        <v>2955434.4121029563</v>
      </c>
      <c r="F7" s="59">
        <f t="shared" si="0"/>
        <v>765337.90952300187</v>
      </c>
      <c r="G7" s="5">
        <f t="shared" si="1"/>
        <v>0.13149141377191353</v>
      </c>
      <c r="H7" s="4">
        <f t="shared" si="4"/>
        <v>18603861.608129792</v>
      </c>
      <c r="I7" s="5">
        <f t="shared" si="2"/>
        <v>0.65745706885956767</v>
      </c>
      <c r="J7" s="4">
        <f t="shared" si="5"/>
        <v>744154.46432519169</v>
      </c>
      <c r="K7" s="4">
        <f t="shared" si="3"/>
        <v>1228796.0924723917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43"/>
      <c r="B8" s="36" t="s">
        <v>84</v>
      </c>
      <c r="C8" s="62">
        <v>36547692.84525606</v>
      </c>
      <c r="D8" s="4">
        <f>IFERROR(+VLOOKUP(B8,COMISIONES!A:E,5,FALSE),"0")*1</f>
        <v>6960618.20798383</v>
      </c>
      <c r="E8" s="4">
        <v>4272340.5982830664</v>
      </c>
      <c r="F8" s="59">
        <f t="shared" si="0"/>
        <v>2688277.6097007636</v>
      </c>
      <c r="G8" s="5">
        <f t="shared" si="1"/>
        <v>0.19045301265541656</v>
      </c>
      <c r="H8" s="4">
        <f t="shared" si="4"/>
        <v>34803091.039919145</v>
      </c>
      <c r="I8" s="5">
        <f t="shared" si="2"/>
        <v>0.95226506327708271</v>
      </c>
      <c r="J8" s="4">
        <f t="shared" si="5"/>
        <v>1392123.641596766</v>
      </c>
      <c r="K8" s="4">
        <f t="shared" si="3"/>
        <v>1479353.7318636116</v>
      </c>
      <c r="L8" s="63" cm="1">
        <f t="array" ref="L8">+_xlfn.IFS(I8&gt;114%,H8*0.02,I8&gt;109%,H8*0.015,I8&gt;104%,H8*0.0125,I8&gt;99%,H8*0.01,I8&lt;99%,H8*0)</f>
        <v>0</v>
      </c>
    </row>
    <row r="9" spans="1:16" ht="15.75" x14ac:dyDescent="0.25">
      <c r="A9" s="143"/>
      <c r="B9" s="36" t="s">
        <v>83</v>
      </c>
      <c r="C9" s="62">
        <v>36547692.84525606</v>
      </c>
      <c r="D9" s="4">
        <f>IFERROR(+VLOOKUP(B9,COMISIONES!A:E,5,FALSE),"0")*1</f>
        <v>10130849.212965416</v>
      </c>
      <c r="E9" s="4">
        <v>6392972.1405321835</v>
      </c>
      <c r="F9" s="59">
        <f t="shared" si="0"/>
        <v>3737877.0724332323</v>
      </c>
      <c r="G9" s="5">
        <f t="shared" si="1"/>
        <v>0.27719531451300389</v>
      </c>
      <c r="H9" s="4">
        <f t="shared" si="4"/>
        <v>50654246.064827077</v>
      </c>
      <c r="I9" s="5">
        <f t="shared" si="2"/>
        <v>1.3859765725650195</v>
      </c>
      <c r="J9" s="4">
        <f t="shared" si="5"/>
        <v>2026169.8425930832</v>
      </c>
      <c r="K9" s="4">
        <f t="shared" si="3"/>
        <v>1320842.1816145324</v>
      </c>
      <c r="L9" s="63" cm="1">
        <f t="array" ref="L9">+_xlfn.IFS(I9&gt;114%,H9*0.02,I9&gt;109%,H9*0.015,I9&gt;104%,H9*0.0125,I9&gt;99%,H9*0.01,I9&lt;99%,H9*0)</f>
        <v>1013084.9212965416</v>
      </c>
    </row>
    <row r="10" spans="1:16" ht="16.5" thickBot="1" x14ac:dyDescent="0.3">
      <c r="A10" s="144"/>
      <c r="B10" s="3"/>
      <c r="C10" s="64">
        <v>247834083</v>
      </c>
      <c r="D10" s="64">
        <f>+SUM(D2:D9)</f>
        <v>50934883.315192081</v>
      </c>
      <c r="E10" s="64">
        <v>37442912.253943913</v>
      </c>
      <c r="F10" s="66">
        <f>+D10-E10</f>
        <v>13491971.061248168</v>
      </c>
      <c r="G10" s="65">
        <f t="shared" si="1"/>
        <v>0.20552009109736566</v>
      </c>
      <c r="H10" s="64">
        <f t="shared" si="4"/>
        <v>254674416.5759604</v>
      </c>
      <c r="I10" s="65">
        <f t="shared" si="2"/>
        <v>1.0276004554868283</v>
      </c>
      <c r="J10" s="64">
        <f t="shared" si="5"/>
        <v>10186976.663038416</v>
      </c>
      <c r="K10" s="66">
        <f t="shared" si="3"/>
        <v>9844959.9842403959</v>
      </c>
      <c r="L10" s="67"/>
    </row>
    <row r="11" spans="1:16" ht="16.5" thickBot="1" x14ac:dyDescent="0.3">
      <c r="A11" s="142" t="s">
        <v>207</v>
      </c>
      <c r="B11" s="57" t="s">
        <v>96</v>
      </c>
      <c r="C11" s="58">
        <v>98911387.449740261</v>
      </c>
      <c r="D11" s="59">
        <f>IFERROR(+VLOOKUP(B11,COMISIONES!A:E,5,FALSE),"0")*1</f>
        <v>22526297.340046089</v>
      </c>
      <c r="E11" s="59">
        <v>19809972.012772713</v>
      </c>
      <c r="F11" s="59">
        <f t="shared" ref="F11:F14" si="6">+D11-E11</f>
        <v>2716325.3272733763</v>
      </c>
      <c r="G11" s="60">
        <f t="shared" si="1"/>
        <v>0.22774220361121061</v>
      </c>
      <c r="H11" s="59">
        <f t="shared" si="4"/>
        <v>112631486.70023043</v>
      </c>
      <c r="I11" s="60">
        <f t="shared" si="2"/>
        <v>1.1387110180560529</v>
      </c>
      <c r="J11" s="59">
        <f t="shared" si="5"/>
        <v>4505259.4680092176</v>
      </c>
      <c r="K11" s="59">
        <f t="shared" si="3"/>
        <v>3819254.5054847086</v>
      </c>
      <c r="L11" s="61" cm="1">
        <f t="array" ref="L11">+_xlfn.IFS(I11&gt;114%,H11*0.0125,I11&gt;109%,H11*0.01,I11&gt;104%,H11*0.0075,I11&gt;99%,H11*0.005,I11&lt;99%,H11*0)</f>
        <v>1126314.8670023044</v>
      </c>
    </row>
    <row r="12" spans="1:16" ht="16.5" thickBot="1" x14ac:dyDescent="0.3">
      <c r="A12" s="143"/>
      <c r="B12" s="36" t="s">
        <v>90</v>
      </c>
      <c r="C12" s="62">
        <v>130931194.39611749</v>
      </c>
      <c r="D12" s="4">
        <f>IFERROR(+VLOOKUP(B12,COMISIONES!A:E,5,FALSE),"0")*1</f>
        <v>15999619.66315648</v>
      </c>
      <c r="E12" s="4">
        <v>12112146.959749941</v>
      </c>
      <c r="F12" s="59">
        <f t="shared" si="6"/>
        <v>3887472.7034065388</v>
      </c>
      <c r="G12" s="5">
        <f t="shared" si="1"/>
        <v>0.12219868410236481</v>
      </c>
      <c r="H12" s="4">
        <f t="shared" si="4"/>
        <v>79998098.315782398</v>
      </c>
      <c r="I12" s="5">
        <f t="shared" si="2"/>
        <v>0.61099342051182404</v>
      </c>
      <c r="J12" s="4">
        <f t="shared" si="5"/>
        <v>3199923.9326312961</v>
      </c>
      <c r="K12" s="4">
        <f t="shared" si="3"/>
        <v>5746578.7366480511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43"/>
      <c r="B13" s="36" t="s">
        <v>270</v>
      </c>
      <c r="C13" s="62">
        <v>43298038.5428745</v>
      </c>
      <c r="D13" s="4">
        <f>IFERROR(+VLOOKUP(B13,COMISIONES!A:E,5,FALSE),"0")*1</f>
        <v>12229010.85889094</v>
      </c>
      <c r="E13" s="4">
        <v>10542806.037602939</v>
      </c>
      <c r="F13" s="59">
        <f t="shared" si="6"/>
        <v>1686204.8212880008</v>
      </c>
      <c r="G13" s="5">
        <f t="shared" si="1"/>
        <v>0.28243798727236918</v>
      </c>
      <c r="H13" s="4">
        <f t="shared" si="4"/>
        <v>61145054.294454701</v>
      </c>
      <c r="I13" s="5">
        <f t="shared" si="2"/>
        <v>1.4121899363618462</v>
      </c>
      <c r="J13" s="4">
        <f t="shared" si="5"/>
        <v>2445802.1717781881</v>
      </c>
      <c r="K13" s="4">
        <f t="shared" si="3"/>
        <v>1553451.3841991781</v>
      </c>
      <c r="L13" s="63" cm="1">
        <f t="array" ref="L13">+_xlfn.IFS(I13&gt;109%,H13*0.015,I13&gt;104%,H13*0.0125,I13&gt;99%,H13*0.01,I13&lt;99%,H13*0)</f>
        <v>917175.81441682053</v>
      </c>
      <c r="N13" s="28"/>
    </row>
    <row r="14" spans="1:16" ht="15.75" x14ac:dyDescent="0.25">
      <c r="A14" s="143"/>
      <c r="B14" s="36" t="s">
        <v>107</v>
      </c>
      <c r="C14" s="62">
        <v>43298038.5428745</v>
      </c>
      <c r="D14" s="4">
        <f>IFERROR(+VLOOKUP(B14,COMISIONES!A:E,5,FALSE),"0")*1</f>
        <v>8546506.3377286028</v>
      </c>
      <c r="E14" s="4">
        <v>6793509.4167299801</v>
      </c>
      <c r="F14" s="59">
        <f t="shared" si="6"/>
        <v>1752996.9209986227</v>
      </c>
      <c r="G14" s="5">
        <f t="shared" si="1"/>
        <v>0.19738784077402716</v>
      </c>
      <c r="H14" s="4">
        <f t="shared" si="4"/>
        <v>42732531.688643016</v>
      </c>
      <c r="I14" s="5">
        <f t="shared" si="2"/>
        <v>0.98693920387013589</v>
      </c>
      <c r="J14" s="4">
        <f t="shared" si="5"/>
        <v>1709301.2675457206</v>
      </c>
      <c r="K14" s="4">
        <f t="shared" si="3"/>
        <v>1737576.6102572947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44"/>
      <c r="B15" s="3"/>
      <c r="C15" s="64">
        <v>348702179</v>
      </c>
      <c r="D15" s="64">
        <f>+SUM(D11:D14)</f>
        <v>59301434.199822113</v>
      </c>
      <c r="E15" s="64">
        <v>49258434.426855572</v>
      </c>
      <c r="F15" s="66">
        <f>+D15-E15</f>
        <v>10042999.772966541</v>
      </c>
      <c r="G15" s="65">
        <f t="shared" si="1"/>
        <v>0.17006327396601131</v>
      </c>
      <c r="H15" s="64">
        <f t="shared" si="4"/>
        <v>296507170.99911058</v>
      </c>
      <c r="I15" s="65">
        <f t="shared" si="2"/>
        <v>0.85031636983005654</v>
      </c>
      <c r="J15" s="64">
        <f t="shared" si="5"/>
        <v>11860286.839964423</v>
      </c>
      <c r="K15" s="66">
        <f t="shared" si="3"/>
        <v>14470037.240008894</v>
      </c>
      <c r="L15" s="67"/>
      <c r="P15" s="27"/>
    </row>
    <row r="16" spans="1:16" ht="16.5" thickBot="1" x14ac:dyDescent="0.3">
      <c r="A16" s="145" t="s">
        <v>208</v>
      </c>
      <c r="B16" s="68" t="s">
        <v>81</v>
      </c>
      <c r="C16" s="69">
        <v>28000000</v>
      </c>
      <c r="D16" s="59">
        <f>IFERROR(+VLOOKUP(B16,COMISIONES!A:E,5,FALSE),"0")*1</f>
        <v>3675327.4791989652</v>
      </c>
      <c r="E16" s="59">
        <v>2927957.2046600222</v>
      </c>
      <c r="F16" s="59">
        <f t="shared" ref="F16:F46" si="7">+D16-E16</f>
        <v>747370.27453894308</v>
      </c>
      <c r="G16" s="60">
        <f t="shared" si="1"/>
        <v>0.13126169568567733</v>
      </c>
      <c r="H16" s="59">
        <f t="shared" si="4"/>
        <v>18376637.395994823</v>
      </c>
      <c r="I16" s="60">
        <f t="shared" si="2"/>
        <v>0.65630847842838658</v>
      </c>
      <c r="J16" s="59">
        <f t="shared" si="5"/>
        <v>735065.495839793</v>
      </c>
      <c r="K16" s="59">
        <f t="shared" si="3"/>
        <v>1216233.6260400517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6"/>
      <c r="B17" s="19" t="s">
        <v>82</v>
      </c>
      <c r="C17" s="70">
        <v>25660000</v>
      </c>
      <c r="D17" s="4">
        <f>IFERROR(+VLOOKUP(B17,COMISIONES!A:E,5,FALSE),"0")*1</f>
        <v>5305650.9699002542</v>
      </c>
      <c r="E17" s="4">
        <v>4631927.624667611</v>
      </c>
      <c r="F17" s="59">
        <f t="shared" si="7"/>
        <v>673723.34523264319</v>
      </c>
      <c r="G17" s="5">
        <f t="shared" si="1"/>
        <v>0.20676737996493585</v>
      </c>
      <c r="H17" s="4">
        <f t="shared" si="4"/>
        <v>26528254.849501267</v>
      </c>
      <c r="I17" s="5">
        <f t="shared" si="2"/>
        <v>1.0338368998246792</v>
      </c>
      <c r="J17" s="4">
        <f t="shared" si="5"/>
        <v>1061130.1939800507</v>
      </c>
      <c r="K17" s="4">
        <f t="shared" si="3"/>
        <v>1017717.4515049873</v>
      </c>
      <c r="L17" s="63" cm="1">
        <f t="array" ref="L17">+_xlfn.IFS(I17&gt;114%,H17*0.02,I17&gt;109%,H17*0.015,I17&gt;104%,H17*0.0125,I17&gt;99%,H17*0.01,I17&lt;99%,H17*0)</f>
        <v>265282.54849501268</v>
      </c>
    </row>
    <row r="18" spans="1:13" ht="16.5" thickBot="1" x14ac:dyDescent="0.3">
      <c r="A18" s="146"/>
      <c r="B18" s="19" t="s">
        <v>92</v>
      </c>
      <c r="C18" s="70">
        <v>26020000</v>
      </c>
      <c r="D18" s="4">
        <f>IFERROR(+VLOOKUP(B18,COMISIONES!A:E,5,FALSE),"0")*1</f>
        <v>4856905.1520684771</v>
      </c>
      <c r="E18" s="4">
        <v>3640196.5802759319</v>
      </c>
      <c r="F18" s="59">
        <f t="shared" si="7"/>
        <v>1216708.5717925453</v>
      </c>
      <c r="G18" s="5">
        <f t="shared" si="1"/>
        <v>0.18666045934160175</v>
      </c>
      <c r="H18" s="4">
        <f t="shared" si="4"/>
        <v>24284525.760342386</v>
      </c>
      <c r="I18" s="5">
        <f t="shared" si="2"/>
        <v>0.93330229670800868</v>
      </c>
      <c r="J18" s="4">
        <f t="shared" si="5"/>
        <v>971381.03041369538</v>
      </c>
      <c r="K18" s="4">
        <f t="shared" si="3"/>
        <v>1058154.7423965761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6"/>
      <c r="B19" s="19" t="s">
        <v>95</v>
      </c>
      <c r="C19" s="70">
        <v>36200600</v>
      </c>
      <c r="D19" s="4">
        <f>IFERROR(+VLOOKUP(B19,COMISIONES!A:E,5,FALSE),"0")*1</f>
        <v>7060623.6691102851</v>
      </c>
      <c r="E19" s="4">
        <v>6285739.3230815595</v>
      </c>
      <c r="F19" s="59">
        <f t="shared" si="7"/>
        <v>774884.34602872562</v>
      </c>
      <c r="G19" s="5">
        <f t="shared" si="1"/>
        <v>0.19504162000381997</v>
      </c>
      <c r="H19" s="4">
        <f t="shared" si="4"/>
        <v>35303118.345551424</v>
      </c>
      <c r="I19" s="5">
        <f t="shared" si="2"/>
        <v>0.97520810001909974</v>
      </c>
      <c r="J19" s="4">
        <f t="shared" si="5"/>
        <v>1412124.733822057</v>
      </c>
      <c r="K19" s="4">
        <f t="shared" si="3"/>
        <v>1456998.8165444857</v>
      </c>
      <c r="L19" s="63" cm="1">
        <f t="array" ref="L19">+_xlfn.IFS(I19&gt;114%,H19*0.02,I19&gt;109%,H19*0.015,I19&gt;104%,H19*0.0125,I19&gt;99%,H19*0.01,I19&lt;99%,H19*0)</f>
        <v>0</v>
      </c>
    </row>
    <row r="20" spans="1:13" ht="16.5" thickBot="1" x14ac:dyDescent="0.3">
      <c r="A20" s="146"/>
      <c r="B20" s="19" t="s">
        <v>97</v>
      </c>
      <c r="C20" s="70">
        <v>26622000</v>
      </c>
      <c r="D20" s="4">
        <f>IFERROR(+VLOOKUP(B20,COMISIONES!A:E,5,FALSE),"0")*1</f>
        <v>4472863.6810909919</v>
      </c>
      <c r="E20" s="4">
        <v>3499843.0210882789</v>
      </c>
      <c r="F20" s="59">
        <f t="shared" si="7"/>
        <v>973020.66000271309</v>
      </c>
      <c r="G20" s="5">
        <f t="shared" si="1"/>
        <v>0.16801381117462971</v>
      </c>
      <c r="H20" s="4">
        <f t="shared" si="4"/>
        <v>22364318.40545496</v>
      </c>
      <c r="I20" s="5">
        <f t="shared" si="2"/>
        <v>0.84006905587314851</v>
      </c>
      <c r="J20" s="4">
        <f t="shared" si="5"/>
        <v>894572.73621819844</v>
      </c>
      <c r="K20" s="4">
        <f t="shared" si="3"/>
        <v>1107456.8159454504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6"/>
      <c r="B21" s="19" t="s">
        <v>218</v>
      </c>
      <c r="C21" s="70">
        <v>33260000</v>
      </c>
      <c r="D21" s="4">
        <f>IFERROR(+VLOOKUP(B21,COMISIONES!A:E,5,FALSE),"0")*1</f>
        <v>5361527.1412280397</v>
      </c>
      <c r="E21" s="4">
        <v>3897878.0298985899</v>
      </c>
      <c r="F21" s="59">
        <f t="shared" si="7"/>
        <v>1463649.1113294498</v>
      </c>
      <c r="G21" s="5">
        <f t="shared" si="1"/>
        <v>0.1612004552383656</v>
      </c>
      <c r="H21" s="4">
        <f t="shared" si="4"/>
        <v>26807635.706140202</v>
      </c>
      <c r="I21" s="5">
        <f t="shared" si="2"/>
        <v>0.80600227619182807</v>
      </c>
      <c r="J21" s="4">
        <f t="shared" si="5"/>
        <v>1072305.428245608</v>
      </c>
      <c r="K21" s="4">
        <f t="shared" si="3"/>
        <v>1394923.6429385981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6"/>
      <c r="B22" s="19" t="s">
        <v>160</v>
      </c>
      <c r="C22" s="70">
        <v>28620000</v>
      </c>
      <c r="D22" s="4">
        <f>IFERROR(+VLOOKUP(B22,COMISIONES!A:E,5,FALSE),"0")*1</f>
        <v>3295319.778383642</v>
      </c>
      <c r="E22" s="4">
        <v>2545958.7967660916</v>
      </c>
      <c r="F22" s="59">
        <f t="shared" si="7"/>
        <v>749360.98161755037</v>
      </c>
      <c r="G22" s="5">
        <f t="shared" si="1"/>
        <v>0.11514045347252418</v>
      </c>
      <c r="H22" s="4">
        <f t="shared" si="4"/>
        <v>16476598.89191821</v>
      </c>
      <c r="I22" s="5">
        <f t="shared" si="2"/>
        <v>0.57570226736262087</v>
      </c>
      <c r="J22" s="4">
        <f t="shared" si="5"/>
        <v>659063.95567672839</v>
      </c>
      <c r="K22" s="4">
        <f t="shared" si="3"/>
        <v>1266234.0110808178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46"/>
      <c r="B23" s="19" t="s">
        <v>219</v>
      </c>
      <c r="C23" s="70">
        <v>38000000</v>
      </c>
      <c r="D23" s="4">
        <f>IFERROR(+VLOOKUP(B23,COMISIONES!A:E,5,FALSE),"0")*1</f>
        <v>5171312.8251119982</v>
      </c>
      <c r="E23" s="4">
        <v>3261064.8254967621</v>
      </c>
      <c r="F23" s="59">
        <f t="shared" si="7"/>
        <v>1910247.9996152362</v>
      </c>
      <c r="G23" s="5">
        <f t="shared" si="1"/>
        <v>0.13608717960821048</v>
      </c>
      <c r="H23" s="4">
        <f t="shared" si="4"/>
        <v>25856564.125559993</v>
      </c>
      <c r="I23" s="5">
        <f t="shared" si="2"/>
        <v>0.68043589804105242</v>
      </c>
      <c r="J23" s="4">
        <f t="shared" si="5"/>
        <v>1034262.5650223996</v>
      </c>
      <c r="K23" s="4">
        <f t="shared" si="3"/>
        <v>1641434.3587444001</v>
      </c>
      <c r="L23" s="63" cm="1">
        <f t="array" ref="L23">+_xlfn.IFS(I23&gt;114%,H23*0.02,I23&gt;109%,H23*0.015,I23&gt;104%,H23*0.0125,I23&gt;99%,H23*0.01,I23&lt;99%,H23*0)</f>
        <v>0</v>
      </c>
    </row>
    <row r="24" spans="1:13" ht="16.5" thickBot="1" x14ac:dyDescent="0.3">
      <c r="A24" s="147"/>
      <c r="B24" s="71"/>
      <c r="C24" s="66">
        <v>242382600</v>
      </c>
      <c r="D24" s="66">
        <f>+SUM(D16:D23)</f>
        <v>39199530.696092658</v>
      </c>
      <c r="E24" s="66">
        <v>30690565.405934852</v>
      </c>
      <c r="F24" s="66">
        <f>+D24-E24</f>
        <v>8508965.2901578061</v>
      </c>
      <c r="G24" s="65">
        <f t="shared" si="1"/>
        <v>0.16172584457833467</v>
      </c>
      <c r="H24" s="64">
        <f t="shared" si="4"/>
        <v>195997653.4804633</v>
      </c>
      <c r="I24" s="65">
        <f t="shared" si="2"/>
        <v>0.80862922289167327</v>
      </c>
      <c r="J24" s="64">
        <f t="shared" si="5"/>
        <v>7839906.1392185315</v>
      </c>
      <c r="K24" s="66">
        <f t="shared" si="3"/>
        <v>10159153.465195367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86547956.260000005</v>
      </c>
      <c r="D25" s="59">
        <f>IFERROR(+VLOOKUP(B25,COMISIONES!A:E,5,FALSE),"0")*1</f>
        <v>12578589.875915315</v>
      </c>
      <c r="E25" s="59">
        <v>4826567.6426148191</v>
      </c>
      <c r="F25" s="59">
        <f t="shared" si="7"/>
        <v>7752022.2333004959</v>
      </c>
      <c r="G25" s="60">
        <f t="shared" si="1"/>
        <v>0.14533664825230286</v>
      </c>
      <c r="H25" s="59">
        <f t="shared" si="4"/>
        <v>62892949.379576579</v>
      </c>
      <c r="I25" s="60">
        <f t="shared" si="2"/>
        <v>0.7266832412615144</v>
      </c>
      <c r="J25" s="59">
        <f t="shared" si="5"/>
        <v>2515717.9751830632</v>
      </c>
      <c r="K25" s="59">
        <f t="shared" si="3"/>
        <v>3698468.3192042345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3"/>
      <c r="B26" s="36" t="s">
        <v>213</v>
      </c>
      <c r="C26" s="73">
        <v>24010803.390000001</v>
      </c>
      <c r="D26" s="4">
        <f>IFERROR(+VLOOKUP(B26,COMISIONES!A:E,5,FALSE),"0")*1</f>
        <v>3481191.6430541179</v>
      </c>
      <c r="E26" s="4">
        <v>2870562.2247181726</v>
      </c>
      <c r="F26" s="59">
        <f t="shared" si="7"/>
        <v>610629.41833594535</v>
      </c>
      <c r="G26" s="5">
        <f t="shared" si="1"/>
        <v>0.14498438834012367</v>
      </c>
      <c r="H26" s="4">
        <f t="shared" si="4"/>
        <v>17405958.21527059</v>
      </c>
      <c r="I26" s="5">
        <f t="shared" si="2"/>
        <v>0.72492194170061841</v>
      </c>
      <c r="J26" s="4">
        <f t="shared" si="5"/>
        <v>696238.32861082361</v>
      </c>
      <c r="K26" s="4">
        <f t="shared" si="3"/>
        <v>1026480.5873472942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3"/>
      <c r="B27" s="36" t="s">
        <v>86</v>
      </c>
      <c r="C27" s="73">
        <v>26910856.350000001</v>
      </c>
      <c r="D27" s="4">
        <f>IFERROR(+VLOOKUP(B27,COMISIONES!A:E,5,FALSE),"0")*1</f>
        <v>4107436.4995406736</v>
      </c>
      <c r="E27" s="4">
        <v>2922050.7653640723</v>
      </c>
      <c r="F27" s="59">
        <f t="shared" si="7"/>
        <v>1185385.7341766013</v>
      </c>
      <c r="G27" s="5">
        <f t="shared" si="1"/>
        <v>0.15263120749929882</v>
      </c>
      <c r="H27" s="4">
        <f t="shared" si="4"/>
        <v>20537182.49770337</v>
      </c>
      <c r="I27" s="5">
        <f t="shared" si="2"/>
        <v>0.76315603749649419</v>
      </c>
      <c r="J27" s="4">
        <f t="shared" si="5"/>
        <v>821487.29990813474</v>
      </c>
      <c r="K27" s="4">
        <f t="shared" si="3"/>
        <v>1140170.9925229666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3"/>
      <c r="B28" s="36" t="s">
        <v>212</v>
      </c>
      <c r="C28" s="73">
        <v>39189035</v>
      </c>
      <c r="D28" s="4">
        <f>IFERROR(+VLOOKUP(B28,COMISIONES!A:E,5,FALSE),"0")*1</f>
        <v>6695121.2149646338</v>
      </c>
      <c r="E28" s="4">
        <v>3887629.4191952711</v>
      </c>
      <c r="F28" s="59">
        <f t="shared" si="7"/>
        <v>2807491.7957693627</v>
      </c>
      <c r="G28" s="5">
        <f t="shared" si="1"/>
        <v>0.17084169627970258</v>
      </c>
      <c r="H28" s="4">
        <f t="shared" si="4"/>
        <v>33475606.074823171</v>
      </c>
      <c r="I28" s="5">
        <f t="shared" si="2"/>
        <v>0.85420848139851291</v>
      </c>
      <c r="J28" s="4">
        <f t="shared" si="5"/>
        <v>1339024.2429929269</v>
      </c>
      <c r="K28" s="4">
        <f t="shared" si="3"/>
        <v>1624695.6892517682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3"/>
      <c r="B29" s="36" t="s">
        <v>98</v>
      </c>
      <c r="C29" s="73">
        <v>26900000</v>
      </c>
      <c r="D29" s="4">
        <f>IFERROR(+VLOOKUP(B29,COMISIONES!A:E,5,FALSE),"0")*1</f>
        <v>2986365.8611278832</v>
      </c>
      <c r="E29" s="4">
        <v>2335213.6486873631</v>
      </c>
      <c r="F29" s="59">
        <f t="shared" si="7"/>
        <v>651152.21244052006</v>
      </c>
      <c r="G29" s="5">
        <f t="shared" si="1"/>
        <v>0.11101731825754213</v>
      </c>
      <c r="H29" s="4">
        <f t="shared" si="4"/>
        <v>14931829.305639414</v>
      </c>
      <c r="I29" s="5">
        <f t="shared" si="2"/>
        <v>0.55508659128771054</v>
      </c>
      <c r="J29" s="4">
        <f t="shared" si="5"/>
        <v>597273.17222557659</v>
      </c>
      <c r="K29" s="4">
        <f t="shared" si="3"/>
        <v>1195681.7069436058</v>
      </c>
      <c r="L29" s="63" cm="1">
        <f t="array" ref="L29">+_xlfn.IFS(I29&gt;114%,H29*0.02,I29&gt;109%,H29*0.015,I29&gt;104%,H29*0.0125,I29&gt;99%,H29*0.01,I29&lt;99%,H29*0)</f>
        <v>0</v>
      </c>
      <c r="M29" s="27"/>
    </row>
    <row r="30" spans="1:13" ht="16.5" thickBot="1" x14ac:dyDescent="0.3">
      <c r="A30" s="143"/>
      <c r="B30" s="36" t="s">
        <v>210</v>
      </c>
      <c r="C30" s="73">
        <v>25830000</v>
      </c>
      <c r="D30" s="4">
        <f>IFERROR(+VLOOKUP(B30,COMISIONES!A:E,5,FALSE),"0")*1</f>
        <v>3847309.251726571</v>
      </c>
      <c r="E30" s="4">
        <v>2458105.1791371955</v>
      </c>
      <c r="F30" s="59">
        <f t="shared" si="7"/>
        <v>1389204.0725893755</v>
      </c>
      <c r="G30" s="5">
        <f t="shared" si="1"/>
        <v>0.14894731907574801</v>
      </c>
      <c r="H30" s="4">
        <f t="shared" si="4"/>
        <v>19236546.258632857</v>
      </c>
      <c r="I30" s="5">
        <f t="shared" si="2"/>
        <v>0.74473659537874015</v>
      </c>
      <c r="J30" s="4">
        <f t="shared" si="5"/>
        <v>769461.85034531425</v>
      </c>
      <c r="K30" s="4">
        <f t="shared" si="3"/>
        <v>1099134.5374136714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3"/>
      <c r="B31" s="36" t="s">
        <v>99</v>
      </c>
      <c r="C31" s="73">
        <v>27702000</v>
      </c>
      <c r="D31" s="4">
        <f>IFERROR(+VLOOKUP(B31,COMISIONES!A:E,5,FALSE),"0")*1</f>
        <v>2933946.0112025654</v>
      </c>
      <c r="E31" s="4">
        <v>2515670.4237700473</v>
      </c>
      <c r="F31" s="59">
        <f t="shared" si="7"/>
        <v>418275.58743251814</v>
      </c>
      <c r="G31" s="5">
        <f t="shared" si="1"/>
        <v>0.10591098156099074</v>
      </c>
      <c r="H31" s="4">
        <f t="shared" si="4"/>
        <v>14669730.056012826</v>
      </c>
      <c r="I31" s="5">
        <f t="shared" si="2"/>
        <v>0.52955490780495362</v>
      </c>
      <c r="J31" s="4">
        <f t="shared" si="5"/>
        <v>586789.20224051306</v>
      </c>
      <c r="K31" s="4">
        <f t="shared" si="3"/>
        <v>1238402.6994398716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3"/>
      <c r="B32" s="36" t="s">
        <v>138</v>
      </c>
      <c r="C32" s="73">
        <v>24010803.390000001</v>
      </c>
      <c r="D32" s="4">
        <f>IFERROR(+VLOOKUP(B32,COMISIONES!A:E,5,FALSE),"0")*1</f>
        <v>3130903.0966461082</v>
      </c>
      <c r="E32" s="4">
        <v>1773841.7023678774</v>
      </c>
      <c r="F32" s="59">
        <f t="shared" si="7"/>
        <v>1357061.3942782308</v>
      </c>
      <c r="G32" s="5">
        <f t="shared" si="1"/>
        <v>0.13039559925554445</v>
      </c>
      <c r="H32" s="4">
        <f t="shared" si="4"/>
        <v>15654515.483230542</v>
      </c>
      <c r="I32" s="5">
        <f t="shared" si="2"/>
        <v>0.65197799627772235</v>
      </c>
      <c r="J32" s="4">
        <f t="shared" si="5"/>
        <v>626180.61932922166</v>
      </c>
      <c r="K32" s="4">
        <f t="shared" si="3"/>
        <v>1043995.0146676947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3"/>
      <c r="B33" s="19" t="s">
        <v>272</v>
      </c>
      <c r="C33" s="73">
        <v>25780148</v>
      </c>
      <c r="D33" s="4">
        <f>IFERROR(+VLOOKUP(B33,COMISIONES!A:E,5,FALSE),"0")*1</f>
        <v>3321067.5419834545</v>
      </c>
      <c r="E33" s="4">
        <v>2452499.2938377094</v>
      </c>
      <c r="F33" s="59">
        <f t="shared" si="7"/>
        <v>868568.24814574514</v>
      </c>
      <c r="G33" s="5">
        <f t="shared" si="1"/>
        <v>0.12882267169232134</v>
      </c>
      <c r="H33" s="4">
        <f t="shared" si="4"/>
        <v>16605337.709917273</v>
      </c>
      <c r="I33" s="5">
        <f t="shared" si="2"/>
        <v>0.64411335846160667</v>
      </c>
      <c r="J33" s="4">
        <f t="shared" si="5"/>
        <v>664213.50839669094</v>
      </c>
      <c r="K33" s="4">
        <f t="shared" si="3"/>
        <v>1122954.0229008272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3"/>
      <c r="B34" s="36" t="s">
        <v>274</v>
      </c>
      <c r="C34" s="73">
        <v>26383192</v>
      </c>
      <c r="D34" s="4">
        <f>IFERROR(+VLOOKUP(B34,COMISIONES!A:E,5,FALSE),"0")*1</f>
        <v>3575832.1338656968</v>
      </c>
      <c r="E34" s="4">
        <v>3185102.5027717678</v>
      </c>
      <c r="F34" s="59">
        <f t="shared" si="7"/>
        <v>390729.63109392906</v>
      </c>
      <c r="G34" s="5">
        <f t="shared" si="1"/>
        <v>0.13553447717265207</v>
      </c>
      <c r="H34" s="4">
        <f t="shared" si="4"/>
        <v>17879160.669328485</v>
      </c>
      <c r="I34" s="5">
        <f t="shared" si="2"/>
        <v>0.6776723858632604</v>
      </c>
      <c r="J34" s="4">
        <f t="shared" si="5"/>
        <v>715166.42677313939</v>
      </c>
      <c r="K34" s="4">
        <f t="shared" si="3"/>
        <v>1140367.9933067153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3"/>
      <c r="B35" s="36" t="s">
        <v>110</v>
      </c>
      <c r="C35" s="73">
        <v>125062043.75</v>
      </c>
      <c r="D35" s="4">
        <f>IFERROR(+VLOOKUP(B35,COMISIONES!A:E,5,FALSE),"0")*1</f>
        <v>13846941.29303805</v>
      </c>
      <c r="E35" s="4">
        <v>13846941.29303805</v>
      </c>
      <c r="F35" s="59">
        <f t="shared" si="7"/>
        <v>0</v>
      </c>
      <c r="G35" s="5">
        <f t="shared" si="1"/>
        <v>0.11072057418730653</v>
      </c>
      <c r="H35" s="4">
        <f t="shared" si="4"/>
        <v>69234706.465190247</v>
      </c>
      <c r="I35" s="5">
        <f t="shared" si="2"/>
        <v>0.5536028709365326</v>
      </c>
      <c r="J35" s="4">
        <f t="shared" si="5"/>
        <v>2769388.2586076101</v>
      </c>
      <c r="K35" s="4">
        <f t="shared" si="3"/>
        <v>5560755.1228480972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3"/>
      <c r="B36" s="36" t="s">
        <v>275</v>
      </c>
      <c r="C36" s="73">
        <v>36592500</v>
      </c>
      <c r="D36" s="4">
        <f>IFERROR(+VLOOKUP(B36,COMISIONES!A:E,5,FALSE),"0")*1</f>
        <v>12037879.102990467</v>
      </c>
      <c r="E36" s="4">
        <v>6114784.5568000004</v>
      </c>
      <c r="F36" s="59">
        <f t="shared" si="7"/>
        <v>5923094.5461904667</v>
      </c>
      <c r="G36" s="5">
        <f t="shared" si="1"/>
        <v>0.32897121276191754</v>
      </c>
      <c r="H36" s="4">
        <f t="shared" si="4"/>
        <v>60189395.514952332</v>
      </c>
      <c r="I36" s="5">
        <f t="shared" si="2"/>
        <v>1.6448560638095875</v>
      </c>
      <c r="J36" s="4">
        <f t="shared" si="5"/>
        <v>2407575.8205980933</v>
      </c>
      <c r="K36" s="4">
        <f t="shared" si="3"/>
        <v>1227731.0448504766</v>
      </c>
      <c r="L36" s="63" cm="1">
        <f t="array" ref="L36">+_xlfn.IFS(I36&gt;109%,H36*0.015,I36&gt;104%,H36*0.0125,I36&gt;99%,H36*0.01,I36&lt;99%,H36*0)</f>
        <v>902840.93272428494</v>
      </c>
    </row>
    <row r="37" spans="1:12" ht="15.75" x14ac:dyDescent="0.25">
      <c r="A37" s="143"/>
      <c r="B37" s="36" t="s">
        <v>80</v>
      </c>
      <c r="C37" s="73">
        <v>37270463.43</v>
      </c>
      <c r="D37" s="4">
        <f>IFERROR(+VLOOKUP(B37,COMISIONES!A:E,5,FALSE),"0")*1</f>
        <v>5925441.4982066099</v>
      </c>
      <c r="E37" s="4">
        <v>4470247.8676125938</v>
      </c>
      <c r="F37" s="59">
        <f t="shared" si="7"/>
        <v>1455193.6305940161</v>
      </c>
      <c r="G37" s="5">
        <f t="shared" si="1"/>
        <v>0.15898491601360296</v>
      </c>
      <c r="H37" s="4">
        <f t="shared" si="4"/>
        <v>29627207.491033047</v>
      </c>
      <c r="I37" s="5">
        <f t="shared" si="2"/>
        <v>0.7949245800680147</v>
      </c>
      <c r="J37" s="4">
        <f t="shared" si="5"/>
        <v>1185088.2996413219</v>
      </c>
      <c r="K37" s="4">
        <f t="shared" si="3"/>
        <v>1567251.0965896696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4"/>
      <c r="B38" s="3"/>
      <c r="C38" s="74">
        <v>532189801</v>
      </c>
      <c r="D38" s="66">
        <f>+SUM(D25:D37)</f>
        <v>78468025.024262145</v>
      </c>
      <c r="E38" s="66">
        <v>53659216.51991494</v>
      </c>
      <c r="F38" s="66">
        <f>+D38-E38</f>
        <v>24808808.504347205</v>
      </c>
      <c r="G38" s="65">
        <f t="shared" si="1"/>
        <v>0.14744368433370661</v>
      </c>
      <c r="H38" s="64">
        <f t="shared" si="4"/>
        <v>392340125.12131071</v>
      </c>
      <c r="I38" s="65">
        <f t="shared" si="2"/>
        <v>0.73721842166853313</v>
      </c>
      <c r="J38" s="64">
        <f t="shared" si="5"/>
        <v>15693605.004852429</v>
      </c>
      <c r="K38" s="66">
        <f t="shared" si="3"/>
        <v>22686088.798786893</v>
      </c>
      <c r="L38" s="67"/>
    </row>
    <row r="39" spans="1:12" ht="16.5" thickBot="1" x14ac:dyDescent="0.3">
      <c r="A39" s="142" t="s">
        <v>264</v>
      </c>
      <c r="B39" s="136" t="s">
        <v>144</v>
      </c>
      <c r="C39" s="4">
        <v>35000000</v>
      </c>
      <c r="D39" s="4">
        <f>IFERROR(+VLOOKUP(B39,COMISIONES!A:E,5,FALSE),"0")*1</f>
        <v>2847535.638590497</v>
      </c>
      <c r="E39" s="4">
        <v>2847535.638590497</v>
      </c>
      <c r="F39" s="59">
        <f t="shared" si="7"/>
        <v>0</v>
      </c>
      <c r="G39" s="5">
        <f t="shared" si="1"/>
        <v>8.1358161102585633E-2</v>
      </c>
      <c r="H39" s="4">
        <f t="shared" ref="H39:H47" si="8">+D39/$N$3*$N$4</f>
        <v>14237678.192952484</v>
      </c>
      <c r="I39" s="5">
        <f t="shared" ref="I39:I47" si="9">+H39/C39</f>
        <v>0.40679080551292812</v>
      </c>
      <c r="J39" s="4">
        <f t="shared" ref="J39:J47" si="10">+D39/$N$3</f>
        <v>569507.12771809939</v>
      </c>
      <c r="K39" s="4">
        <f t="shared" ref="K39:K47" si="11">+(C39-D39)/$N$2</f>
        <v>1607623.2180704752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f>IFERROR(+VLOOKUP(B40,COMISIONES!A:E,5,FALSE),"0")*1</f>
        <v>-80990.517827873206</v>
      </c>
      <c r="E40" s="4">
        <v>-80990.517827873206</v>
      </c>
      <c r="F40" s="59">
        <f t="shared" si="7"/>
        <v>0</v>
      </c>
      <c r="G40" s="5">
        <f t="shared" si="1"/>
        <v>-2.6996839275957737E-3</v>
      </c>
      <c r="H40" s="4">
        <f t="shared" si="8"/>
        <v>-404952.58913936606</v>
      </c>
      <c r="I40" s="5">
        <f t="shared" si="9"/>
        <v>-1.3498419637978869E-2</v>
      </c>
      <c r="J40" s="4">
        <f t="shared" si="10"/>
        <v>-16198.103565574642</v>
      </c>
      <c r="K40" s="4">
        <f t="shared" si="11"/>
        <v>1504049.5258913937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f>IFERROR(+VLOOKUP(B41,COMISIONES!A:E,5,FALSE),"0")*1</f>
        <v>10375630.87772402</v>
      </c>
      <c r="E41" s="4">
        <v>10375630.87772402</v>
      </c>
      <c r="F41" s="59">
        <f t="shared" si="7"/>
        <v>0</v>
      </c>
      <c r="G41" s="5">
        <f t="shared" si="1"/>
        <v>0.32002143281353329</v>
      </c>
      <c r="H41" s="4">
        <f t="shared" si="8"/>
        <v>51878154.388620101</v>
      </c>
      <c r="I41" s="5">
        <f t="shared" si="9"/>
        <v>1.6001071640676665</v>
      </c>
      <c r="J41" s="4">
        <f t="shared" si="10"/>
        <v>2075126.175544804</v>
      </c>
      <c r="K41" s="4">
        <f t="shared" si="11"/>
        <v>1102302.2045528579</v>
      </c>
      <c r="L41" s="63" cm="1">
        <f t="array" ref="L41">+_xlfn.IFS(I41&gt;114%,H41*0.02,I41&gt;109%,H41*0.015,I41&gt;104%,H41*0.0125,I41&gt;99%,H41*0.01,I41&lt;99%,H41*0)</f>
        <v>1037563.0877724021</v>
      </c>
    </row>
    <row r="42" spans="1:12" ht="16.5" thickBot="1" x14ac:dyDescent="0.3">
      <c r="A42" s="143"/>
      <c r="B42" s="137" t="s">
        <v>139</v>
      </c>
      <c r="C42" s="4">
        <v>56524908.220357507</v>
      </c>
      <c r="D42" s="4">
        <f>IFERROR(+VLOOKUP(B42,COMISIONES!A:E,5,FALSE),"0")*1</f>
        <v>21404421.763024561</v>
      </c>
      <c r="E42" s="4">
        <v>21705529.123024561</v>
      </c>
      <c r="F42" s="59">
        <f t="shared" si="7"/>
        <v>-301107.3599999994</v>
      </c>
      <c r="G42" s="5">
        <f t="shared" si="1"/>
        <v>0.37867238420947558</v>
      </c>
      <c r="H42" s="4">
        <f t="shared" si="8"/>
        <v>107022108.81512281</v>
      </c>
      <c r="I42" s="5">
        <f t="shared" si="9"/>
        <v>1.893361921047378</v>
      </c>
      <c r="J42" s="4">
        <f t="shared" si="10"/>
        <v>4280884.3526049126</v>
      </c>
      <c r="K42" s="4">
        <f t="shared" si="11"/>
        <v>1756024.3228666473</v>
      </c>
      <c r="L42" s="63" cm="1">
        <f t="array" ref="L42">+_xlfn.IFS(I42&gt;114%,H42*0.02,I42&gt;109%,H42*0.015,I42&gt;104%,H42*0.0125,I42&gt;99%,H42*0.01,I42&lt;99%,H42*0)</f>
        <v>2140442.1763024563</v>
      </c>
    </row>
    <row r="43" spans="1:12" ht="16.5" thickBot="1" x14ac:dyDescent="0.3">
      <c r="A43" s="143"/>
      <c r="B43" s="138" t="s">
        <v>265</v>
      </c>
      <c r="C43" s="4">
        <v>100000000</v>
      </c>
      <c r="D43" s="4">
        <f>IFERROR(+VLOOKUP(B43,COMISIONES!A:E,5,FALSE),"0")*1</f>
        <v>24078346.695974931</v>
      </c>
      <c r="E43" s="4">
        <v>24101898.667897765</v>
      </c>
      <c r="F43" s="59">
        <f t="shared" si="7"/>
        <v>-23551.971922833472</v>
      </c>
      <c r="G43" s="5">
        <f t="shared" si="1"/>
        <v>0.24078346695974931</v>
      </c>
      <c r="H43" s="4">
        <f t="shared" si="8"/>
        <v>120391733.47987466</v>
      </c>
      <c r="I43" s="5">
        <f t="shared" si="9"/>
        <v>1.2039173347987466</v>
      </c>
      <c r="J43" s="4">
        <f t="shared" si="10"/>
        <v>4815669.339194986</v>
      </c>
      <c r="K43" s="4">
        <f t="shared" si="11"/>
        <v>3796082.6652012533</v>
      </c>
      <c r="L43" s="63" cm="1">
        <f t="array" ref="L43">+_xlfn.IFS(I43&gt;114%,H43*0.02,I43&gt;109%,H43*0.015,I43&gt;104%,H43*0.0125,I43&gt;99%,H43*0.01,I43&lt;99%,H43*0)</f>
        <v>2407834.669597493</v>
      </c>
    </row>
    <row r="44" spans="1:12" ht="16.5" thickBot="1" x14ac:dyDescent="0.3">
      <c r="A44" s="143"/>
      <c r="B44" s="138" t="s">
        <v>266</v>
      </c>
      <c r="C44" s="4">
        <v>100000000</v>
      </c>
      <c r="D44" s="4">
        <f>IFERROR(+VLOOKUP(B44,COMISIONES!A:E,5,FALSE),"0")*1</f>
        <v>17446662.507754244</v>
      </c>
      <c r="E44" s="4">
        <v>2923678.1117493762</v>
      </c>
      <c r="F44" s="59">
        <f t="shared" si="7"/>
        <v>14522984.396004867</v>
      </c>
      <c r="G44" s="5">
        <f t="shared" si="1"/>
        <v>0.17446662507754243</v>
      </c>
      <c r="H44" s="4">
        <f t="shared" si="8"/>
        <v>87233312.538771212</v>
      </c>
      <c r="I44" s="5">
        <f t="shared" si="9"/>
        <v>0.87233312538771213</v>
      </c>
      <c r="J44" s="4">
        <f t="shared" si="10"/>
        <v>3489332.5015508486</v>
      </c>
      <c r="K44" s="4">
        <f t="shared" si="11"/>
        <v>4127666.8746122881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3"/>
      <c r="B45" s="138" t="s">
        <v>273</v>
      </c>
      <c r="C45" s="4">
        <v>25000000</v>
      </c>
      <c r="D45" s="4">
        <f>IFERROR(+VLOOKUP(B45,COMISIONES!A:E,5,FALSE),"0")*1</f>
        <v>7255773.0248500444</v>
      </c>
      <c r="E45" s="4">
        <v>7269845.9948500441</v>
      </c>
      <c r="F45" s="59">
        <f t="shared" si="7"/>
        <v>-14072.969999999739</v>
      </c>
      <c r="G45" s="5">
        <f t="shared" si="1"/>
        <v>0.29023092099400177</v>
      </c>
      <c r="H45" s="4">
        <f t="shared" si="8"/>
        <v>36278865.124250218</v>
      </c>
      <c r="I45" s="5">
        <f t="shared" si="9"/>
        <v>1.4511546049700088</v>
      </c>
      <c r="J45" s="4">
        <f t="shared" si="10"/>
        <v>1451154.6049700088</v>
      </c>
      <c r="K45" s="4">
        <f t="shared" si="11"/>
        <v>887211.34875749773</v>
      </c>
      <c r="L45" s="63" cm="1">
        <f t="array" ref="L45">+_xlfn.IFS(I45&gt;114%,H45*0.02,I45&gt;109%,H45*0.015,I45&gt;104%,H45*0.0125,I45&gt;99%,H45*0.01,I45&lt;99%,H45*0)</f>
        <v>725577.30248500442</v>
      </c>
    </row>
    <row r="46" spans="1:12" ht="15.75" x14ac:dyDescent="0.25">
      <c r="A46" s="143"/>
      <c r="B46" s="138" t="s">
        <v>267</v>
      </c>
      <c r="C46" s="4">
        <v>100000000</v>
      </c>
      <c r="D46" s="4">
        <f>IFERROR(+VLOOKUP(B46,COMISIONES!A:E,5,FALSE),"0")*1</f>
        <v>3242995.6574940565</v>
      </c>
      <c r="E46" s="4">
        <v>3242995.6574940565</v>
      </c>
      <c r="F46" s="59">
        <f t="shared" si="7"/>
        <v>0</v>
      </c>
      <c r="G46" s="5">
        <f t="shared" si="1"/>
        <v>3.2429956574940563E-2</v>
      </c>
      <c r="H46" s="4">
        <f t="shared" si="8"/>
        <v>16214978.287470283</v>
      </c>
      <c r="I46" s="5">
        <f t="shared" si="9"/>
        <v>0.16214978287470283</v>
      </c>
      <c r="J46" s="4">
        <f t="shared" si="10"/>
        <v>648599.1314988113</v>
      </c>
      <c r="K46" s="4">
        <f t="shared" si="11"/>
        <v>4837850.2171252975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4"/>
      <c r="B47" s="135"/>
      <c r="C47" s="66">
        <v>478946583</v>
      </c>
      <c r="D47" s="66">
        <f>SUM(D39:D46)</f>
        <v>86570375.647584483</v>
      </c>
      <c r="E47" s="66">
        <v>72386123.55350244</v>
      </c>
      <c r="F47" s="66">
        <f>+SUM(F39:F46)</f>
        <v>14184252.094082035</v>
      </c>
      <c r="G47" s="65">
        <f t="shared" si="1"/>
        <v>0.18075163018249257</v>
      </c>
      <c r="H47" s="64">
        <f t="shared" si="8"/>
        <v>432851878.23792237</v>
      </c>
      <c r="I47" s="65">
        <f t="shared" si="9"/>
        <v>0.90375815091246281</v>
      </c>
      <c r="J47" s="64">
        <f t="shared" si="10"/>
        <v>17314075.129516896</v>
      </c>
      <c r="K47" s="66">
        <f t="shared" si="11"/>
        <v>19618810.367620774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314474248.88295346</v>
      </c>
      <c r="E48" s="77">
        <v>243437252.16015172</v>
      </c>
      <c r="F48" s="77">
        <f>+D48-E48</f>
        <v>71036996.722801745</v>
      </c>
      <c r="G48" s="78">
        <f>+D48/C48</f>
        <v>0.16998100429319421</v>
      </c>
      <c r="H48" s="77">
        <f>+D48/$N$3*$N$4</f>
        <v>1572371244.4147673</v>
      </c>
      <c r="I48" s="140">
        <f t="shared" si="2"/>
        <v>0.84990502146597102</v>
      </c>
      <c r="J48" s="77">
        <f>+D48/$N$3</f>
        <v>62894849.77659069</v>
      </c>
      <c r="K48" s="77">
        <f>+(C48-D48)/$N$2</f>
        <v>76779049.905852333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0.39240506329113922</v>
      </c>
      <c r="E2" s="13">
        <v>33</v>
      </c>
      <c r="F2" s="12">
        <f>+H2-E2</f>
        <v>-2</v>
      </c>
      <c r="G2" s="13">
        <f>VLOOKUP(B2,'Base Cobertura'!$A:$C,3,FALSE)</f>
        <v>79</v>
      </c>
      <c r="H2" s="13">
        <f>VLOOKUP(B2,'Base Cobertura'!$A:$C,2,FALSE)</f>
        <v>31</v>
      </c>
      <c r="I2" s="17">
        <f>(+G2*$M$2)-H2</f>
        <v>36.149999999999991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0.48245614035087719</v>
      </c>
      <c r="E3" s="13">
        <v>126</v>
      </c>
      <c r="F3" s="12">
        <f t="shared" ref="F3:F13" si="1">+H3-E3</f>
        <v>-16</v>
      </c>
      <c r="G3" s="13">
        <f>VLOOKUP(B3,'Base Cobertura'!$A:$C,3,FALSE)</f>
        <v>228</v>
      </c>
      <c r="H3" s="13">
        <f>VLOOKUP(B3,'Base Cobertura'!$A:$C,2,FALSE)</f>
        <v>110</v>
      </c>
      <c r="I3" s="17">
        <f t="shared" ref="I3:I13" si="2">(+G3*$M$2)-H3</f>
        <v>83.799999999999983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140 - ALMACEN</v>
      </c>
      <c r="S3" s="12">
        <v>7</v>
      </c>
      <c r="T3" s="12">
        <v>174</v>
      </c>
      <c r="U3" s="41">
        <f>+S3/T3</f>
        <v>4.0229885057471264E-2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0.27692307692307694</v>
      </c>
      <c r="E4" s="13">
        <v>21</v>
      </c>
      <c r="F4" s="12">
        <f t="shared" si="1"/>
        <v>-3</v>
      </c>
      <c r="G4" s="13">
        <f>VLOOKUP(B4,'Base Cobertura'!$A:$C,3,FALSE)</f>
        <v>65</v>
      </c>
      <c r="H4" s="13">
        <f>VLOOKUP(B4,'Base Cobertura'!$A:$C,2,FALSE)</f>
        <v>18</v>
      </c>
      <c r="I4" s="17">
        <f t="shared" si="2"/>
        <v>37.25</v>
      </c>
      <c r="J4" t="s">
        <v>57</v>
      </c>
      <c r="K4" t="s">
        <v>64</v>
      </c>
      <c r="P4" s="13">
        <v>25</v>
      </c>
      <c r="Q4" s="13">
        <v>0</v>
      </c>
      <c r="R4" s="13" t="str">
        <v>140 - Articulos Sin Asociar Agrupacion</v>
      </c>
      <c r="S4" s="13">
        <v>3</v>
      </c>
      <c r="T4" s="13">
        <v>174</v>
      </c>
      <c r="U4" s="5">
        <f t="shared" ref="U4:U11" si="3">+S4/T4</f>
        <v>1.7241379310344827E-2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0.42105263157894735</v>
      </c>
      <c r="E5" s="13">
        <v>100</v>
      </c>
      <c r="F5" s="12">
        <f t="shared" si="1"/>
        <v>-12</v>
      </c>
      <c r="G5" s="13">
        <f>VLOOKUP(B5,'Base Cobertura'!$A:$C,3,FALSE)</f>
        <v>209</v>
      </c>
      <c r="H5" s="13">
        <f>VLOOKUP(B5,'Base Cobertura'!$A:$C,2,FALSE)</f>
        <v>88</v>
      </c>
      <c r="I5" s="17">
        <f t="shared" si="2"/>
        <v>89.65</v>
      </c>
      <c r="K5" t="s">
        <v>64</v>
      </c>
      <c r="P5" s="13">
        <v>25</v>
      </c>
      <c r="Q5" s="13">
        <v>0</v>
      </c>
      <c r="R5" s="13" t="str">
        <v>140 - BEBIDAS</v>
      </c>
      <c r="S5" s="13">
        <v>7</v>
      </c>
      <c r="T5" s="13">
        <v>174</v>
      </c>
      <c r="U5" s="5">
        <f t="shared" si="3"/>
        <v>4.0229885057471264E-2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0.28000000000000003</v>
      </c>
      <c r="E6" s="13">
        <v>81</v>
      </c>
      <c r="F6" s="12">
        <f t="shared" si="1"/>
        <v>-25</v>
      </c>
      <c r="G6" s="13">
        <f>VLOOKUP(B6,'Base Cobertura'!$A:$C,3,FALSE)</f>
        <v>200</v>
      </c>
      <c r="H6" s="13">
        <f>VLOOKUP(B6,'Base Cobertura'!$A:$C,2,FALSE)</f>
        <v>56</v>
      </c>
      <c r="I6" s="17">
        <f t="shared" si="2"/>
        <v>114</v>
      </c>
      <c r="J6" t="s">
        <v>58</v>
      </c>
      <c r="K6" t="s">
        <v>58</v>
      </c>
      <c r="P6" s="13">
        <v>25</v>
      </c>
      <c r="Q6" s="13">
        <v>0</v>
      </c>
      <c r="R6" s="13" t="str">
        <v>140 - CHOCOLATE</v>
      </c>
      <c r="S6" s="13">
        <v>3</v>
      </c>
      <c r="T6" s="13">
        <v>174</v>
      </c>
      <c r="U6" s="5">
        <f t="shared" si="3"/>
        <v>1.7241379310344827E-2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0.38139534883720932</v>
      </c>
      <c r="E7" s="13">
        <v>89</v>
      </c>
      <c r="F7" s="12">
        <f t="shared" si="1"/>
        <v>-7</v>
      </c>
      <c r="G7" s="13">
        <f>VLOOKUP(B7,'Base Cobertura'!$A:$C,3,FALSE)</f>
        <v>215</v>
      </c>
      <c r="H7" s="13">
        <f>VLOOKUP(B7,'Base Cobertura'!$A:$C,2,FALSE)</f>
        <v>82</v>
      </c>
      <c r="I7" s="17">
        <f t="shared" si="2"/>
        <v>100.75</v>
      </c>
      <c r="J7" t="s">
        <v>58</v>
      </c>
      <c r="K7" t="s">
        <v>58</v>
      </c>
      <c r="P7" s="13">
        <v>25</v>
      </c>
      <c r="Q7" s="13">
        <v>0</v>
      </c>
      <c r="R7" s="13" t="str">
        <v>140 - GALLETITAS</v>
      </c>
      <c r="S7" s="13">
        <v>7</v>
      </c>
      <c r="T7" s="13">
        <v>174</v>
      </c>
      <c r="U7" s="5">
        <f t="shared" si="3"/>
        <v>4.0229885057471264E-2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0.37647058823529411</v>
      </c>
      <c r="E8" s="13">
        <v>92</v>
      </c>
      <c r="F8" s="12">
        <f t="shared" si="1"/>
        <v>-28</v>
      </c>
      <c r="G8" s="13">
        <f>VLOOKUP(B8,'Base Cobertura'!$A:$C,3,FALSE)</f>
        <v>170</v>
      </c>
      <c r="H8" s="13">
        <f>VLOOKUP(B8,'Base Cobertura'!$A:$C,2,FALSE)</f>
        <v>64</v>
      </c>
      <c r="I8" s="17">
        <f t="shared" si="2"/>
        <v>80.5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140 - GOLOSINAS</v>
      </c>
      <c r="S8" s="13">
        <v>4</v>
      </c>
      <c r="T8" s="13">
        <v>174</v>
      </c>
      <c r="U8" s="5">
        <f t="shared" si="3"/>
        <v>2.2988505747126436E-2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0.32663316582914576</v>
      </c>
      <c r="E9" s="13">
        <v>64</v>
      </c>
      <c r="F9" s="12">
        <f t="shared" si="1"/>
        <v>1</v>
      </c>
      <c r="G9" s="13">
        <f>VLOOKUP(B9,'Base Cobertura'!$A:$C,3,FALSE)</f>
        <v>199</v>
      </c>
      <c r="H9" s="13">
        <f>VLOOKUP(B9,'Base Cobertura'!$A:$C,2,FALSE)</f>
        <v>65</v>
      </c>
      <c r="I9" s="17">
        <f t="shared" si="2"/>
        <v>104.15</v>
      </c>
      <c r="J9" t="s">
        <v>55</v>
      </c>
      <c r="K9" t="s">
        <v>65</v>
      </c>
      <c r="P9" s="13">
        <v>25</v>
      </c>
      <c r="Q9" s="13">
        <v>0</v>
      </c>
      <c r="R9" s="13" t="str">
        <v>140 - MASCOTAS</v>
      </c>
      <c r="S9" s="13">
        <v>6</v>
      </c>
      <c r="T9" s="13">
        <v>174</v>
      </c>
      <c r="U9" s="5">
        <f t="shared" si="3"/>
        <v>3.4482758620689655E-2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0.14423076923076922</v>
      </c>
      <c r="E10" s="31">
        <v>19</v>
      </c>
      <c r="F10" s="33">
        <f t="shared" si="1"/>
        <v>-4</v>
      </c>
      <c r="G10" s="13">
        <f>VLOOKUP(B10,'Base Cobertura'!$A:$C,3,FALSE)</f>
        <v>104</v>
      </c>
      <c r="H10" s="13">
        <f>VLOOKUP(B10,'Base Cobertura'!$A:$C,2,FALSE)</f>
        <v>15</v>
      </c>
      <c r="I10" s="34">
        <f t="shared" si="2"/>
        <v>73.399999999999991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140 - NO PERECEDEROS</v>
      </c>
      <c r="S10" s="13">
        <v>5</v>
      </c>
      <c r="T10" s="13">
        <v>174</v>
      </c>
      <c r="U10" s="5">
        <f t="shared" si="3"/>
        <v>2.8735632183908046E-2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0.13333333333333333</v>
      </c>
      <c r="E11" s="31">
        <v>24</v>
      </c>
      <c r="F11" s="33">
        <f t="shared" si="1"/>
        <v>-10</v>
      </c>
      <c r="G11" s="13">
        <f>VLOOKUP(B11,'Base Cobertura'!$A:$C,3,FALSE)</f>
        <v>105</v>
      </c>
      <c r="H11" s="13">
        <f>VLOOKUP(B11,'Base Cobertura'!$A:$C,2,FALSE)</f>
        <v>14</v>
      </c>
      <c r="I11" s="34">
        <f t="shared" si="2"/>
        <v>75.25</v>
      </c>
      <c r="J11" t="s">
        <v>59</v>
      </c>
      <c r="P11" s="13">
        <v>25</v>
      </c>
      <c r="Q11" s="13">
        <v>0</v>
      </c>
      <c r="R11" s="13" t="str">
        <v>140 - PILAS</v>
      </c>
      <c r="S11" s="13">
        <v>2</v>
      </c>
      <c r="T11" s="13">
        <v>174</v>
      </c>
      <c r="U11" s="5">
        <f t="shared" si="3"/>
        <v>1.1494252873563218E-2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0.375</v>
      </c>
      <c r="E12" s="13">
        <v>144</v>
      </c>
      <c r="F12" s="12">
        <f t="shared" si="1"/>
        <v>-45</v>
      </c>
      <c r="G12" s="13">
        <f>VLOOKUP(B12,'Base Cobertura'!$A:$C,3,FALSE)</f>
        <v>264</v>
      </c>
      <c r="H12" s="13">
        <f>VLOOKUP(B12,'Base Cobertura'!$A:$C,2,FALSE)</f>
        <v>99</v>
      </c>
      <c r="I12" s="17">
        <f t="shared" si="2"/>
        <v>125.4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0.37362637362637363</v>
      </c>
      <c r="E13" s="13">
        <v>85</v>
      </c>
      <c r="F13" s="12">
        <f t="shared" si="1"/>
        <v>-17</v>
      </c>
      <c r="G13" s="13">
        <f>VLOOKUP(B13,'Base Cobertura'!$A:$C,3,FALSE)</f>
        <v>182</v>
      </c>
      <c r="H13" s="13">
        <f>VLOOKUP(B13,'Base Cobertura'!$A:$C,2,FALSE)</f>
        <v>68</v>
      </c>
      <c r="I13" s="17">
        <f t="shared" si="2"/>
        <v>86.699999999999989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-168</v>
      </c>
      <c r="G14" s="8">
        <f>+SUM(G1:G13)</f>
        <v>2020</v>
      </c>
      <c r="H14" s="8">
        <f>+SUM(H1:H13)</f>
        <v>710</v>
      </c>
      <c r="I14" s="8"/>
      <c r="J14" t="s">
        <v>55</v>
      </c>
      <c r="K14" t="s">
        <v>64</v>
      </c>
    </row>
    <row r="15" spans="1:21" x14ac:dyDescent="0.25">
      <c r="A15" s="148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0.37575757575757573</v>
      </c>
      <c r="E15" s="13">
        <v>90</v>
      </c>
      <c r="F15" s="12">
        <f t="shared" ref="F15:F36" si="6">+H15-E15</f>
        <v>-28</v>
      </c>
      <c r="G15" s="13">
        <f>VLOOKUP(B15,'Base Cobertura'!$A:$C,3,FALSE)</f>
        <v>165</v>
      </c>
      <c r="H15" s="13">
        <f>VLOOKUP(B15,'Base Cobertura'!$A:$C,2,FALSE)</f>
        <v>62</v>
      </c>
      <c r="I15" s="17">
        <f t="shared" ref="I15:I36" si="7">(+G15*$M$2)-H15</f>
        <v>78.25</v>
      </c>
      <c r="J15" t="s">
        <v>55</v>
      </c>
      <c r="K15" t="s">
        <v>55</v>
      </c>
    </row>
    <row r="16" spans="1:21" x14ac:dyDescent="0.25">
      <c r="A16" s="149"/>
      <c r="B16">
        <v>54</v>
      </c>
      <c r="C16" s="13" t="str">
        <f>+AVANCE!B23</f>
        <v>54 - BARTSCHAT EMILIANO NAHUEL</v>
      </c>
      <c r="D16" s="22">
        <f t="shared" si="5"/>
        <v>0.29207920792079206</v>
      </c>
      <c r="E16" s="13">
        <v>92</v>
      </c>
      <c r="F16" s="12">
        <f t="shared" si="6"/>
        <v>-33</v>
      </c>
      <c r="G16" s="13">
        <f>VLOOKUP(B16,'Base Cobertura'!$A:$C,3,FALSE)</f>
        <v>202</v>
      </c>
      <c r="H16" s="13">
        <f>VLOOKUP(B16,'Base Cobertura'!$A:$C,2,FALSE)</f>
        <v>59</v>
      </c>
      <c r="I16" s="17">
        <f t="shared" si="7"/>
        <v>112.69999999999999</v>
      </c>
      <c r="J16" t="s">
        <v>55</v>
      </c>
      <c r="K16" t="s">
        <v>63</v>
      </c>
    </row>
    <row r="17" spans="1:11" x14ac:dyDescent="0.25">
      <c r="A17" s="149"/>
      <c r="B17">
        <v>21</v>
      </c>
      <c r="C17" s="13" t="str">
        <f>+AVANCE!B19</f>
        <v>21 - CATAN MATIAS</v>
      </c>
      <c r="D17" s="22">
        <f t="shared" si="5"/>
        <v>0.50602409638554213</v>
      </c>
      <c r="E17" s="13">
        <v>88</v>
      </c>
      <c r="F17" s="12">
        <f t="shared" si="6"/>
        <v>-4</v>
      </c>
      <c r="G17" s="13">
        <f>VLOOKUP(B17,'Base Cobertura'!$A:$C,3,FALSE)</f>
        <v>166</v>
      </c>
      <c r="H17" s="13">
        <f>VLOOKUP(B17,'Base Cobertura'!$A:$C,2,FALSE)</f>
        <v>84</v>
      </c>
      <c r="I17" s="17">
        <f t="shared" si="7"/>
        <v>57.099999999999994</v>
      </c>
      <c r="J17" t="s">
        <v>58</v>
      </c>
      <c r="K17" t="s">
        <v>55</v>
      </c>
    </row>
    <row r="18" spans="1:11" x14ac:dyDescent="0.25">
      <c r="A18" s="149"/>
      <c r="B18">
        <v>23</v>
      </c>
      <c r="C18" s="13" t="str">
        <f>+AVANCE!B20</f>
        <v>23 - DELGADO JOSÉ</v>
      </c>
      <c r="D18" s="22">
        <f t="shared" si="5"/>
        <v>0.48407643312101911</v>
      </c>
      <c r="E18" s="13">
        <v>95</v>
      </c>
      <c r="F18" s="12">
        <f t="shared" si="6"/>
        <v>-19</v>
      </c>
      <c r="G18" s="13">
        <f>VLOOKUP(B18,'Base Cobertura'!$A:$C,3,FALSE)</f>
        <v>157</v>
      </c>
      <c r="H18" s="13">
        <f>VLOOKUP(B18,'Base Cobertura'!$A:$C,2,FALSE)</f>
        <v>76</v>
      </c>
      <c r="I18" s="17">
        <f t="shared" si="7"/>
        <v>57.449999999999989</v>
      </c>
      <c r="J18" t="s">
        <v>58</v>
      </c>
      <c r="K18" t="s">
        <v>64</v>
      </c>
    </row>
    <row r="19" spans="1:11" x14ac:dyDescent="0.25">
      <c r="A19" s="149"/>
      <c r="B19">
        <v>18</v>
      </c>
      <c r="C19" s="13" t="str">
        <f>+AVANCE!B18</f>
        <v>18 - HERRERA PABLO</v>
      </c>
      <c r="D19" s="22">
        <f t="shared" si="5"/>
        <v>0.44198895027624308</v>
      </c>
      <c r="E19" s="13">
        <v>83</v>
      </c>
      <c r="F19" s="12">
        <f t="shared" si="6"/>
        <v>-3</v>
      </c>
      <c r="G19" s="13">
        <f>VLOOKUP(B19,'Base Cobertura'!$A:$C,3,FALSE)</f>
        <v>181</v>
      </c>
      <c r="H19" s="13">
        <f>VLOOKUP(B19,'Base Cobertura'!$A:$C,2,FALSE)</f>
        <v>80</v>
      </c>
      <c r="I19" s="17">
        <f t="shared" si="7"/>
        <v>73.849999999999994</v>
      </c>
      <c r="J19" t="s">
        <v>55</v>
      </c>
      <c r="K19" t="s">
        <v>55</v>
      </c>
    </row>
    <row r="20" spans="1:11" x14ac:dyDescent="0.25">
      <c r="A20" s="149"/>
      <c r="B20">
        <v>44</v>
      </c>
      <c r="C20" s="13" t="str">
        <f>+AVANCE!B22</f>
        <v>44 - MONGES CESAR LUIS</v>
      </c>
      <c r="D20" s="22">
        <f t="shared" si="5"/>
        <v>0.40350877192982454</v>
      </c>
      <c r="E20" s="13">
        <v>64</v>
      </c>
      <c r="F20" s="12">
        <f t="shared" si="6"/>
        <v>5</v>
      </c>
      <c r="G20" s="13">
        <f>VLOOKUP(B20,'Base Cobertura'!$A:$C,3,FALSE)</f>
        <v>171</v>
      </c>
      <c r="H20" s="13">
        <f>VLOOKUP(B20,'Base Cobertura'!$A:$C,2,FALSE)</f>
        <v>69</v>
      </c>
      <c r="I20" s="17">
        <f t="shared" si="7"/>
        <v>76.349999999999994</v>
      </c>
      <c r="J20" t="s">
        <v>58</v>
      </c>
      <c r="K20" t="s">
        <v>64</v>
      </c>
    </row>
    <row r="21" spans="1:11" x14ac:dyDescent="0.25">
      <c r="A21" s="149"/>
      <c r="B21">
        <v>2</v>
      </c>
      <c r="C21" s="13" t="str">
        <f>+AVANCE!B16</f>
        <v>2 - OJEDA NORBERTO</v>
      </c>
      <c r="D21" s="22">
        <f t="shared" si="5"/>
        <v>0.41666666666666669</v>
      </c>
      <c r="E21" s="13">
        <v>70</v>
      </c>
      <c r="F21" s="12">
        <f t="shared" si="6"/>
        <v>-20</v>
      </c>
      <c r="G21" s="13">
        <f>VLOOKUP(B21,'Base Cobertura'!$A:$C,3,FALSE)</f>
        <v>120</v>
      </c>
      <c r="H21" s="13">
        <f>VLOOKUP(B21,'Base Cobertura'!$A:$C,2,FALSE)</f>
        <v>50</v>
      </c>
      <c r="I21" s="17">
        <f t="shared" si="7"/>
        <v>52</v>
      </c>
      <c r="J21" t="s">
        <v>58</v>
      </c>
      <c r="K21" t="s">
        <v>66</v>
      </c>
    </row>
    <row r="22" spans="1:11" ht="15.75" thickBot="1" x14ac:dyDescent="0.3">
      <c r="A22" s="149"/>
      <c r="B22">
        <v>3</v>
      </c>
      <c r="C22" s="10" t="str">
        <f>+AVANCE!B17</f>
        <v>3 - VIDAL NAHUEL</v>
      </c>
      <c r="D22" s="22">
        <f t="shared" si="5"/>
        <v>0.45930232558139533</v>
      </c>
      <c r="E22" s="13">
        <v>79</v>
      </c>
      <c r="F22" s="12">
        <f t="shared" si="6"/>
        <v>0</v>
      </c>
      <c r="G22" s="13">
        <f>VLOOKUP(B22,'Base Cobertura'!$A:$C,3,FALSE)</f>
        <v>172</v>
      </c>
      <c r="H22" s="13">
        <f>VLOOKUP(B22,'Base Cobertura'!$A:$C,2,FALSE)</f>
        <v>79</v>
      </c>
      <c r="I22" s="17">
        <f t="shared" si="7"/>
        <v>67.199999999999989</v>
      </c>
      <c r="J22" t="s">
        <v>60</v>
      </c>
      <c r="K22" t="s">
        <v>64</v>
      </c>
    </row>
    <row r="23" spans="1:11" ht="15.75" thickBot="1" x14ac:dyDescent="0.3">
      <c r="A23" s="150"/>
      <c r="C23" s="9"/>
      <c r="D23" s="23"/>
      <c r="E23" s="14"/>
      <c r="F23" s="16">
        <f>+SUM(F15:F22)</f>
        <v>-102</v>
      </c>
      <c r="G23" s="8">
        <f>+SUM(G15:G22)</f>
        <v>1334</v>
      </c>
      <c r="H23" s="8">
        <f>+SUM(H15:H22)</f>
        <v>559</v>
      </c>
      <c r="I23" s="8"/>
    </row>
    <row r="24" spans="1:11" x14ac:dyDescent="0.25">
      <c r="A24" s="148" t="s">
        <v>215</v>
      </c>
      <c r="B24">
        <v>32</v>
      </c>
      <c r="C24" s="12" t="str">
        <f>+AVANCE!B25</f>
        <v>32 - CABRAL GONZALO</v>
      </c>
      <c r="D24" s="22">
        <f t="shared" si="5"/>
        <v>0.18965517241379309</v>
      </c>
      <c r="E24" s="13">
        <v>20</v>
      </c>
      <c r="F24" s="12">
        <f>+H24-E24</f>
        <v>-9</v>
      </c>
      <c r="G24" s="13">
        <f>VLOOKUP(B24,'Base Cobertura'!$A:$C,3,FALSE)</f>
        <v>58</v>
      </c>
      <c r="H24" s="13">
        <f>VLOOKUP(B24,'Base Cobertura'!$A:$C,2,FALSE)</f>
        <v>11</v>
      </c>
      <c r="I24" s="17">
        <f t="shared" si="7"/>
        <v>38.299999999999997</v>
      </c>
      <c r="J24" t="s">
        <v>55</v>
      </c>
      <c r="K24" t="s">
        <v>66</v>
      </c>
    </row>
    <row r="25" spans="1:11" x14ac:dyDescent="0.25">
      <c r="A25" s="149"/>
      <c r="B25">
        <v>36</v>
      </c>
      <c r="C25" s="12" t="str">
        <f>+AVANCE!B26</f>
        <v>36 - COSARINSKI DIEGO</v>
      </c>
      <c r="D25" s="22">
        <f t="shared" si="5"/>
        <v>0.375</v>
      </c>
      <c r="E25" s="13">
        <v>68</v>
      </c>
      <c r="F25" s="12">
        <f t="shared" si="6"/>
        <v>-8</v>
      </c>
      <c r="G25" s="13">
        <f>VLOOKUP(B25,'Base Cobertura'!$A:$C,3,FALSE)</f>
        <v>160</v>
      </c>
      <c r="H25" s="13">
        <f>VLOOKUP(B25,'Base Cobertura'!$A:$C,2,FALSE)</f>
        <v>60</v>
      </c>
      <c r="I25" s="17">
        <f t="shared" si="7"/>
        <v>76</v>
      </c>
      <c r="J25" t="s">
        <v>58</v>
      </c>
      <c r="K25" t="s">
        <v>66</v>
      </c>
    </row>
    <row r="26" spans="1:11" x14ac:dyDescent="0.25">
      <c r="A26" s="149"/>
      <c r="B26">
        <v>9</v>
      </c>
      <c r="C26" s="12" t="str">
        <f>+AVANCE!B27</f>
        <v>9 - ESTIGARRIBIA DAVID</v>
      </c>
      <c r="D26" s="22">
        <f t="shared" si="5"/>
        <v>0.4140127388535032</v>
      </c>
      <c r="E26" s="13">
        <v>80</v>
      </c>
      <c r="F26" s="12">
        <f t="shared" si="6"/>
        <v>-15</v>
      </c>
      <c r="G26" s="13">
        <f>VLOOKUP(B26,'Base Cobertura'!$A:$C,3,FALSE)</f>
        <v>157</v>
      </c>
      <c r="H26" s="13">
        <f>VLOOKUP(B26,'Base Cobertura'!$A:$C,2,FALSE)</f>
        <v>65</v>
      </c>
      <c r="I26" s="17">
        <f t="shared" si="7"/>
        <v>68.449999999999989</v>
      </c>
      <c r="J26" t="s">
        <v>58</v>
      </c>
      <c r="K26" t="s">
        <v>55</v>
      </c>
    </row>
    <row r="27" spans="1:11" x14ac:dyDescent="0.25">
      <c r="A27" s="149"/>
      <c r="B27">
        <v>40</v>
      </c>
      <c r="C27" s="12" t="str">
        <f>+AVANCE!B28</f>
        <v>40 - IBARROLA JORGE</v>
      </c>
      <c r="D27" s="22">
        <f t="shared" si="5"/>
        <v>0.23318385650224216</v>
      </c>
      <c r="E27" s="13">
        <v>68</v>
      </c>
      <c r="F27" s="12">
        <f t="shared" si="6"/>
        <v>-16</v>
      </c>
      <c r="G27" s="13">
        <f>VLOOKUP(B27,'Base Cobertura'!$A:$C,3,FALSE)</f>
        <v>223</v>
      </c>
      <c r="H27" s="13">
        <f>VLOOKUP(B27,'Base Cobertura'!$A:$C,2,FALSE)</f>
        <v>52</v>
      </c>
      <c r="I27" s="17">
        <f t="shared" si="7"/>
        <v>137.54999999999998</v>
      </c>
      <c r="J27" t="s">
        <v>58</v>
      </c>
      <c r="K27" t="s">
        <v>66</v>
      </c>
    </row>
    <row r="28" spans="1:11" x14ac:dyDescent="0.25">
      <c r="A28" s="149"/>
      <c r="B28">
        <v>27</v>
      </c>
      <c r="C28" s="12" t="str">
        <f>+AVANCE!B29</f>
        <v>27 - GOMEZ ADRIÁN</v>
      </c>
      <c r="D28" s="22">
        <f t="shared" si="5"/>
        <v>0.45038167938931295</v>
      </c>
      <c r="E28" s="13">
        <v>73</v>
      </c>
      <c r="F28" s="12">
        <f t="shared" si="6"/>
        <v>-14</v>
      </c>
      <c r="G28" s="13">
        <f>VLOOKUP(B28,'Base Cobertura'!$A:$C,3,FALSE)</f>
        <v>131</v>
      </c>
      <c r="H28" s="13">
        <f>VLOOKUP(B28,'Base Cobertura'!$A:$C,2,FALSE)</f>
        <v>59</v>
      </c>
      <c r="I28" s="17">
        <f t="shared" si="7"/>
        <v>52.349999999999994</v>
      </c>
      <c r="J28" t="s">
        <v>55</v>
      </c>
      <c r="K28" t="s">
        <v>66</v>
      </c>
    </row>
    <row r="29" spans="1:11" x14ac:dyDescent="0.25">
      <c r="A29" s="149"/>
      <c r="B29">
        <v>10</v>
      </c>
      <c r="C29" s="12" t="str">
        <f>+AVANCE!B30</f>
        <v>10 - BRITEZ EMMANUEL</v>
      </c>
      <c r="D29" s="22">
        <f t="shared" si="5"/>
        <v>0.25133689839572193</v>
      </c>
      <c r="E29" s="13">
        <v>40</v>
      </c>
      <c r="F29" s="12">
        <f t="shared" si="6"/>
        <v>7</v>
      </c>
      <c r="G29" s="13">
        <f>VLOOKUP(B29,'Base Cobertura'!$A:$C,3,FALSE)</f>
        <v>187</v>
      </c>
      <c r="H29" s="13">
        <f>VLOOKUP(B29,'Base Cobertura'!$A:$C,2,FALSE)</f>
        <v>47</v>
      </c>
      <c r="I29" s="17">
        <f t="shared" si="7"/>
        <v>111.94999999999999</v>
      </c>
      <c r="J29" t="s">
        <v>58</v>
      </c>
      <c r="K29" t="s">
        <v>66</v>
      </c>
    </row>
    <row r="30" spans="1:11" x14ac:dyDescent="0.25">
      <c r="A30" s="149"/>
      <c r="B30">
        <v>28</v>
      </c>
      <c r="C30" s="12" t="str">
        <f>+AVANCE!B31</f>
        <v>28 - GOMEZ PABLO</v>
      </c>
      <c r="D30" s="22">
        <f t="shared" si="5"/>
        <v>0.29585798816568049</v>
      </c>
      <c r="E30" s="13">
        <v>67</v>
      </c>
      <c r="F30" s="12">
        <f t="shared" si="6"/>
        <v>-17</v>
      </c>
      <c r="G30" s="13">
        <f>VLOOKUP(B30,'Base Cobertura'!$A:$C,3,FALSE)</f>
        <v>169</v>
      </c>
      <c r="H30" s="13">
        <f>VLOOKUP(B30,'Base Cobertura'!$A:$C,2,FALSE)</f>
        <v>50</v>
      </c>
      <c r="I30" s="17">
        <f t="shared" si="7"/>
        <v>93.65</v>
      </c>
      <c r="J30" t="s">
        <v>58</v>
      </c>
      <c r="K30" t="s">
        <v>66</v>
      </c>
    </row>
    <row r="31" spans="1:11" x14ac:dyDescent="0.25">
      <c r="A31" s="149"/>
      <c r="B31">
        <v>33</v>
      </c>
      <c r="C31" s="12" t="str">
        <f>+AVANCE!B32</f>
        <v>33 - NICOLAS AZULA</v>
      </c>
      <c r="D31" s="22">
        <f t="shared" si="5"/>
        <v>0.35502958579881655</v>
      </c>
      <c r="E31" s="13">
        <v>66</v>
      </c>
      <c r="F31" s="12">
        <f t="shared" si="6"/>
        <v>-6</v>
      </c>
      <c r="G31" s="13">
        <f>VLOOKUP(B31,'Base Cobertura'!$A:$C,3,FALSE)</f>
        <v>169</v>
      </c>
      <c r="H31" s="13">
        <f>VLOOKUP(B31,'Base Cobertura'!$A:$C,2,FALSE)</f>
        <v>60</v>
      </c>
      <c r="I31" s="17">
        <f t="shared" si="7"/>
        <v>83.65</v>
      </c>
      <c r="J31" t="s">
        <v>58</v>
      </c>
      <c r="K31" t="s">
        <v>66</v>
      </c>
    </row>
    <row r="32" spans="1:11" x14ac:dyDescent="0.25">
      <c r="A32" s="149"/>
      <c r="B32">
        <v>37</v>
      </c>
      <c r="C32" s="12" t="str">
        <f>+AVANCE!B33</f>
        <v>37 - SALAJ EMILIO</v>
      </c>
      <c r="D32" s="22">
        <f t="shared" si="5"/>
        <v>0.26530612244897961</v>
      </c>
      <c r="E32" s="13">
        <v>82</v>
      </c>
      <c r="F32" s="12">
        <f t="shared" si="6"/>
        <v>-43</v>
      </c>
      <c r="G32" s="13">
        <f>VLOOKUP(B32,'Base Cobertura'!$A:$C,3,FALSE)</f>
        <v>147</v>
      </c>
      <c r="H32" s="13">
        <f>VLOOKUP(B32,'Base Cobertura'!$A:$C,2,FALSE)</f>
        <v>39</v>
      </c>
      <c r="I32" s="17">
        <f t="shared" si="7"/>
        <v>85.95</v>
      </c>
      <c r="J32" t="s">
        <v>55</v>
      </c>
      <c r="K32" t="s">
        <v>66</v>
      </c>
    </row>
    <row r="33" spans="1:12" x14ac:dyDescent="0.25">
      <c r="A33" s="149"/>
      <c r="B33">
        <v>24</v>
      </c>
      <c r="C33" s="12" t="str">
        <f>+AVANCE!B34</f>
        <v>24 - SOLIS EMMANUEL</v>
      </c>
      <c r="D33" s="22">
        <f t="shared" si="5"/>
        <v>0.29347826086956524</v>
      </c>
      <c r="E33" s="13">
        <v>81</v>
      </c>
      <c r="F33" s="12">
        <f t="shared" si="6"/>
        <v>-27</v>
      </c>
      <c r="G33" s="13">
        <f>VLOOKUP(B33,'Base Cobertura'!$A:$C,3,FALSE)</f>
        <v>184</v>
      </c>
      <c r="H33" s="13">
        <f>VLOOKUP(B33,'Base Cobertura'!$A:$C,2,FALSE)</f>
        <v>54</v>
      </c>
      <c r="I33" s="17">
        <f t="shared" si="7"/>
        <v>102.4</v>
      </c>
      <c r="J33" t="s">
        <v>58</v>
      </c>
      <c r="K33" t="s">
        <v>66</v>
      </c>
    </row>
    <row r="34" spans="1:12" x14ac:dyDescent="0.25">
      <c r="A34" s="149"/>
      <c r="B34">
        <v>7</v>
      </c>
      <c r="C34" s="12" t="str">
        <f>+AVANCE!B35</f>
        <v>7 - VALLEJOS EDUARDO</v>
      </c>
      <c r="D34" s="22">
        <f t="shared" si="5"/>
        <v>1.7094017094017096E-2</v>
      </c>
      <c r="E34" s="13">
        <v>0</v>
      </c>
      <c r="F34" s="12">
        <f t="shared" si="6"/>
        <v>2</v>
      </c>
      <c r="G34" s="13">
        <f>VLOOKUP(B34,'Base Cobertura'!$A:$C,3,FALSE)</f>
        <v>117</v>
      </c>
      <c r="H34" s="13">
        <f>VLOOKUP(B34,'Base Cobertura'!$A:$C,2,FALSE)</f>
        <v>2</v>
      </c>
      <c r="I34" s="17">
        <f t="shared" si="7"/>
        <v>97.45</v>
      </c>
      <c r="J34" t="s">
        <v>58</v>
      </c>
    </row>
    <row r="35" spans="1:12" x14ac:dyDescent="0.25">
      <c r="A35" s="149"/>
      <c r="B35">
        <v>57</v>
      </c>
      <c r="C35" s="12" t="str">
        <f>+AVANCE!B36</f>
        <v>57 - FEDERRATH MARTIN</v>
      </c>
      <c r="D35" s="22">
        <f t="shared" si="5"/>
        <v>0.22857142857142856</v>
      </c>
      <c r="E35" s="13">
        <v>17</v>
      </c>
      <c r="F35" s="12">
        <f t="shared" si="6"/>
        <v>7</v>
      </c>
      <c r="G35" s="13">
        <f>VLOOKUP(B35,'Base Cobertura'!$A:$C,3,FALSE)</f>
        <v>105</v>
      </c>
      <c r="H35" s="13">
        <f>VLOOKUP(B35,'Base Cobertura'!$A:$C,2,FALSE)</f>
        <v>24</v>
      </c>
      <c r="I35" s="17">
        <f t="shared" si="7"/>
        <v>65.25</v>
      </c>
      <c r="J35" t="s">
        <v>59</v>
      </c>
    </row>
    <row r="36" spans="1:12" ht="15.75" thickBot="1" x14ac:dyDescent="0.3">
      <c r="A36" s="149"/>
      <c r="B36">
        <v>1</v>
      </c>
      <c r="C36" s="12" t="str">
        <f>+AVANCE!B37</f>
        <v>1 - VERA ERNESTO</v>
      </c>
      <c r="D36" s="22">
        <f t="shared" si="5"/>
        <v>0.40677966101694918</v>
      </c>
      <c r="E36" s="13">
        <v>60</v>
      </c>
      <c r="F36" s="12">
        <f t="shared" si="6"/>
        <v>-12</v>
      </c>
      <c r="G36" s="13">
        <f>VLOOKUP(B36,'Base Cobertura'!$A:$C,3,FALSE)</f>
        <v>118</v>
      </c>
      <c r="H36" s="13">
        <f>VLOOKUP(B36,'Base Cobertura'!$A:$C,2,FALSE)</f>
        <v>48</v>
      </c>
      <c r="I36" s="17">
        <f t="shared" si="7"/>
        <v>52.3</v>
      </c>
      <c r="J36" t="s">
        <v>55</v>
      </c>
      <c r="K36" t="s">
        <v>55</v>
      </c>
    </row>
    <row r="37" spans="1:12" ht="15.75" thickBot="1" x14ac:dyDescent="0.3">
      <c r="A37" s="150"/>
      <c r="C37" s="9"/>
      <c r="D37" s="23"/>
      <c r="E37" s="14"/>
      <c r="F37" s="8">
        <f>+SUM(F24:F36)</f>
        <v>-151</v>
      </c>
      <c r="G37" s="8">
        <f>+SUM(G24:G36)</f>
        <v>1925</v>
      </c>
      <c r="H37" s="8">
        <f>+SUM(H24:H36)</f>
        <v>571</v>
      </c>
      <c r="I37" s="8"/>
    </row>
    <row r="38" spans="1:12" x14ac:dyDescent="0.25">
      <c r="A38" s="148" t="s">
        <v>268</v>
      </c>
      <c r="B38">
        <v>58</v>
      </c>
      <c r="C38" t="str">
        <f>+AVANCE!B39</f>
        <v>58 - BLADIMIR LEZCANO</v>
      </c>
      <c r="D38" s="22">
        <f t="shared" ref="D38:D45" si="8">H38/G38</f>
        <v>2.4096385542168676E-2</v>
      </c>
      <c r="E38" s="13">
        <v>60</v>
      </c>
      <c r="F38" s="12">
        <f t="shared" ref="F38:F45" si="9">+H38-E38</f>
        <v>-58</v>
      </c>
      <c r="G38" s="13">
        <f>VLOOKUP(B38,'Base Cobertura'!$A:$C,3,FALSE)</f>
        <v>83</v>
      </c>
      <c r="H38" s="13">
        <f>VLOOKUP(B38,'Base Cobertura'!$A:$C,2,FALSE)</f>
        <v>2</v>
      </c>
      <c r="I38" s="17">
        <f t="shared" ref="I38:I45" si="10">(+G38*$M$2)-H38</f>
        <v>68.55</v>
      </c>
    </row>
    <row r="39" spans="1:12" x14ac:dyDescent="0.25">
      <c r="A39" s="149"/>
      <c r="B39">
        <v>59</v>
      </c>
      <c r="C39" t="str">
        <f>+AVANCE!B40</f>
        <v>59 - LEIVA SILVIO</v>
      </c>
      <c r="D39" s="22">
        <f t="shared" si="8"/>
        <v>0</v>
      </c>
      <c r="E39" s="13">
        <v>60</v>
      </c>
      <c r="F39" s="12">
        <f t="shared" si="9"/>
        <v>-60</v>
      </c>
      <c r="G39" s="13">
        <f>VLOOKUP(B39,'Base Cobertura'!$A:$C,3,FALSE)</f>
        <v>126</v>
      </c>
      <c r="H39" s="13">
        <f>VLOOKUP(B39,'Base Cobertura'!$A:$C,2,FALSE)</f>
        <v>0</v>
      </c>
      <c r="I39" s="17">
        <f t="shared" si="10"/>
        <v>107.1</v>
      </c>
    </row>
    <row r="40" spans="1:12" x14ac:dyDescent="0.25">
      <c r="A40" s="149"/>
      <c r="B40">
        <v>49</v>
      </c>
      <c r="C40" t="str">
        <f>+AVANCE!B41</f>
        <v>49 - ESCOBAR RAÚL</v>
      </c>
      <c r="D40" s="22">
        <f t="shared" si="8"/>
        <v>0.22857142857142856</v>
      </c>
      <c r="E40" s="13">
        <v>60</v>
      </c>
      <c r="F40" s="12">
        <f t="shared" si="9"/>
        <v>-4</v>
      </c>
      <c r="G40" s="13">
        <f>VLOOKUP(B40,'Base Cobertura'!$A:$C,3,FALSE)</f>
        <v>245</v>
      </c>
      <c r="H40" s="13">
        <f>VLOOKUP(B40,'Base Cobertura'!$A:$C,2,FALSE)</f>
        <v>56</v>
      </c>
      <c r="I40" s="17">
        <f t="shared" si="10"/>
        <v>152.25</v>
      </c>
    </row>
    <row r="41" spans="1:12" x14ac:dyDescent="0.25">
      <c r="A41" s="149"/>
      <c r="B41">
        <v>56</v>
      </c>
      <c r="C41" t="str">
        <f>+AVANCE!B42</f>
        <v>56 - JUAN ANDRES SANCHEZ</v>
      </c>
      <c r="D41" s="22">
        <f t="shared" si="8"/>
        <v>0.17</v>
      </c>
      <c r="E41" s="13">
        <v>60</v>
      </c>
      <c r="F41" s="12">
        <f t="shared" si="9"/>
        <v>-26</v>
      </c>
      <c r="G41" s="13">
        <f>VLOOKUP(B41,'Base Cobertura'!$A:$C,3,FALSE)</f>
        <v>200</v>
      </c>
      <c r="H41" s="13">
        <f>VLOOKUP(B41,'Base Cobertura'!$A:$C,2,FALSE)</f>
        <v>34</v>
      </c>
      <c r="I41" s="17">
        <f t="shared" si="10"/>
        <v>136</v>
      </c>
    </row>
    <row r="42" spans="1:12" x14ac:dyDescent="0.25">
      <c r="A42" s="149"/>
      <c r="B42">
        <v>26</v>
      </c>
      <c r="C42" t="str">
        <f>+AVANCE!B43</f>
        <v>26 - PUJOL ERNESTO</v>
      </c>
      <c r="D42" s="22">
        <f t="shared" si="8"/>
        <v>0.21301775147928995</v>
      </c>
      <c r="E42" s="13">
        <v>60</v>
      </c>
      <c r="F42" s="12">
        <f t="shared" si="9"/>
        <v>-24</v>
      </c>
      <c r="G42" s="13">
        <f>VLOOKUP(B42,'Base Cobertura'!$A:$C,3,FALSE)</f>
        <v>169</v>
      </c>
      <c r="H42" s="13">
        <f>VLOOKUP(B42,'Base Cobertura'!$A:$C,2,FALSE)</f>
        <v>36</v>
      </c>
      <c r="I42" s="17">
        <f t="shared" si="10"/>
        <v>107.65</v>
      </c>
    </row>
    <row r="43" spans="1:12" x14ac:dyDescent="0.25">
      <c r="A43" s="149"/>
      <c r="B43">
        <v>25</v>
      </c>
      <c r="C43" t="str">
        <f>+AVANCE!B44</f>
        <v>25 - KALATAKI GUSTAVO</v>
      </c>
      <c r="D43" s="22">
        <f t="shared" si="8"/>
        <v>9.1954022988505746E-2</v>
      </c>
      <c r="E43" s="13">
        <v>60</v>
      </c>
      <c r="F43" s="12">
        <f t="shared" si="9"/>
        <v>-44</v>
      </c>
      <c r="G43" s="13">
        <f>VLOOKUP(B43,'Base Cobertura'!$A:$C,3,FALSE)</f>
        <v>174</v>
      </c>
      <c r="H43" s="13">
        <f>VLOOKUP(B43,'Base Cobertura'!$A:$C,2,FALSE)</f>
        <v>16</v>
      </c>
      <c r="I43" s="17">
        <f t="shared" si="10"/>
        <v>131.9</v>
      </c>
    </row>
    <row r="44" spans="1:12" x14ac:dyDescent="0.25">
      <c r="A44" s="149"/>
      <c r="B44">
        <v>60</v>
      </c>
      <c r="C44" t="str">
        <f>+AVANCE!B45</f>
        <v>60 - SILVA ADRIAN</v>
      </c>
      <c r="D44" s="22">
        <f t="shared" ref="D44" si="11">H44/G44</f>
        <v>0.3188405797101449</v>
      </c>
      <c r="E44" s="13">
        <v>61</v>
      </c>
      <c r="F44" s="12">
        <f t="shared" ref="F44" si="12">+H44-E44</f>
        <v>-39</v>
      </c>
      <c r="G44" s="13">
        <f>VLOOKUP(B44,'Base Cobertura'!$A:$C,3,FALSE)</f>
        <v>69</v>
      </c>
      <c r="H44" s="13">
        <f>VLOOKUP(B44,'Base Cobertura'!$A:$C,2,FALSE)</f>
        <v>22</v>
      </c>
      <c r="I44" s="17">
        <f t="shared" ref="I44" si="13">(+G44*$M$2)-H44</f>
        <v>36.65</v>
      </c>
    </row>
    <row r="45" spans="1:12" ht="15.75" thickBot="1" x14ac:dyDescent="0.3">
      <c r="A45" s="149"/>
      <c r="B45">
        <v>43</v>
      </c>
      <c r="C45" t="str">
        <f>+AVANCE!B46</f>
        <v>43 - COLHER DIEGO</v>
      </c>
      <c r="D45" s="22">
        <f t="shared" si="8"/>
        <v>6.4516129032258063E-2</v>
      </c>
      <c r="E45" s="13">
        <v>60</v>
      </c>
      <c r="F45" s="12">
        <f t="shared" si="9"/>
        <v>-54</v>
      </c>
      <c r="G45" s="13">
        <f>VLOOKUP(B45,'Base Cobertura'!$A:$C,3,FALSE)</f>
        <v>93</v>
      </c>
      <c r="H45" s="13">
        <f>VLOOKUP(B45,'Base Cobertura'!$A:$C,2,FALSE)</f>
        <v>6</v>
      </c>
      <c r="I45" s="17">
        <f t="shared" si="10"/>
        <v>73.05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3755</v>
      </c>
      <c r="H46" s="8">
        <f>+SUM(H32:H45)</f>
        <v>910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9034</v>
      </c>
      <c r="H47" s="8">
        <f>+H46+H23+H37+H14</f>
        <v>2750</v>
      </c>
      <c r="I47" s="8"/>
      <c r="L47" s="1">
        <f>+H47/G47</f>
        <v>0.30440557892406467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2</v>
      </c>
      <c r="C3" s="51">
        <v>3619</v>
      </c>
      <c r="G3" t="s">
        <v>277</v>
      </c>
      <c r="H3" s="51">
        <v>1</v>
      </c>
      <c r="I3" s="51">
        <v>3619</v>
      </c>
    </row>
    <row r="4" spans="1:9" x14ac:dyDescent="0.25">
      <c r="A4">
        <v>1</v>
      </c>
      <c r="B4" s="51">
        <v>48</v>
      </c>
      <c r="C4" s="51">
        <v>118</v>
      </c>
      <c r="G4" t="s">
        <v>278</v>
      </c>
      <c r="I4" s="51">
        <v>3619</v>
      </c>
    </row>
    <row r="5" spans="1:9" x14ac:dyDescent="0.25">
      <c r="A5">
        <v>10</v>
      </c>
      <c r="B5" s="51">
        <v>47</v>
      </c>
      <c r="C5" s="51">
        <v>187</v>
      </c>
      <c r="G5" t="s">
        <v>279</v>
      </c>
      <c r="H5" s="51"/>
      <c r="I5" s="51">
        <v>3619</v>
      </c>
    </row>
    <row r="6" spans="1:9" x14ac:dyDescent="0.25">
      <c r="A6">
        <v>100</v>
      </c>
      <c r="B6" s="51">
        <v>21</v>
      </c>
      <c r="C6" s="51">
        <v>2033</v>
      </c>
      <c r="G6" t="s">
        <v>280</v>
      </c>
      <c r="H6" s="51">
        <v>1</v>
      </c>
      <c r="I6" s="51">
        <v>3619</v>
      </c>
    </row>
    <row r="7" spans="1:9" x14ac:dyDescent="0.25">
      <c r="A7">
        <v>11</v>
      </c>
      <c r="B7" s="51">
        <v>64</v>
      </c>
      <c r="C7" s="51">
        <v>170</v>
      </c>
      <c r="G7" t="s">
        <v>281</v>
      </c>
      <c r="H7" s="51">
        <v>2</v>
      </c>
      <c r="I7" s="51">
        <v>3619</v>
      </c>
    </row>
    <row r="8" spans="1:9" x14ac:dyDescent="0.25">
      <c r="A8">
        <v>12</v>
      </c>
      <c r="B8" s="51">
        <v>82</v>
      </c>
      <c r="C8" s="51">
        <v>215</v>
      </c>
      <c r="G8" t="s">
        <v>282</v>
      </c>
      <c r="H8" s="51">
        <v>1</v>
      </c>
      <c r="I8" s="51">
        <v>3619</v>
      </c>
    </row>
    <row r="9" spans="1:9" x14ac:dyDescent="0.25">
      <c r="A9">
        <v>123</v>
      </c>
      <c r="B9" s="51">
        <v>20</v>
      </c>
      <c r="C9" s="51">
        <v>488</v>
      </c>
      <c r="G9" t="s">
        <v>283</v>
      </c>
      <c r="H9" s="51">
        <v>1</v>
      </c>
      <c r="I9" s="51">
        <v>3619</v>
      </c>
    </row>
    <row r="10" spans="1:9" x14ac:dyDescent="0.25">
      <c r="A10">
        <v>15</v>
      </c>
      <c r="B10" s="51">
        <v>18</v>
      </c>
      <c r="C10" s="51">
        <v>65</v>
      </c>
      <c r="G10" t="s">
        <v>284</v>
      </c>
      <c r="I10" s="51">
        <v>3619</v>
      </c>
    </row>
    <row r="11" spans="1:9" x14ac:dyDescent="0.25">
      <c r="A11">
        <v>16</v>
      </c>
      <c r="B11" s="51">
        <v>56</v>
      </c>
      <c r="C11" s="51">
        <v>200</v>
      </c>
      <c r="G11" t="s">
        <v>285</v>
      </c>
      <c r="H11" s="51"/>
      <c r="I11" s="51">
        <v>3619</v>
      </c>
    </row>
    <row r="12" spans="1:9" x14ac:dyDescent="0.25">
      <c r="A12">
        <v>18</v>
      </c>
      <c r="B12" s="51">
        <v>80</v>
      </c>
      <c r="C12" s="51">
        <v>181</v>
      </c>
      <c r="E12">
        <f>+F12</f>
        <v>1</v>
      </c>
      <c r="F12">
        <v>1</v>
      </c>
      <c r="G12" t="s">
        <v>277</v>
      </c>
      <c r="H12">
        <v>20</v>
      </c>
      <c r="I12" s="51">
        <v>118</v>
      </c>
    </row>
    <row r="13" spans="1:9" x14ac:dyDescent="0.25">
      <c r="A13">
        <v>19</v>
      </c>
      <c r="B13" s="51">
        <v>88</v>
      </c>
      <c r="C13" s="51">
        <v>209</v>
      </c>
      <c r="E13">
        <f>+$E$12</f>
        <v>1</v>
      </c>
      <c r="G13" t="s">
        <v>278</v>
      </c>
      <c r="H13" s="51">
        <v>9</v>
      </c>
      <c r="I13" s="51">
        <v>118</v>
      </c>
    </row>
    <row r="14" spans="1:9" x14ac:dyDescent="0.25">
      <c r="A14">
        <v>2</v>
      </c>
      <c r="B14" s="51">
        <v>50</v>
      </c>
      <c r="C14" s="51">
        <v>120</v>
      </c>
      <c r="E14">
        <f t="shared" ref="E14:E20" si="0">+$E$12</f>
        <v>1</v>
      </c>
      <c r="G14" t="s">
        <v>279</v>
      </c>
      <c r="H14" s="51">
        <v>29</v>
      </c>
      <c r="I14" s="51">
        <v>118</v>
      </c>
    </row>
    <row r="15" spans="1:9" x14ac:dyDescent="0.25">
      <c r="A15">
        <v>20</v>
      </c>
      <c r="B15" s="51">
        <v>110</v>
      </c>
      <c r="C15" s="51">
        <v>228</v>
      </c>
      <c r="E15">
        <f t="shared" si="0"/>
        <v>1</v>
      </c>
      <c r="G15" t="s">
        <v>280</v>
      </c>
      <c r="H15" s="51">
        <v>13</v>
      </c>
      <c r="I15" s="51">
        <v>118</v>
      </c>
    </row>
    <row r="16" spans="1:9" x14ac:dyDescent="0.25">
      <c r="A16">
        <v>21</v>
      </c>
      <c r="B16" s="51">
        <v>84</v>
      </c>
      <c r="C16" s="51">
        <v>166</v>
      </c>
      <c r="E16">
        <f t="shared" si="0"/>
        <v>1</v>
      </c>
      <c r="G16" t="s">
        <v>281</v>
      </c>
      <c r="H16" s="51">
        <v>30</v>
      </c>
      <c r="I16" s="51">
        <v>118</v>
      </c>
    </row>
    <row r="17" spans="1:9" x14ac:dyDescent="0.25">
      <c r="A17">
        <v>22</v>
      </c>
      <c r="B17" s="51">
        <v>31</v>
      </c>
      <c r="C17" s="51">
        <v>79</v>
      </c>
      <c r="E17">
        <f t="shared" si="0"/>
        <v>1</v>
      </c>
      <c r="G17" t="s">
        <v>282</v>
      </c>
      <c r="H17" s="51">
        <v>33</v>
      </c>
      <c r="I17" s="51">
        <v>118</v>
      </c>
    </row>
    <row r="18" spans="1:9" x14ac:dyDescent="0.25">
      <c r="A18">
        <v>23</v>
      </c>
      <c r="B18" s="51">
        <v>76</v>
      </c>
      <c r="C18" s="51">
        <v>157</v>
      </c>
      <c r="E18">
        <f t="shared" si="0"/>
        <v>1</v>
      </c>
      <c r="G18" t="s">
        <v>283</v>
      </c>
      <c r="H18" s="51">
        <v>13</v>
      </c>
      <c r="I18" s="51">
        <v>118</v>
      </c>
    </row>
    <row r="19" spans="1:9" x14ac:dyDescent="0.25">
      <c r="A19">
        <v>24</v>
      </c>
      <c r="B19" s="51">
        <v>54</v>
      </c>
      <c r="C19" s="51">
        <v>184</v>
      </c>
      <c r="E19">
        <f t="shared" si="0"/>
        <v>1</v>
      </c>
      <c r="G19" t="s">
        <v>284</v>
      </c>
      <c r="H19" s="51">
        <v>16</v>
      </c>
      <c r="I19" s="51">
        <v>118</v>
      </c>
    </row>
    <row r="20" spans="1:9" x14ac:dyDescent="0.25">
      <c r="A20">
        <v>25</v>
      </c>
      <c r="B20" s="51">
        <v>16</v>
      </c>
      <c r="C20" s="51">
        <v>174</v>
      </c>
      <c r="E20">
        <f t="shared" si="0"/>
        <v>1</v>
      </c>
      <c r="G20" t="s">
        <v>285</v>
      </c>
      <c r="H20">
        <v>8</v>
      </c>
      <c r="I20" s="51">
        <v>118</v>
      </c>
    </row>
    <row r="21" spans="1:9" x14ac:dyDescent="0.25">
      <c r="A21">
        <v>26</v>
      </c>
      <c r="B21" s="51">
        <v>36</v>
      </c>
      <c r="C21" s="51">
        <v>169</v>
      </c>
      <c r="E21">
        <f>+$F$21</f>
        <v>10</v>
      </c>
      <c r="F21">
        <v>10</v>
      </c>
      <c r="G21" t="s">
        <v>277</v>
      </c>
      <c r="H21" s="51">
        <v>10</v>
      </c>
      <c r="I21" s="51">
        <v>187</v>
      </c>
    </row>
    <row r="22" spans="1:9" x14ac:dyDescent="0.25">
      <c r="A22">
        <v>27</v>
      </c>
      <c r="B22" s="51">
        <v>59</v>
      </c>
      <c r="C22" s="51">
        <v>131</v>
      </c>
      <c r="E22">
        <f t="shared" ref="E22:E29" si="1">+$F$21</f>
        <v>10</v>
      </c>
      <c r="G22" t="s">
        <v>278</v>
      </c>
      <c r="H22" s="51">
        <v>3</v>
      </c>
      <c r="I22" s="51">
        <v>187</v>
      </c>
    </row>
    <row r="23" spans="1:9" x14ac:dyDescent="0.25">
      <c r="A23">
        <v>28</v>
      </c>
      <c r="B23" s="51">
        <v>50</v>
      </c>
      <c r="C23" s="51">
        <v>169</v>
      </c>
      <c r="E23">
        <f t="shared" si="1"/>
        <v>10</v>
      </c>
      <c r="G23" t="s">
        <v>279</v>
      </c>
      <c r="H23" s="51">
        <v>13</v>
      </c>
      <c r="I23" s="51">
        <v>187</v>
      </c>
    </row>
    <row r="24" spans="1:9" x14ac:dyDescent="0.25">
      <c r="A24">
        <v>3</v>
      </c>
      <c r="B24" s="51">
        <v>79</v>
      </c>
      <c r="C24" s="51">
        <v>172</v>
      </c>
      <c r="E24">
        <f t="shared" si="1"/>
        <v>10</v>
      </c>
      <c r="G24" t="s">
        <v>280</v>
      </c>
      <c r="H24" s="51">
        <v>10</v>
      </c>
      <c r="I24" s="51">
        <v>187</v>
      </c>
    </row>
    <row r="25" spans="1:9" x14ac:dyDescent="0.25">
      <c r="A25">
        <v>30</v>
      </c>
      <c r="B25" s="51">
        <v>6</v>
      </c>
      <c r="C25" s="51">
        <v>122</v>
      </c>
      <c r="E25">
        <f t="shared" si="1"/>
        <v>10</v>
      </c>
      <c r="G25" t="s">
        <v>281</v>
      </c>
      <c r="H25" s="51">
        <v>17</v>
      </c>
      <c r="I25" s="51">
        <v>187</v>
      </c>
    </row>
    <row r="26" spans="1:9" x14ac:dyDescent="0.25">
      <c r="A26">
        <v>31</v>
      </c>
      <c r="B26" s="51">
        <v>62</v>
      </c>
      <c r="C26" s="51">
        <v>165</v>
      </c>
      <c r="E26">
        <f t="shared" si="1"/>
        <v>10</v>
      </c>
      <c r="G26" t="s">
        <v>282</v>
      </c>
      <c r="H26" s="51">
        <v>14</v>
      </c>
      <c r="I26" s="51">
        <v>187</v>
      </c>
    </row>
    <row r="27" spans="1:9" x14ac:dyDescent="0.25">
      <c r="A27">
        <v>32</v>
      </c>
      <c r="B27" s="51">
        <v>11</v>
      </c>
      <c r="C27" s="51">
        <v>58</v>
      </c>
      <c r="E27">
        <f t="shared" si="1"/>
        <v>10</v>
      </c>
      <c r="G27" t="s">
        <v>283</v>
      </c>
      <c r="H27" s="51">
        <v>3</v>
      </c>
      <c r="I27" s="51">
        <v>187</v>
      </c>
    </row>
    <row r="28" spans="1:9" x14ac:dyDescent="0.25">
      <c r="A28">
        <v>33</v>
      </c>
      <c r="B28" s="51">
        <v>60</v>
      </c>
      <c r="C28" s="51">
        <v>169</v>
      </c>
      <c r="E28">
        <f t="shared" si="1"/>
        <v>10</v>
      </c>
      <c r="G28" t="s">
        <v>284</v>
      </c>
      <c r="H28" s="51">
        <v>5</v>
      </c>
      <c r="I28" s="51">
        <v>187</v>
      </c>
    </row>
    <row r="29" spans="1:9" x14ac:dyDescent="0.25">
      <c r="A29">
        <v>36</v>
      </c>
      <c r="B29" s="51">
        <v>60</v>
      </c>
      <c r="C29" s="51">
        <v>160</v>
      </c>
      <c r="E29">
        <f t="shared" si="1"/>
        <v>10</v>
      </c>
      <c r="G29" t="s">
        <v>285</v>
      </c>
      <c r="H29" s="51">
        <v>5</v>
      </c>
      <c r="I29" s="51">
        <v>187</v>
      </c>
    </row>
    <row r="30" spans="1:9" x14ac:dyDescent="0.25">
      <c r="A30">
        <v>37</v>
      </c>
      <c r="B30" s="51">
        <v>39</v>
      </c>
      <c r="C30" s="51">
        <v>147</v>
      </c>
      <c r="E30">
        <f>+$F$30</f>
        <v>100</v>
      </c>
      <c r="F30">
        <v>100</v>
      </c>
      <c r="G30" t="s">
        <v>277</v>
      </c>
      <c r="H30" s="51">
        <v>12</v>
      </c>
      <c r="I30" s="51">
        <v>2033</v>
      </c>
    </row>
    <row r="31" spans="1:9" x14ac:dyDescent="0.25">
      <c r="A31">
        <v>4</v>
      </c>
      <c r="B31" s="51">
        <v>68</v>
      </c>
      <c r="C31" s="51">
        <v>182</v>
      </c>
      <c r="E31">
        <f t="shared" ref="E31:E38" si="2">+$F$30</f>
        <v>100</v>
      </c>
      <c r="G31" t="s">
        <v>278</v>
      </c>
      <c r="H31" s="51">
        <v>7</v>
      </c>
      <c r="I31" s="51">
        <v>2033</v>
      </c>
    </row>
    <row r="32" spans="1:9" x14ac:dyDescent="0.25">
      <c r="A32">
        <v>40</v>
      </c>
      <c r="B32" s="51">
        <v>52</v>
      </c>
      <c r="C32" s="51">
        <v>223</v>
      </c>
      <c r="E32">
        <f t="shared" si="2"/>
        <v>100</v>
      </c>
      <c r="G32" t="s">
        <v>279</v>
      </c>
      <c r="H32" s="51">
        <v>9</v>
      </c>
      <c r="I32" s="51">
        <v>2033</v>
      </c>
    </row>
    <row r="33" spans="1:9" x14ac:dyDescent="0.25">
      <c r="A33">
        <v>42</v>
      </c>
      <c r="B33" s="51"/>
      <c r="C33" s="51">
        <v>52</v>
      </c>
      <c r="E33">
        <f t="shared" si="2"/>
        <v>100</v>
      </c>
      <c r="G33" t="s">
        <v>280</v>
      </c>
      <c r="H33" s="51">
        <v>3</v>
      </c>
      <c r="I33" s="51">
        <v>2033</v>
      </c>
    </row>
    <row r="34" spans="1:9" x14ac:dyDescent="0.25">
      <c r="A34">
        <v>43</v>
      </c>
      <c r="B34" s="51">
        <v>6</v>
      </c>
      <c r="C34" s="51">
        <v>93</v>
      </c>
      <c r="E34">
        <f t="shared" si="2"/>
        <v>100</v>
      </c>
      <c r="G34" t="s">
        <v>281</v>
      </c>
      <c r="H34" s="51">
        <v>14</v>
      </c>
      <c r="I34" s="51">
        <v>2033</v>
      </c>
    </row>
    <row r="35" spans="1:9" x14ac:dyDescent="0.25">
      <c r="A35">
        <v>44</v>
      </c>
      <c r="B35" s="51">
        <v>69</v>
      </c>
      <c r="C35" s="51">
        <v>171</v>
      </c>
      <c r="E35">
        <f t="shared" si="2"/>
        <v>100</v>
      </c>
      <c r="G35" t="s">
        <v>282</v>
      </c>
      <c r="H35" s="51">
        <v>8</v>
      </c>
      <c r="I35" s="51">
        <v>2033</v>
      </c>
    </row>
    <row r="36" spans="1:9" x14ac:dyDescent="0.25">
      <c r="A36">
        <v>49</v>
      </c>
      <c r="B36" s="51">
        <v>56</v>
      </c>
      <c r="C36" s="51">
        <v>245</v>
      </c>
      <c r="E36">
        <f t="shared" si="2"/>
        <v>100</v>
      </c>
      <c r="G36" t="s">
        <v>283</v>
      </c>
      <c r="H36" s="51">
        <v>10</v>
      </c>
      <c r="I36" s="51">
        <v>2033</v>
      </c>
    </row>
    <row r="37" spans="1:9" x14ac:dyDescent="0.25">
      <c r="A37">
        <v>5</v>
      </c>
      <c r="B37" s="51">
        <v>99</v>
      </c>
      <c r="C37" s="51">
        <v>264</v>
      </c>
      <c r="E37">
        <f t="shared" si="2"/>
        <v>100</v>
      </c>
      <c r="G37" t="s">
        <v>284</v>
      </c>
      <c r="H37" s="51">
        <v>3</v>
      </c>
      <c r="I37" s="51">
        <v>2033</v>
      </c>
    </row>
    <row r="38" spans="1:9" x14ac:dyDescent="0.25">
      <c r="A38">
        <v>52</v>
      </c>
      <c r="B38" s="51">
        <v>15</v>
      </c>
      <c r="C38" s="51">
        <v>104</v>
      </c>
      <c r="E38">
        <f t="shared" si="2"/>
        <v>100</v>
      </c>
      <c r="G38" t="s">
        <v>285</v>
      </c>
      <c r="H38" s="51">
        <v>3</v>
      </c>
      <c r="I38" s="51">
        <v>2033</v>
      </c>
    </row>
    <row r="39" spans="1:9" x14ac:dyDescent="0.25">
      <c r="A39">
        <v>53</v>
      </c>
      <c r="B39" s="51">
        <v>14</v>
      </c>
      <c r="C39" s="51">
        <v>105</v>
      </c>
      <c r="E39">
        <f>+$F$39</f>
        <v>11</v>
      </c>
      <c r="F39">
        <v>11</v>
      </c>
      <c r="G39" t="s">
        <v>277</v>
      </c>
      <c r="H39" s="51">
        <v>16</v>
      </c>
      <c r="I39" s="51">
        <v>170</v>
      </c>
    </row>
    <row r="40" spans="1:9" x14ac:dyDescent="0.25">
      <c r="A40">
        <v>54</v>
      </c>
      <c r="B40" s="51">
        <v>59</v>
      </c>
      <c r="C40" s="51">
        <v>202</v>
      </c>
      <c r="E40">
        <f t="shared" ref="E40:E47" si="3">+$F$39</f>
        <v>11</v>
      </c>
      <c r="G40" t="s">
        <v>278</v>
      </c>
      <c r="H40" s="51">
        <v>8</v>
      </c>
      <c r="I40" s="51">
        <v>170</v>
      </c>
    </row>
    <row r="41" spans="1:9" x14ac:dyDescent="0.25">
      <c r="A41">
        <v>56</v>
      </c>
      <c r="B41">
        <v>34</v>
      </c>
      <c r="C41" s="51">
        <v>200</v>
      </c>
      <c r="E41">
        <f t="shared" si="3"/>
        <v>11</v>
      </c>
      <c r="G41" t="s">
        <v>279</v>
      </c>
      <c r="H41" s="51">
        <v>33</v>
      </c>
      <c r="I41" s="51">
        <v>170</v>
      </c>
    </row>
    <row r="42" spans="1:9" x14ac:dyDescent="0.25">
      <c r="A42">
        <v>57</v>
      </c>
      <c r="B42" s="51">
        <v>24</v>
      </c>
      <c r="C42" s="51">
        <v>105</v>
      </c>
      <c r="E42">
        <f t="shared" si="3"/>
        <v>11</v>
      </c>
      <c r="G42" t="s">
        <v>280</v>
      </c>
      <c r="H42" s="51">
        <v>12</v>
      </c>
      <c r="I42" s="51">
        <v>170</v>
      </c>
    </row>
    <row r="43" spans="1:9" x14ac:dyDescent="0.25">
      <c r="A43">
        <v>58</v>
      </c>
      <c r="B43" s="51">
        <v>2</v>
      </c>
      <c r="C43" s="51">
        <v>83</v>
      </c>
      <c r="E43">
        <f t="shared" si="3"/>
        <v>11</v>
      </c>
      <c r="G43" t="s">
        <v>281</v>
      </c>
      <c r="H43" s="51">
        <v>34</v>
      </c>
      <c r="I43" s="51">
        <v>170</v>
      </c>
    </row>
    <row r="44" spans="1:9" x14ac:dyDescent="0.25">
      <c r="A44">
        <v>59</v>
      </c>
      <c r="B44" s="51"/>
      <c r="C44" s="51">
        <v>126</v>
      </c>
      <c r="E44">
        <f t="shared" si="3"/>
        <v>11</v>
      </c>
      <c r="G44" t="s">
        <v>282</v>
      </c>
      <c r="H44" s="51">
        <v>17</v>
      </c>
      <c r="I44" s="51">
        <v>170</v>
      </c>
    </row>
    <row r="45" spans="1:9" x14ac:dyDescent="0.25">
      <c r="A45">
        <v>60</v>
      </c>
      <c r="B45" s="51">
        <v>22</v>
      </c>
      <c r="C45" s="51">
        <v>69</v>
      </c>
      <c r="E45">
        <f t="shared" si="3"/>
        <v>11</v>
      </c>
      <c r="G45" t="s">
        <v>283</v>
      </c>
      <c r="H45" s="51">
        <v>1</v>
      </c>
      <c r="I45" s="51">
        <v>170</v>
      </c>
    </row>
    <row r="46" spans="1:9" x14ac:dyDescent="0.25">
      <c r="A46">
        <v>7</v>
      </c>
      <c r="B46" s="51">
        <v>2</v>
      </c>
      <c r="C46" s="51">
        <v>117</v>
      </c>
      <c r="E46">
        <f t="shared" si="3"/>
        <v>11</v>
      </c>
      <c r="G46" t="s">
        <v>284</v>
      </c>
      <c r="H46" s="51">
        <v>9</v>
      </c>
      <c r="I46" s="51">
        <v>170</v>
      </c>
    </row>
    <row r="47" spans="1:9" x14ac:dyDescent="0.25">
      <c r="A47">
        <v>8</v>
      </c>
      <c r="B47" s="51">
        <v>65</v>
      </c>
      <c r="C47" s="51">
        <v>199</v>
      </c>
      <c r="E47">
        <f t="shared" si="3"/>
        <v>11</v>
      </c>
      <c r="G47" t="s">
        <v>285</v>
      </c>
      <c r="H47" s="51">
        <v>1</v>
      </c>
      <c r="I47" s="51">
        <v>170</v>
      </c>
    </row>
    <row r="48" spans="1:9" x14ac:dyDescent="0.25">
      <c r="A48">
        <v>9</v>
      </c>
      <c r="B48" s="51">
        <v>65</v>
      </c>
      <c r="C48" s="51">
        <v>157</v>
      </c>
      <c r="E48">
        <f>+$F$48</f>
        <v>12</v>
      </c>
      <c r="F48">
        <v>12</v>
      </c>
      <c r="G48" t="s">
        <v>277</v>
      </c>
      <c r="H48" s="51">
        <v>19</v>
      </c>
      <c r="I48" s="51">
        <v>215</v>
      </c>
    </row>
    <row r="49" spans="2:9" x14ac:dyDescent="0.25">
      <c r="B49" s="35"/>
      <c r="C49" s="35"/>
      <c r="E49">
        <f t="shared" ref="E49:E56" si="4">+$F$48</f>
        <v>12</v>
      </c>
      <c r="G49" t="s">
        <v>278</v>
      </c>
      <c r="H49" s="51">
        <v>15</v>
      </c>
      <c r="I49" s="51">
        <v>215</v>
      </c>
    </row>
    <row r="50" spans="2:9" x14ac:dyDescent="0.25">
      <c r="E50">
        <f t="shared" si="4"/>
        <v>12</v>
      </c>
      <c r="G50" t="s">
        <v>279</v>
      </c>
      <c r="H50" s="51">
        <v>22</v>
      </c>
      <c r="I50" s="51">
        <v>215</v>
      </c>
    </row>
    <row r="51" spans="2:9" x14ac:dyDescent="0.25">
      <c r="E51">
        <f t="shared" si="4"/>
        <v>12</v>
      </c>
      <c r="G51" t="s">
        <v>280</v>
      </c>
      <c r="H51" s="51">
        <v>18</v>
      </c>
      <c r="I51" s="51">
        <v>215</v>
      </c>
    </row>
    <row r="52" spans="2:9" x14ac:dyDescent="0.25">
      <c r="E52">
        <f t="shared" si="4"/>
        <v>12</v>
      </c>
      <c r="G52" t="s">
        <v>281</v>
      </c>
      <c r="H52" s="51">
        <v>32</v>
      </c>
      <c r="I52" s="51">
        <v>215</v>
      </c>
    </row>
    <row r="53" spans="2:9" x14ac:dyDescent="0.25">
      <c r="E53">
        <f t="shared" si="4"/>
        <v>12</v>
      </c>
      <c r="G53" t="s">
        <v>282</v>
      </c>
      <c r="H53" s="51">
        <v>25</v>
      </c>
      <c r="I53" s="51">
        <v>215</v>
      </c>
    </row>
    <row r="54" spans="2:9" x14ac:dyDescent="0.25">
      <c r="E54">
        <f t="shared" si="4"/>
        <v>12</v>
      </c>
      <c r="G54" t="s">
        <v>283</v>
      </c>
      <c r="H54" s="51">
        <v>12</v>
      </c>
      <c r="I54" s="51">
        <v>215</v>
      </c>
    </row>
    <row r="55" spans="2:9" x14ac:dyDescent="0.25">
      <c r="E55">
        <f t="shared" si="4"/>
        <v>12</v>
      </c>
      <c r="G55" t="s">
        <v>284</v>
      </c>
      <c r="H55" s="51">
        <v>7</v>
      </c>
      <c r="I55" s="51">
        <v>215</v>
      </c>
    </row>
    <row r="56" spans="2:9" x14ac:dyDescent="0.25">
      <c r="E56">
        <f t="shared" si="4"/>
        <v>12</v>
      </c>
      <c r="G56" t="s">
        <v>285</v>
      </c>
      <c r="H56" s="51">
        <v>12</v>
      </c>
      <c r="I56" s="51">
        <v>215</v>
      </c>
    </row>
    <row r="57" spans="2:9" x14ac:dyDescent="0.25">
      <c r="E57">
        <f>+$F$57</f>
        <v>123</v>
      </c>
      <c r="F57">
        <v>123</v>
      </c>
      <c r="G57" t="s">
        <v>277</v>
      </c>
      <c r="H57" s="51">
        <v>13</v>
      </c>
      <c r="I57" s="51">
        <v>488</v>
      </c>
    </row>
    <row r="58" spans="2:9" x14ac:dyDescent="0.25">
      <c r="E58">
        <f t="shared" ref="E58:E65" si="5">+$F$57</f>
        <v>123</v>
      </c>
      <c r="G58" t="s">
        <v>278</v>
      </c>
      <c r="H58" s="51">
        <v>4</v>
      </c>
      <c r="I58" s="51">
        <v>488</v>
      </c>
    </row>
    <row r="59" spans="2:9" x14ac:dyDescent="0.25">
      <c r="E59">
        <f t="shared" si="5"/>
        <v>123</v>
      </c>
      <c r="G59" t="s">
        <v>279</v>
      </c>
      <c r="H59" s="51">
        <v>9</v>
      </c>
      <c r="I59" s="51">
        <v>488</v>
      </c>
    </row>
    <row r="60" spans="2:9" x14ac:dyDescent="0.25">
      <c r="E60">
        <f t="shared" si="5"/>
        <v>123</v>
      </c>
      <c r="G60" t="s">
        <v>280</v>
      </c>
      <c r="H60" s="51">
        <v>1</v>
      </c>
      <c r="I60" s="51">
        <v>488</v>
      </c>
    </row>
    <row r="61" spans="2:9" x14ac:dyDescent="0.25">
      <c r="E61">
        <f t="shared" si="5"/>
        <v>123</v>
      </c>
      <c r="G61" t="s">
        <v>281</v>
      </c>
      <c r="H61" s="51">
        <v>12</v>
      </c>
      <c r="I61" s="51">
        <v>488</v>
      </c>
    </row>
    <row r="62" spans="2:9" x14ac:dyDescent="0.25">
      <c r="E62">
        <f t="shared" si="5"/>
        <v>123</v>
      </c>
      <c r="G62" t="s">
        <v>282</v>
      </c>
      <c r="H62" s="51">
        <v>5</v>
      </c>
      <c r="I62" s="51">
        <v>488</v>
      </c>
    </row>
    <row r="63" spans="2:9" x14ac:dyDescent="0.25">
      <c r="E63">
        <f t="shared" si="5"/>
        <v>123</v>
      </c>
      <c r="G63" t="s">
        <v>283</v>
      </c>
      <c r="H63" s="51">
        <v>6</v>
      </c>
      <c r="I63" s="51">
        <v>488</v>
      </c>
    </row>
    <row r="64" spans="2:9" x14ac:dyDescent="0.25">
      <c r="E64">
        <f t="shared" si="5"/>
        <v>123</v>
      </c>
      <c r="G64" t="s">
        <v>284</v>
      </c>
      <c r="H64" s="51">
        <v>2</v>
      </c>
      <c r="I64" s="51">
        <v>488</v>
      </c>
    </row>
    <row r="65" spans="5:9" x14ac:dyDescent="0.25">
      <c r="E65">
        <f t="shared" si="5"/>
        <v>123</v>
      </c>
      <c r="G65" t="s">
        <v>285</v>
      </c>
      <c r="H65" s="51">
        <v>2</v>
      </c>
      <c r="I65" s="51">
        <v>488</v>
      </c>
    </row>
    <row r="66" spans="5:9" x14ac:dyDescent="0.25">
      <c r="E66">
        <f>+$F$66</f>
        <v>15</v>
      </c>
      <c r="F66">
        <v>15</v>
      </c>
      <c r="G66" t="s">
        <v>277</v>
      </c>
      <c r="H66" s="51">
        <v>8</v>
      </c>
      <c r="I66" s="51">
        <v>65</v>
      </c>
    </row>
    <row r="67" spans="5:9" x14ac:dyDescent="0.25">
      <c r="E67">
        <f t="shared" ref="E67:E74" si="6">+$F$66</f>
        <v>15</v>
      </c>
      <c r="G67" t="s">
        <v>278</v>
      </c>
      <c r="H67" s="51">
        <v>6</v>
      </c>
      <c r="I67" s="51">
        <v>65</v>
      </c>
    </row>
    <row r="68" spans="5:9" x14ac:dyDescent="0.25">
      <c r="E68">
        <f t="shared" si="6"/>
        <v>15</v>
      </c>
      <c r="G68" t="s">
        <v>279</v>
      </c>
      <c r="H68" s="51">
        <v>7</v>
      </c>
      <c r="I68" s="51">
        <v>65</v>
      </c>
    </row>
    <row r="69" spans="5:9" x14ac:dyDescent="0.25">
      <c r="E69">
        <f t="shared" si="6"/>
        <v>15</v>
      </c>
      <c r="G69" t="s">
        <v>280</v>
      </c>
      <c r="H69" s="51">
        <v>7</v>
      </c>
      <c r="I69" s="51">
        <v>65</v>
      </c>
    </row>
    <row r="70" spans="5:9" x14ac:dyDescent="0.25">
      <c r="E70">
        <f t="shared" si="6"/>
        <v>15</v>
      </c>
      <c r="G70" t="s">
        <v>281</v>
      </c>
      <c r="H70" s="51">
        <v>11</v>
      </c>
      <c r="I70" s="51">
        <v>65</v>
      </c>
    </row>
    <row r="71" spans="5:9" x14ac:dyDescent="0.25">
      <c r="E71">
        <f t="shared" si="6"/>
        <v>15</v>
      </c>
      <c r="G71" t="s">
        <v>282</v>
      </c>
      <c r="H71" s="51">
        <v>6</v>
      </c>
      <c r="I71" s="51">
        <v>65</v>
      </c>
    </row>
    <row r="72" spans="5:9" x14ac:dyDescent="0.25">
      <c r="E72">
        <f t="shared" si="6"/>
        <v>15</v>
      </c>
      <c r="G72" t="s">
        <v>283</v>
      </c>
      <c r="H72" s="51">
        <v>8</v>
      </c>
      <c r="I72" s="51">
        <v>65</v>
      </c>
    </row>
    <row r="73" spans="5:9" x14ac:dyDescent="0.25">
      <c r="E73">
        <f t="shared" si="6"/>
        <v>15</v>
      </c>
      <c r="G73" t="s">
        <v>284</v>
      </c>
      <c r="H73" s="51">
        <v>3</v>
      </c>
      <c r="I73" s="51">
        <v>65</v>
      </c>
    </row>
    <row r="74" spans="5:9" x14ac:dyDescent="0.25">
      <c r="E74">
        <f t="shared" si="6"/>
        <v>15</v>
      </c>
      <c r="G74" t="s">
        <v>285</v>
      </c>
      <c r="H74" s="51">
        <v>2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</v>
      </c>
      <c r="H75" s="51">
        <v>11</v>
      </c>
      <c r="I75" s="51">
        <v>200</v>
      </c>
    </row>
    <row r="76" spans="5:9" x14ac:dyDescent="0.25">
      <c r="E76">
        <f t="shared" ref="E76:E83" si="7">+$F$75</f>
        <v>16</v>
      </c>
      <c r="G76" t="s">
        <v>278</v>
      </c>
      <c r="H76">
        <v>5</v>
      </c>
      <c r="I76" s="51">
        <v>200</v>
      </c>
    </row>
    <row r="77" spans="5:9" x14ac:dyDescent="0.25">
      <c r="E77">
        <f t="shared" si="7"/>
        <v>16</v>
      </c>
      <c r="G77" t="s">
        <v>279</v>
      </c>
      <c r="H77" s="51">
        <v>19</v>
      </c>
      <c r="I77" s="51">
        <v>200</v>
      </c>
    </row>
    <row r="78" spans="5:9" x14ac:dyDescent="0.25">
      <c r="E78">
        <f t="shared" si="7"/>
        <v>16</v>
      </c>
      <c r="G78" t="s">
        <v>280</v>
      </c>
      <c r="H78" s="51">
        <v>6</v>
      </c>
      <c r="I78" s="51">
        <v>200</v>
      </c>
    </row>
    <row r="79" spans="5:9" x14ac:dyDescent="0.25">
      <c r="E79">
        <f t="shared" si="7"/>
        <v>16</v>
      </c>
      <c r="G79" t="s">
        <v>281</v>
      </c>
      <c r="H79" s="51">
        <v>34</v>
      </c>
      <c r="I79" s="51">
        <v>200</v>
      </c>
    </row>
    <row r="80" spans="5:9" x14ac:dyDescent="0.25">
      <c r="E80">
        <f t="shared" si="7"/>
        <v>16</v>
      </c>
      <c r="G80" t="s">
        <v>282</v>
      </c>
      <c r="H80" s="51">
        <v>17</v>
      </c>
      <c r="I80" s="51">
        <v>200</v>
      </c>
    </row>
    <row r="81" spans="5:9" x14ac:dyDescent="0.25">
      <c r="E81">
        <f t="shared" si="7"/>
        <v>16</v>
      </c>
      <c r="G81" t="s">
        <v>283</v>
      </c>
      <c r="H81" s="51">
        <v>2</v>
      </c>
      <c r="I81" s="51">
        <v>200</v>
      </c>
    </row>
    <row r="82" spans="5:9" x14ac:dyDescent="0.25">
      <c r="E82">
        <f t="shared" si="7"/>
        <v>16</v>
      </c>
      <c r="G82" t="s">
        <v>284</v>
      </c>
      <c r="H82" s="51">
        <v>6</v>
      </c>
      <c r="I82" s="51">
        <v>200</v>
      </c>
    </row>
    <row r="83" spans="5:9" x14ac:dyDescent="0.25">
      <c r="E83">
        <f t="shared" si="7"/>
        <v>16</v>
      </c>
      <c r="G83" t="s">
        <v>285</v>
      </c>
      <c r="H83" s="51">
        <v>6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277</v>
      </c>
      <c r="H84" s="51">
        <v>18</v>
      </c>
      <c r="I84" s="51">
        <v>181</v>
      </c>
    </row>
    <row r="85" spans="5:9" x14ac:dyDescent="0.25">
      <c r="E85">
        <f t="shared" ref="E85:E92" si="8">+$F$84</f>
        <v>18</v>
      </c>
      <c r="G85" t="s">
        <v>278</v>
      </c>
      <c r="H85" s="51">
        <v>12</v>
      </c>
      <c r="I85" s="51">
        <v>181</v>
      </c>
    </row>
    <row r="86" spans="5:9" x14ac:dyDescent="0.25">
      <c r="E86">
        <f t="shared" si="8"/>
        <v>18</v>
      </c>
      <c r="G86" t="s">
        <v>279</v>
      </c>
      <c r="H86" s="51">
        <v>22</v>
      </c>
      <c r="I86" s="51">
        <v>181</v>
      </c>
    </row>
    <row r="87" spans="5:9" x14ac:dyDescent="0.25">
      <c r="E87">
        <f t="shared" si="8"/>
        <v>18</v>
      </c>
      <c r="G87" t="s">
        <v>280</v>
      </c>
      <c r="H87" s="51">
        <v>15</v>
      </c>
      <c r="I87" s="51">
        <v>181</v>
      </c>
    </row>
    <row r="88" spans="5:9" x14ac:dyDescent="0.25">
      <c r="E88">
        <f t="shared" si="8"/>
        <v>18</v>
      </c>
      <c r="G88" t="s">
        <v>281</v>
      </c>
      <c r="H88" s="51">
        <v>55</v>
      </c>
      <c r="I88" s="51">
        <v>181</v>
      </c>
    </row>
    <row r="89" spans="5:9" x14ac:dyDescent="0.25">
      <c r="E89">
        <f t="shared" si="8"/>
        <v>18</v>
      </c>
      <c r="G89" t="s">
        <v>282</v>
      </c>
      <c r="H89" s="51">
        <v>21</v>
      </c>
      <c r="I89" s="51">
        <v>181</v>
      </c>
    </row>
    <row r="90" spans="5:9" x14ac:dyDescent="0.25">
      <c r="E90">
        <f t="shared" si="8"/>
        <v>18</v>
      </c>
      <c r="G90" t="s">
        <v>283</v>
      </c>
      <c r="H90" s="51">
        <v>4</v>
      </c>
      <c r="I90" s="51">
        <v>181</v>
      </c>
    </row>
    <row r="91" spans="5:9" x14ac:dyDescent="0.25">
      <c r="E91">
        <f t="shared" si="8"/>
        <v>18</v>
      </c>
      <c r="G91" t="s">
        <v>284</v>
      </c>
      <c r="H91" s="51">
        <v>9</v>
      </c>
      <c r="I91" s="51">
        <v>181</v>
      </c>
    </row>
    <row r="92" spans="5:9" x14ac:dyDescent="0.25">
      <c r="E92">
        <f t="shared" si="8"/>
        <v>18</v>
      </c>
      <c r="G92" t="s">
        <v>285</v>
      </c>
      <c r="H92" s="51">
        <v>7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277</v>
      </c>
      <c r="H93" s="51">
        <v>23</v>
      </c>
      <c r="I93" s="51">
        <v>209</v>
      </c>
    </row>
    <row r="94" spans="5:9" x14ac:dyDescent="0.25">
      <c r="E94">
        <f t="shared" ref="E94:E101" si="9">+$F$93</f>
        <v>19</v>
      </c>
      <c r="G94" t="s">
        <v>278</v>
      </c>
      <c r="H94" s="51">
        <v>7</v>
      </c>
      <c r="I94" s="51">
        <v>209</v>
      </c>
    </row>
    <row r="95" spans="5:9" x14ac:dyDescent="0.25">
      <c r="E95">
        <f t="shared" si="9"/>
        <v>19</v>
      </c>
      <c r="G95" t="s">
        <v>279</v>
      </c>
      <c r="H95" s="51">
        <v>34</v>
      </c>
      <c r="I95" s="51">
        <v>209</v>
      </c>
    </row>
    <row r="96" spans="5:9" x14ac:dyDescent="0.25">
      <c r="E96">
        <f t="shared" si="9"/>
        <v>19</v>
      </c>
      <c r="G96" t="s">
        <v>280</v>
      </c>
      <c r="H96" s="51">
        <v>20</v>
      </c>
      <c r="I96" s="51">
        <v>209</v>
      </c>
    </row>
    <row r="97" spans="5:9" x14ac:dyDescent="0.25">
      <c r="E97">
        <f t="shared" si="9"/>
        <v>19</v>
      </c>
      <c r="G97" t="s">
        <v>281</v>
      </c>
      <c r="H97" s="51">
        <v>48</v>
      </c>
      <c r="I97" s="51">
        <v>209</v>
      </c>
    </row>
    <row r="98" spans="5:9" x14ac:dyDescent="0.25">
      <c r="E98">
        <f t="shared" si="9"/>
        <v>19</v>
      </c>
      <c r="G98" t="s">
        <v>282</v>
      </c>
      <c r="H98" s="51">
        <v>33</v>
      </c>
      <c r="I98" s="51">
        <v>209</v>
      </c>
    </row>
    <row r="99" spans="5:9" x14ac:dyDescent="0.25">
      <c r="E99">
        <f t="shared" si="9"/>
        <v>19</v>
      </c>
      <c r="G99" t="s">
        <v>283</v>
      </c>
      <c r="H99" s="51">
        <v>7</v>
      </c>
      <c r="I99" s="51">
        <v>209</v>
      </c>
    </row>
    <row r="100" spans="5:9" x14ac:dyDescent="0.25">
      <c r="E100">
        <f t="shared" si="9"/>
        <v>19</v>
      </c>
      <c r="G100" t="s">
        <v>284</v>
      </c>
      <c r="H100" s="51">
        <v>16</v>
      </c>
      <c r="I100" s="51">
        <v>209</v>
      </c>
    </row>
    <row r="101" spans="5:9" x14ac:dyDescent="0.25">
      <c r="E101">
        <f t="shared" si="9"/>
        <v>19</v>
      </c>
      <c r="G101" t="s">
        <v>285</v>
      </c>
      <c r="H101" s="51">
        <v>11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</v>
      </c>
      <c r="H102" s="51">
        <v>7</v>
      </c>
      <c r="I102" s="51">
        <v>120</v>
      </c>
    </row>
    <row r="103" spans="5:9" x14ac:dyDescent="0.25">
      <c r="E103">
        <f t="shared" ref="E103:E110" si="10">+$F$102</f>
        <v>2</v>
      </c>
      <c r="G103" t="s">
        <v>278</v>
      </c>
      <c r="H103" s="51">
        <v>8</v>
      </c>
      <c r="I103" s="51">
        <v>120</v>
      </c>
    </row>
    <row r="104" spans="5:9" x14ac:dyDescent="0.25">
      <c r="E104">
        <f t="shared" si="10"/>
        <v>2</v>
      </c>
      <c r="G104" t="s">
        <v>279</v>
      </c>
      <c r="H104" s="51">
        <v>16</v>
      </c>
      <c r="I104" s="51">
        <v>120</v>
      </c>
    </row>
    <row r="105" spans="5:9" x14ac:dyDescent="0.25">
      <c r="E105">
        <f t="shared" si="10"/>
        <v>2</v>
      </c>
      <c r="G105" t="s">
        <v>280</v>
      </c>
      <c r="H105" s="51">
        <v>13</v>
      </c>
      <c r="I105" s="51">
        <v>120</v>
      </c>
    </row>
    <row r="106" spans="5:9" x14ac:dyDescent="0.25">
      <c r="E106">
        <f t="shared" si="10"/>
        <v>2</v>
      </c>
      <c r="G106" t="s">
        <v>281</v>
      </c>
      <c r="H106" s="51">
        <v>24</v>
      </c>
      <c r="I106" s="51">
        <v>120</v>
      </c>
    </row>
    <row r="107" spans="5:9" x14ac:dyDescent="0.25">
      <c r="E107">
        <f t="shared" si="10"/>
        <v>2</v>
      </c>
      <c r="G107" t="s">
        <v>282</v>
      </c>
      <c r="H107" s="51">
        <v>11</v>
      </c>
      <c r="I107" s="51">
        <v>120</v>
      </c>
    </row>
    <row r="108" spans="5:9" x14ac:dyDescent="0.25">
      <c r="E108">
        <f t="shared" si="10"/>
        <v>2</v>
      </c>
      <c r="G108" t="s">
        <v>283</v>
      </c>
      <c r="H108" s="51">
        <v>4</v>
      </c>
      <c r="I108" s="51">
        <v>120</v>
      </c>
    </row>
    <row r="109" spans="5:9" x14ac:dyDescent="0.25">
      <c r="E109">
        <f t="shared" si="10"/>
        <v>2</v>
      </c>
      <c r="G109" t="s">
        <v>284</v>
      </c>
      <c r="H109" s="51">
        <v>5</v>
      </c>
      <c r="I109" s="51">
        <v>120</v>
      </c>
    </row>
    <row r="110" spans="5:9" x14ac:dyDescent="0.25">
      <c r="E110">
        <f t="shared" si="10"/>
        <v>2</v>
      </c>
      <c r="G110" t="s">
        <v>285</v>
      </c>
      <c r="H110" s="51">
        <v>14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277</v>
      </c>
      <c r="H111" s="51">
        <v>31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278</v>
      </c>
      <c r="H112" s="51">
        <v>13</v>
      </c>
      <c r="I112" s="51">
        <v>228</v>
      </c>
    </row>
    <row r="113" spans="5:9" x14ac:dyDescent="0.25">
      <c r="E113">
        <f t="shared" si="11"/>
        <v>20</v>
      </c>
      <c r="G113" t="s">
        <v>279</v>
      </c>
      <c r="H113" s="51">
        <v>42</v>
      </c>
      <c r="I113" s="51">
        <v>228</v>
      </c>
    </row>
    <row r="114" spans="5:9" x14ac:dyDescent="0.25">
      <c r="E114">
        <f t="shared" si="11"/>
        <v>20</v>
      </c>
      <c r="G114" t="s">
        <v>280</v>
      </c>
      <c r="H114" s="51">
        <v>24</v>
      </c>
      <c r="I114" s="51">
        <v>228</v>
      </c>
    </row>
    <row r="115" spans="5:9" x14ac:dyDescent="0.25">
      <c r="E115">
        <f t="shared" si="11"/>
        <v>20</v>
      </c>
      <c r="G115" t="s">
        <v>281</v>
      </c>
      <c r="H115" s="51">
        <v>50</v>
      </c>
      <c r="I115" s="51">
        <v>228</v>
      </c>
    </row>
    <row r="116" spans="5:9" x14ac:dyDescent="0.25">
      <c r="E116">
        <f t="shared" si="11"/>
        <v>20</v>
      </c>
      <c r="G116" t="s">
        <v>282</v>
      </c>
      <c r="H116">
        <v>35</v>
      </c>
      <c r="I116" s="51">
        <v>228</v>
      </c>
    </row>
    <row r="117" spans="5:9" x14ac:dyDescent="0.25">
      <c r="E117">
        <f t="shared" si="11"/>
        <v>20</v>
      </c>
      <c r="G117" t="s">
        <v>283</v>
      </c>
      <c r="H117" s="51">
        <v>6</v>
      </c>
      <c r="I117" s="51">
        <v>228</v>
      </c>
    </row>
    <row r="118" spans="5:9" x14ac:dyDescent="0.25">
      <c r="E118">
        <f t="shared" si="11"/>
        <v>20</v>
      </c>
      <c r="G118" t="s">
        <v>284</v>
      </c>
      <c r="H118" s="51">
        <v>11</v>
      </c>
      <c r="I118" s="51">
        <v>228</v>
      </c>
    </row>
    <row r="119" spans="5:9" x14ac:dyDescent="0.25">
      <c r="E119">
        <f t="shared" si="11"/>
        <v>20</v>
      </c>
      <c r="G119" t="s">
        <v>285</v>
      </c>
      <c r="H119" s="51">
        <v>14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277</v>
      </c>
      <c r="H120" s="51">
        <v>23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278</v>
      </c>
      <c r="H121" s="51">
        <v>11</v>
      </c>
      <c r="I121" s="51">
        <v>166</v>
      </c>
    </row>
    <row r="122" spans="5:9" x14ac:dyDescent="0.25">
      <c r="E122">
        <f t="shared" si="12"/>
        <v>21</v>
      </c>
      <c r="G122" t="s">
        <v>279</v>
      </c>
      <c r="H122" s="51">
        <v>38</v>
      </c>
      <c r="I122" s="51">
        <v>166</v>
      </c>
    </row>
    <row r="123" spans="5:9" x14ac:dyDescent="0.25">
      <c r="E123">
        <f t="shared" si="12"/>
        <v>21</v>
      </c>
      <c r="G123" t="s">
        <v>280</v>
      </c>
      <c r="H123" s="51">
        <v>19</v>
      </c>
      <c r="I123" s="51">
        <v>166</v>
      </c>
    </row>
    <row r="124" spans="5:9" x14ac:dyDescent="0.25">
      <c r="E124">
        <f t="shared" si="12"/>
        <v>21</v>
      </c>
      <c r="G124" t="s">
        <v>281</v>
      </c>
      <c r="H124">
        <v>61</v>
      </c>
      <c r="I124" s="51">
        <v>166</v>
      </c>
    </row>
    <row r="125" spans="5:9" x14ac:dyDescent="0.25">
      <c r="E125">
        <f t="shared" si="12"/>
        <v>21</v>
      </c>
      <c r="G125" t="s">
        <v>282</v>
      </c>
      <c r="H125" s="51">
        <v>46</v>
      </c>
      <c r="I125" s="51">
        <v>166</v>
      </c>
    </row>
    <row r="126" spans="5:9" x14ac:dyDescent="0.25">
      <c r="E126">
        <f t="shared" si="12"/>
        <v>21</v>
      </c>
      <c r="G126" t="s">
        <v>283</v>
      </c>
      <c r="H126" s="51">
        <v>7</v>
      </c>
      <c r="I126" s="51">
        <v>166</v>
      </c>
    </row>
    <row r="127" spans="5:9" x14ac:dyDescent="0.25">
      <c r="E127">
        <f t="shared" si="12"/>
        <v>21</v>
      </c>
      <c r="G127" t="s">
        <v>284</v>
      </c>
      <c r="H127" s="51">
        <v>5</v>
      </c>
      <c r="I127" s="51">
        <v>166</v>
      </c>
    </row>
    <row r="128" spans="5:9" x14ac:dyDescent="0.25">
      <c r="E128">
        <f t="shared" si="12"/>
        <v>21</v>
      </c>
      <c r="G128" t="s">
        <v>285</v>
      </c>
      <c r="H128" s="51">
        <v>7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</v>
      </c>
      <c r="H129" s="51">
        <v>23</v>
      </c>
      <c r="I129" s="51">
        <v>79</v>
      </c>
    </row>
    <row r="130" spans="5:9" x14ac:dyDescent="0.25">
      <c r="E130">
        <f t="shared" ref="E130:E137" si="13">+$F$129</f>
        <v>22</v>
      </c>
      <c r="G130" t="s">
        <v>278</v>
      </c>
      <c r="H130" s="51">
        <v>9</v>
      </c>
      <c r="I130" s="51">
        <v>79</v>
      </c>
    </row>
    <row r="131" spans="5:9" x14ac:dyDescent="0.25">
      <c r="E131">
        <f t="shared" si="13"/>
        <v>22</v>
      </c>
      <c r="G131" t="s">
        <v>279</v>
      </c>
      <c r="H131" s="51">
        <v>12</v>
      </c>
      <c r="I131" s="51">
        <v>79</v>
      </c>
    </row>
    <row r="132" spans="5:9" x14ac:dyDescent="0.25">
      <c r="E132">
        <f t="shared" si="13"/>
        <v>22</v>
      </c>
      <c r="G132" t="s">
        <v>280</v>
      </c>
      <c r="H132" s="51">
        <v>7</v>
      </c>
      <c r="I132" s="51">
        <v>79</v>
      </c>
    </row>
    <row r="133" spans="5:9" x14ac:dyDescent="0.25">
      <c r="E133">
        <f t="shared" si="13"/>
        <v>22</v>
      </c>
      <c r="G133" t="s">
        <v>281</v>
      </c>
      <c r="H133" s="51">
        <v>13</v>
      </c>
      <c r="I133" s="51">
        <v>79</v>
      </c>
    </row>
    <row r="134" spans="5:9" x14ac:dyDescent="0.25">
      <c r="E134">
        <f t="shared" si="13"/>
        <v>22</v>
      </c>
      <c r="G134" t="s">
        <v>282</v>
      </c>
      <c r="H134" s="51">
        <v>11</v>
      </c>
      <c r="I134" s="51">
        <v>79</v>
      </c>
    </row>
    <row r="135" spans="5:9" x14ac:dyDescent="0.25">
      <c r="E135">
        <f t="shared" si="13"/>
        <v>22</v>
      </c>
      <c r="G135" t="s">
        <v>283</v>
      </c>
      <c r="H135" s="51">
        <v>17</v>
      </c>
      <c r="I135" s="51">
        <v>79</v>
      </c>
    </row>
    <row r="136" spans="5:9" x14ac:dyDescent="0.25">
      <c r="E136">
        <f t="shared" si="13"/>
        <v>22</v>
      </c>
      <c r="G136" t="s">
        <v>284</v>
      </c>
      <c r="H136" s="51">
        <v>6</v>
      </c>
      <c r="I136" s="51">
        <v>79</v>
      </c>
    </row>
    <row r="137" spans="5:9" x14ac:dyDescent="0.25">
      <c r="E137">
        <f t="shared" si="13"/>
        <v>22</v>
      </c>
      <c r="G137" t="s">
        <v>285</v>
      </c>
      <c r="H137" s="51">
        <v>6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</v>
      </c>
      <c r="H138" s="51">
        <v>20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278</v>
      </c>
      <c r="H139" s="51">
        <v>6</v>
      </c>
      <c r="I139" s="51">
        <v>157</v>
      </c>
    </row>
    <row r="140" spans="5:9" x14ac:dyDescent="0.25">
      <c r="E140">
        <f t="shared" si="14"/>
        <v>23</v>
      </c>
      <c r="G140" t="s">
        <v>279</v>
      </c>
      <c r="H140">
        <v>37</v>
      </c>
      <c r="I140" s="51">
        <v>157</v>
      </c>
    </row>
    <row r="141" spans="5:9" x14ac:dyDescent="0.25">
      <c r="E141">
        <f t="shared" si="14"/>
        <v>23</v>
      </c>
      <c r="G141" t="s">
        <v>280</v>
      </c>
      <c r="H141" s="51">
        <v>15</v>
      </c>
      <c r="I141" s="51">
        <v>157</v>
      </c>
    </row>
    <row r="142" spans="5:9" x14ac:dyDescent="0.25">
      <c r="E142">
        <f t="shared" si="14"/>
        <v>23</v>
      </c>
      <c r="G142" t="s">
        <v>281</v>
      </c>
      <c r="H142" s="51">
        <v>42</v>
      </c>
      <c r="I142" s="51">
        <v>157</v>
      </c>
    </row>
    <row r="143" spans="5:9" x14ac:dyDescent="0.25">
      <c r="E143">
        <f t="shared" si="14"/>
        <v>23</v>
      </c>
      <c r="G143" t="s">
        <v>282</v>
      </c>
      <c r="H143" s="51">
        <v>29</v>
      </c>
      <c r="I143" s="51">
        <v>157</v>
      </c>
    </row>
    <row r="144" spans="5:9" x14ac:dyDescent="0.25">
      <c r="E144">
        <f t="shared" si="14"/>
        <v>23</v>
      </c>
      <c r="G144" t="s">
        <v>283</v>
      </c>
      <c r="H144" s="51">
        <v>6</v>
      </c>
      <c r="I144" s="51">
        <v>157</v>
      </c>
    </row>
    <row r="145" spans="5:9" x14ac:dyDescent="0.25">
      <c r="E145">
        <f t="shared" si="14"/>
        <v>23</v>
      </c>
      <c r="G145" t="s">
        <v>284</v>
      </c>
      <c r="H145" s="51">
        <v>10</v>
      </c>
      <c r="I145" s="51">
        <v>157</v>
      </c>
    </row>
    <row r="146" spans="5:9" x14ac:dyDescent="0.25">
      <c r="E146">
        <f t="shared" si="14"/>
        <v>23</v>
      </c>
      <c r="G146" t="s">
        <v>285</v>
      </c>
      <c r="H146" s="51">
        <v>4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277</v>
      </c>
      <c r="H147" s="51">
        <v>15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278</v>
      </c>
      <c r="H148">
        <v>5</v>
      </c>
      <c r="I148" s="51">
        <v>184</v>
      </c>
    </row>
    <row r="149" spans="5:9" x14ac:dyDescent="0.25">
      <c r="E149">
        <f t="shared" si="15"/>
        <v>24</v>
      </c>
      <c r="G149" t="s">
        <v>279</v>
      </c>
      <c r="H149" s="51">
        <v>16</v>
      </c>
      <c r="I149" s="51">
        <v>184</v>
      </c>
    </row>
    <row r="150" spans="5:9" x14ac:dyDescent="0.25">
      <c r="E150">
        <f t="shared" si="15"/>
        <v>24</v>
      </c>
      <c r="G150" t="s">
        <v>280</v>
      </c>
      <c r="H150" s="51">
        <v>10</v>
      </c>
      <c r="I150" s="51">
        <v>184</v>
      </c>
    </row>
    <row r="151" spans="5:9" x14ac:dyDescent="0.25">
      <c r="E151">
        <f t="shared" si="15"/>
        <v>24</v>
      </c>
      <c r="G151" t="s">
        <v>281</v>
      </c>
      <c r="H151" s="51">
        <v>35</v>
      </c>
      <c r="I151" s="51">
        <v>184</v>
      </c>
    </row>
    <row r="152" spans="5:9" x14ac:dyDescent="0.25">
      <c r="E152">
        <f t="shared" si="15"/>
        <v>24</v>
      </c>
      <c r="G152" t="s">
        <v>282</v>
      </c>
      <c r="H152" s="51">
        <v>16</v>
      </c>
      <c r="I152" s="51">
        <v>184</v>
      </c>
    </row>
    <row r="153" spans="5:9" x14ac:dyDescent="0.25">
      <c r="E153">
        <f t="shared" si="15"/>
        <v>24</v>
      </c>
      <c r="G153" t="s">
        <v>283</v>
      </c>
      <c r="H153" s="51">
        <v>3</v>
      </c>
      <c r="I153" s="51">
        <v>184</v>
      </c>
    </row>
    <row r="154" spans="5:9" x14ac:dyDescent="0.25">
      <c r="E154">
        <f t="shared" si="15"/>
        <v>24</v>
      </c>
      <c r="G154" t="s">
        <v>284</v>
      </c>
      <c r="H154" s="51">
        <v>11</v>
      </c>
      <c r="I154" s="51">
        <v>184</v>
      </c>
    </row>
    <row r="155" spans="5:9" x14ac:dyDescent="0.25">
      <c r="E155">
        <f t="shared" si="15"/>
        <v>24</v>
      </c>
      <c r="G155" t="s">
        <v>285</v>
      </c>
      <c r="H155" s="51">
        <v>5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277</v>
      </c>
      <c r="H156" s="51">
        <v>7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278</v>
      </c>
      <c r="H157" s="51">
        <v>3</v>
      </c>
      <c r="I157" s="51">
        <v>174</v>
      </c>
    </row>
    <row r="158" spans="5:9" x14ac:dyDescent="0.25">
      <c r="E158">
        <f t="shared" si="16"/>
        <v>25</v>
      </c>
      <c r="G158" t="s">
        <v>279</v>
      </c>
      <c r="H158" s="51">
        <v>7</v>
      </c>
      <c r="I158" s="51">
        <v>174</v>
      </c>
    </row>
    <row r="159" spans="5:9" x14ac:dyDescent="0.25">
      <c r="E159">
        <f t="shared" si="16"/>
        <v>25</v>
      </c>
      <c r="G159" t="s">
        <v>280</v>
      </c>
      <c r="H159" s="51">
        <v>3</v>
      </c>
      <c r="I159" s="51">
        <v>174</v>
      </c>
    </row>
    <row r="160" spans="5:9" x14ac:dyDescent="0.25">
      <c r="E160">
        <f t="shared" si="16"/>
        <v>25</v>
      </c>
      <c r="G160" t="s">
        <v>281</v>
      </c>
      <c r="H160" s="51">
        <v>7</v>
      </c>
      <c r="I160" s="51">
        <v>174</v>
      </c>
    </row>
    <row r="161" spans="5:9" x14ac:dyDescent="0.25">
      <c r="E161">
        <f t="shared" si="16"/>
        <v>25</v>
      </c>
      <c r="G161" t="s">
        <v>282</v>
      </c>
      <c r="H161" s="51">
        <v>4</v>
      </c>
      <c r="I161" s="51">
        <v>174</v>
      </c>
    </row>
    <row r="162" spans="5:9" x14ac:dyDescent="0.25">
      <c r="E162">
        <f t="shared" si="16"/>
        <v>25</v>
      </c>
      <c r="G162" t="s">
        <v>283</v>
      </c>
      <c r="H162" s="51">
        <v>6</v>
      </c>
      <c r="I162" s="51">
        <v>174</v>
      </c>
    </row>
    <row r="163" spans="5:9" x14ac:dyDescent="0.25">
      <c r="E163">
        <f t="shared" si="16"/>
        <v>25</v>
      </c>
      <c r="G163" t="s">
        <v>284</v>
      </c>
      <c r="H163" s="51">
        <v>5</v>
      </c>
      <c r="I163" s="51">
        <v>174</v>
      </c>
    </row>
    <row r="164" spans="5:9" x14ac:dyDescent="0.25">
      <c r="E164">
        <f t="shared" si="16"/>
        <v>25</v>
      </c>
      <c r="G164" t="s">
        <v>285</v>
      </c>
      <c r="H164">
        <v>2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</v>
      </c>
      <c r="H165" s="51">
        <v>19</v>
      </c>
      <c r="I165" s="51">
        <v>169</v>
      </c>
    </row>
    <row r="166" spans="5:9" x14ac:dyDescent="0.25">
      <c r="E166">
        <f t="shared" ref="E166:E173" si="17">+$F$165</f>
        <v>26</v>
      </c>
      <c r="G166" t="s">
        <v>278</v>
      </c>
      <c r="H166" s="51">
        <v>6</v>
      </c>
      <c r="I166" s="51">
        <v>169</v>
      </c>
    </row>
    <row r="167" spans="5:9" x14ac:dyDescent="0.25">
      <c r="E167">
        <f t="shared" si="17"/>
        <v>26</v>
      </c>
      <c r="G167" t="s">
        <v>279</v>
      </c>
      <c r="H167" s="51">
        <v>4</v>
      </c>
      <c r="I167" s="51">
        <v>169</v>
      </c>
    </row>
    <row r="168" spans="5:9" x14ac:dyDescent="0.25">
      <c r="E168">
        <f t="shared" si="17"/>
        <v>26</v>
      </c>
      <c r="G168" t="s">
        <v>280</v>
      </c>
      <c r="H168" s="51">
        <v>7</v>
      </c>
      <c r="I168" s="51">
        <v>169</v>
      </c>
    </row>
    <row r="169" spans="5:9" x14ac:dyDescent="0.25">
      <c r="E169">
        <f t="shared" si="17"/>
        <v>26</v>
      </c>
      <c r="G169" t="s">
        <v>281</v>
      </c>
      <c r="H169" s="51">
        <v>10</v>
      </c>
      <c r="I169" s="51">
        <v>169</v>
      </c>
    </row>
    <row r="170" spans="5:9" x14ac:dyDescent="0.25">
      <c r="E170">
        <f t="shared" si="17"/>
        <v>26</v>
      </c>
      <c r="G170" t="s">
        <v>282</v>
      </c>
      <c r="H170" s="51">
        <v>6</v>
      </c>
      <c r="I170" s="51">
        <v>169</v>
      </c>
    </row>
    <row r="171" spans="5:9" x14ac:dyDescent="0.25">
      <c r="E171">
        <f t="shared" si="17"/>
        <v>26</v>
      </c>
      <c r="G171" t="s">
        <v>283</v>
      </c>
      <c r="H171" s="51">
        <v>20</v>
      </c>
      <c r="I171" s="51">
        <v>169</v>
      </c>
    </row>
    <row r="172" spans="5:9" x14ac:dyDescent="0.25">
      <c r="E172">
        <f t="shared" si="17"/>
        <v>26</v>
      </c>
      <c r="G172" t="s">
        <v>284</v>
      </c>
      <c r="H172" s="51">
        <v>7</v>
      </c>
      <c r="I172" s="51">
        <v>169</v>
      </c>
    </row>
    <row r="173" spans="5:9" x14ac:dyDescent="0.25">
      <c r="E173">
        <f t="shared" si="17"/>
        <v>26</v>
      </c>
      <c r="G173" t="s">
        <v>285</v>
      </c>
      <c r="H173" s="51">
        <v>5</v>
      </c>
      <c r="I173" s="51">
        <v>169</v>
      </c>
    </row>
    <row r="174" spans="5:9" x14ac:dyDescent="0.25">
      <c r="E174">
        <f>+$F$174</f>
        <v>27</v>
      </c>
      <c r="F174">
        <v>27</v>
      </c>
      <c r="G174" t="s">
        <v>277</v>
      </c>
      <c r="H174" s="51">
        <v>12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278</v>
      </c>
      <c r="H175" s="51">
        <v>5</v>
      </c>
      <c r="I175" s="51">
        <v>131</v>
      </c>
    </row>
    <row r="176" spans="5:9" x14ac:dyDescent="0.25">
      <c r="E176">
        <f t="shared" si="18"/>
        <v>27</v>
      </c>
      <c r="G176" t="s">
        <v>279</v>
      </c>
      <c r="H176" s="51">
        <v>15</v>
      </c>
      <c r="I176" s="51">
        <v>131</v>
      </c>
    </row>
    <row r="177" spans="5:9" x14ac:dyDescent="0.25">
      <c r="E177">
        <f t="shared" si="18"/>
        <v>27</v>
      </c>
      <c r="G177" t="s">
        <v>280</v>
      </c>
      <c r="H177" s="51">
        <v>15</v>
      </c>
      <c r="I177" s="51">
        <v>131</v>
      </c>
    </row>
    <row r="178" spans="5:9" x14ac:dyDescent="0.25">
      <c r="E178">
        <f t="shared" si="18"/>
        <v>27</v>
      </c>
      <c r="G178" t="s">
        <v>281</v>
      </c>
      <c r="H178" s="51">
        <v>31</v>
      </c>
      <c r="I178" s="51">
        <v>131</v>
      </c>
    </row>
    <row r="179" spans="5:9" x14ac:dyDescent="0.25">
      <c r="E179">
        <f t="shared" si="18"/>
        <v>27</v>
      </c>
      <c r="G179" t="s">
        <v>282</v>
      </c>
      <c r="H179" s="51">
        <v>15</v>
      </c>
      <c r="I179" s="51">
        <v>131</v>
      </c>
    </row>
    <row r="180" spans="5:9" x14ac:dyDescent="0.25">
      <c r="E180">
        <f t="shared" si="18"/>
        <v>27</v>
      </c>
      <c r="G180" t="s">
        <v>283</v>
      </c>
      <c r="H180">
        <v>10</v>
      </c>
      <c r="I180" s="51">
        <v>131</v>
      </c>
    </row>
    <row r="181" spans="5:9" x14ac:dyDescent="0.25">
      <c r="E181">
        <f t="shared" si="18"/>
        <v>27</v>
      </c>
      <c r="G181" t="s">
        <v>284</v>
      </c>
      <c r="H181" s="51">
        <v>3</v>
      </c>
      <c r="I181" s="51">
        <v>131</v>
      </c>
    </row>
    <row r="182" spans="5:9" x14ac:dyDescent="0.25">
      <c r="E182">
        <f t="shared" si="18"/>
        <v>27</v>
      </c>
      <c r="G182" t="s">
        <v>285</v>
      </c>
      <c r="H182" s="51">
        <v>5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</v>
      </c>
      <c r="H183" s="51">
        <v>10</v>
      </c>
      <c r="I183" s="51">
        <v>169</v>
      </c>
    </row>
    <row r="184" spans="5:9" x14ac:dyDescent="0.25">
      <c r="E184">
        <f t="shared" ref="E184:E191" si="19">+$F$183</f>
        <v>28</v>
      </c>
      <c r="G184" t="s">
        <v>278</v>
      </c>
      <c r="H184" s="51">
        <v>5</v>
      </c>
      <c r="I184" s="51">
        <v>169</v>
      </c>
    </row>
    <row r="185" spans="5:9" x14ac:dyDescent="0.25">
      <c r="E185">
        <f t="shared" si="19"/>
        <v>28</v>
      </c>
      <c r="G185" t="s">
        <v>279</v>
      </c>
      <c r="H185" s="51">
        <v>19</v>
      </c>
      <c r="I185" s="51">
        <v>169</v>
      </c>
    </row>
    <row r="186" spans="5:9" x14ac:dyDescent="0.25">
      <c r="E186">
        <f t="shared" si="19"/>
        <v>28</v>
      </c>
      <c r="G186" t="s">
        <v>280</v>
      </c>
      <c r="H186">
        <v>8</v>
      </c>
      <c r="I186" s="51">
        <v>169</v>
      </c>
    </row>
    <row r="187" spans="5:9" x14ac:dyDescent="0.25">
      <c r="E187">
        <f t="shared" si="19"/>
        <v>28</v>
      </c>
      <c r="G187" t="s">
        <v>281</v>
      </c>
      <c r="H187" s="51">
        <v>25</v>
      </c>
      <c r="I187" s="51">
        <v>169</v>
      </c>
    </row>
    <row r="188" spans="5:9" x14ac:dyDescent="0.25">
      <c r="E188">
        <f t="shared" si="19"/>
        <v>28</v>
      </c>
      <c r="G188" t="s">
        <v>282</v>
      </c>
      <c r="H188" s="51">
        <v>19</v>
      </c>
      <c r="I188" s="51">
        <v>169</v>
      </c>
    </row>
    <row r="189" spans="5:9" x14ac:dyDescent="0.25">
      <c r="E189">
        <f t="shared" si="19"/>
        <v>28</v>
      </c>
      <c r="G189" t="s">
        <v>283</v>
      </c>
      <c r="H189" s="51">
        <v>1</v>
      </c>
      <c r="I189" s="51">
        <v>169</v>
      </c>
    </row>
    <row r="190" spans="5:9" x14ac:dyDescent="0.25">
      <c r="E190">
        <f t="shared" si="19"/>
        <v>28</v>
      </c>
      <c r="G190" t="s">
        <v>284</v>
      </c>
      <c r="H190" s="51">
        <v>9</v>
      </c>
      <c r="I190" s="51">
        <v>169</v>
      </c>
    </row>
    <row r="191" spans="5:9" x14ac:dyDescent="0.25">
      <c r="E191">
        <f t="shared" si="19"/>
        <v>28</v>
      </c>
      <c r="G191" t="s">
        <v>285</v>
      </c>
      <c r="H191" s="51">
        <v>4</v>
      </c>
      <c r="I191" s="51">
        <v>169</v>
      </c>
    </row>
    <row r="192" spans="5:9" x14ac:dyDescent="0.25">
      <c r="E192">
        <f>+$F$192</f>
        <v>3</v>
      </c>
      <c r="F192">
        <v>3</v>
      </c>
      <c r="G192" t="s">
        <v>277</v>
      </c>
      <c r="H192" s="51">
        <v>18</v>
      </c>
      <c r="I192" s="51">
        <v>172</v>
      </c>
    </row>
    <row r="193" spans="5:9" x14ac:dyDescent="0.25">
      <c r="E193">
        <f t="shared" ref="E193:E200" si="20">+$F$192</f>
        <v>3</v>
      </c>
      <c r="G193" t="s">
        <v>278</v>
      </c>
      <c r="H193" s="51">
        <v>10</v>
      </c>
      <c r="I193" s="51">
        <v>172</v>
      </c>
    </row>
    <row r="194" spans="5:9" x14ac:dyDescent="0.25">
      <c r="E194">
        <f t="shared" si="20"/>
        <v>3</v>
      </c>
      <c r="G194" t="s">
        <v>279</v>
      </c>
      <c r="H194" s="51">
        <v>36</v>
      </c>
      <c r="I194" s="51">
        <v>172</v>
      </c>
    </row>
    <row r="195" spans="5:9" x14ac:dyDescent="0.25">
      <c r="E195">
        <f t="shared" si="20"/>
        <v>3</v>
      </c>
      <c r="G195" t="s">
        <v>280</v>
      </c>
      <c r="H195" s="51">
        <v>14</v>
      </c>
      <c r="I195" s="51">
        <v>172</v>
      </c>
    </row>
    <row r="196" spans="5:9" x14ac:dyDescent="0.25">
      <c r="E196">
        <f t="shared" si="20"/>
        <v>3</v>
      </c>
      <c r="G196" t="s">
        <v>281</v>
      </c>
      <c r="H196">
        <v>47</v>
      </c>
      <c r="I196" s="51">
        <v>172</v>
      </c>
    </row>
    <row r="197" spans="5:9" x14ac:dyDescent="0.25">
      <c r="E197">
        <f t="shared" si="20"/>
        <v>3</v>
      </c>
      <c r="G197" t="s">
        <v>282</v>
      </c>
      <c r="H197" s="51">
        <v>31</v>
      </c>
      <c r="I197" s="51">
        <v>172</v>
      </c>
    </row>
    <row r="198" spans="5:9" x14ac:dyDescent="0.25">
      <c r="E198">
        <f t="shared" si="20"/>
        <v>3</v>
      </c>
      <c r="G198" t="s">
        <v>283</v>
      </c>
      <c r="H198" s="51">
        <v>6</v>
      </c>
      <c r="I198" s="51">
        <v>172</v>
      </c>
    </row>
    <row r="199" spans="5:9" x14ac:dyDescent="0.25">
      <c r="E199">
        <f t="shared" si="20"/>
        <v>3</v>
      </c>
      <c r="G199" t="s">
        <v>284</v>
      </c>
      <c r="H199" s="51">
        <v>15</v>
      </c>
      <c r="I199" s="51">
        <v>172</v>
      </c>
    </row>
    <row r="200" spans="5:9" x14ac:dyDescent="0.25">
      <c r="E200">
        <f t="shared" si="20"/>
        <v>3</v>
      </c>
      <c r="G200" t="s">
        <v>285</v>
      </c>
      <c r="H200" s="51">
        <v>12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</v>
      </c>
      <c r="H201" s="51"/>
      <c r="I201" s="51">
        <v>122</v>
      </c>
    </row>
    <row r="202" spans="5:9" x14ac:dyDescent="0.25">
      <c r="E202">
        <f t="shared" ref="E202:E209" si="21">+$F$201</f>
        <v>30</v>
      </c>
      <c r="G202" t="s">
        <v>278</v>
      </c>
      <c r="H202" s="51">
        <v>2</v>
      </c>
      <c r="I202" s="51">
        <v>122</v>
      </c>
    </row>
    <row r="203" spans="5:9" x14ac:dyDescent="0.25">
      <c r="E203">
        <f t="shared" si="21"/>
        <v>30</v>
      </c>
      <c r="G203" t="s">
        <v>279</v>
      </c>
      <c r="H203" s="51">
        <v>3</v>
      </c>
      <c r="I203" s="51">
        <v>122</v>
      </c>
    </row>
    <row r="204" spans="5:9" x14ac:dyDescent="0.25">
      <c r="E204">
        <f t="shared" si="21"/>
        <v>30</v>
      </c>
      <c r="G204" t="s">
        <v>280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281</v>
      </c>
      <c r="H205" s="51">
        <v>1</v>
      </c>
      <c r="I205" s="51">
        <v>122</v>
      </c>
    </row>
    <row r="206" spans="5:9" x14ac:dyDescent="0.25">
      <c r="E206">
        <f t="shared" si="21"/>
        <v>30</v>
      </c>
      <c r="G206" t="s">
        <v>282</v>
      </c>
      <c r="H206" s="51"/>
      <c r="I206" s="51">
        <v>122</v>
      </c>
    </row>
    <row r="207" spans="5:9" x14ac:dyDescent="0.25">
      <c r="E207">
        <f t="shared" si="21"/>
        <v>30</v>
      </c>
      <c r="G207" t="s">
        <v>283</v>
      </c>
      <c r="H207" s="51">
        <v>4</v>
      </c>
      <c r="I207" s="51">
        <v>122</v>
      </c>
    </row>
    <row r="208" spans="5:9" x14ac:dyDescent="0.25">
      <c r="E208">
        <f t="shared" si="21"/>
        <v>30</v>
      </c>
      <c r="G208" t="s">
        <v>284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285</v>
      </c>
      <c r="H209" s="51"/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</v>
      </c>
      <c r="H210" s="51">
        <v>14</v>
      </c>
      <c r="I210" s="51">
        <v>165</v>
      </c>
    </row>
    <row r="211" spans="5:9" x14ac:dyDescent="0.25">
      <c r="E211">
        <f t="shared" ref="E211:E218" si="22">+$F$210</f>
        <v>31</v>
      </c>
      <c r="G211" t="s">
        <v>278</v>
      </c>
      <c r="H211" s="51">
        <v>9</v>
      </c>
      <c r="I211" s="51">
        <v>165</v>
      </c>
    </row>
    <row r="212" spans="5:9" x14ac:dyDescent="0.25">
      <c r="E212">
        <f t="shared" si="22"/>
        <v>31</v>
      </c>
      <c r="G212" t="s">
        <v>279</v>
      </c>
      <c r="H212">
        <v>25</v>
      </c>
      <c r="I212" s="51">
        <v>165</v>
      </c>
    </row>
    <row r="213" spans="5:9" x14ac:dyDescent="0.25">
      <c r="E213">
        <f t="shared" si="22"/>
        <v>31</v>
      </c>
      <c r="G213" t="s">
        <v>280</v>
      </c>
      <c r="H213" s="51">
        <v>15</v>
      </c>
      <c r="I213" s="51">
        <v>165</v>
      </c>
    </row>
    <row r="214" spans="5:9" x14ac:dyDescent="0.25">
      <c r="E214">
        <f t="shared" si="22"/>
        <v>31</v>
      </c>
      <c r="G214" t="s">
        <v>281</v>
      </c>
      <c r="H214" s="51">
        <v>35</v>
      </c>
      <c r="I214" s="51">
        <v>165</v>
      </c>
    </row>
    <row r="215" spans="5:9" x14ac:dyDescent="0.25">
      <c r="E215">
        <f t="shared" si="22"/>
        <v>31</v>
      </c>
      <c r="G215" t="s">
        <v>282</v>
      </c>
      <c r="H215" s="51">
        <v>25</v>
      </c>
      <c r="I215" s="51">
        <v>165</v>
      </c>
    </row>
    <row r="216" spans="5:9" x14ac:dyDescent="0.25">
      <c r="E216">
        <f t="shared" si="22"/>
        <v>31</v>
      </c>
      <c r="G216" t="s">
        <v>283</v>
      </c>
      <c r="H216" s="51">
        <v>9</v>
      </c>
      <c r="I216" s="51">
        <v>165</v>
      </c>
    </row>
    <row r="217" spans="5:9" x14ac:dyDescent="0.25">
      <c r="E217">
        <f t="shared" si="22"/>
        <v>31</v>
      </c>
      <c r="G217" t="s">
        <v>284</v>
      </c>
      <c r="H217" s="51">
        <v>9</v>
      </c>
      <c r="I217" s="51">
        <v>165</v>
      </c>
    </row>
    <row r="218" spans="5:9" x14ac:dyDescent="0.25">
      <c r="E218">
        <f t="shared" si="22"/>
        <v>31</v>
      </c>
      <c r="G218" t="s">
        <v>285</v>
      </c>
      <c r="H218" s="51">
        <v>5</v>
      </c>
      <c r="I218" s="51">
        <v>165</v>
      </c>
    </row>
    <row r="219" spans="5:9" x14ac:dyDescent="0.25">
      <c r="E219">
        <f>+$F$219</f>
        <v>32</v>
      </c>
      <c r="F219">
        <v>32</v>
      </c>
      <c r="G219" t="s">
        <v>277</v>
      </c>
      <c r="H219" s="51">
        <v>5</v>
      </c>
      <c r="I219" s="51">
        <v>58</v>
      </c>
    </row>
    <row r="220" spans="5:9" x14ac:dyDescent="0.25">
      <c r="E220">
        <f t="shared" ref="E220:E227" si="23">+$F$219</f>
        <v>32</v>
      </c>
      <c r="G220" t="s">
        <v>278</v>
      </c>
      <c r="H220" s="51">
        <v>2</v>
      </c>
      <c r="I220" s="51">
        <v>58</v>
      </c>
    </row>
    <row r="221" spans="5:9" x14ac:dyDescent="0.25">
      <c r="E221">
        <f t="shared" si="23"/>
        <v>32</v>
      </c>
      <c r="G221" t="s">
        <v>279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280</v>
      </c>
      <c r="H222" s="51">
        <v>7</v>
      </c>
      <c r="I222" s="51">
        <v>58</v>
      </c>
    </row>
    <row r="223" spans="5:9" x14ac:dyDescent="0.25">
      <c r="E223">
        <f t="shared" si="23"/>
        <v>32</v>
      </c>
      <c r="G223" t="s">
        <v>281</v>
      </c>
      <c r="H223" s="51">
        <v>9</v>
      </c>
      <c r="I223" s="51">
        <v>58</v>
      </c>
    </row>
    <row r="224" spans="5:9" x14ac:dyDescent="0.25">
      <c r="E224">
        <f t="shared" si="23"/>
        <v>32</v>
      </c>
      <c r="G224" t="s">
        <v>282</v>
      </c>
      <c r="H224" s="51">
        <v>5</v>
      </c>
      <c r="I224" s="51">
        <v>58</v>
      </c>
    </row>
    <row r="225" spans="5:9" x14ac:dyDescent="0.25">
      <c r="E225">
        <f t="shared" si="23"/>
        <v>32</v>
      </c>
      <c r="G225" t="s">
        <v>283</v>
      </c>
      <c r="H225" s="51">
        <v>7</v>
      </c>
      <c r="I225" s="51">
        <v>58</v>
      </c>
    </row>
    <row r="226" spans="5:9" x14ac:dyDescent="0.25">
      <c r="E226">
        <f t="shared" si="23"/>
        <v>32</v>
      </c>
      <c r="G226" t="s">
        <v>284</v>
      </c>
      <c r="H226" s="51">
        <v>2</v>
      </c>
      <c r="I226" s="51">
        <v>58</v>
      </c>
    </row>
    <row r="227" spans="5:9" x14ac:dyDescent="0.25">
      <c r="E227">
        <f t="shared" si="23"/>
        <v>32</v>
      </c>
      <c r="G227" t="s">
        <v>285</v>
      </c>
      <c r="H227" s="51">
        <v>1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</v>
      </c>
      <c r="H228" s="51">
        <v>12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278</v>
      </c>
      <c r="H229" s="51">
        <v>6</v>
      </c>
      <c r="I229" s="51">
        <v>169</v>
      </c>
    </row>
    <row r="230" spans="5:9" x14ac:dyDescent="0.25">
      <c r="E230">
        <f t="shared" si="24"/>
        <v>33</v>
      </c>
      <c r="G230" t="s">
        <v>279</v>
      </c>
      <c r="H230" s="51">
        <v>22</v>
      </c>
      <c r="I230" s="51">
        <v>169</v>
      </c>
    </row>
    <row r="231" spans="5:9" x14ac:dyDescent="0.25">
      <c r="E231">
        <f t="shared" si="24"/>
        <v>33</v>
      </c>
      <c r="G231" t="s">
        <v>280</v>
      </c>
      <c r="H231" s="51">
        <v>10</v>
      </c>
      <c r="I231" s="51">
        <v>169</v>
      </c>
    </row>
    <row r="232" spans="5:9" x14ac:dyDescent="0.25">
      <c r="E232">
        <f t="shared" si="24"/>
        <v>33</v>
      </c>
      <c r="G232" t="s">
        <v>281</v>
      </c>
      <c r="H232" s="51">
        <v>31</v>
      </c>
      <c r="I232" s="51">
        <v>169</v>
      </c>
    </row>
    <row r="233" spans="5:9" x14ac:dyDescent="0.25">
      <c r="E233">
        <f t="shared" si="24"/>
        <v>33</v>
      </c>
      <c r="G233" t="s">
        <v>282</v>
      </c>
      <c r="H233" s="51">
        <v>18</v>
      </c>
      <c r="I233" s="51">
        <v>169</v>
      </c>
    </row>
    <row r="234" spans="5:9" x14ac:dyDescent="0.25">
      <c r="E234">
        <f t="shared" si="24"/>
        <v>33</v>
      </c>
      <c r="G234" t="s">
        <v>283</v>
      </c>
      <c r="H234" s="51">
        <v>2</v>
      </c>
      <c r="I234" s="51">
        <v>169</v>
      </c>
    </row>
    <row r="235" spans="5:9" x14ac:dyDescent="0.25">
      <c r="E235">
        <f t="shared" si="24"/>
        <v>33</v>
      </c>
      <c r="G235" t="s">
        <v>284</v>
      </c>
      <c r="H235" s="51">
        <v>7</v>
      </c>
      <c r="I235" s="51">
        <v>169</v>
      </c>
    </row>
    <row r="236" spans="5:9" x14ac:dyDescent="0.25">
      <c r="E236">
        <f t="shared" si="24"/>
        <v>33</v>
      </c>
      <c r="G236" t="s">
        <v>285</v>
      </c>
      <c r="H236">
        <v>3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277</v>
      </c>
      <c r="H237" s="51">
        <v>16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278</v>
      </c>
      <c r="H238" s="51">
        <v>4</v>
      </c>
      <c r="I238" s="51">
        <v>160</v>
      </c>
    </row>
    <row r="239" spans="5:9" x14ac:dyDescent="0.25">
      <c r="E239">
        <f t="shared" si="25"/>
        <v>36</v>
      </c>
      <c r="G239" t="s">
        <v>279</v>
      </c>
      <c r="H239" s="51">
        <v>27</v>
      </c>
      <c r="I239" s="51">
        <v>160</v>
      </c>
    </row>
    <row r="240" spans="5:9" x14ac:dyDescent="0.25">
      <c r="E240">
        <f t="shared" si="25"/>
        <v>36</v>
      </c>
      <c r="G240" t="s">
        <v>280</v>
      </c>
      <c r="H240" s="51">
        <v>13</v>
      </c>
      <c r="I240" s="51">
        <v>160</v>
      </c>
    </row>
    <row r="241" spans="5:9" x14ac:dyDescent="0.25">
      <c r="E241">
        <f t="shared" si="25"/>
        <v>36</v>
      </c>
      <c r="G241" t="s">
        <v>281</v>
      </c>
      <c r="H241" s="51">
        <v>34</v>
      </c>
      <c r="I241" s="51">
        <v>160</v>
      </c>
    </row>
    <row r="242" spans="5:9" x14ac:dyDescent="0.25">
      <c r="E242">
        <f t="shared" si="25"/>
        <v>36</v>
      </c>
      <c r="G242" t="s">
        <v>282</v>
      </c>
      <c r="H242" s="51">
        <v>12</v>
      </c>
      <c r="I242" s="51">
        <v>160</v>
      </c>
    </row>
    <row r="243" spans="5:9" x14ac:dyDescent="0.25">
      <c r="E243">
        <f t="shared" si="25"/>
        <v>36</v>
      </c>
      <c r="G243" t="s">
        <v>283</v>
      </c>
      <c r="H243" s="51">
        <v>6</v>
      </c>
      <c r="I243" s="51">
        <v>160</v>
      </c>
    </row>
    <row r="244" spans="5:9" x14ac:dyDescent="0.25">
      <c r="E244">
        <f t="shared" si="25"/>
        <v>36</v>
      </c>
      <c r="G244" t="s">
        <v>284</v>
      </c>
      <c r="H244">
        <v>3</v>
      </c>
      <c r="I244" s="51">
        <v>160</v>
      </c>
    </row>
    <row r="245" spans="5:9" x14ac:dyDescent="0.25">
      <c r="E245">
        <f t="shared" si="25"/>
        <v>36</v>
      </c>
      <c r="G245" t="s">
        <v>285</v>
      </c>
      <c r="H245" s="51">
        <v>3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277</v>
      </c>
      <c r="H246" s="51">
        <v>7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278</v>
      </c>
      <c r="H247" s="51">
        <v>7</v>
      </c>
      <c r="I247" s="51">
        <v>147</v>
      </c>
    </row>
    <row r="248" spans="5:9" x14ac:dyDescent="0.25">
      <c r="E248">
        <f t="shared" si="26"/>
        <v>37</v>
      </c>
      <c r="G248" t="s">
        <v>279</v>
      </c>
      <c r="H248" s="51">
        <v>12</v>
      </c>
      <c r="I248" s="51">
        <v>147</v>
      </c>
    </row>
    <row r="249" spans="5:9" x14ac:dyDescent="0.25">
      <c r="E249">
        <f t="shared" si="26"/>
        <v>37</v>
      </c>
      <c r="G249" t="s">
        <v>280</v>
      </c>
      <c r="H249" s="51">
        <v>10</v>
      </c>
      <c r="I249" s="51">
        <v>147</v>
      </c>
    </row>
    <row r="250" spans="5:9" x14ac:dyDescent="0.25">
      <c r="E250">
        <f t="shared" si="26"/>
        <v>37</v>
      </c>
      <c r="G250" t="s">
        <v>281</v>
      </c>
      <c r="H250" s="51">
        <v>20</v>
      </c>
      <c r="I250" s="51">
        <v>147</v>
      </c>
    </row>
    <row r="251" spans="5:9" x14ac:dyDescent="0.25">
      <c r="E251">
        <f t="shared" si="26"/>
        <v>37</v>
      </c>
      <c r="G251" t="s">
        <v>282</v>
      </c>
      <c r="H251" s="51">
        <v>10</v>
      </c>
      <c r="I251" s="51">
        <v>147</v>
      </c>
    </row>
    <row r="252" spans="5:9" x14ac:dyDescent="0.25">
      <c r="E252">
        <f t="shared" si="26"/>
        <v>37</v>
      </c>
      <c r="G252" t="s">
        <v>283</v>
      </c>
      <c r="H252">
        <v>1</v>
      </c>
      <c r="I252" s="51">
        <v>147</v>
      </c>
    </row>
    <row r="253" spans="5:9" x14ac:dyDescent="0.25">
      <c r="E253">
        <f t="shared" si="26"/>
        <v>37</v>
      </c>
      <c r="G253" t="s">
        <v>284</v>
      </c>
      <c r="H253" s="51">
        <v>4</v>
      </c>
      <c r="I253" s="51">
        <v>147</v>
      </c>
    </row>
    <row r="254" spans="5:9" x14ac:dyDescent="0.25">
      <c r="E254">
        <f t="shared" si="26"/>
        <v>37</v>
      </c>
      <c r="G254" t="s">
        <v>285</v>
      </c>
      <c r="H254" s="51">
        <v>6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277</v>
      </c>
      <c r="H255" s="51">
        <v>17</v>
      </c>
      <c r="I255" s="51">
        <v>182</v>
      </c>
    </row>
    <row r="256" spans="5:9" x14ac:dyDescent="0.25">
      <c r="E256">
        <f t="shared" ref="E256:E263" si="27">+$F$255</f>
        <v>4</v>
      </c>
      <c r="G256" t="s">
        <v>278</v>
      </c>
      <c r="H256" s="51">
        <v>12</v>
      </c>
      <c r="I256" s="51">
        <v>182</v>
      </c>
    </row>
    <row r="257" spans="5:9" x14ac:dyDescent="0.25">
      <c r="E257">
        <f t="shared" si="27"/>
        <v>4</v>
      </c>
      <c r="G257" t="s">
        <v>279</v>
      </c>
      <c r="H257" s="51">
        <v>31</v>
      </c>
      <c r="I257" s="51">
        <v>182</v>
      </c>
    </row>
    <row r="258" spans="5:9" x14ac:dyDescent="0.25">
      <c r="E258">
        <f t="shared" si="27"/>
        <v>4</v>
      </c>
      <c r="G258" t="s">
        <v>280</v>
      </c>
      <c r="H258">
        <v>13</v>
      </c>
      <c r="I258" s="51">
        <v>182</v>
      </c>
    </row>
    <row r="259" spans="5:9" x14ac:dyDescent="0.25">
      <c r="E259">
        <f t="shared" si="27"/>
        <v>4</v>
      </c>
      <c r="G259" t="s">
        <v>281</v>
      </c>
      <c r="H259" s="51">
        <v>40</v>
      </c>
      <c r="I259" s="51">
        <v>182</v>
      </c>
    </row>
    <row r="260" spans="5:9" x14ac:dyDescent="0.25">
      <c r="E260">
        <f t="shared" si="27"/>
        <v>4</v>
      </c>
      <c r="G260" t="s">
        <v>282</v>
      </c>
      <c r="H260">
        <v>27</v>
      </c>
      <c r="I260" s="51">
        <v>182</v>
      </c>
    </row>
    <row r="261" spans="5:9" x14ac:dyDescent="0.25">
      <c r="E261">
        <f t="shared" si="27"/>
        <v>4</v>
      </c>
      <c r="G261" t="s">
        <v>283</v>
      </c>
      <c r="H261" s="51">
        <v>5</v>
      </c>
      <c r="I261" s="51">
        <v>182</v>
      </c>
    </row>
    <row r="262" spans="5:9" x14ac:dyDescent="0.25">
      <c r="E262">
        <f t="shared" si="27"/>
        <v>4</v>
      </c>
      <c r="G262" t="s">
        <v>284</v>
      </c>
      <c r="H262" s="51">
        <v>7</v>
      </c>
      <c r="I262" s="51">
        <v>182</v>
      </c>
    </row>
    <row r="263" spans="5:9" x14ac:dyDescent="0.25">
      <c r="E263">
        <f t="shared" si="27"/>
        <v>4</v>
      </c>
      <c r="G263" t="s">
        <v>285</v>
      </c>
      <c r="H263" s="51">
        <v>10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</v>
      </c>
      <c r="H264" s="51">
        <v>13</v>
      </c>
      <c r="I264" s="51">
        <v>223</v>
      </c>
    </row>
    <row r="265" spans="5:9" x14ac:dyDescent="0.25">
      <c r="E265">
        <f t="shared" ref="E265:E272" si="28">+$F$264</f>
        <v>40</v>
      </c>
      <c r="G265" t="s">
        <v>278</v>
      </c>
      <c r="H265">
        <v>6</v>
      </c>
      <c r="I265" s="51">
        <v>223</v>
      </c>
    </row>
    <row r="266" spans="5:9" x14ac:dyDescent="0.25">
      <c r="E266">
        <f t="shared" si="28"/>
        <v>40</v>
      </c>
      <c r="G266" t="s">
        <v>279</v>
      </c>
      <c r="H266" s="51">
        <v>24</v>
      </c>
      <c r="I266" s="51">
        <v>223</v>
      </c>
    </row>
    <row r="267" spans="5:9" x14ac:dyDescent="0.25">
      <c r="E267">
        <f t="shared" si="28"/>
        <v>40</v>
      </c>
      <c r="G267" t="s">
        <v>280</v>
      </c>
      <c r="H267" s="51">
        <v>9</v>
      </c>
      <c r="I267" s="51">
        <v>223</v>
      </c>
    </row>
    <row r="268" spans="5:9" x14ac:dyDescent="0.25">
      <c r="E268">
        <f t="shared" si="28"/>
        <v>40</v>
      </c>
      <c r="G268" t="s">
        <v>281</v>
      </c>
      <c r="H268">
        <v>24</v>
      </c>
      <c r="I268" s="51">
        <v>223</v>
      </c>
    </row>
    <row r="269" spans="5:9" x14ac:dyDescent="0.25">
      <c r="E269">
        <f t="shared" si="28"/>
        <v>40</v>
      </c>
      <c r="G269" t="s">
        <v>282</v>
      </c>
      <c r="H269" s="51">
        <v>15</v>
      </c>
      <c r="I269" s="51">
        <v>223</v>
      </c>
    </row>
    <row r="270" spans="5:9" x14ac:dyDescent="0.25">
      <c r="E270">
        <f t="shared" si="28"/>
        <v>40</v>
      </c>
      <c r="G270" t="s">
        <v>283</v>
      </c>
      <c r="H270" s="51">
        <v>17</v>
      </c>
      <c r="I270" s="51">
        <v>223</v>
      </c>
    </row>
    <row r="271" spans="5:9" x14ac:dyDescent="0.25">
      <c r="E271">
        <f t="shared" si="28"/>
        <v>40</v>
      </c>
      <c r="G271" t="s">
        <v>284</v>
      </c>
      <c r="H271" s="51">
        <v>3</v>
      </c>
      <c r="I271" s="51">
        <v>223</v>
      </c>
    </row>
    <row r="272" spans="5:9" x14ac:dyDescent="0.25">
      <c r="E272">
        <f t="shared" si="28"/>
        <v>40</v>
      </c>
      <c r="G272" t="s">
        <v>285</v>
      </c>
      <c r="H272" s="51">
        <v>5</v>
      </c>
      <c r="I272" s="51">
        <v>223</v>
      </c>
    </row>
    <row r="273" spans="5:9" x14ac:dyDescent="0.25">
      <c r="E273">
        <f>+$F$273</f>
        <v>42</v>
      </c>
      <c r="F273">
        <v>42</v>
      </c>
      <c r="G273" t="s">
        <v>277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278</v>
      </c>
      <c r="H274" s="51"/>
      <c r="I274" s="51">
        <v>52</v>
      </c>
    </row>
    <row r="275" spans="5:9" x14ac:dyDescent="0.25">
      <c r="E275">
        <f t="shared" si="29"/>
        <v>42</v>
      </c>
      <c r="G275" t="s">
        <v>279</v>
      </c>
      <c r="H275" s="51"/>
      <c r="I275" s="51">
        <v>52</v>
      </c>
    </row>
    <row r="276" spans="5:9" x14ac:dyDescent="0.25">
      <c r="E276">
        <f t="shared" si="29"/>
        <v>42</v>
      </c>
      <c r="G276" t="s">
        <v>280</v>
      </c>
      <c r="I276" s="51">
        <v>52</v>
      </c>
    </row>
    <row r="277" spans="5:9" x14ac:dyDescent="0.25">
      <c r="E277">
        <f t="shared" si="29"/>
        <v>42</v>
      </c>
      <c r="G277" t="s">
        <v>281</v>
      </c>
      <c r="H277" s="51"/>
      <c r="I277" s="51">
        <v>52</v>
      </c>
    </row>
    <row r="278" spans="5:9" x14ac:dyDescent="0.25">
      <c r="E278">
        <f t="shared" si="29"/>
        <v>42</v>
      </c>
      <c r="G278" t="s">
        <v>282</v>
      </c>
      <c r="H278" s="51"/>
      <c r="I278" s="51">
        <v>52</v>
      </c>
    </row>
    <row r="279" spans="5:9" x14ac:dyDescent="0.25">
      <c r="E279">
        <f t="shared" si="29"/>
        <v>42</v>
      </c>
      <c r="G279" t="s">
        <v>283</v>
      </c>
      <c r="H279" s="51"/>
      <c r="I279" s="51">
        <v>52</v>
      </c>
    </row>
    <row r="280" spans="5:9" x14ac:dyDescent="0.25">
      <c r="E280">
        <f t="shared" si="29"/>
        <v>42</v>
      </c>
      <c r="G280" t="s">
        <v>284</v>
      </c>
      <c r="H280" s="51"/>
      <c r="I280" s="51">
        <v>52</v>
      </c>
    </row>
    <row r="281" spans="5:9" x14ac:dyDescent="0.25">
      <c r="E281">
        <f t="shared" si="29"/>
        <v>42</v>
      </c>
      <c r="G281" t="s">
        <v>285</v>
      </c>
      <c r="H281" s="51"/>
      <c r="I281" s="51">
        <v>52</v>
      </c>
    </row>
    <row r="282" spans="5:9" x14ac:dyDescent="0.25">
      <c r="E282">
        <f>+$F$282</f>
        <v>43</v>
      </c>
      <c r="F282">
        <v>43</v>
      </c>
      <c r="G282" t="s">
        <v>277</v>
      </c>
      <c r="H282" s="51">
        <v>2</v>
      </c>
      <c r="I282" s="51">
        <v>93</v>
      </c>
    </row>
    <row r="283" spans="5:9" x14ac:dyDescent="0.25">
      <c r="E283">
        <f t="shared" ref="E283:E290" si="30">+$F$282</f>
        <v>43</v>
      </c>
      <c r="G283" t="s">
        <v>278</v>
      </c>
      <c r="H283" s="51">
        <v>2</v>
      </c>
      <c r="I283" s="51">
        <v>93</v>
      </c>
    </row>
    <row r="284" spans="5:9" x14ac:dyDescent="0.25">
      <c r="E284">
        <f t="shared" si="30"/>
        <v>43</v>
      </c>
      <c r="G284" t="s">
        <v>279</v>
      </c>
      <c r="I284" s="51">
        <v>93</v>
      </c>
    </row>
    <row r="285" spans="5:9" x14ac:dyDescent="0.25">
      <c r="E285">
        <f t="shared" si="30"/>
        <v>43</v>
      </c>
      <c r="G285" t="s">
        <v>280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281</v>
      </c>
      <c r="I286" s="51">
        <v>93</v>
      </c>
    </row>
    <row r="287" spans="5:9" x14ac:dyDescent="0.25">
      <c r="E287">
        <f t="shared" si="30"/>
        <v>43</v>
      </c>
      <c r="G287" t="s">
        <v>282</v>
      </c>
      <c r="H287">
        <v>2</v>
      </c>
      <c r="I287" s="51">
        <v>93</v>
      </c>
    </row>
    <row r="288" spans="5:9" x14ac:dyDescent="0.25">
      <c r="E288">
        <f t="shared" si="30"/>
        <v>43</v>
      </c>
      <c r="G288" t="s">
        <v>283</v>
      </c>
      <c r="H288">
        <v>2</v>
      </c>
      <c r="I288" s="51">
        <v>93</v>
      </c>
    </row>
    <row r="289" spans="5:9" x14ac:dyDescent="0.25">
      <c r="E289">
        <f t="shared" si="30"/>
        <v>43</v>
      </c>
      <c r="G289" t="s">
        <v>284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285</v>
      </c>
      <c r="H290">
        <v>1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</v>
      </c>
      <c r="H291">
        <v>8</v>
      </c>
      <c r="I291" s="51">
        <v>171</v>
      </c>
    </row>
    <row r="292" spans="5:9" x14ac:dyDescent="0.25">
      <c r="E292">
        <f t="shared" ref="E292:E299" si="31">+$F$291</f>
        <v>44</v>
      </c>
      <c r="G292" t="s">
        <v>278</v>
      </c>
      <c r="H292">
        <v>6</v>
      </c>
      <c r="I292" s="51">
        <v>171</v>
      </c>
    </row>
    <row r="293" spans="5:9" x14ac:dyDescent="0.25">
      <c r="E293">
        <f t="shared" si="31"/>
        <v>44</v>
      </c>
      <c r="G293" t="s">
        <v>279</v>
      </c>
      <c r="H293">
        <v>23</v>
      </c>
      <c r="I293" s="51">
        <v>171</v>
      </c>
    </row>
    <row r="294" spans="5:9" x14ac:dyDescent="0.25">
      <c r="E294">
        <f t="shared" si="31"/>
        <v>44</v>
      </c>
      <c r="G294" t="s">
        <v>280</v>
      </c>
      <c r="H294">
        <v>15</v>
      </c>
      <c r="I294" s="51">
        <v>171</v>
      </c>
    </row>
    <row r="295" spans="5:9" x14ac:dyDescent="0.25">
      <c r="E295">
        <f t="shared" si="31"/>
        <v>44</v>
      </c>
      <c r="G295" t="s">
        <v>281</v>
      </c>
      <c r="H295">
        <v>43</v>
      </c>
      <c r="I295" s="51">
        <v>171</v>
      </c>
    </row>
    <row r="296" spans="5:9" x14ac:dyDescent="0.25">
      <c r="E296">
        <f t="shared" si="31"/>
        <v>44</v>
      </c>
      <c r="G296" t="s">
        <v>282</v>
      </c>
      <c r="H296">
        <v>29</v>
      </c>
      <c r="I296" s="51">
        <v>171</v>
      </c>
    </row>
    <row r="297" spans="5:9" x14ac:dyDescent="0.25">
      <c r="E297">
        <f t="shared" si="31"/>
        <v>44</v>
      </c>
      <c r="G297" t="s">
        <v>283</v>
      </c>
      <c r="H297" s="51">
        <v>5</v>
      </c>
      <c r="I297" s="51">
        <v>171</v>
      </c>
    </row>
    <row r="298" spans="5:9" x14ac:dyDescent="0.25">
      <c r="E298">
        <f t="shared" si="31"/>
        <v>44</v>
      </c>
      <c r="G298" t="s">
        <v>284</v>
      </c>
      <c r="H298">
        <v>8</v>
      </c>
      <c r="I298" s="51">
        <v>171</v>
      </c>
    </row>
    <row r="299" spans="5:9" x14ac:dyDescent="0.25">
      <c r="E299">
        <f t="shared" si="31"/>
        <v>44</v>
      </c>
      <c r="G299" t="s">
        <v>285</v>
      </c>
      <c r="H299" s="51">
        <v>7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277</v>
      </c>
      <c r="H300" s="51">
        <v>14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278</v>
      </c>
      <c r="H301" s="51">
        <v>11</v>
      </c>
      <c r="I301" s="51">
        <v>245</v>
      </c>
    </row>
    <row r="302" spans="5:9" x14ac:dyDescent="0.25">
      <c r="E302">
        <f t="shared" si="32"/>
        <v>49</v>
      </c>
      <c r="G302" t="s">
        <v>279</v>
      </c>
      <c r="H302" s="51">
        <v>18</v>
      </c>
      <c r="I302" s="51">
        <v>245</v>
      </c>
    </row>
    <row r="303" spans="5:9" x14ac:dyDescent="0.25">
      <c r="E303">
        <f t="shared" si="32"/>
        <v>49</v>
      </c>
      <c r="G303" t="s">
        <v>280</v>
      </c>
      <c r="H303" s="51">
        <v>6</v>
      </c>
      <c r="I303" s="51">
        <v>245</v>
      </c>
    </row>
    <row r="304" spans="5:9" x14ac:dyDescent="0.25">
      <c r="E304">
        <f t="shared" si="32"/>
        <v>49</v>
      </c>
      <c r="G304" t="s">
        <v>281</v>
      </c>
      <c r="H304" s="51">
        <v>10</v>
      </c>
      <c r="I304" s="51">
        <v>245</v>
      </c>
    </row>
    <row r="305" spans="5:9" x14ac:dyDescent="0.25">
      <c r="E305">
        <f t="shared" si="32"/>
        <v>49</v>
      </c>
      <c r="G305" t="s">
        <v>282</v>
      </c>
      <c r="H305" s="51">
        <v>7</v>
      </c>
      <c r="I305" s="51">
        <v>245</v>
      </c>
    </row>
    <row r="306" spans="5:9" x14ac:dyDescent="0.25">
      <c r="E306">
        <f t="shared" si="32"/>
        <v>49</v>
      </c>
      <c r="G306" t="s">
        <v>283</v>
      </c>
      <c r="H306" s="51">
        <v>17</v>
      </c>
      <c r="I306" s="51">
        <v>245</v>
      </c>
    </row>
    <row r="307" spans="5:9" x14ac:dyDescent="0.25">
      <c r="E307">
        <f t="shared" si="32"/>
        <v>49</v>
      </c>
      <c r="G307" t="s">
        <v>284</v>
      </c>
      <c r="H307">
        <v>13</v>
      </c>
      <c r="I307" s="51">
        <v>245</v>
      </c>
    </row>
    <row r="308" spans="5:9" x14ac:dyDescent="0.25">
      <c r="E308">
        <f t="shared" si="32"/>
        <v>49</v>
      </c>
      <c r="G308" t="s">
        <v>285</v>
      </c>
      <c r="H308">
        <v>10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277</v>
      </c>
      <c r="H309">
        <v>17</v>
      </c>
      <c r="I309" s="51">
        <v>264</v>
      </c>
    </row>
    <row r="310" spans="5:9" x14ac:dyDescent="0.25">
      <c r="E310">
        <f t="shared" ref="E310:E317" si="33">+$F$309</f>
        <v>5</v>
      </c>
      <c r="G310" t="s">
        <v>278</v>
      </c>
      <c r="H310">
        <v>3</v>
      </c>
      <c r="I310" s="51">
        <v>264</v>
      </c>
    </row>
    <row r="311" spans="5:9" x14ac:dyDescent="0.25">
      <c r="E311">
        <f t="shared" si="33"/>
        <v>5</v>
      </c>
      <c r="G311" t="s">
        <v>279</v>
      </c>
      <c r="H311">
        <v>34</v>
      </c>
      <c r="I311" s="51">
        <v>264</v>
      </c>
    </row>
    <row r="312" spans="5:9" x14ac:dyDescent="0.25">
      <c r="E312">
        <f t="shared" si="33"/>
        <v>5</v>
      </c>
      <c r="G312" t="s">
        <v>280</v>
      </c>
      <c r="H312">
        <v>12</v>
      </c>
      <c r="I312" s="51">
        <v>264</v>
      </c>
    </row>
    <row r="313" spans="5:9" x14ac:dyDescent="0.25">
      <c r="E313">
        <f t="shared" si="33"/>
        <v>5</v>
      </c>
      <c r="G313" t="s">
        <v>281</v>
      </c>
      <c r="H313">
        <v>50</v>
      </c>
      <c r="I313" s="51">
        <v>264</v>
      </c>
    </row>
    <row r="314" spans="5:9" x14ac:dyDescent="0.25">
      <c r="E314">
        <f t="shared" si="33"/>
        <v>5</v>
      </c>
      <c r="G314" t="s">
        <v>282</v>
      </c>
      <c r="H314">
        <v>30</v>
      </c>
      <c r="I314" s="51">
        <v>264</v>
      </c>
    </row>
    <row r="315" spans="5:9" x14ac:dyDescent="0.25">
      <c r="E315">
        <f t="shared" si="33"/>
        <v>5</v>
      </c>
      <c r="G315" t="s">
        <v>283</v>
      </c>
      <c r="H315" s="51">
        <v>8</v>
      </c>
      <c r="I315" s="51">
        <v>264</v>
      </c>
    </row>
    <row r="316" spans="5:9" x14ac:dyDescent="0.25">
      <c r="E316">
        <f t="shared" si="33"/>
        <v>5</v>
      </c>
      <c r="G316" t="s">
        <v>284</v>
      </c>
      <c r="H316">
        <v>12</v>
      </c>
      <c r="I316" s="51">
        <v>264</v>
      </c>
    </row>
    <row r="317" spans="5:9" x14ac:dyDescent="0.25">
      <c r="E317">
        <f t="shared" si="33"/>
        <v>5</v>
      </c>
      <c r="G317" t="s">
        <v>285</v>
      </c>
      <c r="H317" s="51">
        <v>9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277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278</v>
      </c>
      <c r="H319" s="51">
        <v>3</v>
      </c>
      <c r="I319" s="51">
        <v>104</v>
      </c>
    </row>
    <row r="320" spans="5:9" x14ac:dyDescent="0.25">
      <c r="E320">
        <f t="shared" si="34"/>
        <v>52</v>
      </c>
      <c r="G320" t="s">
        <v>279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280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281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282</v>
      </c>
      <c r="I323" s="51">
        <v>104</v>
      </c>
    </row>
    <row r="324" spans="5:9" x14ac:dyDescent="0.25">
      <c r="E324">
        <f t="shared" si="34"/>
        <v>52</v>
      </c>
      <c r="G324" t="s">
        <v>283</v>
      </c>
      <c r="H324" s="51">
        <v>15</v>
      </c>
      <c r="I324" s="51">
        <v>104</v>
      </c>
    </row>
    <row r="325" spans="5:9" x14ac:dyDescent="0.25">
      <c r="E325">
        <f t="shared" si="34"/>
        <v>52</v>
      </c>
      <c r="G325" t="s">
        <v>284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285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277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278</v>
      </c>
      <c r="I328" s="51">
        <v>105</v>
      </c>
    </row>
    <row r="329" spans="5:9" x14ac:dyDescent="0.25">
      <c r="E329">
        <f t="shared" si="35"/>
        <v>53</v>
      </c>
      <c r="G329" t="s">
        <v>279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280</v>
      </c>
      <c r="I330" s="51">
        <v>105</v>
      </c>
    </row>
    <row r="331" spans="5:9" x14ac:dyDescent="0.25">
      <c r="E331">
        <f t="shared" si="35"/>
        <v>53</v>
      </c>
      <c r="G331" t="s">
        <v>281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282</v>
      </c>
      <c r="I332" s="51">
        <v>105</v>
      </c>
    </row>
    <row r="333" spans="5:9" x14ac:dyDescent="0.25">
      <c r="E333">
        <f t="shared" si="35"/>
        <v>53</v>
      </c>
      <c r="G333" t="s">
        <v>283</v>
      </c>
      <c r="H333" s="51">
        <v>14</v>
      </c>
      <c r="I333" s="51">
        <v>105</v>
      </c>
    </row>
    <row r="334" spans="5:9" x14ac:dyDescent="0.25">
      <c r="E334">
        <f t="shared" si="35"/>
        <v>53</v>
      </c>
      <c r="G334" t="s">
        <v>284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285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</v>
      </c>
      <c r="H336" s="51">
        <v>12</v>
      </c>
      <c r="I336" s="51">
        <v>202</v>
      </c>
    </row>
    <row r="337" spans="5:9" x14ac:dyDescent="0.25">
      <c r="E337">
        <f t="shared" ref="E337:E344" si="36">+$F$336</f>
        <v>54</v>
      </c>
      <c r="G337" t="s">
        <v>278</v>
      </c>
      <c r="H337" s="51">
        <v>8</v>
      </c>
      <c r="I337" s="51">
        <v>202</v>
      </c>
    </row>
    <row r="338" spans="5:9" x14ac:dyDescent="0.25">
      <c r="E338">
        <f t="shared" si="36"/>
        <v>54</v>
      </c>
      <c r="G338" t="s">
        <v>279</v>
      </c>
      <c r="H338" s="51">
        <v>19</v>
      </c>
      <c r="I338" s="51">
        <v>202</v>
      </c>
    </row>
    <row r="339" spans="5:9" x14ac:dyDescent="0.25">
      <c r="E339">
        <f t="shared" si="36"/>
        <v>54</v>
      </c>
      <c r="G339" t="s">
        <v>280</v>
      </c>
      <c r="H339" s="51">
        <v>14</v>
      </c>
      <c r="I339" s="51">
        <v>202</v>
      </c>
    </row>
    <row r="340" spans="5:9" x14ac:dyDescent="0.25">
      <c r="E340">
        <f t="shared" si="36"/>
        <v>54</v>
      </c>
      <c r="G340" t="s">
        <v>281</v>
      </c>
      <c r="H340">
        <v>36</v>
      </c>
      <c r="I340" s="51">
        <v>202</v>
      </c>
    </row>
    <row r="341" spans="5:9" x14ac:dyDescent="0.25">
      <c r="E341">
        <f t="shared" si="36"/>
        <v>54</v>
      </c>
      <c r="G341" t="s">
        <v>282</v>
      </c>
      <c r="H341" s="51">
        <v>25</v>
      </c>
      <c r="I341" s="51">
        <v>202</v>
      </c>
    </row>
    <row r="342" spans="5:9" x14ac:dyDescent="0.25">
      <c r="E342">
        <f t="shared" si="36"/>
        <v>54</v>
      </c>
      <c r="G342" t="s">
        <v>283</v>
      </c>
      <c r="H342" s="51">
        <v>5</v>
      </c>
      <c r="I342" s="51">
        <v>202</v>
      </c>
    </row>
    <row r="343" spans="5:9" x14ac:dyDescent="0.25">
      <c r="E343">
        <f t="shared" si="36"/>
        <v>54</v>
      </c>
      <c r="G343" t="s">
        <v>284</v>
      </c>
      <c r="H343" s="51">
        <v>13</v>
      </c>
      <c r="I343" s="51">
        <v>202</v>
      </c>
    </row>
    <row r="344" spans="5:9" x14ac:dyDescent="0.25">
      <c r="E344">
        <f t="shared" si="36"/>
        <v>54</v>
      </c>
      <c r="G344" t="s">
        <v>285</v>
      </c>
      <c r="H344" s="51">
        <v>8</v>
      </c>
      <c r="I344" s="51">
        <v>202</v>
      </c>
    </row>
    <row r="345" spans="5:9" x14ac:dyDescent="0.25">
      <c r="E345">
        <f>+$F$345</f>
        <v>56</v>
      </c>
      <c r="F345">
        <v>56</v>
      </c>
      <c r="G345" t="s">
        <v>277</v>
      </c>
      <c r="H345">
        <v>3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278</v>
      </c>
      <c r="H346" s="51">
        <v>5</v>
      </c>
      <c r="I346" s="51">
        <v>200</v>
      </c>
    </row>
    <row r="347" spans="5:9" x14ac:dyDescent="0.25">
      <c r="E347">
        <f t="shared" si="37"/>
        <v>56</v>
      </c>
      <c r="G347" t="s">
        <v>279</v>
      </c>
      <c r="H347" s="51">
        <v>21</v>
      </c>
      <c r="I347" s="51">
        <v>200</v>
      </c>
    </row>
    <row r="348" spans="5:9" x14ac:dyDescent="0.25">
      <c r="E348">
        <f t="shared" si="37"/>
        <v>56</v>
      </c>
      <c r="G348" t="s">
        <v>280</v>
      </c>
      <c r="H348">
        <v>6</v>
      </c>
      <c r="I348" s="51">
        <v>200</v>
      </c>
    </row>
    <row r="349" spans="5:9" x14ac:dyDescent="0.25">
      <c r="E349">
        <f t="shared" si="37"/>
        <v>56</v>
      </c>
      <c r="G349" t="s">
        <v>281</v>
      </c>
      <c r="H349" s="51">
        <v>9</v>
      </c>
      <c r="I349" s="51">
        <v>200</v>
      </c>
    </row>
    <row r="350" spans="5:9" x14ac:dyDescent="0.25">
      <c r="E350">
        <f t="shared" si="37"/>
        <v>56</v>
      </c>
      <c r="G350" t="s">
        <v>282</v>
      </c>
      <c r="H350" s="51">
        <v>5</v>
      </c>
      <c r="I350" s="51">
        <v>200</v>
      </c>
    </row>
    <row r="351" spans="5:9" x14ac:dyDescent="0.25">
      <c r="E351">
        <f t="shared" si="37"/>
        <v>56</v>
      </c>
      <c r="G351" t="s">
        <v>283</v>
      </c>
      <c r="H351" s="51">
        <v>14</v>
      </c>
      <c r="I351" s="51">
        <v>200</v>
      </c>
    </row>
    <row r="352" spans="5:9" x14ac:dyDescent="0.25">
      <c r="E352">
        <f t="shared" si="37"/>
        <v>56</v>
      </c>
      <c r="G352" t="s">
        <v>284</v>
      </c>
      <c r="H352">
        <v>2</v>
      </c>
      <c r="I352" s="51">
        <v>200</v>
      </c>
    </row>
    <row r="353" spans="5:9" x14ac:dyDescent="0.25">
      <c r="E353">
        <f t="shared" si="37"/>
        <v>56</v>
      </c>
      <c r="G353" t="s">
        <v>285</v>
      </c>
      <c r="H353" s="51">
        <v>3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278</v>
      </c>
      <c r="H355" s="51">
        <v>5</v>
      </c>
      <c r="I355" s="51">
        <v>105</v>
      </c>
    </row>
    <row r="356" spans="5:9" x14ac:dyDescent="0.25">
      <c r="E356">
        <f t="shared" si="38"/>
        <v>57</v>
      </c>
      <c r="G356" t="s">
        <v>279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280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281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282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283</v>
      </c>
      <c r="H360" s="51">
        <v>22</v>
      </c>
      <c r="I360" s="51">
        <v>105</v>
      </c>
    </row>
    <row r="361" spans="5:9" x14ac:dyDescent="0.25">
      <c r="E361">
        <f t="shared" si="38"/>
        <v>57</v>
      </c>
      <c r="G361" t="s">
        <v>284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285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277</v>
      </c>
      <c r="H363" s="51"/>
      <c r="I363" s="51">
        <v>83</v>
      </c>
    </row>
    <row r="364" spans="5:9" x14ac:dyDescent="0.25">
      <c r="E364">
        <f t="shared" ref="E364:E371" si="39">+$F$363</f>
        <v>58</v>
      </c>
      <c r="G364" t="s">
        <v>278</v>
      </c>
      <c r="H364" s="51"/>
      <c r="I364" s="51">
        <v>83</v>
      </c>
    </row>
    <row r="365" spans="5:9" x14ac:dyDescent="0.25">
      <c r="E365">
        <f t="shared" si="39"/>
        <v>58</v>
      </c>
      <c r="G365" t="s">
        <v>279</v>
      </c>
      <c r="H365" s="51"/>
      <c r="I365" s="51">
        <v>83</v>
      </c>
    </row>
    <row r="366" spans="5:9" x14ac:dyDescent="0.25">
      <c r="E366">
        <f t="shared" si="39"/>
        <v>58</v>
      </c>
      <c r="G366" t="s">
        <v>280</v>
      </c>
      <c r="H366" s="51">
        <v>1</v>
      </c>
      <c r="I366" s="51">
        <v>83</v>
      </c>
    </row>
    <row r="367" spans="5:9" x14ac:dyDescent="0.25">
      <c r="E367">
        <f t="shared" si="39"/>
        <v>58</v>
      </c>
      <c r="G367" t="s">
        <v>281</v>
      </c>
      <c r="H367" s="51"/>
      <c r="I367" s="51">
        <v>83</v>
      </c>
    </row>
    <row r="368" spans="5:9" x14ac:dyDescent="0.25">
      <c r="E368">
        <f t="shared" si="39"/>
        <v>58</v>
      </c>
      <c r="G368" t="s">
        <v>282</v>
      </c>
      <c r="H368" s="51">
        <v>1</v>
      </c>
      <c r="I368" s="51">
        <v>83</v>
      </c>
    </row>
    <row r="369" spans="5:9" x14ac:dyDescent="0.25">
      <c r="E369">
        <f t="shared" si="39"/>
        <v>58</v>
      </c>
      <c r="G369" t="s">
        <v>283</v>
      </c>
      <c r="H369" s="51">
        <v>1</v>
      </c>
      <c r="I369" s="51">
        <v>83</v>
      </c>
    </row>
    <row r="370" spans="5:9" x14ac:dyDescent="0.25">
      <c r="E370">
        <f t="shared" si="39"/>
        <v>58</v>
      </c>
      <c r="G370" t="s">
        <v>284</v>
      </c>
      <c r="H370" s="51"/>
      <c r="I370" s="51">
        <v>83</v>
      </c>
    </row>
    <row r="371" spans="5:9" x14ac:dyDescent="0.25">
      <c r="E371">
        <f t="shared" si="39"/>
        <v>58</v>
      </c>
      <c r="G371" t="s">
        <v>285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277</v>
      </c>
      <c r="I372">
        <v>126</v>
      </c>
    </row>
    <row r="373" spans="5:9" x14ac:dyDescent="0.25">
      <c r="E373">
        <f t="shared" ref="E373:E380" si="40">+$F$372</f>
        <v>59</v>
      </c>
      <c r="G373" t="s">
        <v>278</v>
      </c>
      <c r="I373">
        <v>126</v>
      </c>
    </row>
    <row r="374" spans="5:9" x14ac:dyDescent="0.25">
      <c r="E374">
        <f t="shared" si="40"/>
        <v>59</v>
      </c>
      <c r="G374" t="s">
        <v>279</v>
      </c>
      <c r="I374">
        <v>126</v>
      </c>
    </row>
    <row r="375" spans="5:9" x14ac:dyDescent="0.25">
      <c r="E375">
        <f t="shared" si="40"/>
        <v>59</v>
      </c>
      <c r="G375" t="s">
        <v>280</v>
      </c>
      <c r="I375">
        <v>126</v>
      </c>
    </row>
    <row r="376" spans="5:9" x14ac:dyDescent="0.25">
      <c r="E376">
        <f t="shared" si="40"/>
        <v>59</v>
      </c>
      <c r="G376" t="s">
        <v>281</v>
      </c>
      <c r="I376">
        <v>126</v>
      </c>
    </row>
    <row r="377" spans="5:9" x14ac:dyDescent="0.25">
      <c r="E377">
        <f t="shared" si="40"/>
        <v>59</v>
      </c>
      <c r="G377" t="s">
        <v>282</v>
      </c>
      <c r="I377">
        <v>126</v>
      </c>
    </row>
    <row r="378" spans="5:9" x14ac:dyDescent="0.25">
      <c r="E378">
        <f t="shared" si="40"/>
        <v>59</v>
      </c>
      <c r="G378" t="s">
        <v>283</v>
      </c>
      <c r="I378">
        <v>126</v>
      </c>
    </row>
    <row r="379" spans="5:9" x14ac:dyDescent="0.25">
      <c r="E379">
        <f t="shared" si="40"/>
        <v>59</v>
      </c>
      <c r="G379" t="s">
        <v>284</v>
      </c>
      <c r="I379">
        <v>126</v>
      </c>
    </row>
    <row r="380" spans="5:9" x14ac:dyDescent="0.25">
      <c r="E380">
        <f t="shared" si="40"/>
        <v>59</v>
      </c>
      <c r="G380" t="s">
        <v>285</v>
      </c>
      <c r="I380">
        <v>126</v>
      </c>
    </row>
    <row r="381" spans="5:9" x14ac:dyDescent="0.25">
      <c r="E381">
        <f>+$F$381</f>
        <v>60</v>
      </c>
      <c r="F381">
        <v>60</v>
      </c>
      <c r="G381" t="s">
        <v>277</v>
      </c>
      <c r="H381">
        <v>14</v>
      </c>
      <c r="I381">
        <v>69</v>
      </c>
    </row>
    <row r="382" spans="5:9" x14ac:dyDescent="0.25">
      <c r="E382">
        <f t="shared" ref="E382:E389" si="41">+$F$381</f>
        <v>60</v>
      </c>
      <c r="G382" t="s">
        <v>278</v>
      </c>
      <c r="H382">
        <v>7</v>
      </c>
      <c r="I382">
        <v>69</v>
      </c>
    </row>
    <row r="383" spans="5:9" x14ac:dyDescent="0.25">
      <c r="E383">
        <f t="shared" si="41"/>
        <v>60</v>
      </c>
      <c r="G383" t="s">
        <v>279</v>
      </c>
      <c r="H383">
        <v>13</v>
      </c>
      <c r="I383">
        <v>69</v>
      </c>
    </row>
    <row r="384" spans="5:9" x14ac:dyDescent="0.25">
      <c r="E384">
        <f t="shared" si="41"/>
        <v>60</v>
      </c>
      <c r="G384" t="s">
        <v>280</v>
      </c>
      <c r="H384">
        <v>6</v>
      </c>
      <c r="I384">
        <v>69</v>
      </c>
    </row>
    <row r="385" spans="5:9" x14ac:dyDescent="0.25">
      <c r="E385">
        <f t="shared" si="41"/>
        <v>60</v>
      </c>
      <c r="G385" t="s">
        <v>281</v>
      </c>
      <c r="H385">
        <v>11</v>
      </c>
      <c r="I385">
        <v>69</v>
      </c>
    </row>
    <row r="386" spans="5:9" x14ac:dyDescent="0.25">
      <c r="E386">
        <f t="shared" si="41"/>
        <v>60</v>
      </c>
      <c r="G386" t="s">
        <v>282</v>
      </c>
      <c r="H386">
        <v>8</v>
      </c>
      <c r="I386">
        <v>69</v>
      </c>
    </row>
    <row r="387" spans="5:9" x14ac:dyDescent="0.25">
      <c r="E387">
        <f t="shared" si="41"/>
        <v>60</v>
      </c>
      <c r="G387" t="s">
        <v>283</v>
      </c>
      <c r="H387">
        <v>5</v>
      </c>
      <c r="I387">
        <v>69</v>
      </c>
    </row>
    <row r="388" spans="5:9" x14ac:dyDescent="0.25">
      <c r="E388">
        <f t="shared" si="41"/>
        <v>60</v>
      </c>
      <c r="G388" t="s">
        <v>284</v>
      </c>
      <c r="H388">
        <v>8</v>
      </c>
      <c r="I388">
        <v>69</v>
      </c>
    </row>
    <row r="389" spans="5:9" x14ac:dyDescent="0.25">
      <c r="E389">
        <f t="shared" si="41"/>
        <v>60</v>
      </c>
      <c r="G389" t="s">
        <v>285</v>
      </c>
      <c r="H389">
        <v>7</v>
      </c>
      <c r="I389">
        <v>69</v>
      </c>
    </row>
    <row r="390" spans="5:9" x14ac:dyDescent="0.25">
      <c r="E390">
        <f>+$F$390</f>
        <v>7</v>
      </c>
      <c r="F390">
        <v>7</v>
      </c>
      <c r="G390" t="s">
        <v>277</v>
      </c>
      <c r="I390">
        <v>117</v>
      </c>
    </row>
    <row r="391" spans="5:9" x14ac:dyDescent="0.25">
      <c r="E391">
        <f t="shared" ref="E391:E398" si="42">+$F$390</f>
        <v>7</v>
      </c>
      <c r="G391" t="s">
        <v>278</v>
      </c>
      <c r="H391">
        <v>1</v>
      </c>
      <c r="I391">
        <v>117</v>
      </c>
    </row>
    <row r="392" spans="5:9" x14ac:dyDescent="0.25">
      <c r="E392">
        <f t="shared" si="42"/>
        <v>7</v>
      </c>
      <c r="G392" t="s">
        <v>279</v>
      </c>
      <c r="H392">
        <v>1</v>
      </c>
      <c r="I392">
        <v>117</v>
      </c>
    </row>
    <row r="393" spans="5:9" x14ac:dyDescent="0.25">
      <c r="E393">
        <f t="shared" si="42"/>
        <v>7</v>
      </c>
      <c r="G393" t="s">
        <v>280</v>
      </c>
      <c r="I393">
        <v>117</v>
      </c>
    </row>
    <row r="394" spans="5:9" x14ac:dyDescent="0.25">
      <c r="E394">
        <f t="shared" si="42"/>
        <v>7</v>
      </c>
      <c r="G394" t="s">
        <v>281</v>
      </c>
      <c r="H394">
        <v>1</v>
      </c>
      <c r="I394">
        <v>117</v>
      </c>
    </row>
    <row r="395" spans="5:9" x14ac:dyDescent="0.25">
      <c r="E395">
        <f t="shared" si="42"/>
        <v>7</v>
      </c>
      <c r="G395" t="s">
        <v>282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283</v>
      </c>
      <c r="H396">
        <v>1</v>
      </c>
      <c r="I396">
        <v>117</v>
      </c>
    </row>
    <row r="397" spans="5:9" x14ac:dyDescent="0.25">
      <c r="E397">
        <f t="shared" si="42"/>
        <v>7</v>
      </c>
      <c r="G397" t="s">
        <v>284</v>
      </c>
      <c r="H397">
        <v>1</v>
      </c>
      <c r="I397">
        <v>117</v>
      </c>
    </row>
    <row r="398" spans="5:9" x14ac:dyDescent="0.25">
      <c r="E398">
        <f t="shared" si="42"/>
        <v>7</v>
      </c>
      <c r="G398" t="s">
        <v>285</v>
      </c>
      <c r="H398">
        <v>1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</v>
      </c>
      <c r="H399">
        <v>14</v>
      </c>
      <c r="I399">
        <v>199</v>
      </c>
    </row>
    <row r="400" spans="5:9" x14ac:dyDescent="0.25">
      <c r="E400">
        <f t="shared" ref="E400:E407" si="43">+$F$399</f>
        <v>8</v>
      </c>
      <c r="G400" t="s">
        <v>278</v>
      </c>
      <c r="H400">
        <v>3</v>
      </c>
      <c r="I400">
        <v>199</v>
      </c>
    </row>
    <row r="401" spans="5:9" x14ac:dyDescent="0.25">
      <c r="E401">
        <f t="shared" si="43"/>
        <v>8</v>
      </c>
      <c r="G401" t="s">
        <v>279</v>
      </c>
      <c r="H401">
        <v>21</v>
      </c>
      <c r="I401">
        <v>199</v>
      </c>
    </row>
    <row r="402" spans="5:9" x14ac:dyDescent="0.25">
      <c r="E402">
        <f t="shared" si="43"/>
        <v>8</v>
      </c>
      <c r="G402" t="s">
        <v>280</v>
      </c>
      <c r="H402">
        <v>15</v>
      </c>
      <c r="I402">
        <v>199</v>
      </c>
    </row>
    <row r="403" spans="5:9" x14ac:dyDescent="0.25">
      <c r="E403">
        <f t="shared" si="43"/>
        <v>8</v>
      </c>
      <c r="G403" t="s">
        <v>281</v>
      </c>
      <c r="H403">
        <v>27</v>
      </c>
      <c r="I403">
        <v>199</v>
      </c>
    </row>
    <row r="404" spans="5:9" x14ac:dyDescent="0.25">
      <c r="E404">
        <f t="shared" si="43"/>
        <v>8</v>
      </c>
      <c r="G404" t="s">
        <v>282</v>
      </c>
      <c r="H404">
        <v>17</v>
      </c>
      <c r="I404">
        <v>199</v>
      </c>
    </row>
    <row r="405" spans="5:9" x14ac:dyDescent="0.25">
      <c r="E405">
        <f t="shared" si="43"/>
        <v>8</v>
      </c>
      <c r="G405" t="s">
        <v>283</v>
      </c>
      <c r="H405">
        <v>6</v>
      </c>
      <c r="I405">
        <v>199</v>
      </c>
    </row>
    <row r="406" spans="5:9" x14ac:dyDescent="0.25">
      <c r="E406">
        <f t="shared" si="43"/>
        <v>8</v>
      </c>
      <c r="G406" t="s">
        <v>284</v>
      </c>
      <c r="H406">
        <v>5</v>
      </c>
      <c r="I406">
        <v>199</v>
      </c>
    </row>
    <row r="407" spans="5:9" x14ac:dyDescent="0.25">
      <c r="E407">
        <f t="shared" si="43"/>
        <v>8</v>
      </c>
      <c r="G407" t="s">
        <v>285</v>
      </c>
      <c r="H407">
        <v>3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277</v>
      </c>
      <c r="H408">
        <v>18</v>
      </c>
      <c r="I408">
        <v>157</v>
      </c>
    </row>
    <row r="409" spans="5:9" x14ac:dyDescent="0.25">
      <c r="E409">
        <f t="shared" ref="E409:E416" si="44">+$F$408</f>
        <v>9</v>
      </c>
      <c r="G409" t="s">
        <v>278</v>
      </c>
      <c r="H409">
        <v>9</v>
      </c>
      <c r="I409">
        <v>157</v>
      </c>
    </row>
    <row r="410" spans="5:9" x14ac:dyDescent="0.25">
      <c r="E410">
        <f t="shared" si="44"/>
        <v>9</v>
      </c>
      <c r="G410" t="s">
        <v>279</v>
      </c>
      <c r="H410">
        <v>21</v>
      </c>
      <c r="I410">
        <v>157</v>
      </c>
    </row>
    <row r="411" spans="5:9" x14ac:dyDescent="0.25">
      <c r="E411">
        <f t="shared" si="44"/>
        <v>9</v>
      </c>
      <c r="G411" t="s">
        <v>280</v>
      </c>
      <c r="H411">
        <v>21</v>
      </c>
      <c r="I411">
        <v>157</v>
      </c>
    </row>
    <row r="412" spans="5:9" x14ac:dyDescent="0.25">
      <c r="E412">
        <f t="shared" si="44"/>
        <v>9</v>
      </c>
      <c r="G412" t="s">
        <v>281</v>
      </c>
      <c r="H412">
        <v>30</v>
      </c>
      <c r="I412">
        <v>157</v>
      </c>
    </row>
    <row r="413" spans="5:9" x14ac:dyDescent="0.25">
      <c r="E413">
        <f t="shared" si="44"/>
        <v>9</v>
      </c>
      <c r="G413" t="s">
        <v>282</v>
      </c>
      <c r="H413">
        <v>27</v>
      </c>
      <c r="I413">
        <v>157</v>
      </c>
    </row>
    <row r="414" spans="5:9" x14ac:dyDescent="0.25">
      <c r="E414">
        <f t="shared" si="44"/>
        <v>9</v>
      </c>
      <c r="G414" t="s">
        <v>283</v>
      </c>
      <c r="H414">
        <v>4</v>
      </c>
      <c r="I414">
        <v>157</v>
      </c>
    </row>
    <row r="415" spans="5:9" x14ac:dyDescent="0.25">
      <c r="E415">
        <f t="shared" si="44"/>
        <v>9</v>
      </c>
      <c r="G415" t="s">
        <v>284</v>
      </c>
      <c r="H415">
        <v>8</v>
      </c>
      <c r="I415">
        <v>157</v>
      </c>
    </row>
    <row r="416" spans="5:9" x14ac:dyDescent="0.25">
      <c r="E416">
        <f t="shared" si="44"/>
        <v>9</v>
      </c>
      <c r="G416" t="s">
        <v>285</v>
      </c>
      <c r="H416">
        <v>7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0.19037037037037038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0.28079475308641971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0.26525462962962959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0.28104938271604935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0.23917438271604938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0.27339506172839512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0.24599151234567898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0.23599151234567897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0.13462962962962963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0.24390817901234574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0.302067901234568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0.23901620370370372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0.29239969135802468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0.26294753086419759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0.23129629629629628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0.27334876543209879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0.26466049382716045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0.20823688271604937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0.28973765432098769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0.23535879629629633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0.24265432098765438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0.25425540123456791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0.25374228395061732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0.21803240740740745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0.25760030864197536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0.25571759259259258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0.24530478395061728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0.22167052469135803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0.23655092592592597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0.22538194444444448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0.17170524691358025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0.25003472222222217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0.14065200617283954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0.12718750000000001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0.1809490740740741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C23" sqref="A23:C23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workbookViewId="0">
      <selection activeCell="D31" sqref="A31:D31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topLeftCell="F1" workbookViewId="0">
      <selection activeCell="E25" sqref="A25:E26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0" t="s">
        <v>205</v>
      </c>
      <c r="P1" s="81" t="s">
        <v>75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N2" s="149" t="s">
        <v>37</v>
      </c>
      <c r="O2">
        <v>22</v>
      </c>
      <c r="P2" s="12" t="s">
        <v>96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N3" s="149"/>
      <c r="O3">
        <v>49</v>
      </c>
      <c r="P3" s="13" t="s">
        <v>106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N4" s="149"/>
      <c r="O4">
        <v>20</v>
      </c>
      <c r="P4" s="13" t="s">
        <v>94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N5" s="149"/>
      <c r="O5">
        <v>15</v>
      </c>
      <c r="P5" s="13" t="s">
        <v>90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N6" s="149"/>
      <c r="O6">
        <v>19</v>
      </c>
      <c r="P6" s="13" t="s">
        <v>93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N7" s="149"/>
      <c r="O7">
        <v>16</v>
      </c>
      <c r="P7" s="13" t="s">
        <v>91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N8" s="149"/>
      <c r="O8">
        <v>12</v>
      </c>
      <c r="P8" s="13" t="s">
        <v>89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N9" s="149"/>
      <c r="O9">
        <v>11</v>
      </c>
      <c r="P9" s="30" t="s">
        <v>209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N10" s="149"/>
      <c r="O10">
        <v>8</v>
      </c>
      <c r="P10" s="13" t="s">
        <v>85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N11" s="149"/>
      <c r="O11">
        <v>52</v>
      </c>
      <c r="P11" s="31" t="s">
        <v>111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N12" s="149"/>
      <c r="O12">
        <v>53</v>
      </c>
      <c r="P12" s="31" t="s">
        <v>107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N13" s="149"/>
      <c r="O13">
        <v>5</v>
      </c>
      <c r="P13" s="13" t="s">
        <v>84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N14" s="149"/>
      <c r="O14">
        <v>4</v>
      </c>
      <c r="P14" s="10" t="s">
        <v>83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150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N16" s="148" t="s">
        <v>38</v>
      </c>
      <c r="O16">
        <v>31</v>
      </c>
      <c r="P16" s="12" t="s">
        <v>100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N17" s="149"/>
      <c r="O17">
        <v>54</v>
      </c>
      <c r="P17" s="13" t="s">
        <v>108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N18" s="149"/>
      <c r="O18">
        <v>21</v>
      </c>
      <c r="P18" s="13" t="s">
        <v>95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N19" s="149"/>
      <c r="O19">
        <v>23</v>
      </c>
      <c r="P19" s="13" t="s">
        <v>97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N20" s="149"/>
      <c r="O20">
        <v>18</v>
      </c>
      <c r="P20" s="13" t="s">
        <v>92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N21" s="149"/>
      <c r="O21">
        <v>44</v>
      </c>
      <c r="P21" s="13" t="s">
        <v>160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N22" s="149"/>
      <c r="O22">
        <v>56</v>
      </c>
      <c r="P22" s="13" t="s">
        <v>139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N23" s="149"/>
      <c r="O23">
        <v>2</v>
      </c>
      <c r="P23" s="13" t="s">
        <v>81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N24" s="149"/>
      <c r="O24">
        <v>3</v>
      </c>
      <c r="P24" s="10" t="s">
        <v>82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150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N26" s="148" t="s">
        <v>221</v>
      </c>
      <c r="O26">
        <v>32</v>
      </c>
      <c r="P26" s="12" t="s">
        <v>211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N27" s="149"/>
      <c r="O27">
        <v>36</v>
      </c>
      <c r="P27" s="12" t="s">
        <v>213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N28" s="149"/>
      <c r="O28">
        <v>9</v>
      </c>
      <c r="P28" s="12" t="s">
        <v>86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N29" s="149"/>
      <c r="O29">
        <v>40</v>
      </c>
      <c r="P29" s="12" t="s">
        <v>212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N30" s="149"/>
      <c r="O30">
        <v>27</v>
      </c>
      <c r="P30" s="12" t="s">
        <v>98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N31" s="149"/>
      <c r="O31">
        <v>10</v>
      </c>
      <c r="P31" s="12" t="s">
        <v>210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N32" s="149"/>
      <c r="O32">
        <v>28</v>
      </c>
      <c r="P32" s="12" t="s">
        <v>99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N33" s="149"/>
      <c r="O33">
        <v>33</v>
      </c>
      <c r="P33" s="12" t="s">
        <v>138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N34" s="149"/>
      <c r="O34">
        <v>37</v>
      </c>
      <c r="P34" s="12" t="s">
        <v>103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N35" s="149"/>
      <c r="O35">
        <v>24</v>
      </c>
      <c r="P35" s="12" t="s">
        <v>204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N36" s="149"/>
      <c r="O36">
        <v>7</v>
      </c>
      <c r="P36" s="12" t="s">
        <v>110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N37" s="149"/>
      <c r="O37">
        <v>57</v>
      </c>
      <c r="P37" s="12" t="s">
        <v>214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N38" s="149"/>
      <c r="O38">
        <v>1</v>
      </c>
      <c r="P38" s="12" t="s">
        <v>80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150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O41">
        <v>58</v>
      </c>
      <c r="P41" s="13" t="s">
        <v>144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O42">
        <v>59</v>
      </c>
      <c r="P42" s="13" t="s">
        <v>145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2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L44"/>
  <sheetViews>
    <sheetView topLeftCell="B1" workbookViewId="0">
      <selection activeCell="E20" sqref="E20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12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</row>
    <row r="2" spans="1:12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</row>
    <row r="3" spans="1:12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</row>
    <row r="4" spans="1:12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</row>
    <row r="5" spans="1:12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</row>
    <row r="6" spans="1:12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</row>
    <row r="7" spans="1:12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</row>
    <row r="8" spans="1:12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</row>
    <row r="9" spans="1:12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</row>
    <row r="10" spans="1:12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</row>
    <row r="11" spans="1:12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</row>
    <row r="12" spans="1:12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</row>
    <row r="13" spans="1:12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</row>
    <row r="14" spans="1:12" ht="15.75" x14ac:dyDescent="0.25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</row>
    <row r="15" spans="1:12" ht="15.75" x14ac:dyDescent="0.25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</row>
    <row r="16" spans="1:12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</row>
    <row r="17" spans="1:12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</row>
    <row r="18" spans="1:12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</row>
    <row r="19" spans="1:12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</row>
    <row r="20" spans="1:12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</row>
    <row r="21" spans="1:12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</row>
    <row r="22" spans="1:12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</row>
    <row r="23" spans="1:12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</row>
    <row r="24" spans="1:12" ht="15.75" x14ac:dyDescent="0.25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</row>
    <row r="25" spans="1:12" ht="15.75" x14ac:dyDescent="0.25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</row>
    <row r="26" spans="1:12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</row>
    <row r="27" spans="1:12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</row>
    <row r="28" spans="1:12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</row>
    <row r="29" spans="1:12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</row>
    <row r="30" spans="1:12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</row>
    <row r="31" spans="1:12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</row>
    <row r="32" spans="1:12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</row>
    <row r="33" spans="1:12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</row>
    <row r="34" spans="1:12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</row>
    <row r="35" spans="1:12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</row>
    <row r="36" spans="1:12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</row>
    <row r="37" spans="1:12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</row>
    <row r="38" spans="1:12" ht="15.75" x14ac:dyDescent="0.25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</row>
    <row r="39" spans="1:12" ht="15.75" x14ac:dyDescent="0.25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</row>
    <row r="40" spans="1:12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</row>
    <row r="41" spans="1:12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</row>
    <row r="42" spans="1:12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</row>
    <row r="43" spans="1:12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12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N48"/>
  <sheetViews>
    <sheetView workbookViewId="0">
      <selection activeCell="D5" sqref="D5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  <col min="14" max="14" width="5.140625" bestFit="1" customWidth="1"/>
  </cols>
  <sheetData>
    <row r="1" spans="1:14" ht="6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42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 t="s">
        <v>36</v>
      </c>
      <c r="N2">
        <v>0</v>
      </c>
    </row>
    <row r="3" spans="1:14" ht="16.5" thickBot="1" x14ac:dyDescent="0.3">
      <c r="A3" s="143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 t="s">
        <v>40</v>
      </c>
      <c r="N3">
        <v>26</v>
      </c>
    </row>
    <row r="4" spans="1:14" ht="16.5" thickBot="1" x14ac:dyDescent="0.3">
      <c r="A4" s="143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 t="s">
        <v>47</v>
      </c>
      <c r="N4">
        <v>26</v>
      </c>
    </row>
    <row r="5" spans="1:14" ht="16.5" thickBot="1" x14ac:dyDescent="0.3">
      <c r="A5" s="143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</row>
    <row r="6" spans="1:14" ht="16.5" thickBot="1" x14ac:dyDescent="0.3">
      <c r="A6" s="143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</row>
    <row r="7" spans="1:14" ht="16.5" thickBot="1" x14ac:dyDescent="0.3">
      <c r="A7" s="143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</row>
    <row r="8" spans="1:14" ht="16.5" thickBot="1" x14ac:dyDescent="0.3">
      <c r="A8" s="143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</row>
    <row r="9" spans="1:14" ht="15.75" x14ac:dyDescent="0.25">
      <c r="A9" s="143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</row>
    <row r="10" spans="1:14" ht="16.5" thickBot="1" x14ac:dyDescent="0.3">
      <c r="A10" s="144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</row>
    <row r="11" spans="1:14" ht="16.5" thickBot="1" x14ac:dyDescent="0.3">
      <c r="A11" s="142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</row>
    <row r="12" spans="1:14" ht="16.5" thickBot="1" x14ac:dyDescent="0.3">
      <c r="A12" s="143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 t="s">
        <v>61</v>
      </c>
      <c r="N12" s="25">
        <v>0.02</v>
      </c>
    </row>
    <row r="13" spans="1:14" ht="16.5" thickBot="1" x14ac:dyDescent="0.3">
      <c r="A13" s="143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N13" s="28"/>
    </row>
    <row r="14" spans="1:14" ht="15.75" x14ac:dyDescent="0.25">
      <c r="A14" s="143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</row>
    <row r="15" spans="1:14" ht="16.5" thickBot="1" x14ac:dyDescent="0.3">
      <c r="A15" s="144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</row>
    <row r="16" spans="1:14" ht="16.5" thickBot="1" x14ac:dyDescent="0.3">
      <c r="A16" s="145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</row>
    <row r="17" spans="1:13" ht="16.5" thickBot="1" x14ac:dyDescent="0.3">
      <c r="A17" s="146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</row>
    <row r="18" spans="1:13" ht="16.5" thickBot="1" x14ac:dyDescent="0.3">
      <c r="A18" s="146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</row>
    <row r="19" spans="1:13" ht="16.5" thickBot="1" x14ac:dyDescent="0.3">
      <c r="A19" s="146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</row>
    <row r="20" spans="1:13" ht="16.5" thickBot="1" x14ac:dyDescent="0.3">
      <c r="A20" s="146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</row>
    <row r="21" spans="1:13" ht="16.5" thickBot="1" x14ac:dyDescent="0.3">
      <c r="A21" s="146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</row>
    <row r="22" spans="1:13" ht="16.5" thickBot="1" x14ac:dyDescent="0.3">
      <c r="A22" s="146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</row>
    <row r="23" spans="1:13" ht="15.75" x14ac:dyDescent="0.25">
      <c r="A23" s="146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</row>
    <row r="24" spans="1:13" ht="16.5" thickBot="1" x14ac:dyDescent="0.3">
      <c r="A24" s="147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</row>
    <row r="25" spans="1:13" ht="16.5" thickBot="1" x14ac:dyDescent="0.3">
      <c r="A25" s="142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</row>
    <row r="26" spans="1:13" ht="16.5" thickBot="1" x14ac:dyDescent="0.3">
      <c r="A26" s="143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</row>
    <row r="27" spans="1:13" ht="16.5" thickBot="1" x14ac:dyDescent="0.3">
      <c r="A27" s="143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 s="27"/>
    </row>
    <row r="28" spans="1:13" ht="16.5" thickBot="1" x14ac:dyDescent="0.3">
      <c r="A28" s="143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26"/>
    </row>
    <row r="29" spans="1:13" ht="16.5" thickBot="1" x14ac:dyDescent="0.3">
      <c r="A29" s="143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 s="27"/>
    </row>
    <row r="30" spans="1:13" ht="16.5" thickBot="1" x14ac:dyDescent="0.3">
      <c r="A30" s="143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26"/>
    </row>
    <row r="31" spans="1:13" ht="16.5" thickBot="1" x14ac:dyDescent="0.3">
      <c r="A31" s="143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</row>
    <row r="32" spans="1:13" ht="16.5" thickBot="1" x14ac:dyDescent="0.3">
      <c r="A32" s="143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</row>
    <row r="33" spans="1:12" ht="16.5" thickBot="1" x14ac:dyDescent="0.3">
      <c r="A33" s="143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</row>
    <row r="34" spans="1:12" ht="16.5" thickBot="1" x14ac:dyDescent="0.3">
      <c r="A34" s="143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</row>
    <row r="35" spans="1:12" ht="16.5" thickBot="1" x14ac:dyDescent="0.3">
      <c r="A35" s="143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</row>
    <row r="36" spans="1:12" ht="16.5" thickBot="1" x14ac:dyDescent="0.3">
      <c r="A36" s="143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</row>
    <row r="37" spans="1:12" ht="15.75" x14ac:dyDescent="0.25">
      <c r="A37" s="143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</row>
    <row r="38" spans="1:12" ht="16.5" thickBot="1" x14ac:dyDescent="0.3">
      <c r="A38" s="144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</row>
    <row r="39" spans="1:12" ht="16.5" thickBot="1" x14ac:dyDescent="0.3">
      <c r="A39" s="142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</row>
    <row r="40" spans="1:12" ht="16.5" thickBot="1" x14ac:dyDescent="0.3">
      <c r="A40" s="143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</row>
    <row r="41" spans="1:12" ht="16.5" thickBot="1" x14ac:dyDescent="0.3">
      <c r="A41" s="143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</row>
    <row r="42" spans="1:12" ht="16.5" thickBot="1" x14ac:dyDescent="0.3">
      <c r="A42" s="143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</row>
    <row r="43" spans="1:12" ht="16.5" thickBot="1" x14ac:dyDescent="0.3">
      <c r="A43" s="143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</row>
    <row r="44" spans="1:12" ht="16.5" thickBot="1" x14ac:dyDescent="0.3">
      <c r="A44" s="143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</row>
    <row r="45" spans="1:12" ht="16.5" thickBot="1" x14ac:dyDescent="0.3">
      <c r="A45" s="143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</row>
    <row r="46" spans="1:12" ht="15.75" x14ac:dyDescent="0.25">
      <c r="A46" s="143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</row>
    <row r="47" spans="1:12" ht="16.5" thickBot="1" x14ac:dyDescent="0.3">
      <c r="A47" s="144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</row>
    <row r="48" spans="1:12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2026-08-06T18:02:42Z</dcterms:modified>
</cp:coreProperties>
</file>